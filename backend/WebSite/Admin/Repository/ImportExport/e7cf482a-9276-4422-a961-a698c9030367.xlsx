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tLu81\Downloads\"/>
    </mc:Choice>
  </mc:AlternateContent>
  <bookViews>
    <workbookView xWindow="0" yWindow="0" windowWidth="24000" windowHeight="9615"/>
  </bookViews>
  <sheets>
    <sheet name="GTB" sheetId="1" r:id="rId1"/>
  </sheets>
  <externalReferences>
    <externalReference r:id="rId2"/>
  </externalReferences>
  <definedNames>
    <definedName name="_xlnm._FilterDatabase" localSheetId="0" hidden="1">GTB!$A$3:$BC$139</definedName>
    <definedName name="_xlnm.Print_Area" localSheetId="0">GTB!#REF!</definedName>
    <definedName name="FOCUS" localSheetId="0">GTB!#REF!</definedName>
    <definedName name="FOCUS">'[1]Orig Dash (OLD)'!#REF!</definedName>
    <definedName name="_xlnm.Print_Titles" localSheetId="0">GTB!$C:$C,GTB!#REF!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W4" i="1" l="1"/>
  <c r="AW5" i="1"/>
  <c r="AM20" i="1" l="1"/>
  <c r="AN20" i="1"/>
  <c r="AO20" i="1"/>
  <c r="AP20" i="1"/>
  <c r="AQ20" i="1"/>
  <c r="AR20" i="1"/>
  <c r="AS20" i="1"/>
  <c r="AT20" i="1"/>
  <c r="AU20" i="1"/>
  <c r="AV20" i="1"/>
  <c r="BA5" i="1" l="1"/>
  <c r="AL5" i="1"/>
  <c r="D5" i="1" s="1"/>
  <c r="B5" i="1" s="1"/>
  <c r="AI5" i="1"/>
  <c r="AL4" i="1"/>
  <c r="D4" i="1" s="1"/>
  <c r="B4" i="1" s="1"/>
  <c r="AI4" i="1"/>
  <c r="AJ4" i="1" l="1"/>
  <c r="AJ5" i="1"/>
</calcChain>
</file>

<file path=xl/sharedStrings.xml><?xml version="1.0" encoding="utf-8"?>
<sst xmlns="http://schemas.openxmlformats.org/spreadsheetml/2006/main" count="151" uniqueCount="76">
  <si>
    <t>|</t>
  </si>
  <si>
    <t>cls</t>
  </si>
  <si>
    <t>sgn</t>
  </si>
  <si>
    <t>wip</t>
  </si>
  <si>
    <t>hld</t>
  </si>
  <si>
    <t>abt</t>
  </si>
  <si>
    <t>RIP</t>
  </si>
  <si>
    <t>Ordine</t>
  </si>
  <si>
    <t>#</t>
  </si>
  <si>
    <t>Status</t>
  </si>
  <si>
    <t>Nome</t>
  </si>
  <si>
    <t>Codename</t>
  </si>
  <si>
    <t>Provincia</t>
  </si>
  <si>
    <t>P.IVA</t>
  </si>
  <si>
    <t>ATECO 2007</t>
  </si>
  <si>
    <t>Settore</t>
  </si>
  <si>
    <t>Attività</t>
  </si>
  <si>
    <t>Riferimento cliente</t>
  </si>
  <si>
    <t>Azionista_1</t>
  </si>
  <si>
    <t>Azionista_2</t>
  </si>
  <si>
    <t>Presidente</t>
  </si>
  <si>
    <t>AD</t>
  </si>
  <si>
    <t>Pres.Col.Sind</t>
  </si>
  <si>
    <t>Cons</t>
  </si>
  <si>
    <t>Anno</t>
  </si>
  <si>
    <t>Sales</t>
  </si>
  <si>
    <t>Ebitda</t>
  </si>
  <si>
    <t>Ebitda(%)</t>
  </si>
  <si>
    <t>Ut. Netto</t>
  </si>
  <si>
    <t>IFN</t>
  </si>
  <si>
    <t>Fonte</t>
  </si>
  <si>
    <t>Segnalatore EXT</t>
  </si>
  <si>
    <t>Relazione @BCA</t>
  </si>
  <si>
    <t>In Charge @BCA</t>
  </si>
  <si>
    <t>Staff_1</t>
  </si>
  <si>
    <t>Staff_2</t>
  </si>
  <si>
    <t>Note</t>
  </si>
  <si>
    <t>Days since idea</t>
  </si>
  <si>
    <t>Days since progress</t>
  </si>
  <si>
    <t>Tipologia di Incarico</t>
  </si>
  <si>
    <t>Progress</t>
  </si>
  <si>
    <t>Idea</t>
  </si>
  <si>
    <t>1° Contatto</t>
  </si>
  <si>
    <t>Re-call</t>
  </si>
  <si>
    <t>Contatto aperto</t>
  </si>
  <si>
    <t>Meet_1 / Call</t>
  </si>
  <si>
    <t>Meet_2</t>
  </si>
  <si>
    <t>Meet_3 (Pitch)</t>
  </si>
  <si>
    <t>Meet_4 (Draft EL)</t>
  </si>
  <si>
    <t>Meet_5</t>
  </si>
  <si>
    <t>Signed</t>
  </si>
  <si>
    <t>On-hold</t>
  </si>
  <si>
    <t>Aborted</t>
  </si>
  <si>
    <t>Closed</t>
  </si>
  <si>
    <t>% @abor</t>
  </si>
  <si>
    <t>LOM</t>
  </si>
  <si>
    <t>LUS</t>
  </si>
  <si>
    <t>Buy Side</t>
  </si>
  <si>
    <t>na</t>
  </si>
  <si>
    <t>Altro</t>
  </si>
  <si>
    <t>Sell Side</t>
  </si>
  <si>
    <t>Valutazione</t>
  </si>
  <si>
    <t>GID</t>
  </si>
  <si>
    <t>Cold Call</t>
  </si>
  <si>
    <t>Agevolato</t>
  </si>
  <si>
    <t>Finanziamento</t>
  </si>
  <si>
    <t>Controparte</t>
  </si>
  <si>
    <t>Fondo</t>
  </si>
  <si>
    <t>Fundraising</t>
  </si>
  <si>
    <t>-</t>
  </si>
  <si>
    <t>00273990168</t>
  </si>
  <si>
    <t>02552210235</t>
  </si>
  <si>
    <t>ok</t>
  </si>
  <si>
    <t>Luca</t>
  </si>
  <si>
    <t>test</t>
  </si>
  <si>
    <t>prova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</si>
</sst>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0.0%"/>
    <numFmt numFmtId="166" formatCode="[$-410]d\-mmm\-yy;@"/>
    <numFmt numFmtId="167" formatCode="[$-410]mmm\-yy;@"/>
    <numFmt numFmtId="168" formatCode="d/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2D5A69"/>
      <name val="Microsoft Sans Serif"/>
      <family val="2"/>
    </font>
    <font>
      <sz val="1"/>
      <color theme="0"/>
      <name val="Microsoft Sans Serif"/>
      <family val="2"/>
    </font>
    <font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D9B6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10" borderId="0" applyNumberFormat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1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2" xfId="1" applyNumberFormat="1" applyFont="1" applyBorder="1" applyAlignment="1">
      <alignment horizontal="center" vertical="center" wrapText="1"/>
    </xf>
    <xf numFmtId="9" fontId="2" fillId="0" borderId="2" xfId="1" applyFont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4" fontId="2" fillId="0" borderId="1" xfId="0" quotePrefix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2" quotePrefix="1" applyFont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7" borderId="1" xfId="0" quotePrefix="1" applyFont="1" applyFill="1" applyBorder="1" applyAlignment="1">
      <alignment vertical="center"/>
    </xf>
    <xf numFmtId="0" fontId="2" fillId="8" borderId="1" xfId="0" quotePrefix="1" applyFont="1" applyFill="1" applyBorder="1" applyAlignment="1">
      <alignment vertical="center"/>
    </xf>
    <xf numFmtId="0" fontId="2" fillId="9" borderId="1" xfId="0" quotePrefix="1" applyFont="1" applyFill="1" applyBorder="1" applyAlignment="1">
      <alignment vertical="center"/>
    </xf>
    <xf numFmtId="0" fontId="2" fillId="5" borderId="0" xfId="0" quotePrefix="1" applyFont="1" applyFill="1" applyAlignment="1">
      <alignment vertical="center"/>
    </xf>
    <xf numFmtId="0" fontId="2" fillId="6" borderId="0" xfId="0" quotePrefix="1" applyFont="1" applyFill="1" applyAlignment="1">
      <alignment vertical="center"/>
    </xf>
    <xf numFmtId="0" fontId="2" fillId="0" borderId="0" xfId="1" applyNumberFormat="1" applyFont="1" applyFill="1" applyAlignment="1">
      <alignment horizontal="center" vertical="center"/>
    </xf>
    <xf numFmtId="165" fontId="2" fillId="0" borderId="0" xfId="1" applyNumberFormat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4" fillId="10" borderId="2" xfId="3" applyBorder="1" applyAlignment="1">
      <alignment vertical="center" wrapText="1"/>
    </xf>
    <xf numFmtId="164" fontId="4" fillId="10" borderId="2" xfId="3" applyNumberFormat="1" applyBorder="1" applyAlignment="1">
      <alignment horizontal="center" vertical="center" wrapText="1"/>
    </xf>
    <xf numFmtId="0" fontId="4" fillId="10" borderId="2" xfId="3" applyBorder="1" applyAlignment="1">
      <alignment horizontal="center" vertical="center" wrapText="1"/>
    </xf>
    <xf numFmtId="166" fontId="4" fillId="10" borderId="2" xfId="3" applyNumberFormat="1" applyBorder="1" applyAlignment="1">
      <alignment horizontal="center" vertical="center" wrapText="1"/>
    </xf>
    <xf numFmtId="9" fontId="4" fillId="10" borderId="2" xfId="3" applyNumberForma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/>
    </xf>
  </cellXfs>
  <cellStyles count="4">
    <cellStyle name="Normale" xfId="0" builtinId="0"/>
    <cellStyle name="Normale 5" xfId="2"/>
    <cellStyle name="Percentuale" xfId="1" builtinId="5"/>
    <cellStyle name="Valore non valido" xfId="3" builtinId="27"/>
  </cellStyles>
  <dxfs count="24"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CD9B69"/>
        </patternFill>
      </fill>
    </dxf>
    <dxf>
      <font>
        <color theme="0"/>
      </font>
      <fill>
        <patternFill patternType="solid">
          <bgColor theme="1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CD9B69"/>
        </patternFill>
      </fill>
    </dxf>
    <dxf>
      <fill>
        <patternFill>
          <bgColor rgb="FFFFD966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D966"/>
        </patternFill>
      </fill>
    </dxf>
    <dxf>
      <fill>
        <patternFill>
          <bgColor rgb="FFCD9B6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roletto.sharepoint.com/sites/BrolettoCorporateAdvisoryS.r.l/ADMIN/BCA_CRM_(Beta_2020v0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I---&gt;"/>
      <sheetName val="ALLEGATO_3.2(b)"/>
      <sheetName val="Comunicazioni"/>
      <sheetName val="CRM---&gt;"/>
      <sheetName val="Dettagli"/>
      <sheetName val="Sintesi"/>
      <sheetName val="-- Cantieri --"/>
      <sheetName val="&gt;&gt; TO DOs 2020 &lt;&lt;"/>
      <sheetName val="ORIGINATION---&gt;"/>
      <sheetName val="Tracking"/>
      <sheetName val="Orig Dash"/>
      <sheetName val="Orig_PE"/>
      <sheetName val="Orig Dash (OLD)"/>
      <sheetName val="Small PEs"/>
      <sheetName val="EXECUTION---&gt;"/>
      <sheetName val="Exec Dash"/>
      <sheetName val="Lex"/>
      <sheetName val="FINANCE---&gt;"/>
      <sheetName val="2021_Rev_Mese"/>
      <sheetName val="Export"/>
      <sheetName val="BULK---&gt;"/>
      <sheetName val="Recruiting"/>
      <sheetName val="Commercialista"/>
      <sheetName val="PR Agency"/>
      <sheetName val="M&amp;A Advisors"/>
      <sheetName val="Family Office"/>
      <sheetName val="Private"/>
      <sheetName val="International"/>
      <sheetName val="Coverage FS"/>
      <sheetName val="SEGNALATORI"/>
      <sheetName val="Pharma"/>
      <sheetName val="CHARTS---&gt;"/>
      <sheetName val="Charts_weekly_19"/>
      <sheetName val="Metrics_2019"/>
      <sheetName val="Top_2019"/>
      <sheetName val="Metrics_2018"/>
      <sheetName val="Charts_weekly_18"/>
      <sheetName val="Mailing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B96A5"/>
  </sheetPr>
  <dimension ref="A1:BC30"/>
  <sheetViews>
    <sheetView showGridLines="0" tabSelected="1" zoomScale="120" zoomScaleNormal="120" zoomScaleSheetLayoutView="85" workbookViewId="0">
      <pane xSplit="5" ySplit="3" topLeftCell="F4" activePane="bottomRight" state="frozen"/>
      <selection activeCell="L27" sqref="L27"/>
      <selection pane="topRight" activeCell="L27" sqref="L27"/>
      <selection pane="bottomLeft" activeCell="L27" sqref="L27"/>
      <selection pane="bottomRight" activeCell="F3" sqref="F3"/>
    </sheetView>
  </sheetViews>
  <sheetFormatPr defaultColWidth="9" defaultRowHeight="10.5" outlineLevelCol="2" x14ac:dyDescent="0.25"/>
  <cols>
    <col min="1" max="1" width="2.42578125" style="1" customWidth="1"/>
    <col min="2" max="2" width="5" style="1" customWidth="1" outlineLevel="1"/>
    <col min="3" max="3" width="5.28515625" style="1" customWidth="1"/>
    <col min="4" max="4" width="3.140625" style="1" customWidth="1"/>
    <col min="5" max="5" width="34.7109375" style="1" customWidth="1"/>
    <col min="6" max="6" width="10.7109375" style="2" customWidth="1"/>
    <col min="7" max="7" width="5.28515625" style="2" customWidth="1"/>
    <col min="8" max="8" width="10.5703125" style="2" customWidth="1" outlineLevel="1"/>
    <col min="9" max="9" width="7.140625" style="2" customWidth="1" outlineLevel="1"/>
    <col min="10" max="10" width="13.5703125" style="2" customWidth="1"/>
    <col min="11" max="11" width="36.28515625" style="3" customWidth="1"/>
    <col min="12" max="12" width="12.28515625" style="3" customWidth="1"/>
    <col min="13" max="13" width="13" style="3" customWidth="1" outlineLevel="1"/>
    <col min="14" max="17" width="13" style="3" customWidth="1" outlineLevel="2"/>
    <col min="18" max="18" width="2.7109375" style="1" customWidth="1"/>
    <col min="19" max="19" width="5.5703125" style="41" customWidth="1" outlineLevel="1"/>
    <col min="20" max="20" width="5.7109375" style="2" customWidth="1" outlineLevel="1"/>
    <col min="21" max="21" width="7.42578125" style="5" customWidth="1" outlineLevel="1"/>
    <col min="22" max="22" width="6.42578125" style="5" customWidth="1" outlineLevel="1"/>
    <col min="23" max="23" width="9.140625" style="42" customWidth="1" outlineLevel="1"/>
    <col min="24" max="24" width="9" style="5" customWidth="1" outlineLevel="1"/>
    <col min="25" max="25" width="9.7109375" style="5" customWidth="1" outlineLevel="1"/>
    <col min="26" max="26" width="2.7109375" style="1" customWidth="1"/>
    <col min="27" max="27" width="14.85546875" style="3" customWidth="1" outlineLevel="1"/>
    <col min="28" max="28" width="13.7109375" style="3" bestFit="1" customWidth="1" outlineLevel="1"/>
    <col min="29" max="29" width="7.5703125" style="2" customWidth="1" outlineLevel="1"/>
    <col min="30" max="32" width="7.5703125" style="2" customWidth="1"/>
    <col min="33" max="33" width="17" style="3" customWidth="1" outlineLevel="1"/>
    <col min="34" max="34" width="2.7109375" style="1" customWidth="1" outlineLevel="1" collapsed="1"/>
    <col min="35" max="36" width="7.42578125" style="2" customWidth="1"/>
    <col min="37" max="37" width="9" style="2" customWidth="1"/>
    <col min="38" max="38" width="11.42578125" style="2" bestFit="1" customWidth="1"/>
    <col min="39" max="39" width="11.28515625" style="7" bestFit="1" customWidth="1"/>
    <col min="40" max="40" width="10.7109375" style="7" bestFit="1" customWidth="1"/>
    <col min="41" max="41" width="8.5703125" style="7" bestFit="1" customWidth="1"/>
    <col min="42" max="42" width="10.7109375" style="7" bestFit="1" customWidth="1"/>
    <col min="43" max="44" width="10.28515625" style="7" bestFit="1" customWidth="1"/>
    <col min="45" max="45" width="10.7109375" style="7" bestFit="1" customWidth="1"/>
    <col min="46" max="46" width="13.7109375" style="7" bestFit="1" customWidth="1"/>
    <col min="47" max="47" width="10.28515625" style="7" bestFit="1" customWidth="1"/>
    <col min="48" max="48" width="10.42578125" style="7" bestFit="1" customWidth="1"/>
    <col min="49" max="49" width="10.28515625" style="7" bestFit="1" customWidth="1"/>
    <col min="50" max="50" width="9.5703125" style="7" bestFit="1" customWidth="1"/>
    <col min="51" max="51" width="11.7109375" style="7" bestFit="1" customWidth="1"/>
    <col min="52" max="52" width="11.5703125" style="7" bestFit="1" customWidth="1"/>
    <col min="53" max="53" width="11.7109375" style="43" bestFit="1" customWidth="1"/>
    <col min="54" max="54" width="8.42578125" style="43" bestFit="1" customWidth="1"/>
    <col min="55" max="16384" width="9" style="1"/>
  </cols>
  <sheetData>
    <row r="1" spans="1:55" x14ac:dyDescent="0.25">
      <c r="S1" s="4"/>
      <c r="W1" s="6"/>
      <c r="AA1" s="3" t="s">
        <v>72</v>
      </c>
      <c r="AG1" s="3" t="s">
        <v>72</v>
      </c>
      <c r="BA1" s="8"/>
      <c r="BB1" s="8"/>
      <c r="BC1" s="9" t="s">
        <v>0</v>
      </c>
    </row>
    <row r="2" spans="1:55" x14ac:dyDescent="0.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  <c r="Z2" s="1">
        <v>26</v>
      </c>
      <c r="AA2" s="1">
        <v>27</v>
      </c>
      <c r="AB2" s="1">
        <v>28</v>
      </c>
      <c r="AC2" s="1">
        <v>29</v>
      </c>
      <c r="AD2" s="1">
        <v>30</v>
      </c>
      <c r="AE2" s="1">
        <v>31</v>
      </c>
      <c r="AF2" s="1">
        <v>32</v>
      </c>
      <c r="AG2" s="1">
        <v>33</v>
      </c>
      <c r="AH2" s="1">
        <v>34</v>
      </c>
      <c r="AI2" s="1">
        <v>35</v>
      </c>
      <c r="AJ2" s="1">
        <v>36</v>
      </c>
      <c r="AK2" s="1">
        <v>37</v>
      </c>
      <c r="AL2" s="1">
        <v>38</v>
      </c>
      <c r="AM2" s="1">
        <v>39</v>
      </c>
      <c r="AN2" s="1">
        <v>40</v>
      </c>
      <c r="AO2" s="1">
        <v>41</v>
      </c>
      <c r="AP2" s="1">
        <v>42</v>
      </c>
      <c r="AQ2" s="1">
        <v>43</v>
      </c>
      <c r="AR2" s="1">
        <v>44</v>
      </c>
      <c r="AS2" s="1">
        <v>45</v>
      </c>
      <c r="AT2" s="1">
        <v>46</v>
      </c>
      <c r="AU2" s="1">
        <v>47</v>
      </c>
      <c r="AV2" s="1">
        <v>48</v>
      </c>
      <c r="AW2" s="1">
        <v>49</v>
      </c>
      <c r="AX2" s="1">
        <v>50</v>
      </c>
      <c r="AY2" s="1">
        <v>51</v>
      </c>
      <c r="AZ2" s="1">
        <v>52</v>
      </c>
      <c r="BA2" s="1">
        <v>53</v>
      </c>
      <c r="BB2" s="1">
        <v>54</v>
      </c>
      <c r="BC2" s="9" t="s">
        <v>0</v>
      </c>
    </row>
    <row r="3" spans="1:55" s="12" customFormat="1" ht="45" x14ac:dyDescent="0.25">
      <c r="B3" s="10" t="s">
        <v>7</v>
      </c>
      <c r="C3" s="10" t="s">
        <v>8</v>
      </c>
      <c r="D3" s="45" t="s">
        <v>9</v>
      </c>
      <c r="E3" s="10" t="s">
        <v>10</v>
      </c>
      <c r="F3" s="47" t="s">
        <v>11</v>
      </c>
      <c r="G3" s="11" t="s">
        <v>12</v>
      </c>
      <c r="H3" s="45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S3" s="13" t="s">
        <v>23</v>
      </c>
      <c r="T3" s="13" t="s">
        <v>24</v>
      </c>
      <c r="U3" s="13" t="s">
        <v>25</v>
      </c>
      <c r="V3" s="13" t="s">
        <v>26</v>
      </c>
      <c r="W3" s="13" t="s">
        <v>27</v>
      </c>
      <c r="X3" s="13" t="s">
        <v>28</v>
      </c>
      <c r="Y3" s="13" t="s">
        <v>29</v>
      </c>
      <c r="AA3" s="46" t="s">
        <v>30</v>
      </c>
      <c r="AB3" s="46" t="s">
        <v>31</v>
      </c>
      <c r="AC3" s="46" t="s">
        <v>32</v>
      </c>
      <c r="AD3" s="46" t="s">
        <v>33</v>
      </c>
      <c r="AE3" s="46" t="s">
        <v>34</v>
      </c>
      <c r="AF3" s="46" t="s">
        <v>35</v>
      </c>
      <c r="AG3" s="46" t="s">
        <v>36</v>
      </c>
      <c r="AI3" s="11" t="s">
        <v>37</v>
      </c>
      <c r="AJ3" s="11" t="s">
        <v>38</v>
      </c>
      <c r="AK3" s="47" t="s">
        <v>39</v>
      </c>
      <c r="AL3" s="11" t="s">
        <v>40</v>
      </c>
      <c r="AM3" s="48" t="s">
        <v>41</v>
      </c>
      <c r="AN3" s="48" t="s">
        <v>42</v>
      </c>
      <c r="AO3" s="48" t="s">
        <v>43</v>
      </c>
      <c r="AP3" s="48" t="s">
        <v>44</v>
      </c>
      <c r="AQ3" s="48" t="s">
        <v>45</v>
      </c>
      <c r="AR3" s="48" t="s">
        <v>46</v>
      </c>
      <c r="AS3" s="48" t="s">
        <v>47</v>
      </c>
      <c r="AT3" s="48" t="s">
        <v>48</v>
      </c>
      <c r="AU3" s="48" t="s">
        <v>49</v>
      </c>
      <c r="AV3" s="48" t="s">
        <v>50</v>
      </c>
      <c r="AW3" s="48" t="s">
        <v>40</v>
      </c>
      <c r="AX3" s="48" t="s">
        <v>51</v>
      </c>
      <c r="AY3" s="48" t="s">
        <v>52</v>
      </c>
      <c r="AZ3" s="48" t="s">
        <v>53</v>
      </c>
      <c r="BA3" s="14" t="s">
        <v>54</v>
      </c>
      <c r="BB3" s="49" t="s">
        <v>6</v>
      </c>
      <c r="BC3" s="9" t="s">
        <v>0</v>
      </c>
    </row>
    <row r="4" spans="1:55" x14ac:dyDescent="0.25">
      <c r="B4" s="1">
        <f>IF(D4=$A$16,1,IF(D4=$A$17,2,IF(D4=$A$18,3,IF(D4=$A$19,4,IF(D4=$A$20,5,IF(D4=$A$21,6))))))</f>
        <v>3</v>
      </c>
      <c r="D4" s="16" t="str">
        <f t="shared" ref="D4:D5" si="0">IF(AL4="Closed","cls",IF(AL4=1,"sgn",IF(AL4="On-hold","hld",IF(AL4="Aborted","abt",IF(AL4&lt;1,"wip","RIP")))))</f>
        <v>wip</v>
      </c>
      <c r="E4" s="28"/>
      <c r="F4" s="17" t="s">
        <v>74</v>
      </c>
      <c r="G4" s="17"/>
      <c r="H4" s="44" t="s">
        <v>71</v>
      </c>
      <c r="I4" s="17"/>
      <c r="J4" s="30"/>
      <c r="K4" s="18"/>
      <c r="L4" s="18"/>
      <c r="M4" s="18"/>
      <c r="N4" s="18"/>
      <c r="O4" s="18"/>
      <c r="P4" s="18"/>
      <c r="Q4" s="18"/>
      <c r="S4" s="19"/>
      <c r="T4" s="17"/>
      <c r="U4" s="20"/>
      <c r="V4" s="20"/>
      <c r="W4" s="21"/>
      <c r="X4" s="20"/>
      <c r="Y4" s="20"/>
      <c r="AA4" s="18" t="s">
        <v>63</v>
      </c>
      <c r="AB4" s="20"/>
      <c r="AC4" s="22" t="s">
        <v>55</v>
      </c>
      <c r="AD4" s="22" t="s">
        <v>55</v>
      </c>
      <c r="AE4" s="17" t="s">
        <v>56</v>
      </c>
      <c r="AF4" s="20" t="s">
        <v>62</v>
      </c>
      <c r="AG4" s="18"/>
      <c r="AH4" s="29"/>
      <c r="AI4" s="23">
        <f t="shared" ref="AI4:AI5" ca="1" si="1">+TODAY()-AM4</f>
        <v>170</v>
      </c>
      <c r="AJ4" s="23">
        <f t="shared" ref="AJ4:AJ5" ca="1" si="2">+(IF(AL4="Closed","-",IF(TODAY()-MAX(AN4:BA4)&gt;0,TODAY()-MAX(AN4:BA4),0)))</f>
        <v>0</v>
      </c>
      <c r="AK4" s="17" t="s">
        <v>60</v>
      </c>
      <c r="AL4" s="21">
        <f t="shared" ref="AL4:AL5" si="3">+IF(BB4="",IF(AZ4="",IF(AY4="",IF(AX4="",COUNTA(AN4:AV4)/9,"On-hold"),"Aborted"),"Closed"),"RIP")</f>
        <v>0.88888888888888884</v>
      </c>
      <c r="AM4" s="50">
        <v>45469</v>
      </c>
      <c r="AN4" s="50">
        <v>45470</v>
      </c>
      <c r="AO4" s="50" t="s">
        <v>58</v>
      </c>
      <c r="AP4" s="50">
        <v>45470</v>
      </c>
      <c r="AQ4" s="50">
        <v>45476</v>
      </c>
      <c r="AR4" s="50" t="s">
        <v>58</v>
      </c>
      <c r="AS4" s="50">
        <v>45481</v>
      </c>
      <c r="AT4" s="50">
        <v>45489</v>
      </c>
      <c r="AU4" s="50">
        <v>45498</v>
      </c>
      <c r="AV4" s="50"/>
      <c r="AW4" s="50">
        <f ca="1">+TODAY()</f>
        <v>45639</v>
      </c>
      <c r="AX4" s="50"/>
      <c r="AY4" s="50"/>
      <c r="AZ4" s="50"/>
      <c r="BA4" s="26"/>
      <c r="BB4" s="50"/>
      <c r="BC4" s="9" t="s">
        <v>0</v>
      </c>
    </row>
    <row r="5" spans="1:55" x14ac:dyDescent="0.25">
      <c r="B5" s="1">
        <f>IF(D5=$A$16,1,IF(D5=$A$17,2,IF(D5=$A$18,3,IF(D5=$A$19,4,IF(D5=$A$20,5,IF(D5=$A$21,6))))))</f>
        <v>2</v>
      </c>
      <c r="D5" s="16" t="str">
        <f t="shared" si="0"/>
        <v>sgn</v>
      </c>
      <c r="E5" s="16"/>
      <c r="F5" s="17" t="s">
        <v>75</v>
      </c>
      <c r="G5" s="17"/>
      <c r="H5" s="44" t="s">
        <v>70</v>
      </c>
      <c r="I5" s="17"/>
      <c r="J5" s="17"/>
      <c r="K5" s="18"/>
      <c r="L5" s="18"/>
      <c r="M5" s="18"/>
      <c r="N5" s="18"/>
      <c r="O5" s="18"/>
      <c r="P5" s="18"/>
      <c r="Q5" s="18"/>
      <c r="S5" s="19"/>
      <c r="T5" s="17"/>
      <c r="U5" s="20"/>
      <c r="V5" s="20"/>
      <c r="W5" s="21"/>
      <c r="X5" s="20"/>
      <c r="Y5" s="20"/>
      <c r="AA5" s="18" t="s">
        <v>63</v>
      </c>
      <c r="AB5" s="20" t="s">
        <v>73</v>
      </c>
      <c r="AC5" s="22" t="s">
        <v>55</v>
      </c>
      <c r="AD5" s="22" t="s">
        <v>55</v>
      </c>
      <c r="AE5" s="20" t="s">
        <v>56</v>
      </c>
      <c r="AF5" s="20" t="s">
        <v>62</v>
      </c>
      <c r="AG5" s="18"/>
      <c r="AI5" s="23">
        <f t="shared" ca="1" si="1"/>
        <v>938</v>
      </c>
      <c r="AJ5" s="23">
        <f t="shared" ca="1" si="2"/>
        <v>0</v>
      </c>
      <c r="AK5" s="17" t="s">
        <v>60</v>
      </c>
      <c r="AL5" s="21">
        <f t="shared" si="3"/>
        <v>1</v>
      </c>
      <c r="AM5" s="50">
        <v>44701</v>
      </c>
      <c r="AN5" s="50">
        <v>44701</v>
      </c>
      <c r="AO5" s="50" t="s">
        <v>58</v>
      </c>
      <c r="AP5" s="50">
        <v>44701</v>
      </c>
      <c r="AQ5" s="50">
        <v>44718</v>
      </c>
      <c r="AR5" s="50">
        <v>45421</v>
      </c>
      <c r="AS5" s="50">
        <v>45446</v>
      </c>
      <c r="AT5" s="50">
        <v>45491</v>
      </c>
      <c r="AU5" s="50" t="s">
        <v>58</v>
      </c>
      <c r="AV5" s="50">
        <v>45499</v>
      </c>
      <c r="AW5" s="50">
        <f ca="1">+TODAY()</f>
        <v>45639</v>
      </c>
      <c r="AX5" s="50"/>
      <c r="AY5" s="50"/>
      <c r="AZ5" s="50"/>
      <c r="BA5" s="26" t="str">
        <f>+IF(AY5="","",COUNTA(AN5:AV5)/(COUNTA(AN5:AV5)+COUNTBLANK(AN5:AV5)))</f>
        <v/>
      </c>
      <c r="BB5" s="50"/>
      <c r="BC5" s="9" t="s">
        <v>0</v>
      </c>
    </row>
    <row r="6" spans="1:55" x14ac:dyDescent="0.25">
      <c r="D6" s="16"/>
      <c r="E6" s="28"/>
      <c r="F6" s="17"/>
      <c r="G6" s="17"/>
      <c r="H6" s="17"/>
      <c r="I6" s="17"/>
      <c r="J6" s="17"/>
      <c r="K6" s="18"/>
      <c r="L6" s="18"/>
      <c r="M6" s="18"/>
      <c r="N6" s="18"/>
      <c r="O6" s="18"/>
      <c r="P6" s="18"/>
      <c r="Q6" s="18"/>
      <c r="S6" s="20"/>
      <c r="T6" s="17"/>
      <c r="U6" s="20"/>
      <c r="V6" s="20"/>
      <c r="W6" s="21"/>
      <c r="X6" s="20"/>
      <c r="Y6" s="20"/>
      <c r="AA6" s="18"/>
      <c r="AB6" s="18"/>
      <c r="AC6" s="22"/>
      <c r="AD6" s="22"/>
      <c r="AE6" s="17"/>
      <c r="AF6" s="20"/>
      <c r="AG6" s="18"/>
      <c r="AI6" s="23"/>
      <c r="AJ6" s="23"/>
      <c r="AK6" s="17"/>
      <c r="AL6" s="21"/>
      <c r="AM6" s="24"/>
      <c r="AN6" s="24"/>
      <c r="AO6" s="24"/>
      <c r="AP6" s="24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6"/>
      <c r="BB6" s="25"/>
      <c r="BC6" s="9"/>
    </row>
    <row r="7" spans="1:55" x14ac:dyDescent="0.25">
      <c r="C7" s="31"/>
      <c r="D7" s="16"/>
      <c r="E7" s="16"/>
      <c r="F7" s="17"/>
      <c r="G7" s="17"/>
      <c r="H7" s="44"/>
      <c r="I7" s="17"/>
      <c r="J7" s="17"/>
      <c r="K7" s="18"/>
      <c r="L7" s="18"/>
      <c r="M7" s="18"/>
      <c r="N7" s="18"/>
      <c r="O7" s="18"/>
      <c r="P7" s="18"/>
      <c r="Q7" s="18"/>
      <c r="S7" s="19"/>
      <c r="T7" s="17"/>
      <c r="U7" s="20"/>
      <c r="V7" s="20"/>
      <c r="W7" s="21"/>
      <c r="X7" s="20"/>
      <c r="Y7" s="20"/>
      <c r="AA7" s="18"/>
      <c r="AB7" s="20"/>
      <c r="AC7" s="22"/>
      <c r="AD7" s="22"/>
      <c r="AE7" s="17"/>
      <c r="AF7" s="20"/>
      <c r="AG7" s="18"/>
      <c r="AI7" s="23"/>
      <c r="AJ7" s="23"/>
      <c r="AK7" s="17"/>
      <c r="AL7" s="21"/>
      <c r="AM7" s="24"/>
      <c r="AN7" s="24"/>
      <c r="AO7" s="24"/>
      <c r="AP7" s="24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6"/>
      <c r="BB7" s="25"/>
      <c r="BC7" s="9"/>
    </row>
    <row r="8" spans="1:55" x14ac:dyDescent="0.25">
      <c r="D8" s="16"/>
      <c r="E8" s="16"/>
      <c r="F8" s="17"/>
      <c r="G8" s="17"/>
      <c r="H8" s="27"/>
      <c r="I8" s="17"/>
      <c r="J8" s="30"/>
      <c r="K8" s="18"/>
      <c r="L8" s="18"/>
      <c r="M8" s="32"/>
      <c r="N8" s="18"/>
      <c r="O8" s="18"/>
      <c r="P8" s="18"/>
      <c r="Q8" s="18"/>
      <c r="S8" s="19"/>
      <c r="T8" s="17"/>
      <c r="U8" s="20"/>
      <c r="V8" s="20"/>
      <c r="W8" s="21"/>
      <c r="X8" s="20"/>
      <c r="Y8" s="20"/>
      <c r="AA8" s="18"/>
      <c r="AB8" s="20"/>
      <c r="AC8" s="22"/>
      <c r="AD8" s="22"/>
      <c r="AE8" s="17"/>
      <c r="AF8" s="20"/>
      <c r="AG8" s="18"/>
      <c r="AH8" s="29"/>
      <c r="AI8" s="23"/>
      <c r="AJ8" s="23"/>
      <c r="AK8" s="17"/>
      <c r="AL8" s="21"/>
      <c r="AM8" s="24"/>
      <c r="AN8" s="24"/>
      <c r="AO8" s="24"/>
      <c r="AP8" s="24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6"/>
      <c r="BB8" s="25"/>
      <c r="BC8" s="9"/>
    </row>
    <row r="9" spans="1:55" x14ac:dyDescent="0.25">
      <c r="D9" s="16"/>
      <c r="E9" s="16"/>
      <c r="F9" s="17"/>
      <c r="G9" s="17"/>
      <c r="H9" s="27"/>
      <c r="I9" s="17"/>
      <c r="J9" s="17"/>
      <c r="K9" s="18"/>
      <c r="L9" s="18"/>
      <c r="M9" s="18"/>
      <c r="N9" s="18"/>
      <c r="O9" s="18"/>
      <c r="P9" s="18"/>
      <c r="Q9" s="18"/>
      <c r="S9" s="19"/>
      <c r="T9" s="17"/>
      <c r="U9" s="20"/>
      <c r="V9" s="20"/>
      <c r="W9" s="21"/>
      <c r="X9" s="20"/>
      <c r="Y9" s="20"/>
      <c r="AA9" s="18"/>
      <c r="AB9" s="20"/>
      <c r="AC9" s="22"/>
      <c r="AD9" s="22"/>
      <c r="AE9" s="17"/>
      <c r="AF9" s="20"/>
      <c r="AG9" s="18"/>
      <c r="AI9" s="23"/>
      <c r="AJ9" s="23"/>
      <c r="AK9" s="17"/>
      <c r="AL9" s="21"/>
      <c r="AM9" s="24"/>
      <c r="AN9" s="24"/>
      <c r="AO9" s="24"/>
      <c r="AP9" s="24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6"/>
      <c r="BB9" s="25"/>
      <c r="BC9" s="9"/>
    </row>
    <row r="10" spans="1:55" x14ac:dyDescent="0.25">
      <c r="D10" s="16"/>
      <c r="E10" s="16"/>
      <c r="F10" s="17"/>
      <c r="G10" s="17"/>
      <c r="H10" s="27"/>
      <c r="I10" s="17"/>
      <c r="J10" s="17"/>
      <c r="K10" s="18"/>
      <c r="L10" s="18"/>
      <c r="M10" s="18"/>
      <c r="N10" s="18"/>
      <c r="O10" s="18"/>
      <c r="P10" s="18"/>
      <c r="Q10" s="18"/>
      <c r="S10" s="19"/>
      <c r="T10" s="17"/>
      <c r="U10" s="20"/>
      <c r="V10" s="20"/>
      <c r="W10" s="21"/>
      <c r="X10" s="20"/>
      <c r="Y10" s="20"/>
      <c r="AA10" s="18"/>
      <c r="AB10" s="20"/>
      <c r="AC10" s="22"/>
      <c r="AD10" s="22"/>
      <c r="AE10" s="17"/>
      <c r="AF10" s="20"/>
      <c r="AG10" s="18"/>
      <c r="AI10" s="23"/>
      <c r="AJ10" s="23"/>
      <c r="AK10" s="17"/>
      <c r="AL10" s="21"/>
      <c r="AM10" s="24"/>
      <c r="AN10" s="24"/>
      <c r="AO10" s="24"/>
      <c r="AP10" s="24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6"/>
      <c r="BB10" s="25"/>
      <c r="BC10" s="9"/>
    </row>
    <row r="11" spans="1:55" x14ac:dyDescent="0.25">
      <c r="D11" s="16"/>
      <c r="E11" s="16"/>
      <c r="F11" s="17"/>
      <c r="G11" s="17"/>
      <c r="H11" s="27"/>
      <c r="I11" s="17"/>
      <c r="J11" s="17"/>
      <c r="K11" s="18"/>
      <c r="L11" s="18"/>
      <c r="M11" s="18"/>
      <c r="N11" s="18"/>
      <c r="O11" s="18"/>
      <c r="P11" s="18"/>
      <c r="Q11" s="18"/>
      <c r="S11" s="19"/>
      <c r="T11" s="17"/>
      <c r="U11" s="20"/>
      <c r="V11" s="20"/>
      <c r="W11" s="21"/>
      <c r="X11" s="20"/>
      <c r="Y11" s="20"/>
      <c r="AA11" s="18"/>
      <c r="AB11" s="20"/>
      <c r="AC11" s="22"/>
      <c r="AD11" s="22"/>
      <c r="AE11" s="17"/>
      <c r="AF11" s="20"/>
      <c r="AG11" s="18"/>
      <c r="AI11" s="23"/>
      <c r="AJ11" s="23"/>
      <c r="AK11" s="17"/>
      <c r="AL11" s="21"/>
      <c r="AM11" s="24"/>
      <c r="AN11" s="24"/>
      <c r="AO11" s="24"/>
      <c r="AP11" s="24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6"/>
      <c r="BB11" s="25"/>
      <c r="BC11" s="9"/>
    </row>
    <row r="12" spans="1:55" x14ac:dyDescent="0.25">
      <c r="A12" s="16"/>
      <c r="D12" s="16"/>
      <c r="E12" s="16"/>
      <c r="F12" s="17"/>
      <c r="G12" s="17"/>
      <c r="H12" s="17"/>
      <c r="I12" s="17"/>
      <c r="J12" s="17"/>
      <c r="K12" s="17"/>
      <c r="L12" s="18"/>
      <c r="M12" s="18"/>
      <c r="N12" s="18"/>
      <c r="O12" s="18"/>
      <c r="P12" s="18"/>
      <c r="Q12" s="18"/>
      <c r="S12" s="19"/>
      <c r="T12" s="17"/>
      <c r="U12" s="20"/>
      <c r="V12" s="20"/>
      <c r="W12" s="21"/>
      <c r="X12" s="20"/>
      <c r="Y12" s="20"/>
      <c r="AA12" s="18"/>
      <c r="AB12" s="18"/>
      <c r="AC12" s="17"/>
      <c r="AD12" s="17"/>
      <c r="AE12" s="17"/>
      <c r="AF12" s="17"/>
      <c r="AG12" s="18"/>
      <c r="AI12" s="17"/>
      <c r="AJ12" s="17"/>
      <c r="AK12" s="17"/>
      <c r="AL12" s="17"/>
      <c r="AM12" s="33"/>
      <c r="AN12" s="33"/>
      <c r="AO12" s="33"/>
      <c r="AP12" s="33"/>
      <c r="AQ12" s="25"/>
      <c r="AR12" s="25"/>
      <c r="AS12" s="25"/>
      <c r="AT12" s="25"/>
      <c r="AU12" s="25"/>
      <c r="AV12" s="25"/>
      <c r="AW12" s="33"/>
      <c r="AX12" s="33"/>
      <c r="AY12" s="33"/>
      <c r="AZ12" s="33"/>
      <c r="BA12" s="26"/>
      <c r="BB12" s="26"/>
      <c r="BC12" s="9" t="s">
        <v>0</v>
      </c>
    </row>
    <row r="13" spans="1:55" x14ac:dyDescent="0.25">
      <c r="F13" s="9"/>
      <c r="S13" s="34"/>
      <c r="W13" s="35"/>
      <c r="BA13" s="7"/>
      <c r="BB13" s="7"/>
      <c r="BC13" s="9" t="s">
        <v>0</v>
      </c>
    </row>
    <row r="14" spans="1:55" x14ac:dyDescent="0.25">
      <c r="D14" s="9" t="s">
        <v>69</v>
      </c>
      <c r="E14" s="9" t="s">
        <v>69</v>
      </c>
      <c r="G14" s="9" t="s">
        <v>69</v>
      </c>
      <c r="H14" s="9" t="s">
        <v>69</v>
      </c>
      <c r="I14" s="9" t="s">
        <v>69</v>
      </c>
      <c r="J14" s="9" t="s">
        <v>69</v>
      </c>
      <c r="K14" s="9" t="s">
        <v>69</v>
      </c>
      <c r="L14" s="9" t="s">
        <v>69</v>
      </c>
      <c r="M14" s="9" t="s">
        <v>69</v>
      </c>
      <c r="N14" s="9" t="s">
        <v>69</v>
      </c>
      <c r="O14" s="9" t="s">
        <v>69</v>
      </c>
      <c r="P14" s="9" t="s">
        <v>69</v>
      </c>
      <c r="Q14" s="9" t="s">
        <v>69</v>
      </c>
      <c r="R14" s="9" t="s">
        <v>69</v>
      </c>
      <c r="S14" s="9" t="s">
        <v>69</v>
      </c>
      <c r="T14" s="9" t="s">
        <v>69</v>
      </c>
      <c r="U14" s="9" t="s">
        <v>69</v>
      </c>
      <c r="V14" s="9" t="s">
        <v>69</v>
      </c>
      <c r="W14" s="9" t="s">
        <v>69</v>
      </c>
      <c r="X14" s="9" t="s">
        <v>69</v>
      </c>
      <c r="Y14" s="9" t="s">
        <v>69</v>
      </c>
      <c r="Z14" s="9" t="s">
        <v>69</v>
      </c>
      <c r="AA14" s="9" t="s">
        <v>69</v>
      </c>
      <c r="AB14" s="9" t="s">
        <v>69</v>
      </c>
      <c r="AC14" s="9" t="s">
        <v>69</v>
      </c>
      <c r="AD14" s="9" t="s">
        <v>69</v>
      </c>
      <c r="AE14" s="9" t="s">
        <v>69</v>
      </c>
      <c r="AF14" s="9" t="s">
        <v>69</v>
      </c>
      <c r="AG14" s="9" t="s">
        <v>69</v>
      </c>
      <c r="AH14" s="9" t="s">
        <v>69</v>
      </c>
      <c r="AI14" s="9" t="s">
        <v>69</v>
      </c>
      <c r="AJ14" s="9" t="s">
        <v>69</v>
      </c>
      <c r="AM14" s="9" t="s">
        <v>69</v>
      </c>
      <c r="AN14" s="9" t="s">
        <v>69</v>
      </c>
      <c r="AO14" s="9" t="s">
        <v>69</v>
      </c>
      <c r="AP14" s="7" t="s">
        <v>69</v>
      </c>
      <c r="AQ14" s="7" t="s">
        <v>69</v>
      </c>
      <c r="AR14" s="7" t="s">
        <v>69</v>
      </c>
      <c r="AS14" s="7" t="s">
        <v>69</v>
      </c>
      <c r="AT14" s="7" t="s">
        <v>69</v>
      </c>
      <c r="AU14" s="7" t="s">
        <v>69</v>
      </c>
      <c r="AV14" s="7" t="s">
        <v>69</v>
      </c>
      <c r="AW14" s="7" t="s">
        <v>69</v>
      </c>
      <c r="AX14" s="7" t="s">
        <v>69</v>
      </c>
      <c r="AY14" s="7" t="s">
        <v>69</v>
      </c>
      <c r="BA14" s="7" t="s">
        <v>69</v>
      </c>
      <c r="BB14" s="7" t="s">
        <v>69</v>
      </c>
      <c r="BC14" s="9" t="s">
        <v>0</v>
      </c>
    </row>
    <row r="15" spans="1:55" x14ac:dyDescent="0.25">
      <c r="F15" s="9"/>
      <c r="S15" s="34"/>
      <c r="W15" s="35"/>
      <c r="BA15" s="7"/>
      <c r="BB15" s="7"/>
      <c r="BC15" s="9" t="s">
        <v>0</v>
      </c>
    </row>
    <row r="16" spans="1:55" x14ac:dyDescent="0.25">
      <c r="A16" s="15" t="s">
        <v>1</v>
      </c>
      <c r="S16" s="34"/>
      <c r="W16" s="35"/>
      <c r="BA16" s="7"/>
      <c r="BB16" s="7"/>
      <c r="BC16" s="9" t="s">
        <v>0</v>
      </c>
    </row>
    <row r="17" spans="1:55" x14ac:dyDescent="0.25">
      <c r="A17" s="36" t="s">
        <v>2</v>
      </c>
      <c r="S17" s="34"/>
      <c r="W17" s="35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9" t="s">
        <v>0</v>
      </c>
    </row>
    <row r="18" spans="1:55" x14ac:dyDescent="0.25">
      <c r="A18" s="37" t="s">
        <v>3</v>
      </c>
      <c r="F18" s="9"/>
      <c r="S18" s="34"/>
      <c r="W18" s="35"/>
      <c r="AK18" s="9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9" t="s">
        <v>0</v>
      </c>
    </row>
    <row r="19" spans="1:55" x14ac:dyDescent="0.25">
      <c r="A19" s="38" t="s">
        <v>4</v>
      </c>
      <c r="S19" s="34"/>
      <c r="W19" s="35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9" t="s">
        <v>0</v>
      </c>
    </row>
    <row r="20" spans="1:55" x14ac:dyDescent="0.25">
      <c r="A20" s="39" t="s">
        <v>5</v>
      </c>
      <c r="S20" s="34"/>
      <c r="W20" s="35"/>
      <c r="AM20" s="2">
        <f t="shared" ref="AM20:AV20" si="4">+COUNTA(AM4:AM13)</f>
        <v>2</v>
      </c>
      <c r="AN20" s="2">
        <f t="shared" si="4"/>
        <v>2</v>
      </c>
      <c r="AO20" s="2">
        <f t="shared" si="4"/>
        <v>2</v>
      </c>
      <c r="AP20" s="2">
        <f t="shared" si="4"/>
        <v>2</v>
      </c>
      <c r="AQ20" s="2">
        <f t="shared" si="4"/>
        <v>2</v>
      </c>
      <c r="AR20" s="2">
        <f t="shared" si="4"/>
        <v>2</v>
      </c>
      <c r="AS20" s="2">
        <f t="shared" si="4"/>
        <v>2</v>
      </c>
      <c r="AT20" s="2">
        <f t="shared" si="4"/>
        <v>2</v>
      </c>
      <c r="AU20" s="2">
        <f t="shared" si="4"/>
        <v>2</v>
      </c>
      <c r="AV20" s="2">
        <f t="shared" si="4"/>
        <v>1</v>
      </c>
      <c r="AW20" s="2"/>
      <c r="AX20" s="2"/>
      <c r="AY20" s="2"/>
      <c r="AZ20" s="2"/>
      <c r="BA20" s="2"/>
      <c r="BB20" s="2"/>
      <c r="BC20" s="9" t="s">
        <v>0</v>
      </c>
    </row>
    <row r="21" spans="1:55" x14ac:dyDescent="0.25">
      <c r="A21" s="40" t="s">
        <v>6</v>
      </c>
      <c r="S21" s="34"/>
      <c r="W21" s="35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9" t="s">
        <v>0</v>
      </c>
    </row>
    <row r="22" spans="1:55" x14ac:dyDescent="0.25">
      <c r="S22" s="34"/>
      <c r="W22" s="35"/>
      <c r="AM22" s="2" t="s">
        <v>57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9" t="s">
        <v>0</v>
      </c>
    </row>
    <row r="23" spans="1:55" x14ac:dyDescent="0.25">
      <c r="S23" s="34"/>
      <c r="W23" s="35"/>
      <c r="AM23" s="2" t="s">
        <v>60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x14ac:dyDescent="0.25">
      <c r="S24" s="34"/>
      <c r="W24" s="35"/>
      <c r="AM24" s="2" t="s">
        <v>68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x14ac:dyDescent="0.25">
      <c r="S25" s="34"/>
      <c r="W25" s="35"/>
      <c r="AM25" s="2" t="s">
        <v>65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x14ac:dyDescent="0.25">
      <c r="S26" s="34"/>
      <c r="W26" s="35"/>
      <c r="AM26" s="2" t="s">
        <v>66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x14ac:dyDescent="0.25">
      <c r="S27" s="34"/>
      <c r="W27" s="35"/>
      <c r="AM27" s="2" t="s">
        <v>59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x14ac:dyDescent="0.25">
      <c r="S28" s="34"/>
      <c r="W28" s="35"/>
      <c r="AM28" s="2" t="s">
        <v>64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x14ac:dyDescent="0.25">
      <c r="S29" s="34"/>
      <c r="W29" s="35"/>
      <c r="AM29" s="2" t="s">
        <v>67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x14ac:dyDescent="0.25">
      <c r="S30" s="34"/>
      <c r="W30" s="35"/>
      <c r="AM30" s="2" t="s">
        <v>61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</sheetData>
  <autoFilter ref="A3:BC139"/>
  <conditionalFormatting sqref="AF7:AF9 D4:D12">
    <cfRule type="cellIs" dxfId="23" priority="39" operator="equal">
      <formula>"cls"</formula>
    </cfRule>
  </conditionalFormatting>
  <conditionalFormatting sqref="D4:D11">
    <cfRule type="containsText" dxfId="22" priority="36" operator="containsText" text="hld">
      <formula>NOT(ISERROR(SEARCH("hld",D4)))</formula>
    </cfRule>
    <cfRule type="cellIs" dxfId="21" priority="37" operator="equal">
      <formula>"RIP"</formula>
    </cfRule>
  </conditionalFormatting>
  <conditionalFormatting sqref="D4:D12">
    <cfRule type="containsText" dxfId="20" priority="195" operator="containsText" text="abt">
      <formula>NOT(ISERROR(SEARCH("abt",D4)))</formula>
    </cfRule>
    <cfRule type="containsText" dxfId="19" priority="196" operator="containsText" text="sgn">
      <formula>NOT(ISERROR(SEARCH("sgn",D4)))</formula>
    </cfRule>
    <cfRule type="containsText" dxfId="18" priority="197" operator="containsText" text="wip">
      <formula>NOT(ISERROR(SEARCH("wip",D4)))</formula>
    </cfRule>
  </conditionalFormatting>
  <conditionalFormatting sqref="D8 D12">
    <cfRule type="cellIs" dxfId="17" priority="189" operator="equal">
      <formula>"RIP"</formula>
    </cfRule>
  </conditionalFormatting>
  <conditionalFormatting sqref="D11">
    <cfRule type="containsText" dxfId="16" priority="67" operator="containsText" text="abt">
      <formula>NOT(ISERROR(SEARCH("abt",D11)))</formula>
    </cfRule>
    <cfRule type="containsText" dxfId="15" priority="68" operator="containsText" text="sgn">
      <formula>NOT(ISERROR(SEARCH("sgn",D11)))</formula>
    </cfRule>
    <cfRule type="containsText" dxfId="14" priority="69" operator="containsText" text="wip">
      <formula>NOT(ISERROR(SEARCH("wip",D11)))</formula>
    </cfRule>
  </conditionalFormatting>
  <conditionalFormatting sqref="D8 D12">
    <cfRule type="containsText" dxfId="13" priority="187" operator="containsText" text="hld">
      <formula>NOT(ISERROR(SEARCH("hld",D8)))</formula>
    </cfRule>
  </conditionalFormatting>
  <conditionalFormatting sqref="D11:I11">
    <cfRule type="cellIs" dxfId="12" priority="66" operator="equal">
      <formula>"cls"</formula>
    </cfRule>
  </conditionalFormatting>
  <conditionalFormatting sqref="D6:R6 W4 T6:AE6 AG6 E10:AH10">
    <cfRule type="cellIs" dxfId="11" priority="194" operator="equal">
      <formula>"cls"</formula>
    </cfRule>
  </conditionalFormatting>
  <conditionalFormatting sqref="E7:I8 AB7:AH8">
    <cfRule type="cellIs" dxfId="10" priority="201" operator="equal">
      <formula>"cls"</formula>
    </cfRule>
  </conditionalFormatting>
  <conditionalFormatting sqref="J5">
    <cfRule type="cellIs" dxfId="9" priority="86" operator="equal">
      <formula>"cls"</formula>
    </cfRule>
  </conditionalFormatting>
  <conditionalFormatting sqref="L7:V8 X7:Z8">
    <cfRule type="cellIs" dxfId="8" priority="98" operator="equal">
      <formula>"cls"</formula>
    </cfRule>
  </conditionalFormatting>
  <conditionalFormatting sqref="L11:V11 X11:Z11">
    <cfRule type="cellIs" dxfId="7" priority="60" operator="equal">
      <formula>"cls"</formula>
    </cfRule>
  </conditionalFormatting>
  <conditionalFormatting sqref="AB11:AH11">
    <cfRule type="cellIs" dxfId="6" priority="70" operator="equal">
      <formula>"cls"</formula>
    </cfRule>
  </conditionalFormatting>
  <conditionalFormatting sqref="AI11">
    <cfRule type="colorScale" priority="65">
      <colorScale>
        <cfvo type="min"/>
        <cfvo type="max"/>
        <color rgb="FFFCFCFF"/>
        <color rgb="FFF8696B"/>
      </colorScale>
    </cfRule>
    <cfRule type="colorScale" priority="71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max"/>
        <color rgb="FFFCFCFF"/>
        <color rgb="FFF8696B"/>
      </colorScale>
    </cfRule>
    <cfRule type="colorScale" priority="74">
      <colorScale>
        <cfvo type="min"/>
        <cfvo type="max"/>
        <color rgb="FFFCFCFF"/>
        <color rgb="FFF8696B"/>
      </colorScale>
    </cfRule>
  </conditionalFormatting>
  <conditionalFormatting sqref="AL4:AL12">
    <cfRule type="containsText" dxfId="5" priority="61" operator="containsText" text="RIP">
      <formula>NOT(ISERROR(SEARCH("RIP",AL4)))</formula>
    </cfRule>
    <cfRule type="cellIs" dxfId="4" priority="62" operator="equal">
      <formula>"Closed"</formula>
    </cfRule>
    <cfRule type="containsText" dxfId="3" priority="63" operator="containsText" text="Aborted">
      <formula>NOT(ISERROR(SEARCH("Aborted",AL4)))</formula>
    </cfRule>
    <cfRule type="containsText" dxfId="2" priority="64" operator="containsText" text="On-hold">
      <formula>NOT(ISERROR(SEARCH("On-hold",AL4)))</formula>
    </cfRule>
  </conditionalFormatting>
  <conditionalFormatting sqref="AL11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{765E815B-23F9-4B07-A06C-64C306B14CB7}</x14:id>
        </ext>
      </extLst>
    </cfRule>
  </conditionalFormatting>
  <conditionalFormatting sqref="AI4:AI10">
    <cfRule type="colorScale" priority="235">
      <colorScale>
        <cfvo type="min"/>
        <cfvo type="max"/>
        <color rgb="FFFCFCFF"/>
        <color rgb="FFF8696B"/>
      </colorScale>
    </cfRule>
  </conditionalFormatting>
  <conditionalFormatting sqref="AI4:AI10 AI12">
    <cfRule type="colorScale" priority="236">
      <colorScale>
        <cfvo type="min"/>
        <cfvo type="max"/>
        <color rgb="FFFCFCFF"/>
        <color rgb="FFF8696B"/>
      </colorScale>
    </cfRule>
  </conditionalFormatting>
  <conditionalFormatting sqref="AI4:AI7 AI9:AI10">
    <cfRule type="colorScale" priority="238">
      <colorScale>
        <cfvo type="min"/>
        <cfvo type="max"/>
        <color rgb="FFFCFCFF"/>
        <color rgb="FFF8696B"/>
      </colorScale>
    </cfRule>
  </conditionalFormatting>
  <conditionalFormatting sqref="AI9:AI10 AI4:AI7">
    <cfRule type="colorScale" priority="240">
      <colorScale>
        <cfvo type="min"/>
        <cfvo type="max"/>
        <color rgb="FFFCFCFF"/>
        <color rgb="FFF8696B"/>
      </colorScale>
    </cfRule>
  </conditionalFormatting>
  <conditionalFormatting sqref="AJ6:AJ11">
    <cfRule type="colorScale" priority="242">
      <colorScale>
        <cfvo type="min"/>
        <cfvo type="max"/>
        <color rgb="FFFCFCFF"/>
        <color rgb="FFF8696B"/>
      </colorScale>
    </cfRule>
  </conditionalFormatting>
  <conditionalFormatting sqref="AL4:AL12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{D590456A-98D4-4A77-9A2F-00E373392A40}</x14:id>
        </ext>
      </extLst>
    </cfRule>
  </conditionalFormatting>
  <conditionalFormatting sqref="H4">
    <cfRule type="cellIs" dxfId="1" priority="2" operator="equal">
      <formula>"cls"</formula>
    </cfRule>
  </conditionalFormatting>
  <conditionalFormatting sqref="H5">
    <cfRule type="cellIs" dxfId="0" priority="1" operator="equal">
      <formula>"cls"</formula>
    </cfRule>
  </conditionalFormatting>
  <dataValidations count="3">
    <dataValidation type="list" allowBlank="1" showInputMessage="1" showErrorMessage="1" sqref="AK4:AK12">
      <formula1>$AM$22:$AM$30</formula1>
    </dataValidation>
    <dataValidation type="list" allowBlank="1" showInputMessage="1" showErrorMessage="1" sqref="AK5:AK6 AK8">
      <formula1>$AM$24:$AM$32</formula1>
    </dataValidation>
    <dataValidation type="list" allowBlank="1" showInputMessage="1" showErrorMessage="1" sqref="AK4:AK11">
      <formula1>$AM$23:$AM$31</formula1>
    </dataValidation>
  </dataValidations>
  <printOptions horizontalCentered="1"/>
  <pageMargins left="0.31496062992125984" right="0.31496062992125984" top="0.74803149606299213" bottom="0.35433070866141736" header="0.31496062992125984" footer="0.31496062992125984"/>
  <pageSetup paperSize="8" scale="11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5E815B-23F9-4B07-A06C-64C306B14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AL11</xm:sqref>
        </x14:conditionalFormatting>
        <x14:conditionalFormatting xmlns:xm="http://schemas.microsoft.com/office/excel/2006/main">
          <x14:cfRule type="dataBar" id="{D590456A-98D4-4A77-9A2F-00E373392A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AL4:AL12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GTB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Utente Windows</cp:lastModifiedBy>
  <dcterms:created xsi:type="dcterms:W3CDTF">2024-11-18T17:23:40Z</dcterms:created>
  <dcterms:modified xsi:type="dcterms:W3CDTF">2024-12-13T18:06:33Z</dcterms:modified>
</cp:coreProperties>
</file>