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aScarsi\Desktop\"/>
    </mc:Choice>
  </mc:AlternateContent>
  <xr:revisionPtr revIDLastSave="0" documentId="13_ncr:1_{AFB17877-F5C8-4DE5-A6E9-4C85B15BCD05}" xr6:coauthVersionLast="45" xr6:coauthVersionMax="47" xr10:uidLastSave="{00000000-0000-0000-0000-000000000000}"/>
  <bookViews>
    <workbookView xWindow="-98" yWindow="-98" windowWidth="20715" windowHeight="13276" xr2:uid="{FABF9C19-185D-40BB-A2F2-E631C2CFE983}"/>
  </bookViews>
  <sheets>
    <sheet name="Tracking" sheetId="1" r:id="rId1"/>
    <sheet name="Int'l" sheetId="6" r:id="rId2"/>
    <sheet name="Fondi_PE" sheetId="8" r:id="rId3"/>
    <sheet name="Cold Call BETA" sheetId="7" r:id="rId4"/>
    <sheet name="Distribution Lists" sheetId="9" r:id="rId5"/>
    <sheet name="Staffing" sheetId="10" r:id="rId6"/>
  </sheets>
  <externalReferences>
    <externalReference r:id="rId7"/>
  </externalReferences>
  <definedNames>
    <definedName name="_FilterDatabase" localSheetId="0" hidden="1">Tracking!$B$4:$BC$513</definedName>
    <definedName name="_xlnm._FilterDatabase" localSheetId="3" hidden="1">'Cold Call BETA'!$B$2:$AS$892</definedName>
    <definedName name="_xlnm._FilterDatabase" localSheetId="4" hidden="1">'Distribution Lists'!$B$2:$F$2</definedName>
    <definedName name="_xlnm._FilterDatabase" localSheetId="2" hidden="1">Fondi_PE!$B$2:$BY$122</definedName>
    <definedName name="_xlnm._FilterDatabase" localSheetId="1" hidden="1">'Int''l'!$A$4:$AA$198</definedName>
    <definedName name="_xlnm._FilterDatabase" localSheetId="0" hidden="1">Tracking!$B$4:$BC$513</definedName>
    <definedName name="_FiltroDatabase2" localSheetId="0" hidden="1">Tracking!$A$25:$BC$517</definedName>
    <definedName name="_xlnm.Print_Area" localSheetId="2">Fondi_PE!$C$2:$V$102</definedName>
    <definedName name="_xlnm.Print_Area" localSheetId="1">'Int''l'!$E$3:$Y$194</definedName>
    <definedName name="_xlnm.Print_Area" localSheetId="5">Staffing!#REF!,Staffing!#REF!,Staffing!#REF!</definedName>
    <definedName name="FFFF" localSheetId="0">Tracking!$E:$E,Tracking!$3:$25</definedName>
    <definedName name="FOCUS" localSheetId="2">Fondi_PE!#REF!</definedName>
    <definedName name="FOCUS" localSheetId="1">'Int''l'!#REF!</definedName>
    <definedName name="FOCUS" localSheetId="5">Staffing!#REF!</definedName>
    <definedName name="FOCUS" localSheetId="0">Tracking!#REF!</definedName>
    <definedName name="FOCUS">'[1]Orig Dash (OLD)'!#REF!</definedName>
    <definedName name="Print" localSheetId="0">Tracking!$E:$E,Tracking!$3:$25</definedName>
    <definedName name="Print_Titles1" localSheetId="0">Tracking!$E:$E,Tracking!$3:$25</definedName>
    <definedName name="_xlnm.Print_Titles" localSheetId="2">Fondi_PE!$C:$C,Fondi_PE!$2:$2</definedName>
    <definedName name="_xlnm.Print_Titles" localSheetId="1">'Int''l'!$E:$E,'Int''l'!$3:$4</definedName>
    <definedName name="_xlnm.Print_Titles" localSheetId="5">Staffing!#REF!,Staffing!#REF!</definedName>
    <definedName name="_xlnm.Print_Titles" localSheetId="0">Tracking!$E:$E,Tracking!$3:$3</definedName>
  </definedNames>
  <calcPr calcId="191029" iterate="1" iterateCount="100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3" i="7" l="1"/>
  <c r="AK3" i="7"/>
  <c r="AJ4" i="7"/>
  <c r="AK4" i="7"/>
  <c r="AJ5" i="7"/>
  <c r="AK5" i="7"/>
  <c r="AJ6" i="7"/>
  <c r="AK6" i="7"/>
  <c r="AJ7" i="7"/>
  <c r="AK7" i="7"/>
  <c r="AJ8" i="7"/>
  <c r="AK8" i="7"/>
  <c r="AJ9" i="7"/>
  <c r="AK9" i="7"/>
  <c r="AJ10" i="7"/>
  <c r="AK10" i="7"/>
  <c r="AJ11" i="7"/>
  <c r="AK11" i="7"/>
  <c r="D3" i="7"/>
  <c r="AL3" i="7" s="1"/>
  <c r="D4" i="7"/>
  <c r="B4" i="7" s="1" a="1"/>
  <c r="B4" i="7" s="1"/>
  <c r="D5" i="7"/>
  <c r="AL5" i="7" s="1"/>
  <c r="D6" i="7"/>
  <c r="B6" i="7" s="1" a="1"/>
  <c r="B6" i="7" s="1"/>
  <c r="D7" i="7"/>
  <c r="B7" i="7" s="1" a="1"/>
  <c r="B7" i="7" s="1"/>
  <c r="D8" i="7"/>
  <c r="B8" i="7" s="1" a="1"/>
  <c r="B8" i="7" s="1"/>
  <c r="D9" i="7"/>
  <c r="B9" i="7" s="1" a="1"/>
  <c r="B9" i="7" s="1"/>
  <c r="D10" i="7"/>
  <c r="B10" i="7" s="1" a="1"/>
  <c r="B10" i="7" s="1"/>
  <c r="D11" i="7"/>
  <c r="B11" i="7" s="1" a="1"/>
  <c r="B11" i="7" s="1"/>
  <c r="B3" i="7" a="1"/>
  <c r="B3" i="7" s="1"/>
  <c r="AK36" i="7"/>
  <c r="AJ36" i="7"/>
  <c r="W36" i="7"/>
  <c r="D36" i="7"/>
  <c r="AL36" i="7" s="1"/>
  <c r="AK35" i="7"/>
  <c r="AJ35" i="7"/>
  <c r="W35" i="7"/>
  <c r="D35" i="7"/>
  <c r="B35" i="7" s="1" a="1"/>
  <c r="B35" i="7" s="1"/>
  <c r="AK34" i="7"/>
  <c r="AJ34" i="7"/>
  <c r="W34" i="7"/>
  <c r="D34" i="7"/>
  <c r="AL34" i="7" s="1"/>
  <c r="AK33" i="7"/>
  <c r="AJ33" i="7"/>
  <c r="W33" i="7"/>
  <c r="D33" i="7"/>
  <c r="AL33" i="7" s="1"/>
  <c r="AK32" i="7"/>
  <c r="AJ32" i="7"/>
  <c r="AK31" i="7"/>
  <c r="AJ31" i="7"/>
  <c r="AK30" i="7"/>
  <c r="AJ30" i="7"/>
  <c r="AK29" i="7"/>
  <c r="AJ29" i="7"/>
  <c r="AK28" i="7"/>
  <c r="AJ28" i="7"/>
  <c r="AK27" i="7"/>
  <c r="AJ27" i="7"/>
  <c r="AK26" i="7"/>
  <c r="AJ26" i="7"/>
  <c r="AK25" i="7"/>
  <c r="AJ25" i="7"/>
  <c r="AK24" i="7"/>
  <c r="AJ24" i="7"/>
  <c r="AK23" i="7"/>
  <c r="AJ23" i="7"/>
  <c r="AK22" i="7"/>
  <c r="AJ22" i="7"/>
  <c r="AK21" i="7"/>
  <c r="AJ21" i="7"/>
  <c r="AK20" i="7"/>
  <c r="AJ20" i="7"/>
  <c r="AK19" i="7"/>
  <c r="AJ19" i="7"/>
  <c r="AK18" i="7"/>
  <c r="AJ18" i="7"/>
  <c r="AK17" i="7"/>
  <c r="AJ17" i="7"/>
  <c r="AK16" i="7"/>
  <c r="AJ16" i="7"/>
  <c r="AK15" i="7"/>
  <c r="AJ15" i="7"/>
  <c r="AK14" i="7"/>
  <c r="AJ14" i="7"/>
  <c r="AK13" i="7"/>
  <c r="AJ13" i="7"/>
  <c r="AK12" i="7"/>
  <c r="AJ12" i="7"/>
  <c r="D32" i="7"/>
  <c r="B32" i="7" s="1" a="1"/>
  <c r="B32" i="7" s="1"/>
  <c r="D31" i="7"/>
  <c r="AL31" i="7" s="1"/>
  <c r="D30" i="7"/>
  <c r="B30" i="7" s="1" a="1"/>
  <c r="B30" i="7" s="1"/>
  <c r="D29" i="7"/>
  <c r="B29" i="7" s="1" a="1"/>
  <c r="B29" i="7" s="1"/>
  <c r="D28" i="7"/>
  <c r="B28" i="7" s="1" a="1"/>
  <c r="B28" i="7" s="1"/>
  <c r="D27" i="7"/>
  <c r="B27" i="7" s="1" a="1"/>
  <c r="B27" i="7" s="1"/>
  <c r="D26" i="7"/>
  <c r="B26" i="7" s="1" a="1"/>
  <c r="B26" i="7" s="1"/>
  <c r="D25" i="7"/>
  <c r="B25" i="7" s="1" a="1"/>
  <c r="B25" i="7" s="1"/>
  <c r="D24" i="7"/>
  <c r="B24" i="7" s="1" a="1"/>
  <c r="B24" i="7" s="1"/>
  <c r="D23" i="7"/>
  <c r="B23" i="7" s="1" a="1"/>
  <c r="B23" i="7" s="1"/>
  <c r="D22" i="7"/>
  <c r="B22" i="7" s="1" a="1"/>
  <c r="B22" i="7" s="1"/>
  <c r="D21" i="7"/>
  <c r="B21" i="7" s="1" a="1"/>
  <c r="B21" i="7" s="1"/>
  <c r="D20" i="7"/>
  <c r="B20" i="7" s="1" a="1"/>
  <c r="B20" i="7" s="1"/>
  <c r="D19" i="7"/>
  <c r="AL19" i="7" s="1"/>
  <c r="D18" i="7"/>
  <c r="B18" i="7" s="1" a="1"/>
  <c r="B18" i="7" s="1"/>
  <c r="D17" i="7"/>
  <c r="B17" i="7" s="1" a="1"/>
  <c r="B17" i="7" s="1"/>
  <c r="D16" i="7"/>
  <c r="B16" i="7" s="1" a="1"/>
  <c r="B16" i="7" s="1"/>
  <c r="D15" i="7"/>
  <c r="B15" i="7" s="1" a="1"/>
  <c r="B15" i="7" s="1"/>
  <c r="D14" i="7"/>
  <c r="B14" i="7" s="1" a="1"/>
  <c r="B14" i="7" s="1"/>
  <c r="D13" i="7"/>
  <c r="B13" i="7" s="1" a="1"/>
  <c r="B13" i="7" s="1"/>
  <c r="D12" i="7"/>
  <c r="B12" i="7" s="1" a="1"/>
  <c r="B12" i="7" s="1"/>
  <c r="I11" i="10"/>
  <c r="B5" i="7" l="1" a="1"/>
  <c r="B5" i="7" s="1"/>
  <c r="AL9" i="7"/>
  <c r="AL8" i="7"/>
  <c r="AL10" i="7"/>
  <c r="AL7" i="7"/>
  <c r="AL6" i="7"/>
  <c r="AL11" i="7"/>
  <c r="AL4" i="7"/>
  <c r="B36" i="7" a="1"/>
  <c r="B36" i="7" s="1"/>
  <c r="B34" i="7" a="1"/>
  <c r="B34" i="7" s="1"/>
  <c r="B33" i="7" a="1"/>
  <c r="B33" i="7" s="1"/>
  <c r="AL35" i="7"/>
  <c r="AL17" i="7"/>
  <c r="B19" i="7" a="1"/>
  <c r="B19" i="7" s="1"/>
  <c r="B31" i="7" a="1"/>
  <c r="B31" i="7" s="1"/>
  <c r="AL18" i="7"/>
  <c r="AL23" i="7"/>
  <c r="AL29" i="7"/>
  <c r="AL30" i="7"/>
  <c r="AL21" i="7"/>
  <c r="AL22" i="7"/>
  <c r="AL14" i="7"/>
  <c r="AL26" i="7"/>
  <c r="AL13" i="7"/>
  <c r="AL25" i="7"/>
  <c r="AL15" i="7"/>
  <c r="AL27" i="7"/>
  <c r="AL12" i="7"/>
  <c r="AL16" i="7"/>
  <c r="AL20" i="7"/>
  <c r="AL24" i="7"/>
  <c r="AL28" i="7"/>
  <c r="AL32" i="7"/>
  <c r="AL165" i="1" l="1"/>
  <c r="D165" i="1" s="1"/>
  <c r="B165" i="1" s="1"/>
  <c r="AL164" i="1"/>
  <c r="D164" i="1" s="1"/>
  <c r="B164" i="1" s="1"/>
  <c r="AL163" i="1"/>
  <c r="D163" i="1" s="1"/>
  <c r="B163" i="1" s="1"/>
  <c r="AI165" i="1"/>
  <c r="AI164" i="1"/>
  <c r="AI163" i="1"/>
  <c r="W164" i="1"/>
  <c r="W163" i="1"/>
  <c r="W165" i="1"/>
  <c r="S5" i="8"/>
  <c r="U5" i="8"/>
  <c r="D100" i="7"/>
  <c r="AJ164" i="1" l="1"/>
  <c r="AJ165" i="1"/>
  <c r="AJ163" i="1"/>
  <c r="U68" i="8"/>
  <c r="S68" i="8"/>
  <c r="AJ37" i="7"/>
  <c r="AK37" i="7"/>
  <c r="W37" i="7"/>
  <c r="D37" i="7"/>
  <c r="B37" i="7" s="1" a="1"/>
  <c r="B37" i="7" s="1"/>
  <c r="AJ38" i="7"/>
  <c r="AK38" i="7"/>
  <c r="W38" i="7"/>
  <c r="D38" i="7"/>
  <c r="B38" i="7" s="1" a="1"/>
  <c r="B38" i="7" s="1"/>
  <c r="W62" i="7"/>
  <c r="W61" i="7"/>
  <c r="W60" i="7"/>
  <c r="W59" i="7"/>
  <c r="W58" i="7"/>
  <c r="W57" i="7"/>
  <c r="W56" i="7"/>
  <c r="W55" i="7"/>
  <c r="W54" i="7"/>
  <c r="W53" i="7"/>
  <c r="W52" i="7"/>
  <c r="W51" i="7"/>
  <c r="W50" i="7"/>
  <c r="W49" i="7"/>
  <c r="W48" i="7"/>
  <c r="AK51" i="7"/>
  <c r="AJ51" i="7"/>
  <c r="D51" i="7"/>
  <c r="AL51" i="7" s="1"/>
  <c r="AK50" i="7"/>
  <c r="AJ50" i="7"/>
  <c r="D50" i="7"/>
  <c r="B50" i="7" s="1" a="1"/>
  <c r="B50" i="7" s="1"/>
  <c r="AK49" i="7"/>
  <c r="AJ49" i="7"/>
  <c r="D49" i="7"/>
  <c r="B49" i="7" s="1" a="1"/>
  <c r="B49" i="7" s="1"/>
  <c r="AK48" i="7"/>
  <c r="AJ48" i="7"/>
  <c r="D48" i="7"/>
  <c r="AL48" i="7" s="1"/>
  <c r="AK52" i="7"/>
  <c r="AJ52" i="7"/>
  <c r="D52" i="7"/>
  <c r="B52" i="7" s="1" a="1"/>
  <c r="B52" i="7" s="1"/>
  <c r="AJ39" i="7"/>
  <c r="AK39" i="7"/>
  <c r="W39" i="7"/>
  <c r="D39" i="7"/>
  <c r="B39" i="7" s="1" a="1"/>
  <c r="B39" i="7" s="1"/>
  <c r="AJ40" i="7"/>
  <c r="AK40" i="7"/>
  <c r="W40" i="7"/>
  <c r="D40" i="7"/>
  <c r="AL40" i="7" s="1"/>
  <c r="AJ41" i="7"/>
  <c r="AK41" i="7"/>
  <c r="W41" i="7"/>
  <c r="D41" i="7"/>
  <c r="AL41" i="7" s="1"/>
  <c r="AJ223" i="7"/>
  <c r="AK223" i="7"/>
  <c r="W223" i="7"/>
  <c r="D223" i="7"/>
  <c r="B223" i="7" s="1" a="1"/>
  <c r="B223" i="7" s="1"/>
  <c r="AJ42" i="7"/>
  <c r="AK42" i="7"/>
  <c r="W42" i="7"/>
  <c r="D42" i="7"/>
  <c r="AL42" i="7" s="1"/>
  <c r="AJ43" i="7"/>
  <c r="AK43" i="7"/>
  <c r="W43" i="7"/>
  <c r="D43" i="7"/>
  <c r="AL43" i="7" s="1"/>
  <c r="AJ225" i="7"/>
  <c r="AK225" i="7"/>
  <c r="W225" i="7"/>
  <c r="D225" i="7"/>
  <c r="AL225" i="7" s="1"/>
  <c r="AJ44" i="7"/>
  <c r="AK44" i="7"/>
  <c r="W44" i="7"/>
  <c r="D44" i="7"/>
  <c r="AL44" i="7" s="1"/>
  <c r="AK45" i="7"/>
  <c r="AJ45" i="7"/>
  <c r="W45" i="7"/>
  <c r="D45" i="7"/>
  <c r="B45" i="7" s="1" a="1"/>
  <c r="B45" i="7" s="1"/>
  <c r="AK46" i="7"/>
  <c r="AJ46" i="7"/>
  <c r="W46" i="7"/>
  <c r="D46" i="7"/>
  <c r="AL46" i="7" s="1"/>
  <c r="W226" i="7"/>
  <c r="D47" i="7"/>
  <c r="B47" i="7" s="1" a="1"/>
  <c r="B47" i="7" s="1"/>
  <c r="D226" i="7"/>
  <c r="B226" i="7" s="1" a="1"/>
  <c r="B226" i="7" s="1"/>
  <c r="W47" i="7"/>
  <c r="AK226" i="7"/>
  <c r="AJ226" i="7"/>
  <c r="AK47" i="7"/>
  <c r="AJ47" i="7"/>
  <c r="AI39" i="1"/>
  <c r="W39" i="1"/>
  <c r="AI44" i="1"/>
  <c r="AI45" i="1"/>
  <c r="AL166" i="1"/>
  <c r="AL44" i="1"/>
  <c r="AJ44" i="1" s="1"/>
  <c r="AL45" i="1"/>
  <c r="AJ45" i="1" s="1"/>
  <c r="B51" i="7" l="1" a="1"/>
  <c r="B51" i="7" s="1"/>
  <c r="AL38" i="7"/>
  <c r="B48" i="7" a="1"/>
  <c r="B48" i="7" s="1"/>
  <c r="AL37" i="7"/>
  <c r="AL50" i="7"/>
  <c r="AL49" i="7"/>
  <c r="B43" i="7" a="1"/>
  <c r="B43" i="7" s="1"/>
  <c r="B42" i="7" a="1"/>
  <c r="B42" i="7" s="1"/>
  <c r="B41" i="7" a="1"/>
  <c r="B41" i="7" s="1"/>
  <c r="AL52" i="7"/>
  <c r="B44" i="7" a="1"/>
  <c r="B44" i="7" s="1"/>
  <c r="B40" i="7" a="1"/>
  <c r="B40" i="7" s="1"/>
  <c r="AL39" i="7"/>
  <c r="B225" i="7" a="1"/>
  <c r="B225" i="7" s="1"/>
  <c r="AL223" i="7"/>
  <c r="AL45" i="7"/>
  <c r="AL226" i="7"/>
  <c r="B46" i="7" a="1"/>
  <c r="B46" i="7" s="1"/>
  <c r="AL47" i="7"/>
  <c r="U93" i="8"/>
  <c r="S93" i="8"/>
  <c r="S5" i="6"/>
  <c r="T5" i="6"/>
  <c r="C5" i="6"/>
  <c r="B5" i="6" s="1" a="1"/>
  <c r="B5" i="6" s="1"/>
  <c r="S6" i="6"/>
  <c r="T6" i="6"/>
  <c r="C6" i="6"/>
  <c r="B6" i="6" s="1" a="1"/>
  <c r="B6" i="6" s="1"/>
  <c r="D399" i="7"/>
  <c r="T7" i="6"/>
  <c r="S7" i="6"/>
  <c r="C7" i="6"/>
  <c r="B7" i="6" s="1" a="1"/>
  <c r="B7" i="6" s="1"/>
  <c r="W70" i="7"/>
  <c r="W69" i="7"/>
  <c r="W68" i="7"/>
  <c r="W67" i="7"/>
  <c r="W66" i="7"/>
  <c r="W65" i="7"/>
  <c r="W64" i="7"/>
  <c r="W63" i="7"/>
  <c r="AK69" i="7"/>
  <c r="AJ69" i="7"/>
  <c r="D69" i="7"/>
  <c r="B69" i="7" s="1" a="1"/>
  <c r="B69" i="7" s="1"/>
  <c r="AK68" i="7"/>
  <c r="AJ68" i="7"/>
  <c r="D68" i="7"/>
  <c r="B68" i="7" s="1" a="1"/>
  <c r="B68" i="7" s="1"/>
  <c r="AK67" i="7"/>
  <c r="AJ67" i="7"/>
  <c r="D67" i="7"/>
  <c r="B67" i="7" s="1" a="1"/>
  <c r="B67" i="7" s="1"/>
  <c r="AK66" i="7"/>
  <c r="AJ66" i="7"/>
  <c r="D66" i="7"/>
  <c r="AL66" i="7" s="1"/>
  <c r="AK65" i="7"/>
  <c r="AJ65" i="7"/>
  <c r="D65" i="7"/>
  <c r="AL65" i="7" s="1"/>
  <c r="AK64" i="7"/>
  <c r="AJ64" i="7"/>
  <c r="D64" i="7"/>
  <c r="B64" i="7" s="1" a="1"/>
  <c r="B64" i="7" s="1"/>
  <c r="AK63" i="7"/>
  <c r="AJ63" i="7"/>
  <c r="D63" i="7"/>
  <c r="AL63" i="7" s="1"/>
  <c r="AK62" i="7"/>
  <c r="AJ62" i="7"/>
  <c r="D62" i="7"/>
  <c r="AL62" i="7" s="1"/>
  <c r="AK61" i="7"/>
  <c r="AJ61" i="7"/>
  <c r="D61" i="7"/>
  <c r="AL61" i="7" s="1"/>
  <c r="AK60" i="7"/>
  <c r="AJ60" i="7"/>
  <c r="D60" i="7"/>
  <c r="B60" i="7" s="1" a="1"/>
  <c r="B60" i="7" s="1"/>
  <c r="AK59" i="7"/>
  <c r="AJ59" i="7"/>
  <c r="D59" i="7"/>
  <c r="AL59" i="7" s="1"/>
  <c r="AK58" i="7"/>
  <c r="AJ58" i="7"/>
  <c r="D58" i="7"/>
  <c r="B58" i="7" s="1" a="1"/>
  <c r="B58" i="7" s="1"/>
  <c r="AK57" i="7"/>
  <c r="AJ57" i="7"/>
  <c r="D57" i="7"/>
  <c r="B57" i="7" s="1" a="1"/>
  <c r="B57" i="7" s="1"/>
  <c r="AK70" i="7"/>
  <c r="AJ70" i="7"/>
  <c r="D70" i="7"/>
  <c r="AL70" i="7" s="1"/>
  <c r="AK56" i="7"/>
  <c r="AJ56" i="7"/>
  <c r="D56" i="7"/>
  <c r="B56" i="7" s="1" a="1"/>
  <c r="B56" i="7" s="1"/>
  <c r="AK55" i="7"/>
  <c r="AJ55" i="7"/>
  <c r="D55" i="7"/>
  <c r="AL55" i="7" s="1"/>
  <c r="AK54" i="7"/>
  <c r="AJ54" i="7"/>
  <c r="D54" i="7"/>
  <c r="AL54" i="7" s="1"/>
  <c r="AK53" i="7"/>
  <c r="AJ53" i="7"/>
  <c r="D53" i="7"/>
  <c r="AK78" i="7"/>
  <c r="AJ78" i="7"/>
  <c r="W78" i="7"/>
  <c r="D78" i="7"/>
  <c r="B78" i="7" s="1" a="1"/>
  <c r="B78" i="7" s="1"/>
  <c r="AK77" i="7"/>
  <c r="AJ77" i="7"/>
  <c r="W77" i="7"/>
  <c r="D77" i="7"/>
  <c r="B77" i="7" s="1" a="1"/>
  <c r="B77" i="7" s="1"/>
  <c r="B53" i="7" l="1" a="1"/>
  <c r="B53" i="7" s="1"/>
  <c r="AL39" i="1"/>
  <c r="B66" i="7" a="1"/>
  <c r="B66" i="7" s="1"/>
  <c r="AL68" i="7"/>
  <c r="AL69" i="7"/>
  <c r="AL67" i="7"/>
  <c r="AL64" i="7"/>
  <c r="B65" i="7" a="1"/>
  <c r="B65" i="7" s="1"/>
  <c r="B59" i="7" a="1"/>
  <c r="B59" i="7" s="1"/>
  <c r="AL60" i="7"/>
  <c r="B61" i="7" a="1"/>
  <c r="B61" i="7" s="1"/>
  <c r="B55" i="7" a="1"/>
  <c r="B55" i="7" s="1"/>
  <c r="B62" i="7" a="1"/>
  <c r="B62" i="7" s="1"/>
  <c r="AL57" i="7"/>
  <c r="B63" i="7" a="1"/>
  <c r="B63" i="7" s="1"/>
  <c r="AL58" i="7"/>
  <c r="B54" i="7" a="1"/>
  <c r="B54" i="7" s="1"/>
  <c r="AL56" i="7"/>
  <c r="B70" i="7" a="1"/>
  <c r="B70" i="7" s="1"/>
  <c r="AL53" i="7"/>
  <c r="AL77" i="7"/>
  <c r="AL78" i="7"/>
  <c r="AW31" i="1"/>
  <c r="AJ39" i="1" l="1"/>
  <c r="D39" i="1"/>
  <c r="B39" i="1" s="1"/>
  <c r="U40" i="8"/>
  <c r="S40" i="8"/>
  <c r="AL37" i="1" l="1"/>
  <c r="AL38" i="1"/>
  <c r="AK83" i="7" l="1"/>
  <c r="AJ83" i="7"/>
  <c r="W83" i="7"/>
  <c r="D83" i="7"/>
  <c r="AL83" i="7" s="1"/>
  <c r="U4" i="8"/>
  <c r="S4" i="8"/>
  <c r="W72" i="7"/>
  <c r="W71" i="7"/>
  <c r="W397" i="7"/>
  <c r="D71" i="7"/>
  <c r="D72" i="7"/>
  <c r="AL72" i="7" s="1"/>
  <c r="AK72" i="7"/>
  <c r="AJ72" i="7"/>
  <c r="AK71" i="7"/>
  <c r="AJ71" i="7"/>
  <c r="AK397" i="7"/>
  <c r="AJ397" i="7"/>
  <c r="D397" i="7"/>
  <c r="U35" i="8"/>
  <c r="S35" i="8"/>
  <c r="U91" i="8"/>
  <c r="S91" i="8"/>
  <c r="AJ229" i="7"/>
  <c r="AK229" i="7"/>
  <c r="W229" i="7"/>
  <c r="D229" i="7"/>
  <c r="B229" i="7" s="1" a="1"/>
  <c r="B229" i="7" s="1"/>
  <c r="S13" i="6"/>
  <c r="T13" i="6"/>
  <c r="C13" i="6"/>
  <c r="B13" i="6" s="1" a="1"/>
  <c r="B13" i="6" s="1"/>
  <c r="C27" i="6"/>
  <c r="C40" i="6"/>
  <c r="C39" i="6"/>
  <c r="C38" i="6"/>
  <c r="C37" i="6"/>
  <c r="S112" i="8"/>
  <c r="U112" i="8"/>
  <c r="U76" i="8"/>
  <c r="S76" i="8"/>
  <c r="S17" i="6"/>
  <c r="T17" i="6"/>
  <c r="C17" i="6"/>
  <c r="B17" i="6" s="1" a="1"/>
  <c r="B17" i="6" s="1"/>
  <c r="S9" i="6"/>
  <c r="T9" i="6"/>
  <c r="C9" i="6"/>
  <c r="B9" i="6" s="1" a="1"/>
  <c r="B9" i="6" s="1"/>
  <c r="S8" i="6"/>
  <c r="T8" i="6"/>
  <c r="C8" i="6"/>
  <c r="B8" i="6" s="1" a="1"/>
  <c r="B8" i="6" s="1"/>
  <c r="AL71" i="7" l="1"/>
  <c r="B397" i="7" a="1"/>
  <c r="B397" i="7" s="1"/>
  <c r="B83" i="7" a="1"/>
  <c r="B83" i="7" s="1"/>
  <c r="B71" i="7" a="1"/>
  <c r="B71" i="7" s="1"/>
  <c r="B72" i="7" a="1"/>
  <c r="B72" i="7" s="1"/>
  <c r="AL397" i="7"/>
  <c r="AL229" i="7"/>
  <c r="AK228" i="7"/>
  <c r="AJ228" i="7"/>
  <c r="W228" i="7"/>
  <c r="D228" i="7"/>
  <c r="AL228" i="7" s="1"/>
  <c r="W44" i="1"/>
  <c r="AL167" i="1"/>
  <c r="B228" i="7" l="1" a="1"/>
  <c r="B228" i="7" s="1"/>
  <c r="D44" i="1"/>
  <c r="AI42" i="1"/>
  <c r="AI43" i="1"/>
  <c r="AI166" i="1"/>
  <c r="AI167" i="1"/>
  <c r="AI38" i="1"/>
  <c r="AL42" i="1"/>
  <c r="AJ42" i="1" s="1"/>
  <c r="AL43" i="1"/>
  <c r="AJ43" i="1" s="1"/>
  <c r="AJ166" i="1"/>
  <c r="AJ167" i="1"/>
  <c r="AJ38" i="1"/>
  <c r="S6" i="8" l="1"/>
  <c r="U6" i="8"/>
  <c r="S103" i="8"/>
  <c r="U103" i="8"/>
  <c r="S104" i="8"/>
  <c r="U104" i="8"/>
  <c r="S60" i="8"/>
  <c r="U60" i="8"/>
  <c r="U114" i="8"/>
  <c r="S113" i="8"/>
  <c r="U113" i="8"/>
  <c r="U108" i="8" l="1"/>
  <c r="S108" i="8"/>
  <c r="U71" i="8"/>
  <c r="S71" i="8"/>
  <c r="AK73" i="7" l="1"/>
  <c r="AJ73" i="7"/>
  <c r="W73" i="7"/>
  <c r="D73" i="7"/>
  <c r="T12" i="6"/>
  <c r="S12" i="6"/>
  <c r="C12" i="6"/>
  <c r="B12" i="6" s="1" a="1"/>
  <c r="B12" i="6" s="1"/>
  <c r="T11" i="6"/>
  <c r="S11" i="6"/>
  <c r="C11" i="6"/>
  <c r="B11" i="6" s="1" a="1"/>
  <c r="B11" i="6" s="1"/>
  <c r="C60" i="6"/>
  <c r="C59" i="6"/>
  <c r="AJ233" i="7"/>
  <c r="AK233" i="7"/>
  <c r="D233" i="7"/>
  <c r="B233" i="7" s="1" a="1"/>
  <c r="B233" i="7" s="1"/>
  <c r="AJ227" i="7"/>
  <c r="AK227" i="7"/>
  <c r="W227" i="7"/>
  <c r="D227" i="7"/>
  <c r="E2" i="1"/>
  <c r="D74" i="7"/>
  <c r="AJ74" i="7"/>
  <c r="AK74" i="7"/>
  <c r="W74" i="7"/>
  <c r="AK224" i="7"/>
  <c r="AJ224" i="7"/>
  <c r="W224" i="7"/>
  <c r="D224" i="7"/>
  <c r="B224" i="7" s="1" a="1"/>
  <c r="B224" i="7" s="1"/>
  <c r="AK81" i="7"/>
  <c r="AJ81" i="7"/>
  <c r="W81" i="7"/>
  <c r="D81" i="7"/>
  <c r="AL81" i="7" s="1"/>
  <c r="AK80" i="7"/>
  <c r="AJ80" i="7"/>
  <c r="W80" i="7"/>
  <c r="D80" i="7"/>
  <c r="AL80" i="7" s="1"/>
  <c r="AK79" i="7"/>
  <c r="AJ79" i="7"/>
  <c r="W79" i="7"/>
  <c r="D79" i="7"/>
  <c r="AL79" i="7" s="1"/>
  <c r="AK76" i="7"/>
  <c r="AJ76" i="7"/>
  <c r="W76" i="7"/>
  <c r="D76" i="7"/>
  <c r="B76" i="7" s="1" a="1"/>
  <c r="B76" i="7" s="1"/>
  <c r="S87" i="8"/>
  <c r="U87" i="8"/>
  <c r="D75" i="7"/>
  <c r="D400" i="7"/>
  <c r="D515" i="7"/>
  <c r="B515" i="7" s="1" a="1"/>
  <c r="B515" i="7" s="1"/>
  <c r="D516" i="7"/>
  <c r="D521" i="7"/>
  <c r="D522" i="7"/>
  <c r="D398" i="7"/>
  <c r="D82" i="7"/>
  <c r="D234" i="7"/>
  <c r="D230" i="7"/>
  <c r="S46" i="8"/>
  <c r="U46" i="8"/>
  <c r="U116" i="8"/>
  <c r="S116" i="8"/>
  <c r="W515" i="7"/>
  <c r="AJ515" i="7"/>
  <c r="AK515" i="7"/>
  <c r="B227" i="7" l="1" a="1"/>
  <c r="B227" i="7" s="1"/>
  <c r="B44" i="1"/>
  <c r="AL73" i="7"/>
  <c r="B73" i="7" a="1"/>
  <c r="B73" i="7" s="1"/>
  <c r="B74" i="7" a="1"/>
  <c r="B74" i="7" s="1"/>
  <c r="AL233" i="7"/>
  <c r="AL227" i="7"/>
  <c r="AL74" i="7"/>
  <c r="B79" i="7" a="1"/>
  <c r="B79" i="7" s="1"/>
  <c r="B80" i="7" a="1"/>
  <c r="B80" i="7" s="1"/>
  <c r="B81" i="7" a="1"/>
  <c r="B81" i="7" s="1"/>
  <c r="AL224" i="7"/>
  <c r="AL76" i="7"/>
  <c r="AL515" i="7"/>
  <c r="B75" i="7" a="1"/>
  <c r="B75" i="7" s="1"/>
  <c r="AJ75" i="7"/>
  <c r="AK75" i="7"/>
  <c r="AL75" i="7"/>
  <c r="W75" i="7"/>
  <c r="B400" i="7" a="1"/>
  <c r="B400" i="7" s="1"/>
  <c r="AJ400" i="7"/>
  <c r="AK400" i="7"/>
  <c r="AL400" i="7"/>
  <c r="W400" i="7"/>
  <c r="S16" i="6"/>
  <c r="T16" i="6"/>
  <c r="C16" i="6"/>
  <c r="B16" i="6" s="1" a="1"/>
  <c r="B16" i="6" s="1"/>
  <c r="U11" i="8"/>
  <c r="S11" i="8"/>
  <c r="B516" i="7" a="1"/>
  <c r="B516" i="7" s="1"/>
  <c r="AJ516" i="7"/>
  <c r="AK516" i="7"/>
  <c r="AL516" i="7"/>
  <c r="W516" i="7"/>
  <c r="U99" i="8"/>
  <c r="S99" i="8"/>
  <c r="W43" i="1"/>
  <c r="D43" i="1"/>
  <c r="W42" i="1"/>
  <c r="AI41" i="1"/>
  <c r="AL41" i="1"/>
  <c r="AJ41" i="1" s="1"/>
  <c r="W41" i="1"/>
  <c r="AI40" i="1"/>
  <c r="AL40" i="1"/>
  <c r="AJ40" i="1" s="1"/>
  <c r="W40" i="1"/>
  <c r="W45" i="1"/>
  <c r="C19" i="6"/>
  <c r="BT1" i="8"/>
  <c r="BS1" i="8"/>
  <c r="BR1" i="8"/>
  <c r="BQ1" i="8"/>
  <c r="BP1" i="8"/>
  <c r="BO1" i="8"/>
  <c r="BN1" i="8"/>
  <c r="AL522" i="7"/>
  <c r="AK522" i="7"/>
  <c r="AJ522" i="7"/>
  <c r="W522" i="7"/>
  <c r="B522" i="7" a="1"/>
  <c r="B522" i="7" s="1"/>
  <c r="AL521" i="7"/>
  <c r="AK521" i="7"/>
  <c r="AJ521" i="7"/>
  <c r="W521" i="7"/>
  <c r="B521" i="7" a="1"/>
  <c r="B521" i="7" s="1"/>
  <c r="W244" i="7"/>
  <c r="W243" i="7"/>
  <c r="W242" i="7"/>
  <c r="W241" i="7"/>
  <c r="W240" i="7"/>
  <c r="W239" i="7"/>
  <c r="W238" i="7"/>
  <c r="W237" i="7"/>
  <c r="W236" i="7"/>
  <c r="AK244" i="7"/>
  <c r="AJ244" i="7"/>
  <c r="AK243" i="7"/>
  <c r="AJ243" i="7"/>
  <c r="AK242" i="7"/>
  <c r="AJ242" i="7"/>
  <c r="AK241" i="7"/>
  <c r="AJ241" i="7"/>
  <c r="AK240" i="7"/>
  <c r="AJ240" i="7"/>
  <c r="AK239" i="7"/>
  <c r="AJ239" i="7"/>
  <c r="AK238" i="7"/>
  <c r="AJ238" i="7"/>
  <c r="AK237" i="7"/>
  <c r="AJ237" i="7"/>
  <c r="AK236" i="7"/>
  <c r="AJ236" i="7"/>
  <c r="D244" i="7"/>
  <c r="B244" i="7" s="1" a="1"/>
  <c r="B244" i="7" s="1"/>
  <c r="D243" i="7"/>
  <c r="AL243" i="7" s="1"/>
  <c r="D242" i="7"/>
  <c r="B242" i="7" s="1" a="1"/>
  <c r="B242" i="7" s="1"/>
  <c r="D241" i="7"/>
  <c r="AL241" i="7" s="1"/>
  <c r="D240" i="7"/>
  <c r="AL240" i="7" s="1"/>
  <c r="D239" i="7"/>
  <c r="B239" i="7" s="1" a="1"/>
  <c r="B239" i="7" s="1"/>
  <c r="D238" i="7"/>
  <c r="AL238" i="7" s="1"/>
  <c r="D237" i="7"/>
  <c r="AL237" i="7" s="1"/>
  <c r="D236" i="7"/>
  <c r="B236" i="7" s="1" a="1"/>
  <c r="B236" i="7" s="1"/>
  <c r="AK90" i="7"/>
  <c r="AJ90" i="7"/>
  <c r="W90" i="7"/>
  <c r="D90" i="7"/>
  <c r="AL90" i="7" s="1"/>
  <c r="AK89" i="7"/>
  <c r="AJ89" i="7"/>
  <c r="W89" i="7"/>
  <c r="D89" i="7"/>
  <c r="B89" i="7" s="1" a="1"/>
  <c r="B89" i="7" s="1"/>
  <c r="AK88" i="7"/>
  <c r="AJ88" i="7"/>
  <c r="W88" i="7"/>
  <c r="D88" i="7"/>
  <c r="B88" i="7" s="1" a="1"/>
  <c r="B88" i="7" s="1"/>
  <c r="AK87" i="7"/>
  <c r="AJ87" i="7"/>
  <c r="W87" i="7"/>
  <c r="D87" i="7"/>
  <c r="B87" i="7" s="1" a="1"/>
  <c r="B87" i="7" s="1"/>
  <c r="AK86" i="7"/>
  <c r="AJ86" i="7"/>
  <c r="W86" i="7"/>
  <c r="D86" i="7"/>
  <c r="AL86" i="7" s="1"/>
  <c r="AK85" i="7"/>
  <c r="AJ85" i="7"/>
  <c r="W85" i="7"/>
  <c r="D85" i="7"/>
  <c r="B85" i="7" s="1" a="1"/>
  <c r="B85" i="7" s="1"/>
  <c r="AK84" i="7"/>
  <c r="AJ84" i="7"/>
  <c r="W84" i="7"/>
  <c r="D84" i="7"/>
  <c r="B84" i="7" s="1" a="1"/>
  <c r="B84" i="7" s="1"/>
  <c r="AJ231" i="7"/>
  <c r="AK231" i="7"/>
  <c r="W231" i="7"/>
  <c r="D231" i="7"/>
  <c r="AL398" i="7"/>
  <c r="AL82" i="7"/>
  <c r="AL234" i="7"/>
  <c r="AL230" i="7"/>
  <c r="AJ398" i="7"/>
  <c r="AK398" i="7"/>
  <c r="AJ82" i="7"/>
  <c r="AK82" i="7"/>
  <c r="AJ234" i="7"/>
  <c r="AK234" i="7"/>
  <c r="AJ230" i="7"/>
  <c r="AK230" i="7"/>
  <c r="W398" i="7"/>
  <c r="W82" i="7"/>
  <c r="W234" i="7"/>
  <c r="W230" i="7"/>
  <c r="B231" i="7" l="1" a="1"/>
  <c r="B231" i="7" s="1"/>
  <c r="D41" i="1"/>
  <c r="B41" i="1" s="1"/>
  <c r="D42" i="1"/>
  <c r="D40" i="1"/>
  <c r="D45" i="1"/>
  <c r="B240" i="7" a="1"/>
  <c r="B240" i="7" s="1"/>
  <c r="B243" i="7" a="1"/>
  <c r="B243" i="7" s="1"/>
  <c r="B241" i="7" a="1"/>
  <c r="B241" i="7" s="1"/>
  <c r="AL244" i="7"/>
  <c r="B237" i="7" a="1"/>
  <c r="B237" i="7" s="1"/>
  <c r="B238" i="7" a="1"/>
  <c r="B238" i="7" s="1"/>
  <c r="AL236" i="7"/>
  <c r="AL239" i="7"/>
  <c r="AL242" i="7"/>
  <c r="AL88" i="7"/>
  <c r="B90" i="7" a="1"/>
  <c r="B90" i="7" s="1"/>
  <c r="AL84" i="7"/>
  <c r="B86" i="7" a="1"/>
  <c r="B86" i="7" s="1"/>
  <c r="AL89" i="7"/>
  <c r="AL87" i="7"/>
  <c r="AL85" i="7"/>
  <c r="AL231" i="7"/>
  <c r="B230" i="7" a="1"/>
  <c r="B230" i="7" s="1"/>
  <c r="B234" i="7" a="1"/>
  <c r="B234" i="7" s="1"/>
  <c r="B82" i="7" a="1"/>
  <c r="B82" i="7" s="1"/>
  <c r="B398" i="7" a="1"/>
  <c r="B398" i="7" s="1"/>
  <c r="B42" i="1" l="1"/>
  <c r="B43" i="1"/>
  <c r="B40" i="1"/>
  <c r="B45" i="1"/>
  <c r="AJ246" i="7" l="1"/>
  <c r="AK246" i="7"/>
  <c r="W246" i="7"/>
  <c r="D246" i="7"/>
  <c r="AL246" i="7" s="1"/>
  <c r="AJ245" i="7"/>
  <c r="AK245" i="7"/>
  <c r="W245" i="7"/>
  <c r="D245" i="7"/>
  <c r="AL245" i="7" l="1"/>
  <c r="B246" i="7" a="1"/>
  <c r="B246" i="7" s="1"/>
  <c r="B245" i="7" a="1"/>
  <c r="B245" i="7" s="1"/>
  <c r="U109" i="8" l="1"/>
  <c r="S109" i="8"/>
  <c r="S54" i="8"/>
  <c r="U54" i="8"/>
  <c r="S98" i="8"/>
  <c r="U98" i="8"/>
  <c r="S15" i="6"/>
  <c r="T15" i="6"/>
  <c r="C15" i="6"/>
  <c r="B15" i="6" s="1" a="1"/>
  <c r="B15" i="6" s="1"/>
  <c r="AK517" i="7"/>
  <c r="AJ517" i="7"/>
  <c r="W517" i="7"/>
  <c r="D517" i="7"/>
  <c r="AK518" i="7"/>
  <c r="AJ518" i="7"/>
  <c r="W518" i="7"/>
  <c r="D518" i="7"/>
  <c r="AL518" i="7" s="1"/>
  <c r="D481" i="7"/>
  <c r="AJ94" i="7"/>
  <c r="AK94" i="7"/>
  <c r="AJ95" i="7"/>
  <c r="AK95" i="7"/>
  <c r="AJ96" i="7"/>
  <c r="AK96" i="7"/>
  <c r="AJ97" i="7"/>
  <c r="AK97" i="7"/>
  <c r="AJ98" i="7"/>
  <c r="AK98" i="7"/>
  <c r="AJ99" i="7"/>
  <c r="AK99" i="7"/>
  <c r="AJ100" i="7"/>
  <c r="AK100" i="7"/>
  <c r="AJ101" i="7"/>
  <c r="AK101" i="7"/>
  <c r="AJ102" i="7"/>
  <c r="AK102" i="7"/>
  <c r="AJ103" i="7"/>
  <c r="AK103" i="7"/>
  <c r="AJ104" i="7"/>
  <c r="AK104" i="7"/>
  <c r="AJ105" i="7"/>
  <c r="AK105" i="7"/>
  <c r="AJ106" i="7"/>
  <c r="AK106" i="7"/>
  <c r="AJ93" i="7"/>
  <c r="AK93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B517" i="7" l="1" a="1"/>
  <c r="B517" i="7" s="1"/>
  <c r="AL517" i="7"/>
  <c r="B518" i="7" a="1"/>
  <c r="B518" i="7" s="1"/>
  <c r="D93" i="7"/>
  <c r="AL93" i="7" s="1"/>
  <c r="D94" i="7"/>
  <c r="AL94" i="7" s="1"/>
  <c r="D95" i="7"/>
  <c r="AL95" i="7" s="1"/>
  <c r="D96" i="7"/>
  <c r="AL96" i="7" s="1"/>
  <c r="D97" i="7"/>
  <c r="AL97" i="7" s="1"/>
  <c r="D98" i="7"/>
  <c r="AL98" i="7" s="1"/>
  <c r="D99" i="7"/>
  <c r="AL99" i="7" s="1"/>
  <c r="AL100" i="7"/>
  <c r="D101" i="7"/>
  <c r="AL101" i="7" s="1"/>
  <c r="D102" i="7"/>
  <c r="AL102" i="7" s="1"/>
  <c r="D103" i="7"/>
  <c r="AL103" i="7" s="1"/>
  <c r="D104" i="7"/>
  <c r="AL104" i="7" s="1"/>
  <c r="D105" i="7"/>
  <c r="AL105" i="7" s="1"/>
  <c r="D106" i="7"/>
  <c r="AL106" i="7" s="1"/>
  <c r="BM1" i="8" l="1"/>
  <c r="AL172" i="1" l="1"/>
  <c r="AL171" i="1"/>
  <c r="U79" i="8"/>
  <c r="U81" i="8"/>
  <c r="S79" i="8"/>
  <c r="S75" i="8" l="1"/>
  <c r="U75" i="8"/>
  <c r="U33" i="8"/>
  <c r="S33" i="8"/>
  <c r="U73" i="8"/>
  <c r="S73" i="8"/>
  <c r="AK404" i="7"/>
  <c r="AJ404" i="7"/>
  <c r="W404" i="7"/>
  <c r="AL404" i="7"/>
  <c r="AK248" i="7"/>
  <c r="AJ248" i="7"/>
  <c r="W248" i="7"/>
  <c r="D248" i="7"/>
  <c r="AL248" i="7" s="1"/>
  <c r="AK232" i="7"/>
  <c r="AJ232" i="7"/>
  <c r="W232" i="7"/>
  <c r="D232" i="7"/>
  <c r="B232" i="7" s="1" a="1"/>
  <c r="B232" i="7" s="1"/>
  <c r="AK247" i="7"/>
  <c r="AJ247" i="7"/>
  <c r="W247" i="7"/>
  <c r="D247" i="7"/>
  <c r="AL247" i="7" s="1"/>
  <c r="AK524" i="7"/>
  <c r="AJ524" i="7"/>
  <c r="W524" i="7"/>
  <c r="D524" i="7"/>
  <c r="B524" i="7" s="1" a="1"/>
  <c r="B524" i="7" s="1"/>
  <c r="AK91" i="7"/>
  <c r="AJ91" i="7"/>
  <c r="W91" i="7"/>
  <c r="D91" i="7"/>
  <c r="AL91" i="7" s="1"/>
  <c r="AK235" i="7"/>
  <c r="AJ235" i="7"/>
  <c r="W235" i="7"/>
  <c r="D235" i="7"/>
  <c r="AL235" i="7" s="1"/>
  <c r="AK403" i="7"/>
  <c r="AJ403" i="7"/>
  <c r="W403" i="7"/>
  <c r="D403" i="7"/>
  <c r="AL403" i="7" s="1"/>
  <c r="AK401" i="7"/>
  <c r="AJ401" i="7"/>
  <c r="W401" i="7"/>
  <c r="D401" i="7"/>
  <c r="AL401" i="7" s="1"/>
  <c r="AK520" i="7"/>
  <c r="AJ520" i="7"/>
  <c r="W520" i="7"/>
  <c r="D520" i="7"/>
  <c r="B520" i="7" s="1" a="1"/>
  <c r="B520" i="7" s="1"/>
  <c r="AK519" i="7"/>
  <c r="AJ519" i="7"/>
  <c r="W519" i="7"/>
  <c r="D519" i="7"/>
  <c r="AK523" i="7"/>
  <c r="AJ523" i="7"/>
  <c r="W523" i="7"/>
  <c r="D523" i="7"/>
  <c r="AL519" i="7" l="1"/>
  <c r="B248" i="7" a="1"/>
  <c r="B248" i="7" s="1"/>
  <c r="AL523" i="7"/>
  <c r="B401" i="7" a="1"/>
  <c r="B401" i="7" s="1"/>
  <c r="B519" i="7" a="1"/>
  <c r="B519" i="7" s="1"/>
  <c r="B404" i="7" a="1"/>
  <c r="B404" i="7" s="1"/>
  <c r="B403" i="7" a="1"/>
  <c r="B403" i="7" s="1"/>
  <c r="B523" i="7" a="1"/>
  <c r="B523" i="7" s="1"/>
  <c r="B235" i="7" a="1"/>
  <c r="B235" i="7" s="1"/>
  <c r="AL524" i="7"/>
  <c r="B247" i="7" a="1"/>
  <c r="B247" i="7" s="1"/>
  <c r="B91" i="7" a="1"/>
  <c r="B91" i="7" s="1"/>
  <c r="AL520" i="7"/>
  <c r="AL232" i="7"/>
  <c r="AK128" i="7" l="1"/>
  <c r="AJ128" i="7"/>
  <c r="D128" i="7"/>
  <c r="AL128" i="7" s="1"/>
  <c r="AK132" i="7"/>
  <c r="AJ132" i="7"/>
  <c r="AK131" i="7"/>
  <c r="AJ131" i="7"/>
  <c r="AK130" i="7"/>
  <c r="AJ130" i="7"/>
  <c r="AK129" i="7"/>
  <c r="AJ129" i="7"/>
  <c r="AK127" i="7"/>
  <c r="AJ127" i="7"/>
  <c r="AK126" i="7"/>
  <c r="AJ126" i="7"/>
  <c r="AK125" i="7"/>
  <c r="AJ125" i="7"/>
  <c r="AK124" i="7"/>
  <c r="AJ124" i="7"/>
  <c r="AK123" i="7"/>
  <c r="AJ123" i="7"/>
  <c r="AK122" i="7"/>
  <c r="AJ122" i="7"/>
  <c r="AK121" i="7"/>
  <c r="AJ121" i="7"/>
  <c r="AK120" i="7"/>
  <c r="AJ120" i="7"/>
  <c r="AK119" i="7"/>
  <c r="AJ119" i="7"/>
  <c r="AK118" i="7"/>
  <c r="AJ118" i="7"/>
  <c r="AK117" i="7"/>
  <c r="AJ117" i="7"/>
  <c r="D117" i="7"/>
  <c r="AL117" i="7" s="1"/>
  <c r="D118" i="7"/>
  <c r="AL118" i="7" s="1"/>
  <c r="D119" i="7"/>
  <c r="AL119" i="7" s="1"/>
  <c r="D120" i="7"/>
  <c r="AL120" i="7" s="1"/>
  <c r="D121" i="7"/>
  <c r="AL121" i="7" s="1"/>
  <c r="D122" i="7"/>
  <c r="AL122" i="7" s="1"/>
  <c r="D123" i="7"/>
  <c r="AL123" i="7" s="1"/>
  <c r="D124" i="7"/>
  <c r="AL124" i="7" s="1"/>
  <c r="D125" i="7"/>
  <c r="AL125" i="7" s="1"/>
  <c r="D126" i="7"/>
  <c r="AL126" i="7" s="1"/>
  <c r="D127" i="7"/>
  <c r="AL127" i="7" s="1"/>
  <c r="D129" i="7"/>
  <c r="AL129" i="7" s="1"/>
  <c r="D130" i="7"/>
  <c r="AL130" i="7" s="1"/>
  <c r="D131" i="7"/>
  <c r="AL131" i="7" s="1"/>
  <c r="D132" i="7"/>
  <c r="AL132" i="7" s="1"/>
  <c r="U119" i="8" l="1"/>
  <c r="U118" i="8"/>
  <c r="U117" i="8"/>
  <c r="U115" i="8"/>
  <c r="U111" i="8"/>
  <c r="U110" i="8"/>
  <c r="U107" i="8"/>
  <c r="U106" i="8"/>
  <c r="U105" i="8"/>
  <c r="U102" i="8"/>
  <c r="U101" i="8"/>
  <c r="U100" i="8"/>
  <c r="U97" i="8"/>
  <c r="U96" i="8"/>
  <c r="U95" i="8"/>
  <c r="U94" i="8"/>
  <c r="U92" i="8"/>
  <c r="U90" i="8"/>
  <c r="U89" i="8"/>
  <c r="U88" i="8"/>
  <c r="U86" i="8"/>
  <c r="U85" i="8"/>
  <c r="U84" i="8"/>
  <c r="U83" i="8"/>
  <c r="U82" i="8"/>
  <c r="U80" i="8"/>
  <c r="U78" i="8"/>
  <c r="U77" i="8"/>
  <c r="U74" i="8"/>
  <c r="U72" i="8"/>
  <c r="U70" i="8"/>
  <c r="U69" i="8"/>
  <c r="U67" i="8"/>
  <c r="U66" i="8"/>
  <c r="U65" i="8"/>
  <c r="U64" i="8"/>
  <c r="U62" i="8"/>
  <c r="U63" i="8"/>
  <c r="U61" i="8"/>
  <c r="U59" i="8"/>
  <c r="U58" i="8"/>
  <c r="U57" i="8"/>
  <c r="U56" i="8"/>
  <c r="U55" i="8"/>
  <c r="U53" i="8"/>
  <c r="U52" i="8"/>
  <c r="U51" i="8"/>
  <c r="U50" i="8"/>
  <c r="U49" i="8"/>
  <c r="U48" i="8"/>
  <c r="U47" i="8"/>
  <c r="U45" i="8"/>
  <c r="U44" i="8"/>
  <c r="U43" i="8"/>
  <c r="U42" i="8"/>
  <c r="U41" i="8"/>
  <c r="U39" i="8"/>
  <c r="U38" i="8"/>
  <c r="U37" i="8"/>
  <c r="U36" i="8"/>
  <c r="U34" i="8"/>
  <c r="U32" i="8"/>
  <c r="U31" i="8"/>
  <c r="U30" i="8"/>
  <c r="U2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0" i="8"/>
  <c r="U9" i="8"/>
  <c r="U8" i="8"/>
  <c r="U7" i="8"/>
  <c r="U3" i="8"/>
  <c r="S10" i="6" l="1"/>
  <c r="T10" i="6"/>
  <c r="C10" i="6"/>
  <c r="B10" i="6" s="1" a="1"/>
  <c r="B10" i="6" s="1"/>
  <c r="W166" i="1"/>
  <c r="D889" i="7"/>
  <c r="AL889" i="7" s="1"/>
  <c r="W889" i="7"/>
  <c r="AJ889" i="7"/>
  <c r="AK889" i="7"/>
  <c r="D890" i="7"/>
  <c r="AL890" i="7" s="1"/>
  <c r="W890" i="7"/>
  <c r="AJ890" i="7"/>
  <c r="AK890" i="7"/>
  <c r="D891" i="7"/>
  <c r="AL891" i="7" s="1"/>
  <c r="W891" i="7"/>
  <c r="AJ891" i="7"/>
  <c r="AK891" i="7"/>
  <c r="D892" i="7"/>
  <c r="W892" i="7"/>
  <c r="AJ892" i="7"/>
  <c r="AK892" i="7"/>
  <c r="D525" i="7"/>
  <c r="B525" i="7" s="1" a="1"/>
  <c r="B525" i="7" s="1"/>
  <c r="W525" i="7"/>
  <c r="AJ525" i="7"/>
  <c r="AK525" i="7"/>
  <c r="D527" i="7"/>
  <c r="B527" i="7" s="1" a="1"/>
  <c r="B527" i="7" s="1"/>
  <c r="W527" i="7"/>
  <c r="AJ527" i="7"/>
  <c r="AK527" i="7"/>
  <c r="D526" i="7"/>
  <c r="AL526" i="7" s="1"/>
  <c r="W526" i="7"/>
  <c r="AJ526" i="7"/>
  <c r="AK526" i="7"/>
  <c r="S16" i="8"/>
  <c r="AI168" i="1"/>
  <c r="AL168" i="1"/>
  <c r="D168" i="1" s="1"/>
  <c r="AW168" i="1"/>
  <c r="W168" i="1"/>
  <c r="S69" i="8"/>
  <c r="S58" i="8"/>
  <c r="S110" i="8"/>
  <c r="S62" i="8"/>
  <c r="AN5" i="1"/>
  <c r="AQ5" i="1" s="1"/>
  <c r="AR5" i="1" s="1"/>
  <c r="AL5" i="1"/>
  <c r="D5" i="1" s="1"/>
  <c r="AI5" i="1"/>
  <c r="AL892" i="7" l="1"/>
  <c r="B5" i="1"/>
  <c r="D166" i="1"/>
  <c r="B166" i="1" s="1"/>
  <c r="AL525" i="7"/>
  <c r="AJ168" i="1"/>
  <c r="B526" i="7" a="1"/>
  <c r="B526" i="7" s="1"/>
  <c r="AL527" i="7"/>
  <c r="AJ5" i="1"/>
  <c r="S77" i="8" l="1"/>
  <c r="S50" i="8"/>
  <c r="K107" i="7"/>
  <c r="AK116" i="7"/>
  <c r="AJ116" i="7"/>
  <c r="D116" i="7"/>
  <c r="AL116" i="7" s="1"/>
  <c r="AK115" i="7"/>
  <c r="AJ115" i="7"/>
  <c r="D115" i="7"/>
  <c r="AL115" i="7" s="1"/>
  <c r="AK114" i="7"/>
  <c r="AJ114" i="7"/>
  <c r="D114" i="7"/>
  <c r="AL114" i="7" s="1"/>
  <c r="AK113" i="7"/>
  <c r="AJ113" i="7"/>
  <c r="D113" i="7"/>
  <c r="AL113" i="7" s="1"/>
  <c r="AK112" i="7"/>
  <c r="AJ112" i="7"/>
  <c r="D112" i="7"/>
  <c r="AL112" i="7" s="1"/>
  <c r="AK111" i="7"/>
  <c r="AJ111" i="7"/>
  <c r="D111" i="7"/>
  <c r="AL111" i="7" s="1"/>
  <c r="AK110" i="7"/>
  <c r="AJ110" i="7"/>
  <c r="D110" i="7"/>
  <c r="AL110" i="7" s="1"/>
  <c r="AK109" i="7"/>
  <c r="AJ109" i="7"/>
  <c r="D109" i="7"/>
  <c r="AL109" i="7" s="1"/>
  <c r="AK108" i="7"/>
  <c r="AJ108" i="7"/>
  <c r="D108" i="7"/>
  <c r="AL108" i="7" s="1"/>
  <c r="AK107" i="7"/>
  <c r="AJ107" i="7"/>
  <c r="W107" i="7"/>
  <c r="D107" i="7"/>
  <c r="AL107" i="7" s="1"/>
  <c r="AJ133" i="7"/>
  <c r="AK133" i="7"/>
  <c r="W133" i="7"/>
  <c r="D133" i="7"/>
  <c r="AL133" i="7" s="1"/>
  <c r="AJ134" i="7"/>
  <c r="AK134" i="7"/>
  <c r="W134" i="7"/>
  <c r="D134" i="7"/>
  <c r="AL134" i="7" s="1"/>
  <c r="AJ135" i="7"/>
  <c r="AK135" i="7"/>
  <c r="W135" i="7"/>
  <c r="D135" i="7"/>
  <c r="AL135" i="7" s="1"/>
  <c r="AJ136" i="7"/>
  <c r="AK136" i="7"/>
  <c r="W136" i="7"/>
  <c r="D136" i="7"/>
  <c r="AL136" i="7" s="1"/>
  <c r="AJ137" i="7"/>
  <c r="AK137" i="7"/>
  <c r="W137" i="7"/>
  <c r="D137" i="7"/>
  <c r="AL137" i="7" s="1"/>
  <c r="AJ138" i="7"/>
  <c r="AK138" i="7"/>
  <c r="W138" i="7"/>
  <c r="D138" i="7"/>
  <c r="AL138" i="7" s="1"/>
  <c r="AJ139" i="7"/>
  <c r="AK139" i="7"/>
  <c r="W139" i="7"/>
  <c r="D139" i="7"/>
  <c r="AL139" i="7" s="1"/>
  <c r="AJ140" i="7"/>
  <c r="AK140" i="7"/>
  <c r="W140" i="7"/>
  <c r="D140" i="7"/>
  <c r="AL140" i="7" s="1"/>
  <c r="AJ141" i="7"/>
  <c r="AK141" i="7"/>
  <c r="W141" i="7"/>
  <c r="D141" i="7"/>
  <c r="AL141" i="7" s="1"/>
  <c r="AJ142" i="7"/>
  <c r="AK142" i="7"/>
  <c r="W142" i="7"/>
  <c r="AL142" i="7"/>
  <c r="AJ143" i="7"/>
  <c r="AK143" i="7"/>
  <c r="W143" i="7"/>
  <c r="D143" i="7"/>
  <c r="AL143" i="7" s="1"/>
  <c r="AJ144" i="7"/>
  <c r="AK144" i="7"/>
  <c r="W144" i="7"/>
  <c r="D144" i="7"/>
  <c r="AL144" i="7" s="1"/>
  <c r="AJ145" i="7"/>
  <c r="AK145" i="7"/>
  <c r="W145" i="7"/>
  <c r="AL145" i="7"/>
  <c r="AJ146" i="7"/>
  <c r="AK146" i="7"/>
  <c r="W146" i="7"/>
  <c r="D146" i="7"/>
  <c r="AL146" i="7" s="1"/>
  <c r="AJ147" i="7"/>
  <c r="AK147" i="7"/>
  <c r="W147" i="7"/>
  <c r="AL147" i="7"/>
  <c r="AJ148" i="7"/>
  <c r="AK148" i="7"/>
  <c r="W148" i="7"/>
  <c r="AL148" i="7"/>
  <c r="AJ149" i="7"/>
  <c r="AK149" i="7"/>
  <c r="W149" i="7"/>
  <c r="D149" i="7"/>
  <c r="AL149" i="7" s="1"/>
  <c r="AJ150" i="7"/>
  <c r="AK150" i="7"/>
  <c r="W150" i="7"/>
  <c r="D150" i="7"/>
  <c r="AL150" i="7" s="1"/>
  <c r="AJ151" i="7"/>
  <c r="AK151" i="7"/>
  <c r="W151" i="7"/>
  <c r="AL151" i="7"/>
  <c r="AJ152" i="7"/>
  <c r="AK152" i="7"/>
  <c r="W152" i="7"/>
  <c r="D152" i="7"/>
  <c r="AL152" i="7" s="1"/>
  <c r="AJ153" i="7"/>
  <c r="AK153" i="7"/>
  <c r="W153" i="7"/>
  <c r="AL153" i="7"/>
  <c r="AJ154" i="7"/>
  <c r="AK154" i="7"/>
  <c r="W154" i="7"/>
  <c r="AL154" i="7"/>
  <c r="AJ155" i="7"/>
  <c r="AK155" i="7"/>
  <c r="W155" i="7"/>
  <c r="AL155" i="7"/>
  <c r="AJ156" i="7"/>
  <c r="AK156" i="7"/>
  <c r="W156" i="7"/>
  <c r="D156" i="7"/>
  <c r="AL156" i="7" s="1"/>
  <c r="AJ157" i="7"/>
  <c r="AK157" i="7"/>
  <c r="W157" i="7"/>
  <c r="D157" i="7"/>
  <c r="AL157" i="7" s="1"/>
  <c r="AJ158" i="7"/>
  <c r="AK158" i="7"/>
  <c r="W158" i="7"/>
  <c r="D158" i="7"/>
  <c r="AL158" i="7" s="1"/>
  <c r="AJ159" i="7"/>
  <c r="AK159" i="7"/>
  <c r="W159" i="7"/>
  <c r="D159" i="7"/>
  <c r="AL159" i="7" s="1"/>
  <c r="AJ160" i="7"/>
  <c r="AK160" i="7"/>
  <c r="W160" i="7"/>
  <c r="D160" i="7"/>
  <c r="AL160" i="7" s="1"/>
  <c r="AJ161" i="7"/>
  <c r="AK161" i="7"/>
  <c r="W161" i="7"/>
  <c r="D161" i="7"/>
  <c r="AL161" i="7" s="1"/>
  <c r="AJ162" i="7"/>
  <c r="AK162" i="7"/>
  <c r="W162" i="7"/>
  <c r="D162" i="7"/>
  <c r="AL162" i="7" s="1"/>
  <c r="AJ163" i="7"/>
  <c r="AK163" i="7"/>
  <c r="W163" i="7"/>
  <c r="D163" i="7"/>
  <c r="AL163" i="7" s="1"/>
  <c r="AJ164" i="7"/>
  <c r="AK164" i="7"/>
  <c r="W164" i="7"/>
  <c r="D164" i="7"/>
  <c r="AL164" i="7" s="1"/>
  <c r="AJ165" i="7"/>
  <c r="AK165" i="7"/>
  <c r="W165" i="7"/>
  <c r="AL165" i="7"/>
  <c r="AJ166" i="7"/>
  <c r="AK166" i="7"/>
  <c r="W166" i="7"/>
  <c r="D166" i="7"/>
  <c r="AL166" i="7" s="1"/>
  <c r="AJ167" i="7"/>
  <c r="AK167" i="7"/>
  <c r="W167" i="7"/>
  <c r="D167" i="7"/>
  <c r="AL167" i="7" s="1"/>
  <c r="AJ168" i="7"/>
  <c r="AK168" i="7"/>
  <c r="W168" i="7"/>
  <c r="D168" i="7"/>
  <c r="AL168" i="7" s="1"/>
  <c r="AJ169" i="7"/>
  <c r="AK169" i="7"/>
  <c r="W169" i="7"/>
  <c r="D169" i="7"/>
  <c r="AL169" i="7" s="1"/>
  <c r="AJ170" i="7"/>
  <c r="AK170" i="7"/>
  <c r="W170" i="7"/>
  <c r="D170" i="7"/>
  <c r="AL170" i="7" s="1"/>
  <c r="AJ171" i="7"/>
  <c r="AK171" i="7"/>
  <c r="W171" i="7"/>
  <c r="AL171" i="7"/>
  <c r="AJ172" i="7"/>
  <c r="AK172" i="7"/>
  <c r="W172" i="7"/>
  <c r="D172" i="7"/>
  <c r="AL172" i="7" s="1"/>
  <c r="AJ173" i="7"/>
  <c r="AK173" i="7"/>
  <c r="W173" i="7"/>
  <c r="D173" i="7"/>
  <c r="AL173" i="7" s="1"/>
  <c r="AJ174" i="7"/>
  <c r="AK174" i="7"/>
  <c r="W174" i="7"/>
  <c r="D174" i="7"/>
  <c r="AL174" i="7" s="1"/>
  <c r="AJ175" i="7"/>
  <c r="AK175" i="7"/>
  <c r="W175" i="7"/>
  <c r="D175" i="7"/>
  <c r="AL175" i="7" s="1"/>
  <c r="AJ176" i="7"/>
  <c r="AK176" i="7"/>
  <c r="W176" i="7"/>
  <c r="D176" i="7"/>
  <c r="AL176" i="7" s="1"/>
  <c r="AJ177" i="7"/>
  <c r="AK177" i="7"/>
  <c r="W177" i="7"/>
  <c r="D177" i="7"/>
  <c r="AL177" i="7" s="1"/>
  <c r="AJ178" i="7"/>
  <c r="AK178" i="7"/>
  <c r="W178" i="7"/>
  <c r="D178" i="7"/>
  <c r="AL178" i="7" s="1"/>
  <c r="AJ179" i="7"/>
  <c r="AK179" i="7"/>
  <c r="W179" i="7"/>
  <c r="D179" i="7"/>
  <c r="AL179" i="7" s="1"/>
  <c r="AJ180" i="7"/>
  <c r="AK180" i="7"/>
  <c r="W180" i="7"/>
  <c r="AL180" i="7"/>
  <c r="AJ181" i="7"/>
  <c r="AK181" i="7"/>
  <c r="W181" i="7"/>
  <c r="D181" i="7"/>
  <c r="AL181" i="7" s="1"/>
  <c r="AK182" i="7"/>
  <c r="AJ182" i="7"/>
  <c r="W182" i="7"/>
  <c r="D182" i="7"/>
  <c r="AL182" i="7" s="1"/>
  <c r="AK183" i="7"/>
  <c r="AJ183" i="7"/>
  <c r="W183" i="7"/>
  <c r="D183" i="7"/>
  <c r="AL183" i="7" s="1"/>
  <c r="AK184" i="7"/>
  <c r="AJ184" i="7"/>
  <c r="W184" i="7"/>
  <c r="D184" i="7"/>
  <c r="AL184" i="7" s="1"/>
  <c r="AK185" i="7"/>
  <c r="AJ185" i="7"/>
  <c r="W185" i="7"/>
  <c r="D185" i="7"/>
  <c r="AL185" i="7" s="1"/>
  <c r="AK186" i="7"/>
  <c r="AJ186" i="7"/>
  <c r="W186" i="7"/>
  <c r="D186" i="7"/>
  <c r="AL186" i="7" s="1"/>
  <c r="AK187" i="7"/>
  <c r="AJ187" i="7"/>
  <c r="W187" i="7"/>
  <c r="D187" i="7"/>
  <c r="AL187" i="7" s="1"/>
  <c r="AL174" i="1" l="1"/>
  <c r="AJ174" i="1" s="1"/>
  <c r="AI174" i="1"/>
  <c r="W174" i="1"/>
  <c r="AJ188" i="7"/>
  <c r="AK188" i="7"/>
  <c r="W188" i="7"/>
  <c r="D188" i="7"/>
  <c r="AL188" i="7" s="1"/>
  <c r="AJ189" i="7"/>
  <c r="AK189" i="7"/>
  <c r="W189" i="7"/>
  <c r="D189" i="7"/>
  <c r="AL189" i="7" s="1"/>
  <c r="AJ190" i="7"/>
  <c r="AK190" i="7"/>
  <c r="W190" i="7"/>
  <c r="D190" i="7"/>
  <c r="AL190" i="7" s="1"/>
  <c r="W191" i="7"/>
  <c r="W192" i="7"/>
  <c r="W193" i="7"/>
  <c r="AJ191" i="7"/>
  <c r="AK191" i="7"/>
  <c r="D191" i="7"/>
  <c r="AL191" i="7" s="1"/>
  <c r="AJ192" i="7"/>
  <c r="AK192" i="7"/>
  <c r="D192" i="7"/>
  <c r="AL192" i="7" s="1"/>
  <c r="AJ193" i="7"/>
  <c r="AK193" i="7"/>
  <c r="D193" i="7"/>
  <c r="AL193" i="7" s="1"/>
  <c r="S78" i="6"/>
  <c r="T78" i="6"/>
  <c r="C78" i="6"/>
  <c r="B78" i="6" s="1" a="1"/>
  <c r="B78" i="6" s="1"/>
  <c r="D250" i="7"/>
  <c r="B250" i="7" s="1" a="1"/>
  <c r="B250" i="7" s="1"/>
  <c r="W250" i="7"/>
  <c r="AJ250" i="7"/>
  <c r="AK250" i="7"/>
  <c r="D528" i="7"/>
  <c r="B528" i="7" s="1" a="1"/>
  <c r="B528" i="7" s="1"/>
  <c r="W528" i="7"/>
  <c r="AJ528" i="7"/>
  <c r="AK528" i="7"/>
  <c r="D251" i="7"/>
  <c r="B251" i="7" s="1" a="1"/>
  <c r="B251" i="7" s="1"/>
  <c r="W251" i="7"/>
  <c r="AJ251" i="7"/>
  <c r="AK251" i="7"/>
  <c r="AI184" i="1"/>
  <c r="AI185" i="1"/>
  <c r="B168" i="1" l="1"/>
  <c r="D174" i="1"/>
  <c r="B174" i="1" s="1"/>
  <c r="AL250" i="7"/>
  <c r="AL251" i="7"/>
  <c r="AL528" i="7"/>
  <c r="W11" i="10"/>
  <c r="P11" i="10"/>
  <c r="W102" i="10"/>
  <c r="P102" i="10"/>
  <c r="I102" i="10"/>
  <c r="W10" i="10"/>
  <c r="AA10" i="10" s="1"/>
  <c r="P10" i="10"/>
  <c r="T10" i="10" s="1"/>
  <c r="I10" i="10"/>
  <c r="M10" i="10" s="1"/>
  <c r="W9" i="10"/>
  <c r="Y9" i="10" s="1"/>
  <c r="P9" i="10"/>
  <c r="R9" i="10" s="1"/>
  <c r="I9" i="10"/>
  <c r="K9" i="10" s="1"/>
  <c r="W8" i="10"/>
  <c r="P8" i="10"/>
  <c r="I8" i="10"/>
  <c r="W7" i="10"/>
  <c r="P7" i="10"/>
  <c r="I7" i="10"/>
  <c r="W101" i="10"/>
  <c r="P101" i="10"/>
  <c r="I101" i="10"/>
  <c r="W6" i="10"/>
  <c r="P6" i="10"/>
  <c r="I6" i="10"/>
  <c r="W5" i="10"/>
  <c r="P5" i="10"/>
  <c r="I5" i="10"/>
  <c r="W4" i="10"/>
  <c r="Y4" i="10" s="1"/>
  <c r="W100" i="10"/>
  <c r="W3" i="10"/>
  <c r="Y3" i="10" s="1"/>
  <c r="W99" i="10"/>
  <c r="P4" i="10"/>
  <c r="R4" i="10" s="1"/>
  <c r="P100" i="10"/>
  <c r="P3" i="10"/>
  <c r="R3" i="10" s="1"/>
  <c r="P99" i="10"/>
  <c r="I4" i="10"/>
  <c r="K4" i="10" s="1"/>
  <c r="I100" i="10"/>
  <c r="I3" i="10"/>
  <c r="K3" i="10" s="1"/>
  <c r="I99" i="10"/>
  <c r="K6" i="10" l="1"/>
  <c r="J6" i="10"/>
  <c r="T99" i="10"/>
  <c r="S99" i="10"/>
  <c r="Q6" i="10"/>
  <c r="R6" i="10"/>
  <c r="L102" i="10"/>
  <c r="M102" i="10"/>
  <c r="Y6" i="10"/>
  <c r="X6" i="10"/>
  <c r="T100" i="10"/>
  <c r="S100" i="10"/>
  <c r="M101" i="10"/>
  <c r="L101" i="10"/>
  <c r="T101" i="10"/>
  <c r="S101" i="10"/>
  <c r="Z99" i="10"/>
  <c r="AA99" i="10"/>
  <c r="AA101" i="10"/>
  <c r="Z101" i="10"/>
  <c r="AA100" i="10"/>
  <c r="Z100" i="10"/>
  <c r="T102" i="10"/>
  <c r="S102" i="10"/>
  <c r="AA102" i="10"/>
  <c r="Z102" i="10"/>
  <c r="M99" i="10"/>
  <c r="L99" i="10"/>
  <c r="K5" i="10"/>
  <c r="J5" i="10"/>
  <c r="K11" i="10"/>
  <c r="J11" i="10"/>
  <c r="L11" i="10"/>
  <c r="R5" i="10"/>
  <c r="Q5" i="10"/>
  <c r="R11" i="10"/>
  <c r="Q11" i="10"/>
  <c r="S11" i="10"/>
  <c r="M100" i="10"/>
  <c r="L100" i="10"/>
  <c r="Y5" i="10"/>
  <c r="X5" i="10"/>
  <c r="Y11" i="10"/>
  <c r="X11" i="10"/>
  <c r="Z11" i="10"/>
  <c r="D9" i="10"/>
  <c r="F10" i="10"/>
  <c r="AI182" i="1"/>
  <c r="AL175" i="1"/>
  <c r="AL182" i="1"/>
  <c r="AJ182" i="1" s="1"/>
  <c r="E11" i="10" l="1"/>
  <c r="D5" i="10"/>
  <c r="F102" i="10"/>
  <c r="F100" i="10"/>
  <c r="F101" i="10"/>
  <c r="D6" i="10"/>
  <c r="D11" i="10"/>
  <c r="F99" i="10"/>
  <c r="E102" i="10"/>
  <c r="D3" i="10"/>
  <c r="C6" i="10"/>
  <c r="E101" i="10"/>
  <c r="C11" i="10"/>
  <c r="C5" i="10"/>
  <c r="D4" i="10"/>
  <c r="S15" i="8" l="1"/>
  <c r="D92" i="7" l="1"/>
  <c r="D194" i="7"/>
  <c r="D195" i="7"/>
  <c r="D196" i="7"/>
  <c r="D197" i="7"/>
  <c r="D198" i="7"/>
  <c r="D199" i="7"/>
  <c r="D200" i="7"/>
  <c r="S59" i="8" l="1"/>
  <c r="S81" i="6"/>
  <c r="T81" i="6"/>
  <c r="C81" i="6"/>
  <c r="B81" i="6" s="1" a="1"/>
  <c r="B81" i="6" s="1"/>
  <c r="S79" i="6"/>
  <c r="T79" i="6"/>
  <c r="C79" i="6"/>
  <c r="B79" i="6" s="1" a="1"/>
  <c r="B79" i="6" s="1"/>
  <c r="S22" i="8" l="1"/>
  <c r="S23" i="8"/>
  <c r="AK534" i="7"/>
  <c r="AK252" i="7"/>
  <c r="AK203" i="7"/>
  <c r="AK204" i="7"/>
  <c r="AK402" i="7"/>
  <c r="AK205" i="7"/>
  <c r="W200" i="7" l="1"/>
  <c r="W199" i="7"/>
  <c r="W198" i="7"/>
  <c r="W197" i="7"/>
  <c r="W196" i="7"/>
  <c r="W195" i="7"/>
  <c r="W194" i="7"/>
  <c r="W92" i="7"/>
  <c r="AL200" i="7"/>
  <c r="AL199" i="7"/>
  <c r="AL198" i="7"/>
  <c r="AL197" i="7"/>
  <c r="AL196" i="7"/>
  <c r="AL195" i="7"/>
  <c r="AL194" i="7"/>
  <c r="AL92" i="7"/>
  <c r="AK200" i="7"/>
  <c r="AK199" i="7"/>
  <c r="AK198" i="7"/>
  <c r="AK197" i="7"/>
  <c r="AK196" i="7"/>
  <c r="AK195" i="7"/>
  <c r="AK194" i="7"/>
  <c r="AK92" i="7"/>
  <c r="AJ200" i="7"/>
  <c r="AJ199" i="7"/>
  <c r="AJ198" i="7"/>
  <c r="AJ197" i="7"/>
  <c r="AJ196" i="7"/>
  <c r="AJ195" i="7"/>
  <c r="AJ194" i="7"/>
  <c r="AJ92" i="7"/>
  <c r="AK406" i="7"/>
  <c r="AJ406" i="7"/>
  <c r="W406" i="7"/>
  <c r="D406" i="7"/>
  <c r="AL406" i="7" s="1"/>
  <c r="AK529" i="7"/>
  <c r="AJ529" i="7"/>
  <c r="W529" i="7"/>
  <c r="D529" i="7"/>
  <c r="B529" i="7" s="1" a="1"/>
  <c r="B529" i="7" s="1"/>
  <c r="AK253" i="7"/>
  <c r="AJ253" i="7"/>
  <c r="W253" i="7"/>
  <c r="D253" i="7"/>
  <c r="AL253" i="7" s="1"/>
  <c r="S97" i="8"/>
  <c r="AJ202" i="7"/>
  <c r="AK202" i="7"/>
  <c r="D202" i="7"/>
  <c r="B202" i="7" s="1" a="1"/>
  <c r="B202" i="7" s="1"/>
  <c r="D535" i="7"/>
  <c r="AL535" i="7" s="1"/>
  <c r="AJ535" i="7"/>
  <c r="AK535" i="7"/>
  <c r="S82" i="6"/>
  <c r="T82" i="6"/>
  <c r="C82" i="6"/>
  <c r="B82" i="6" s="1" a="1"/>
  <c r="B82" i="6" s="1"/>
  <c r="AI172" i="1"/>
  <c r="AI175" i="1"/>
  <c r="S49" i="8"/>
  <c r="AJ534" i="7"/>
  <c r="D534" i="7"/>
  <c r="AL534" i="7" s="1"/>
  <c r="BG1" i="8"/>
  <c r="W175" i="1"/>
  <c r="S29" i="8"/>
  <c r="D531" i="7"/>
  <c r="AL531" i="7" s="1"/>
  <c r="W531" i="7"/>
  <c r="AJ531" i="7"/>
  <c r="AK531" i="7"/>
  <c r="D532" i="7"/>
  <c r="B532" i="7" s="1" a="1"/>
  <c r="B532" i="7" s="1"/>
  <c r="W532" i="7"/>
  <c r="AJ532" i="7"/>
  <c r="AK532" i="7"/>
  <c r="D533" i="7"/>
  <c r="B533" i="7" s="1" a="1"/>
  <c r="B533" i="7" s="1"/>
  <c r="W533" i="7"/>
  <c r="AJ533" i="7"/>
  <c r="AK533" i="7"/>
  <c r="D411" i="7"/>
  <c r="B411" i="7" s="1" a="1"/>
  <c r="B411" i="7" s="1"/>
  <c r="W411" i="7"/>
  <c r="AJ411" i="7"/>
  <c r="AK411" i="7"/>
  <c r="BA186" i="1"/>
  <c r="AI186" i="1"/>
  <c r="AL186" i="1"/>
  <c r="D186" i="1" s="1"/>
  <c r="B186" i="1" s="1"/>
  <c r="W172" i="1"/>
  <c r="AL170" i="1"/>
  <c r="AJ170" i="1" s="1"/>
  <c r="D167" i="1"/>
  <c r="AL185" i="1"/>
  <c r="AJ185" i="1" s="1"/>
  <c r="BA172" i="1"/>
  <c r="AI171" i="1"/>
  <c r="AJ171" i="1"/>
  <c r="AK254" i="7"/>
  <c r="AJ254" i="7"/>
  <c r="W254" i="7"/>
  <c r="D254" i="7"/>
  <c r="AL254" i="7" s="1"/>
  <c r="W185" i="1"/>
  <c r="T83" i="6"/>
  <c r="S83" i="6"/>
  <c r="C83" i="6"/>
  <c r="B83" i="6" s="1" a="1"/>
  <c r="B83" i="6" s="1"/>
  <c r="T14" i="6"/>
  <c r="S14" i="6"/>
  <c r="C14" i="6"/>
  <c r="B14" i="6" s="1" a="1"/>
  <c r="B14" i="6" s="1"/>
  <c r="T84" i="6"/>
  <c r="S84" i="6"/>
  <c r="C84" i="6"/>
  <c r="B84" i="6" s="1" a="1"/>
  <c r="B84" i="6" s="1"/>
  <c r="AI170" i="1"/>
  <c r="W170" i="1"/>
  <c r="AK542" i="7"/>
  <c r="AJ542" i="7"/>
  <c r="D542" i="7"/>
  <c r="B542" i="7" s="1" a="1"/>
  <c r="B542" i="7" s="1"/>
  <c r="AK539" i="7"/>
  <c r="AJ539" i="7"/>
  <c r="D539" i="7"/>
  <c r="B539" i="7" s="1" a="1"/>
  <c r="B539" i="7" s="1"/>
  <c r="AK538" i="7"/>
  <c r="AJ538" i="7"/>
  <c r="D538" i="7"/>
  <c r="AL538" i="7" s="1"/>
  <c r="AK537" i="7"/>
  <c r="AJ537" i="7"/>
  <c r="D537" i="7"/>
  <c r="B537" i="7" s="1" a="1"/>
  <c r="B537" i="7" s="1"/>
  <c r="AK541" i="7"/>
  <c r="AJ541" i="7"/>
  <c r="D541" i="7"/>
  <c r="B541" i="7" s="1" a="1"/>
  <c r="B541" i="7" s="1"/>
  <c r="AK540" i="7"/>
  <c r="AJ540" i="7"/>
  <c r="D540" i="7"/>
  <c r="B540" i="7" s="1" a="1"/>
  <c r="B540" i="7" s="1"/>
  <c r="AK405" i="7"/>
  <c r="AJ405" i="7"/>
  <c r="D405" i="7"/>
  <c r="B405" i="7" s="1" a="1"/>
  <c r="B405" i="7" s="1"/>
  <c r="AK536" i="7"/>
  <c r="AJ536" i="7"/>
  <c r="D536" i="7"/>
  <c r="AL536" i="7" s="1"/>
  <c r="AK201" i="7"/>
  <c r="AJ201" i="7"/>
  <c r="D201" i="7"/>
  <c r="D415" i="7"/>
  <c r="AL415" i="7" s="1"/>
  <c r="W415" i="7"/>
  <c r="AJ415" i="7"/>
  <c r="AK415" i="7"/>
  <c r="AJ208" i="7"/>
  <c r="AK208" i="7"/>
  <c r="W208" i="7"/>
  <c r="D208" i="7"/>
  <c r="AL208" i="7" s="1"/>
  <c r="AJ209" i="7"/>
  <c r="AK209" i="7"/>
  <c r="W209" i="7"/>
  <c r="D209" i="7"/>
  <c r="AL209" i="7" s="1"/>
  <c r="AJ210" i="7"/>
  <c r="AK210" i="7"/>
  <c r="W210" i="7"/>
  <c r="D210" i="7"/>
  <c r="AL210" i="7" s="1"/>
  <c r="AJ211" i="7"/>
  <c r="AK211" i="7"/>
  <c r="W211" i="7"/>
  <c r="D211" i="7"/>
  <c r="B211" i="7" s="1" a="1"/>
  <c r="B211" i="7" s="1"/>
  <c r="AJ212" i="7"/>
  <c r="AK212" i="7"/>
  <c r="W212" i="7"/>
  <c r="D212" i="7"/>
  <c r="B212" i="7" s="1" a="1"/>
  <c r="B212" i="7" s="1"/>
  <c r="AJ407" i="7"/>
  <c r="AK407" i="7"/>
  <c r="W407" i="7"/>
  <c r="D407" i="7"/>
  <c r="B407" i="7" s="1" a="1"/>
  <c r="B407" i="7" s="1"/>
  <c r="AJ213" i="7"/>
  <c r="AK213" i="7"/>
  <c r="W213" i="7"/>
  <c r="D213" i="7"/>
  <c r="B213" i="7" s="1" a="1"/>
  <c r="B213" i="7" s="1"/>
  <c r="AJ408" i="7"/>
  <c r="AK408" i="7"/>
  <c r="W408" i="7"/>
  <c r="D408" i="7"/>
  <c r="AL408" i="7" s="1"/>
  <c r="AJ409" i="7"/>
  <c r="AK409" i="7"/>
  <c r="W409" i="7"/>
  <c r="D409" i="7"/>
  <c r="B409" i="7" s="1" a="1"/>
  <c r="B409" i="7" s="1"/>
  <c r="AJ214" i="7"/>
  <c r="AK214" i="7"/>
  <c r="W214" i="7"/>
  <c r="D214" i="7"/>
  <c r="AL214" i="7" s="1"/>
  <c r="AJ215" i="7"/>
  <c r="AK215" i="7"/>
  <c r="W215" i="7"/>
  <c r="D215" i="7"/>
  <c r="AL215" i="7" s="1"/>
  <c r="AJ410" i="7"/>
  <c r="AK410" i="7"/>
  <c r="W410" i="7"/>
  <c r="D410" i="7"/>
  <c r="B410" i="7" s="1" a="1"/>
  <c r="B410" i="7" s="1"/>
  <c r="AJ216" i="7"/>
  <c r="AK216" i="7"/>
  <c r="W216" i="7"/>
  <c r="D216" i="7"/>
  <c r="B216" i="7" s="1" a="1"/>
  <c r="B216" i="7" s="1"/>
  <c r="AJ217" i="7"/>
  <c r="AK217" i="7"/>
  <c r="W217" i="7"/>
  <c r="D217" i="7"/>
  <c r="B217" i="7" s="1" a="1"/>
  <c r="B217" i="7" s="1"/>
  <c r="BL1" i="8"/>
  <c r="BK1" i="8"/>
  <c r="BJ1" i="8"/>
  <c r="BI1" i="8"/>
  <c r="S96" i="8"/>
  <c r="AI169" i="1"/>
  <c r="S18" i="8"/>
  <c r="AL169" i="1"/>
  <c r="AJ169" i="1" s="1"/>
  <c r="AJ205" i="7"/>
  <c r="W205" i="7"/>
  <c r="D205" i="7"/>
  <c r="B205" i="7" s="1" a="1"/>
  <c r="B205" i="7" s="1"/>
  <c r="AJ204" i="7"/>
  <c r="W204" i="7"/>
  <c r="D204" i="7"/>
  <c r="AL204" i="7" s="1"/>
  <c r="AJ203" i="7"/>
  <c r="W203" i="7"/>
  <c r="D203" i="7"/>
  <c r="B203" i="7" s="1" a="1"/>
  <c r="B203" i="7" s="1"/>
  <c r="AJ530" i="7"/>
  <c r="AK530" i="7"/>
  <c r="W530" i="7"/>
  <c r="D530" i="7"/>
  <c r="AL530" i="7" s="1"/>
  <c r="AJ402" i="7"/>
  <c r="W402" i="7"/>
  <c r="B402" i="7" a="1"/>
  <c r="B402" i="7" s="1"/>
  <c r="AJ252" i="7"/>
  <c r="W252" i="7"/>
  <c r="D252" i="7"/>
  <c r="AL252" i="7" s="1"/>
  <c r="W414" i="7"/>
  <c r="AJ414" i="7"/>
  <c r="AK414" i="7"/>
  <c r="D414" i="7"/>
  <c r="AL414" i="7" s="1"/>
  <c r="D257" i="7"/>
  <c r="AL257" i="7" s="1"/>
  <c r="AP143" i="1"/>
  <c r="AI143" i="1"/>
  <c r="W143" i="1"/>
  <c r="S26" i="8"/>
  <c r="S66" i="8"/>
  <c r="AL143" i="1"/>
  <c r="D143" i="1" s="1"/>
  <c r="AK257" i="7"/>
  <c r="AJ257" i="7"/>
  <c r="W257" i="7"/>
  <c r="AK416" i="7"/>
  <c r="AJ416" i="7"/>
  <c r="W416" i="7"/>
  <c r="D416" i="7"/>
  <c r="AL416" i="7" s="1"/>
  <c r="AI180" i="1"/>
  <c r="AL180" i="1"/>
  <c r="D180" i="1" s="1"/>
  <c r="B180" i="1" s="1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AR1" i="8"/>
  <c r="AS1" i="8"/>
  <c r="AT1" i="8"/>
  <c r="AU1" i="8"/>
  <c r="AV1" i="8"/>
  <c r="AW1" i="8"/>
  <c r="AX1" i="8"/>
  <c r="AY1" i="8"/>
  <c r="AZ1" i="8"/>
  <c r="BA1" i="8"/>
  <c r="BB1" i="8"/>
  <c r="BC1" i="8"/>
  <c r="BD1" i="8"/>
  <c r="BE1" i="8"/>
  <c r="BF1" i="8"/>
  <c r="BH1" i="8"/>
  <c r="S56" i="8"/>
  <c r="C1" i="8"/>
  <c r="AJ249" i="7"/>
  <c r="AK249" i="7"/>
  <c r="W249" i="7"/>
  <c r="D249" i="7"/>
  <c r="B249" i="7" s="1" a="1"/>
  <c r="B249" i="7" s="1"/>
  <c r="S55" i="8"/>
  <c r="AJ413" i="7"/>
  <c r="AK413" i="7"/>
  <c r="W413" i="7"/>
  <c r="D413" i="7"/>
  <c r="B413" i="7" s="1" a="1"/>
  <c r="B413" i="7" s="1"/>
  <c r="D260" i="7"/>
  <c r="AL260" i="7" s="1"/>
  <c r="AJ260" i="7"/>
  <c r="AK260" i="7"/>
  <c r="D418" i="7"/>
  <c r="B418" i="7" s="1" a="1"/>
  <c r="B418" i="7" s="1"/>
  <c r="W418" i="7"/>
  <c r="AJ418" i="7"/>
  <c r="AK418" i="7"/>
  <c r="D259" i="7"/>
  <c r="AL259" i="7" s="1"/>
  <c r="W259" i="7"/>
  <c r="AJ259" i="7"/>
  <c r="AK259" i="7"/>
  <c r="D258" i="7"/>
  <c r="B258" i="7" s="1" a="1"/>
  <c r="B258" i="7" s="1"/>
  <c r="W258" i="7"/>
  <c r="AJ258" i="7"/>
  <c r="AK258" i="7"/>
  <c r="D221" i="7"/>
  <c r="B221" i="7" s="1" a="1"/>
  <c r="B221" i="7" s="1"/>
  <c r="W221" i="7"/>
  <c r="AJ221" i="7"/>
  <c r="AK221" i="7"/>
  <c r="D222" i="7"/>
  <c r="AL222" i="7" s="1"/>
  <c r="W222" i="7"/>
  <c r="AJ222" i="7"/>
  <c r="AK222" i="7"/>
  <c r="D412" i="7"/>
  <c r="AL412" i="7" s="1"/>
  <c r="W412" i="7"/>
  <c r="AJ412" i="7"/>
  <c r="AK412" i="7"/>
  <c r="D218" i="7"/>
  <c r="B218" i="7" s="1" a="1"/>
  <c r="B218" i="7" s="1"/>
  <c r="W218" i="7"/>
  <c r="AJ218" i="7"/>
  <c r="AK218" i="7"/>
  <c r="D219" i="7"/>
  <c r="AL219" i="7" s="1"/>
  <c r="W219" i="7"/>
  <c r="AJ219" i="7"/>
  <c r="AK219" i="7"/>
  <c r="D220" i="7"/>
  <c r="AL220" i="7" s="1"/>
  <c r="W220" i="7"/>
  <c r="AJ220" i="7"/>
  <c r="AK220" i="7"/>
  <c r="B399" i="7" a="1"/>
  <c r="B399" i="7" s="1"/>
  <c r="W399" i="7"/>
  <c r="AJ399" i="7"/>
  <c r="AK399" i="7"/>
  <c r="D417" i="7"/>
  <c r="B417" i="7" s="1" a="1"/>
  <c r="B417" i="7" s="1"/>
  <c r="W417" i="7"/>
  <c r="AJ417" i="7"/>
  <c r="AK417" i="7"/>
  <c r="D256" i="7"/>
  <c r="B256" i="7" s="1" a="1"/>
  <c r="B256" i="7" s="1"/>
  <c r="W256" i="7"/>
  <c r="AJ256" i="7"/>
  <c r="AK256" i="7"/>
  <c r="AJ255" i="7"/>
  <c r="AK255" i="7"/>
  <c r="D255" i="7"/>
  <c r="AL255" i="7" s="1"/>
  <c r="T86" i="6"/>
  <c r="S86" i="6"/>
  <c r="C85" i="6"/>
  <c r="B85" i="6" s="1" a="1"/>
  <c r="B85" i="6" s="1"/>
  <c r="C86" i="6"/>
  <c r="B86" i="6" s="1" a="1"/>
  <c r="B86" i="6" s="1"/>
  <c r="T85" i="6"/>
  <c r="S85" i="6"/>
  <c r="T20" i="6"/>
  <c r="S20" i="6"/>
  <c r="C20" i="6"/>
  <c r="B20" i="6" s="1" a="1"/>
  <c r="B20" i="6" s="1"/>
  <c r="T18" i="6"/>
  <c r="S18" i="6"/>
  <c r="C18" i="6"/>
  <c r="B18" i="6" s="1" a="1"/>
  <c r="B18" i="6" s="1"/>
  <c r="AK261" i="7"/>
  <c r="AJ261" i="7"/>
  <c r="W261" i="7"/>
  <c r="D261" i="7"/>
  <c r="B261" i="7" s="1" a="1"/>
  <c r="B261" i="7" s="1"/>
  <c r="W262" i="7"/>
  <c r="AK262" i="7"/>
  <c r="AJ262" i="7"/>
  <c r="D262" i="7"/>
  <c r="B262" i="7" s="1" a="1"/>
  <c r="B262" i="7" s="1"/>
  <c r="AL26" i="1"/>
  <c r="D26" i="1" s="1"/>
  <c r="W167" i="1"/>
  <c r="T25" i="6"/>
  <c r="S25" i="6"/>
  <c r="C25" i="6"/>
  <c r="B25" i="6" s="1" a="1"/>
  <c r="B25" i="6" s="1"/>
  <c r="T24" i="6"/>
  <c r="S24" i="6"/>
  <c r="C24" i="6"/>
  <c r="B24" i="6" s="1" a="1"/>
  <c r="B24" i="6" s="1"/>
  <c r="AW35" i="1"/>
  <c r="AL189" i="1"/>
  <c r="AJ189" i="1" s="1"/>
  <c r="AI189" i="1"/>
  <c r="W189" i="1"/>
  <c r="AL181" i="1"/>
  <c r="AJ181" i="1" s="1"/>
  <c r="AI181" i="1"/>
  <c r="W181" i="1"/>
  <c r="D182" i="1"/>
  <c r="B182" i="1" s="1"/>
  <c r="S88" i="6"/>
  <c r="T88" i="6"/>
  <c r="C88" i="6"/>
  <c r="B88" i="6" s="1" a="1"/>
  <c r="B88" i="6" s="1"/>
  <c r="S53" i="8"/>
  <c r="AL35" i="1"/>
  <c r="D35" i="1" s="1"/>
  <c r="AL184" i="1"/>
  <c r="D184" i="1" s="1"/>
  <c r="B184" i="1" s="1"/>
  <c r="AL176" i="1"/>
  <c r="D176" i="1" s="1"/>
  <c r="B176" i="1" s="1"/>
  <c r="AL173" i="1"/>
  <c r="D173" i="1" s="1"/>
  <c r="W63" i="1"/>
  <c r="W482" i="1"/>
  <c r="AI482" i="1"/>
  <c r="AL482" i="1"/>
  <c r="D482" i="1" s="1"/>
  <c r="AI173" i="1"/>
  <c r="W173" i="1"/>
  <c r="AL192" i="1"/>
  <c r="AJ192" i="1" s="1"/>
  <c r="AI192" i="1"/>
  <c r="S28" i="8"/>
  <c r="AW184" i="1"/>
  <c r="AJ471" i="7"/>
  <c r="AK471" i="7"/>
  <c r="D471" i="7"/>
  <c r="AL471" i="7" s="1"/>
  <c r="S39" i="8"/>
  <c r="S82" i="8"/>
  <c r="AJ543" i="7"/>
  <c r="AK543" i="7"/>
  <c r="D543" i="7"/>
  <c r="S21" i="6"/>
  <c r="T21" i="6"/>
  <c r="C21" i="6"/>
  <c r="B21" i="6" s="1" a="1"/>
  <c r="B21" i="6" s="1"/>
  <c r="AW34" i="1"/>
  <c r="T87" i="6"/>
  <c r="S87" i="6"/>
  <c r="C87" i="6"/>
  <c r="B87" i="6" s="1" a="1"/>
  <c r="B87" i="6" s="1"/>
  <c r="W184" i="1"/>
  <c r="T80" i="6"/>
  <c r="S80" i="6"/>
  <c r="C80" i="6"/>
  <c r="B80" i="6" s="1" a="1"/>
  <c r="B80" i="6" s="1"/>
  <c r="S105" i="8"/>
  <c r="S119" i="8"/>
  <c r="S118" i="8"/>
  <c r="S117" i="8"/>
  <c r="S115" i="8"/>
  <c r="S114" i="8"/>
  <c r="S111" i="8"/>
  <c r="S107" i="8"/>
  <c r="S106" i="8"/>
  <c r="S102" i="8"/>
  <c r="S101" i="8"/>
  <c r="S100" i="8"/>
  <c r="S95" i="8"/>
  <c r="S94" i="8"/>
  <c r="S92" i="8"/>
  <c r="S90" i="8"/>
  <c r="S89" i="8"/>
  <c r="S88" i="8"/>
  <c r="S86" i="8"/>
  <c r="S85" i="8"/>
  <c r="S84" i="8"/>
  <c r="S83" i="8"/>
  <c r="S81" i="8"/>
  <c r="S80" i="8"/>
  <c r="S78" i="8"/>
  <c r="S74" i="8"/>
  <c r="S72" i="8"/>
  <c r="S70" i="8"/>
  <c r="S67" i="8"/>
  <c r="S65" i="8"/>
  <c r="S64" i="8"/>
  <c r="S63" i="8"/>
  <c r="S61" i="8"/>
  <c r="S57" i="8"/>
  <c r="S52" i="8"/>
  <c r="S51" i="8"/>
  <c r="S48" i="8"/>
  <c r="S47" i="8"/>
  <c r="S45" i="8"/>
  <c r="S44" i="8"/>
  <c r="S43" i="8"/>
  <c r="S42" i="8"/>
  <c r="S41" i="8"/>
  <c r="S38" i="8"/>
  <c r="S37" i="8"/>
  <c r="S36" i="8"/>
  <c r="S34" i="8"/>
  <c r="S32" i="8"/>
  <c r="S31" i="8"/>
  <c r="S30" i="8"/>
  <c r="S27" i="8"/>
  <c r="S25" i="8"/>
  <c r="S24" i="8"/>
  <c r="S21" i="8"/>
  <c r="S20" i="8"/>
  <c r="S19" i="8"/>
  <c r="S17" i="8"/>
  <c r="S14" i="8"/>
  <c r="S13" i="8"/>
  <c r="S12" i="8"/>
  <c r="S10" i="8"/>
  <c r="S9" i="8"/>
  <c r="S8" i="8"/>
  <c r="S7" i="8"/>
  <c r="AL197" i="1"/>
  <c r="D197" i="1" s="1"/>
  <c r="AL198" i="1"/>
  <c r="D198" i="1" s="1"/>
  <c r="BA198" i="1"/>
  <c r="AI198" i="1"/>
  <c r="W198" i="1"/>
  <c r="BA197" i="1"/>
  <c r="AI197" i="1"/>
  <c r="W197" i="1"/>
  <c r="AJ419" i="7"/>
  <c r="AK419" i="7"/>
  <c r="D419" i="7"/>
  <c r="AL419" i="7" s="1"/>
  <c r="S91" i="6"/>
  <c r="T91" i="6"/>
  <c r="C91" i="6"/>
  <c r="B91" i="6" s="1" a="1"/>
  <c r="B91" i="6" s="1"/>
  <c r="AI35" i="1"/>
  <c r="W35" i="1"/>
  <c r="AL177" i="1"/>
  <c r="D177" i="1" s="1"/>
  <c r="B177" i="1" s="1"/>
  <c r="AL183" i="1"/>
  <c r="AL191" i="1"/>
  <c r="AJ191" i="1" s="1"/>
  <c r="BA212" i="1"/>
  <c r="AI212" i="1"/>
  <c r="AL212" i="1"/>
  <c r="W212" i="1"/>
  <c r="S93" i="6"/>
  <c r="T93" i="6"/>
  <c r="C93" i="6"/>
  <c r="B93" i="6" s="1" a="1"/>
  <c r="B93" i="6" s="1"/>
  <c r="S89" i="6"/>
  <c r="T89" i="6"/>
  <c r="C89" i="6"/>
  <c r="B89" i="6" s="1" a="1"/>
  <c r="B89" i="6" s="1"/>
  <c r="AL187" i="1"/>
  <c r="D187" i="1" s="1"/>
  <c r="B187" i="1" s="1"/>
  <c r="S90" i="6"/>
  <c r="T90" i="6"/>
  <c r="C90" i="6"/>
  <c r="B90" i="6" s="1" a="1"/>
  <c r="B90" i="6" s="1"/>
  <c r="S94" i="6"/>
  <c r="T94" i="6"/>
  <c r="C94" i="6"/>
  <c r="B94" i="6" s="1" a="1"/>
  <c r="B94" i="6" s="1"/>
  <c r="AJ422" i="7"/>
  <c r="AK422" i="7"/>
  <c r="AJ425" i="7"/>
  <c r="AK425" i="7"/>
  <c r="AJ266" i="7"/>
  <c r="AK266" i="7"/>
  <c r="AJ423" i="7"/>
  <c r="AK423" i="7"/>
  <c r="AJ206" i="7"/>
  <c r="AK206" i="7"/>
  <c r="AJ424" i="7"/>
  <c r="AK424" i="7"/>
  <c r="AJ420" i="7"/>
  <c r="AK420" i="7"/>
  <c r="AJ548" i="7"/>
  <c r="AK548" i="7"/>
  <c r="D420" i="7"/>
  <c r="AL420" i="7" s="1"/>
  <c r="D548" i="7"/>
  <c r="AL548" i="7" s="1"/>
  <c r="D424" i="7"/>
  <c r="B424" i="7" s="1" a="1"/>
  <c r="B424" i="7" s="1"/>
  <c r="D422" i="7"/>
  <c r="AL422" i="7" s="1"/>
  <c r="D425" i="7"/>
  <c r="B425" i="7" s="1" a="1"/>
  <c r="B425" i="7" s="1"/>
  <c r="D266" i="7"/>
  <c r="B266" i="7" s="1" a="1"/>
  <c r="B266" i="7" s="1"/>
  <c r="D423" i="7"/>
  <c r="AL423" i="7" s="1"/>
  <c r="D206" i="7"/>
  <c r="AL206" i="7" s="1"/>
  <c r="AK265" i="7"/>
  <c r="AJ265" i="7"/>
  <c r="D265" i="7"/>
  <c r="B265" i="7" s="1" a="1"/>
  <c r="B265" i="7" s="1"/>
  <c r="S23" i="6"/>
  <c r="T23" i="6"/>
  <c r="C23" i="6"/>
  <c r="B23" i="6" s="1" a="1"/>
  <c r="B23" i="6" s="1"/>
  <c r="AI177" i="1"/>
  <c r="W177" i="1"/>
  <c r="BA211" i="1"/>
  <c r="AI211" i="1"/>
  <c r="AL211" i="1"/>
  <c r="D211" i="1" s="1"/>
  <c r="B211" i="1" s="1"/>
  <c r="W211" i="1"/>
  <c r="S3" i="8"/>
  <c r="W33" i="1"/>
  <c r="W190" i="1"/>
  <c r="W28" i="1"/>
  <c r="W510" i="1"/>
  <c r="W509" i="1"/>
  <c r="W508" i="1"/>
  <c r="W507" i="1"/>
  <c r="W505" i="1"/>
  <c r="W504" i="1"/>
  <c r="W503" i="1"/>
  <c r="W502" i="1"/>
  <c r="W500" i="1"/>
  <c r="W499" i="1"/>
  <c r="W497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78" i="1"/>
  <c r="W477" i="1"/>
  <c r="W476" i="1"/>
  <c r="W474" i="1"/>
  <c r="W472" i="1"/>
  <c r="W470" i="1"/>
  <c r="W469" i="1"/>
  <c r="W468" i="1"/>
  <c r="W467" i="1"/>
  <c r="W464" i="1"/>
  <c r="W463" i="1"/>
  <c r="W462" i="1"/>
  <c r="W461" i="1"/>
  <c r="W460" i="1"/>
  <c r="W459" i="1"/>
  <c r="W457" i="1"/>
  <c r="W456" i="1"/>
  <c r="W455" i="1"/>
  <c r="W454" i="1"/>
  <c r="W453" i="1"/>
  <c r="W452" i="1"/>
  <c r="W450" i="1"/>
  <c r="W448" i="1"/>
  <c r="W447" i="1"/>
  <c r="W446" i="1"/>
  <c r="W444" i="1"/>
  <c r="W442" i="1"/>
  <c r="W440" i="1"/>
  <c r="W438" i="1"/>
  <c r="W437" i="1"/>
  <c r="W435" i="1"/>
  <c r="W433" i="1"/>
  <c r="W430" i="1"/>
  <c r="W429" i="1"/>
  <c r="W428" i="1"/>
  <c r="W427" i="1"/>
  <c r="W426" i="1"/>
  <c r="W425" i="1"/>
  <c r="W424" i="1"/>
  <c r="W423" i="1"/>
  <c r="W421" i="1"/>
  <c r="W419" i="1"/>
  <c r="W418" i="1"/>
  <c r="W417" i="1"/>
  <c r="W416" i="1"/>
  <c r="W414" i="1"/>
  <c r="W412" i="1"/>
  <c r="W411" i="1"/>
  <c r="W409" i="1"/>
  <c r="W408" i="1"/>
  <c r="W407" i="1"/>
  <c r="W406" i="1"/>
  <c r="W404" i="1"/>
  <c r="W403" i="1"/>
  <c r="W402" i="1"/>
  <c r="W400" i="1"/>
  <c r="W398" i="1"/>
  <c r="W397" i="1"/>
  <c r="W393" i="1"/>
  <c r="W392" i="1"/>
  <c r="W391" i="1"/>
  <c r="W390" i="1"/>
  <c r="W389" i="1"/>
  <c r="W387" i="1"/>
  <c r="W386" i="1"/>
  <c r="W385" i="1"/>
  <c r="W384" i="1"/>
  <c r="W383" i="1"/>
  <c r="W382" i="1"/>
  <c r="W380" i="1"/>
  <c r="W379" i="1"/>
  <c r="W378" i="1"/>
  <c r="W377" i="1"/>
  <c r="W376" i="1"/>
  <c r="W375" i="1"/>
  <c r="W374" i="1"/>
  <c r="W372" i="1"/>
  <c r="W371" i="1"/>
  <c r="W370" i="1"/>
  <c r="W369" i="1"/>
  <c r="W368" i="1"/>
  <c r="W367" i="1"/>
  <c r="W363" i="1"/>
  <c r="W362" i="1"/>
  <c r="W360" i="1"/>
  <c r="W359" i="1"/>
  <c r="W357" i="1"/>
  <c r="W356" i="1"/>
  <c r="W354" i="1"/>
  <c r="W350" i="1"/>
  <c r="W349" i="1"/>
  <c r="W348" i="1"/>
  <c r="W347" i="1"/>
  <c r="W346" i="1"/>
  <c r="W345" i="1"/>
  <c r="W343" i="1"/>
  <c r="W342" i="1"/>
  <c r="W340" i="1"/>
  <c r="W339" i="1"/>
  <c r="W338" i="1"/>
  <c r="W337" i="1"/>
  <c r="W336" i="1"/>
  <c r="W335" i="1"/>
  <c r="W327" i="1"/>
  <c r="W325" i="1"/>
  <c r="W324" i="1"/>
  <c r="W323" i="1"/>
  <c r="W319" i="1"/>
  <c r="W318" i="1"/>
  <c r="W317" i="1"/>
  <c r="W316" i="1"/>
  <c r="W315" i="1"/>
  <c r="W313" i="1"/>
  <c r="W312" i="1"/>
  <c r="W310" i="1"/>
  <c r="W308" i="1"/>
  <c r="W307" i="1"/>
  <c r="W305" i="1"/>
  <c r="W304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89" i="1"/>
  <c r="W288" i="1"/>
  <c r="W287" i="1"/>
  <c r="W286" i="1"/>
  <c r="W285" i="1"/>
  <c r="W284" i="1"/>
  <c r="W282" i="1"/>
  <c r="W281" i="1"/>
  <c r="W280" i="1"/>
  <c r="W279" i="1"/>
  <c r="W278" i="1"/>
  <c r="W277" i="1"/>
  <c r="W276" i="1"/>
  <c r="W275" i="1"/>
  <c r="W274" i="1"/>
  <c r="W273" i="1"/>
  <c r="W272" i="1"/>
  <c r="W270" i="1"/>
  <c r="W269" i="1"/>
  <c r="W268" i="1"/>
  <c r="W267" i="1"/>
  <c r="W264" i="1"/>
  <c r="W263" i="1"/>
  <c r="W262" i="1"/>
  <c r="W261" i="1"/>
  <c r="W257" i="1"/>
  <c r="W256" i="1"/>
  <c r="W250" i="1"/>
  <c r="W249" i="1"/>
  <c r="W245" i="1"/>
  <c r="W243" i="1"/>
  <c r="W242" i="1"/>
  <c r="W241" i="1"/>
  <c r="W238" i="1"/>
  <c r="W237" i="1"/>
  <c r="W355" i="1"/>
  <c r="W234" i="1"/>
  <c r="W232" i="1"/>
  <c r="W229" i="1"/>
  <c r="W228" i="1"/>
  <c r="W227" i="1"/>
  <c r="W195" i="1"/>
  <c r="W225" i="1"/>
  <c r="W224" i="1"/>
  <c r="W223" i="1"/>
  <c r="W222" i="1"/>
  <c r="W221" i="1"/>
  <c r="W217" i="1"/>
  <c r="W216" i="1"/>
  <c r="W193" i="1"/>
  <c r="W162" i="1"/>
  <c r="W161" i="1"/>
  <c r="W160" i="1"/>
  <c r="W159" i="1"/>
  <c r="W158" i="1"/>
  <c r="W157" i="1"/>
  <c r="W156" i="1"/>
  <c r="W155" i="1"/>
  <c r="W154" i="1"/>
  <c r="W153" i="1"/>
  <c r="W179" i="1"/>
  <c r="W178" i="1"/>
  <c r="W152" i="1"/>
  <c r="W151" i="1"/>
  <c r="W150" i="1"/>
  <c r="W149" i="1"/>
  <c r="W148" i="1"/>
  <c r="W147" i="1"/>
  <c r="W146" i="1"/>
  <c r="W145" i="1"/>
  <c r="W144" i="1"/>
  <c r="W142" i="1"/>
  <c r="W141" i="1"/>
  <c r="W140" i="1"/>
  <c r="W139" i="1"/>
  <c r="W138" i="1"/>
  <c r="W137" i="1"/>
  <c r="W135" i="1"/>
  <c r="W134" i="1"/>
  <c r="W133" i="1"/>
  <c r="W132" i="1"/>
  <c r="W131" i="1"/>
  <c r="W130" i="1"/>
  <c r="W129" i="1"/>
  <c r="W126" i="1"/>
  <c r="W125" i="1"/>
  <c r="W120" i="1"/>
  <c r="W119" i="1"/>
  <c r="W118" i="1"/>
  <c r="W114" i="1"/>
  <c r="W113" i="1"/>
  <c r="W110" i="1"/>
  <c r="W109" i="1"/>
  <c r="W108" i="1"/>
  <c r="W107" i="1"/>
  <c r="W106" i="1"/>
  <c r="W104" i="1"/>
  <c r="W101" i="1"/>
  <c r="W99" i="1"/>
  <c r="W98" i="1"/>
  <c r="W97" i="1"/>
  <c r="W219" i="1"/>
  <c r="W218" i="1"/>
  <c r="W92" i="1"/>
  <c r="W91" i="1"/>
  <c r="W87" i="1"/>
  <c r="W86" i="1"/>
  <c r="W85" i="1"/>
  <c r="W84" i="1"/>
  <c r="W83" i="1"/>
  <c r="W82" i="1"/>
  <c r="W81" i="1"/>
  <c r="W80" i="1"/>
  <c r="W76" i="1"/>
  <c r="W206" i="1"/>
  <c r="W75" i="1"/>
  <c r="W74" i="1"/>
  <c r="W72" i="1"/>
  <c r="W71" i="1"/>
  <c r="W69" i="1"/>
  <c r="W67" i="1"/>
  <c r="W66" i="1"/>
  <c r="W65" i="1"/>
  <c r="W62" i="1"/>
  <c r="W61" i="1"/>
  <c r="W60" i="1"/>
  <c r="W205" i="1"/>
  <c r="W204" i="1"/>
  <c r="W203" i="1"/>
  <c r="W202" i="1"/>
  <c r="W59" i="1"/>
  <c r="W58" i="1"/>
  <c r="W56" i="1"/>
  <c r="W55" i="1"/>
  <c r="W54" i="1"/>
  <c r="W53" i="1"/>
  <c r="W52" i="1"/>
  <c r="W201" i="1"/>
  <c r="W47" i="1"/>
  <c r="W46" i="1"/>
  <c r="W188" i="1"/>
  <c r="W187" i="1"/>
  <c r="W191" i="1"/>
  <c r="W183" i="1"/>
  <c r="W214" i="1"/>
  <c r="W176" i="1"/>
  <c r="W34" i="1"/>
  <c r="W194" i="1"/>
  <c r="W36" i="1"/>
  <c r="W32" i="1"/>
  <c r="W26" i="1"/>
  <c r="W31" i="1"/>
  <c r="W30" i="1"/>
  <c r="W27" i="1"/>
  <c r="W29" i="1"/>
  <c r="W25" i="1"/>
  <c r="W24" i="1"/>
  <c r="T92" i="6"/>
  <c r="S92" i="6"/>
  <c r="C92" i="6"/>
  <c r="B92" i="6" s="1" a="1"/>
  <c r="B92" i="6" s="1"/>
  <c r="T95" i="6"/>
  <c r="S95" i="6"/>
  <c r="C95" i="6"/>
  <c r="B95" i="6" s="1" a="1"/>
  <c r="B95" i="6" s="1"/>
  <c r="T22" i="6"/>
  <c r="S22" i="6"/>
  <c r="C22" i="6"/>
  <c r="B22" i="6" s="1" a="1"/>
  <c r="B22" i="6" s="1"/>
  <c r="T26" i="6"/>
  <c r="S26" i="6"/>
  <c r="C26" i="6"/>
  <c r="B26" i="6" s="1" a="1"/>
  <c r="B26" i="6" s="1"/>
  <c r="AK549" i="7"/>
  <c r="AJ549" i="7"/>
  <c r="W549" i="7"/>
  <c r="D549" i="7"/>
  <c r="AL549" i="7" s="1"/>
  <c r="S99" i="6"/>
  <c r="T99" i="6"/>
  <c r="C99" i="6"/>
  <c r="B99" i="6" s="1" a="1"/>
  <c r="B99" i="6" s="1"/>
  <c r="T60" i="6"/>
  <c r="S60" i="6"/>
  <c r="B60" i="6" a="1"/>
  <c r="B60" i="6" s="1"/>
  <c r="T59" i="6"/>
  <c r="S59" i="6"/>
  <c r="B59" i="6" a="1"/>
  <c r="B59" i="6" s="1"/>
  <c r="AW33" i="1"/>
  <c r="AI191" i="1"/>
  <c r="AL188" i="1"/>
  <c r="D188" i="1" s="1"/>
  <c r="B188" i="1" s="1"/>
  <c r="AI188" i="1"/>
  <c r="AI34" i="1"/>
  <c r="AL34" i="1"/>
  <c r="D34" i="1" s="1"/>
  <c r="AI183" i="1"/>
  <c r="AI214" i="1"/>
  <c r="AL214" i="1"/>
  <c r="D214" i="1" s="1"/>
  <c r="B214" i="1" s="1"/>
  <c r="AJ547" i="7"/>
  <c r="AK547" i="7"/>
  <c r="D547" i="7"/>
  <c r="B547" i="7" s="1" a="1"/>
  <c r="B547" i="7" s="1"/>
  <c r="AJ270" i="7"/>
  <c r="AK270" i="7"/>
  <c r="D270" i="7"/>
  <c r="AL270" i="7" s="1"/>
  <c r="AJ545" i="7"/>
  <c r="AK545" i="7"/>
  <c r="D545" i="7"/>
  <c r="B545" i="7" s="1" a="1"/>
  <c r="B545" i="7" s="1"/>
  <c r="AJ546" i="7"/>
  <c r="AK546" i="7"/>
  <c r="D546" i="7"/>
  <c r="AL546" i="7" s="1"/>
  <c r="AJ428" i="7"/>
  <c r="AK428" i="7"/>
  <c r="D428" i="7"/>
  <c r="AL428" i="7" s="1"/>
  <c r="AJ429" i="7"/>
  <c r="AK429" i="7"/>
  <c r="D429" i="7"/>
  <c r="B429" i="7" s="1" a="1"/>
  <c r="B429" i="7" s="1"/>
  <c r="AJ269" i="7"/>
  <c r="AK269" i="7"/>
  <c r="D269" i="7"/>
  <c r="B269" i="7" s="1" a="1"/>
  <c r="B269" i="7" s="1"/>
  <c r="AK267" i="7"/>
  <c r="AJ267" i="7"/>
  <c r="W267" i="7"/>
  <c r="D267" i="7"/>
  <c r="AL267" i="7" s="1"/>
  <c r="T103" i="6"/>
  <c r="S103" i="6"/>
  <c r="C103" i="6"/>
  <c r="B103" i="6" s="1" a="1"/>
  <c r="B103" i="6" s="1"/>
  <c r="T27" i="6"/>
  <c r="S27" i="6"/>
  <c r="B27" i="6" a="1"/>
  <c r="B27" i="6" s="1"/>
  <c r="W421" i="7"/>
  <c r="W427" i="7"/>
  <c r="W207" i="7"/>
  <c r="W426" i="7"/>
  <c r="AK426" i="7"/>
  <c r="AJ426" i="7"/>
  <c r="D426" i="7"/>
  <c r="AL426" i="7" s="1"/>
  <c r="AK207" i="7"/>
  <c r="AJ207" i="7"/>
  <c r="D207" i="7"/>
  <c r="B207" i="7" s="1" a="1"/>
  <c r="B207" i="7" s="1"/>
  <c r="AK427" i="7"/>
  <c r="AJ427" i="7"/>
  <c r="D427" i="7"/>
  <c r="AL427" i="7" s="1"/>
  <c r="AK421" i="7"/>
  <c r="AJ421" i="7"/>
  <c r="D421" i="7"/>
  <c r="AL421" i="7" s="1"/>
  <c r="AI37" i="1"/>
  <c r="D37" i="1"/>
  <c r="AK268" i="7"/>
  <c r="AJ268" i="7"/>
  <c r="W268" i="7"/>
  <c r="D268" i="7"/>
  <c r="W544" i="7"/>
  <c r="AK564" i="7"/>
  <c r="AJ564" i="7"/>
  <c r="W564" i="7"/>
  <c r="D564" i="7"/>
  <c r="AL564" i="7" s="1"/>
  <c r="AI187" i="1"/>
  <c r="AJ273" i="7"/>
  <c r="AK273" i="7"/>
  <c r="D273" i="7"/>
  <c r="AL273" i="7" s="1"/>
  <c r="AL51" i="1"/>
  <c r="D51" i="1" s="1"/>
  <c r="AI51" i="1"/>
  <c r="BA49" i="1"/>
  <c r="AL49" i="1"/>
  <c r="D49" i="1" s="1"/>
  <c r="AI49" i="1"/>
  <c r="BA50" i="1"/>
  <c r="AL50" i="1"/>
  <c r="D50" i="1" s="1"/>
  <c r="B50" i="1" s="1"/>
  <c r="AI50" i="1"/>
  <c r="BA48" i="1"/>
  <c r="AL48" i="1"/>
  <c r="AI48" i="1"/>
  <c r="T97" i="6"/>
  <c r="S97" i="6"/>
  <c r="C97" i="6"/>
  <c r="B97" i="6" s="1" a="1"/>
  <c r="B97" i="6" s="1"/>
  <c r="AL200" i="1"/>
  <c r="AI200" i="1"/>
  <c r="AK431" i="7"/>
  <c r="AJ431" i="7"/>
  <c r="W431" i="7"/>
  <c r="D431" i="7"/>
  <c r="B431" i="7" s="1" a="1"/>
  <c r="B431" i="7" s="1"/>
  <c r="E1" i="6"/>
  <c r="AL54" i="1"/>
  <c r="AL199" i="1"/>
  <c r="AJ199" i="1" s="1"/>
  <c r="AL61" i="1"/>
  <c r="AL62" i="1"/>
  <c r="AL195" i="1"/>
  <c r="D195" i="1" s="1"/>
  <c r="B195" i="1" s="1"/>
  <c r="AI199" i="1"/>
  <c r="AI61" i="1"/>
  <c r="AI62" i="1"/>
  <c r="AI195" i="1"/>
  <c r="AI63" i="1"/>
  <c r="AI64" i="1"/>
  <c r="AJ271" i="7"/>
  <c r="AK271" i="7"/>
  <c r="W271" i="7"/>
  <c r="D271" i="7"/>
  <c r="B271" i="7" s="1" a="1"/>
  <c r="B271" i="7" s="1"/>
  <c r="S96" i="6"/>
  <c r="T96" i="6"/>
  <c r="C96" i="6"/>
  <c r="B96" i="6" s="1" a="1"/>
  <c r="B96" i="6" s="1"/>
  <c r="BA53" i="1"/>
  <c r="AL53" i="1"/>
  <c r="D53" i="1" s="1"/>
  <c r="B53" i="1" s="1"/>
  <c r="AI53" i="1"/>
  <c r="AI47" i="1"/>
  <c r="AL47" i="1"/>
  <c r="D47" i="1" s="1"/>
  <c r="BA47" i="1"/>
  <c r="BA52" i="1"/>
  <c r="AL52" i="1"/>
  <c r="D52" i="1" s="1"/>
  <c r="AI52" i="1"/>
  <c r="S100" i="6"/>
  <c r="T100" i="6"/>
  <c r="C100" i="6"/>
  <c r="B100" i="6" s="1" a="1"/>
  <c r="B100" i="6" s="1"/>
  <c r="AL64" i="1"/>
  <c r="D64" i="1" s="1"/>
  <c r="AL216" i="1"/>
  <c r="AI216" i="1"/>
  <c r="AI54" i="1"/>
  <c r="BA73" i="1"/>
  <c r="AL73" i="1"/>
  <c r="AI73" i="1"/>
  <c r="AL220" i="1"/>
  <c r="AI220" i="1"/>
  <c r="S19" i="6"/>
  <c r="T19" i="6"/>
  <c r="B19" i="6" a="1"/>
  <c r="B19" i="6" s="1"/>
  <c r="BA78" i="1"/>
  <c r="AL78" i="1"/>
  <c r="D78" i="1" s="1"/>
  <c r="AI78" i="1"/>
  <c r="AI222" i="1"/>
  <c r="AL222" i="1"/>
  <c r="D222" i="1" s="1"/>
  <c r="B222" i="1" s="1"/>
  <c r="AL66" i="1"/>
  <c r="D66" i="1" s="1"/>
  <c r="AI66" i="1"/>
  <c r="AI190" i="1"/>
  <c r="AL190" i="1"/>
  <c r="AJ190" i="1" s="1"/>
  <c r="AL221" i="1"/>
  <c r="D221" i="1" s="1"/>
  <c r="AI221" i="1"/>
  <c r="AI57" i="1"/>
  <c r="AL57" i="1"/>
  <c r="D57" i="1" s="1"/>
  <c r="AI201" i="1"/>
  <c r="AI70" i="1"/>
  <c r="AL71" i="1"/>
  <c r="D71" i="1" s="1"/>
  <c r="AL76" i="1"/>
  <c r="AL59" i="1"/>
  <c r="AJ59" i="1" s="1"/>
  <c r="AL204" i="1"/>
  <c r="D204" i="1" s="1"/>
  <c r="B204" i="1" s="1"/>
  <c r="AL203" i="1"/>
  <c r="D203" i="1" s="1"/>
  <c r="B203" i="1" s="1"/>
  <c r="AL205" i="1"/>
  <c r="D205" i="1" s="1"/>
  <c r="B205" i="1" s="1"/>
  <c r="AL202" i="1"/>
  <c r="AJ202" i="1" s="1"/>
  <c r="AL60" i="1"/>
  <c r="AJ60" i="1" s="1"/>
  <c r="AL230" i="1"/>
  <c r="D230" i="1" s="1"/>
  <c r="AL70" i="1"/>
  <c r="D70" i="1" s="1"/>
  <c r="AL201" i="1"/>
  <c r="D201" i="1" s="1"/>
  <c r="B201" i="1" s="1"/>
  <c r="AL213" i="1"/>
  <c r="AI213" i="1"/>
  <c r="AI77" i="1"/>
  <c r="AL77" i="1"/>
  <c r="AJ77" i="1" s="1"/>
  <c r="W272" i="7"/>
  <c r="AJ272" i="7"/>
  <c r="AK272" i="7"/>
  <c r="D272" i="7"/>
  <c r="W441" i="7"/>
  <c r="AK274" i="7"/>
  <c r="AJ274" i="7"/>
  <c r="D274" i="7"/>
  <c r="B274" i="7" s="1" a="1"/>
  <c r="B274" i="7" s="1"/>
  <c r="AK441" i="7"/>
  <c r="AJ441" i="7"/>
  <c r="D441" i="7"/>
  <c r="B441" i="7" s="1" a="1"/>
  <c r="B441" i="7" s="1"/>
  <c r="S104" i="6"/>
  <c r="T104" i="6"/>
  <c r="C104" i="6"/>
  <c r="B104" i="6" s="1" a="1"/>
  <c r="B104" i="6" s="1"/>
  <c r="S101" i="6"/>
  <c r="T101" i="6"/>
  <c r="C101" i="6"/>
  <c r="B101" i="6" s="1" a="1"/>
  <c r="B101" i="6" s="1"/>
  <c r="AI230" i="1"/>
  <c r="AI60" i="1"/>
  <c r="AI202" i="1"/>
  <c r="AI205" i="1"/>
  <c r="AI203" i="1"/>
  <c r="AI204" i="1"/>
  <c r="AI59" i="1"/>
  <c r="S102" i="6"/>
  <c r="T102" i="6"/>
  <c r="C102" i="6"/>
  <c r="B102" i="6" s="1" a="1"/>
  <c r="B102" i="6" s="1"/>
  <c r="AK281" i="7"/>
  <c r="AJ281" i="7"/>
  <c r="W281" i="7"/>
  <c r="D281" i="7"/>
  <c r="AL281" i="7" s="1"/>
  <c r="AK280" i="7"/>
  <c r="AJ280" i="7"/>
  <c r="W280" i="7"/>
  <c r="D280" i="7"/>
  <c r="AL280" i="7" s="1"/>
  <c r="AK279" i="7"/>
  <c r="AJ279" i="7"/>
  <c r="W279" i="7"/>
  <c r="D279" i="7"/>
  <c r="B279" i="7" s="1" a="1"/>
  <c r="B279" i="7" s="1"/>
  <c r="AK278" i="7"/>
  <c r="AJ278" i="7"/>
  <c r="W278" i="7"/>
  <c r="D278" i="7"/>
  <c r="B278" i="7" s="1" a="1"/>
  <c r="B278" i="7" s="1"/>
  <c r="AK277" i="7"/>
  <c r="AJ277" i="7"/>
  <c r="W277" i="7"/>
  <c r="D277" i="7"/>
  <c r="AL277" i="7" s="1"/>
  <c r="AK276" i="7"/>
  <c r="AJ276" i="7"/>
  <c r="W276" i="7"/>
  <c r="D276" i="7"/>
  <c r="B276" i="7" s="1" a="1"/>
  <c r="B276" i="7" s="1"/>
  <c r="AK275" i="7"/>
  <c r="AJ275" i="7"/>
  <c r="W275" i="7"/>
  <c r="D275" i="7"/>
  <c r="AL275" i="7" s="1"/>
  <c r="W430" i="7"/>
  <c r="W568" i="7"/>
  <c r="AJ440" i="7"/>
  <c r="AK440" i="7"/>
  <c r="AJ430" i="7"/>
  <c r="AK430" i="7"/>
  <c r="AJ568" i="7"/>
  <c r="AK568" i="7"/>
  <c r="W440" i="7"/>
  <c r="D440" i="7"/>
  <c r="B440" i="7" s="1" a="1"/>
  <c r="B440" i="7" s="1"/>
  <c r="D430" i="7"/>
  <c r="AL430" i="7" s="1"/>
  <c r="D568" i="7"/>
  <c r="AL568" i="7" s="1"/>
  <c r="AL69" i="1"/>
  <c r="AL194" i="1"/>
  <c r="D194" i="1" s="1"/>
  <c r="AL63" i="1"/>
  <c r="D63" i="1" s="1"/>
  <c r="AL67" i="1"/>
  <c r="D67" i="1" s="1"/>
  <c r="B67" i="1" s="1"/>
  <c r="AL81" i="1"/>
  <c r="D81" i="1" s="1"/>
  <c r="T115" i="6"/>
  <c r="S115" i="6"/>
  <c r="C115" i="6"/>
  <c r="B115" i="6" s="1" a="1"/>
  <c r="B115" i="6" s="1"/>
  <c r="T114" i="6"/>
  <c r="S114" i="6"/>
  <c r="C114" i="6"/>
  <c r="B114" i="6" s="1" a="1"/>
  <c r="B114" i="6" s="1"/>
  <c r="T113" i="6"/>
  <c r="S113" i="6"/>
  <c r="C113" i="6"/>
  <c r="B113" i="6" s="1" a="1"/>
  <c r="B113" i="6" s="1"/>
  <c r="T112" i="6"/>
  <c r="S112" i="6"/>
  <c r="C112" i="6"/>
  <c r="B112" i="6" s="1" a="1"/>
  <c r="B112" i="6" s="1"/>
  <c r="T111" i="6"/>
  <c r="S111" i="6"/>
  <c r="C111" i="6"/>
  <c r="B111" i="6" s="1" a="1"/>
  <c r="B111" i="6" s="1"/>
  <c r="T110" i="6"/>
  <c r="S110" i="6"/>
  <c r="C110" i="6"/>
  <c r="B110" i="6" s="1" a="1"/>
  <c r="B110" i="6" s="1"/>
  <c r="T109" i="6"/>
  <c r="S109" i="6"/>
  <c r="C109" i="6"/>
  <c r="B109" i="6" s="1" a="1"/>
  <c r="B109" i="6" s="1"/>
  <c r="T108" i="6"/>
  <c r="S108" i="6"/>
  <c r="C108" i="6"/>
  <c r="B108" i="6" s="1" a="1"/>
  <c r="B108" i="6" s="1"/>
  <c r="T107" i="6"/>
  <c r="S107" i="6"/>
  <c r="C107" i="6"/>
  <c r="B107" i="6" s="1" a="1"/>
  <c r="B107" i="6" s="1"/>
  <c r="T106" i="6"/>
  <c r="S106" i="6"/>
  <c r="C106" i="6"/>
  <c r="B106" i="6" s="1" a="1"/>
  <c r="B106" i="6" s="1"/>
  <c r="T119" i="6"/>
  <c r="S119" i="6"/>
  <c r="C119" i="6"/>
  <c r="B119" i="6" s="1" a="1"/>
  <c r="B119" i="6" s="1"/>
  <c r="T118" i="6"/>
  <c r="S118" i="6"/>
  <c r="C118" i="6"/>
  <c r="B118" i="6" s="1" a="1"/>
  <c r="B118" i="6" s="1"/>
  <c r="T117" i="6"/>
  <c r="S117" i="6"/>
  <c r="C117" i="6"/>
  <c r="B117" i="6" s="1" a="1"/>
  <c r="B117" i="6" s="1"/>
  <c r="T116" i="6"/>
  <c r="S116" i="6"/>
  <c r="C116" i="6"/>
  <c r="B116" i="6" s="1" a="1"/>
  <c r="B116" i="6" s="1"/>
  <c r="T98" i="6"/>
  <c r="S98" i="6"/>
  <c r="C98" i="6"/>
  <c r="B98" i="6" s="1" a="1"/>
  <c r="B98" i="6" s="1"/>
  <c r="C120" i="6"/>
  <c r="B120" i="6" s="1" a="1"/>
  <c r="B120" i="6" s="1"/>
  <c r="C105" i="6"/>
  <c r="B105" i="6" s="1" a="1"/>
  <c r="B105" i="6" s="1"/>
  <c r="C121" i="6"/>
  <c r="B121" i="6" s="1" a="1"/>
  <c r="B121" i="6" s="1"/>
  <c r="C123" i="6"/>
  <c r="B123" i="6" s="1" a="1"/>
  <c r="B123" i="6" s="1"/>
  <c r="C122" i="6"/>
  <c r="B122" i="6" s="1" a="1"/>
  <c r="B122" i="6" s="1"/>
  <c r="C28" i="6"/>
  <c r="B28" i="6" s="1" a="1"/>
  <c r="B28" i="6" s="1"/>
  <c r="AI67" i="1"/>
  <c r="AI76" i="1"/>
  <c r="AK438" i="7"/>
  <c r="AJ438" i="7"/>
  <c r="W438" i="7"/>
  <c r="D438" i="7"/>
  <c r="B438" i="7" s="1" a="1"/>
  <c r="B438" i="7" s="1"/>
  <c r="AK437" i="7"/>
  <c r="AJ437" i="7"/>
  <c r="W437" i="7"/>
  <c r="D437" i="7"/>
  <c r="AL437" i="7" s="1"/>
  <c r="AK563" i="7"/>
  <c r="AJ563" i="7"/>
  <c r="W563" i="7"/>
  <c r="D563" i="7"/>
  <c r="B563" i="7" s="1" a="1"/>
  <c r="B563" i="7" s="1"/>
  <c r="AK436" i="7"/>
  <c r="AJ436" i="7"/>
  <c r="W436" i="7"/>
  <c r="D436" i="7"/>
  <c r="B436" i="7" s="1" a="1"/>
  <c r="B436" i="7" s="1"/>
  <c r="AK439" i="7"/>
  <c r="AJ439" i="7"/>
  <c r="W439" i="7"/>
  <c r="D439" i="7"/>
  <c r="B439" i="7" s="1" a="1"/>
  <c r="B439" i="7" s="1"/>
  <c r="AK562" i="7"/>
  <c r="AJ562" i="7"/>
  <c r="W562" i="7"/>
  <c r="D562" i="7"/>
  <c r="AL562" i="7" s="1"/>
  <c r="AK561" i="7"/>
  <c r="AJ561" i="7"/>
  <c r="W561" i="7"/>
  <c r="D561" i="7"/>
  <c r="AL561" i="7" s="1"/>
  <c r="AK560" i="7"/>
  <c r="AJ560" i="7"/>
  <c r="W560" i="7"/>
  <c r="D560" i="7"/>
  <c r="AL560" i="7" s="1"/>
  <c r="AK559" i="7"/>
  <c r="AJ559" i="7"/>
  <c r="W559" i="7"/>
  <c r="D559" i="7"/>
  <c r="B559" i="7" s="1" a="1"/>
  <c r="B559" i="7" s="1"/>
  <c r="AK558" i="7"/>
  <c r="AJ558" i="7"/>
  <c r="W558" i="7"/>
  <c r="D558" i="7"/>
  <c r="AL558" i="7" s="1"/>
  <c r="AK442" i="7"/>
  <c r="AJ442" i="7"/>
  <c r="W442" i="7"/>
  <c r="D442" i="7"/>
  <c r="B442" i="7" s="1" a="1"/>
  <c r="B442" i="7" s="1"/>
  <c r="AK557" i="7"/>
  <c r="AJ557" i="7"/>
  <c r="W557" i="7"/>
  <c r="D557" i="7"/>
  <c r="AL557" i="7" s="1"/>
  <c r="AK556" i="7"/>
  <c r="AJ556" i="7"/>
  <c r="W556" i="7"/>
  <c r="D556" i="7"/>
  <c r="B556" i="7" s="1" a="1"/>
  <c r="B556" i="7" s="1"/>
  <c r="AK567" i="7"/>
  <c r="AJ567" i="7"/>
  <c r="W567" i="7"/>
  <c r="D567" i="7"/>
  <c r="B567" i="7" s="1" a="1"/>
  <c r="B567" i="7" s="1"/>
  <c r="AK555" i="7"/>
  <c r="AJ555" i="7"/>
  <c r="W555" i="7"/>
  <c r="D555" i="7"/>
  <c r="B555" i="7" s="1" a="1"/>
  <c r="B555" i="7" s="1"/>
  <c r="AK554" i="7"/>
  <c r="AJ554" i="7"/>
  <c r="W554" i="7"/>
  <c r="D554" i="7"/>
  <c r="AL554" i="7" s="1"/>
  <c r="AK553" i="7"/>
  <c r="AJ553" i="7"/>
  <c r="W553" i="7"/>
  <c r="D553" i="7"/>
  <c r="B553" i="7" s="1" a="1"/>
  <c r="B553" i="7" s="1"/>
  <c r="AK552" i="7"/>
  <c r="AJ552" i="7"/>
  <c r="W552" i="7"/>
  <c r="D552" i="7"/>
  <c r="AL552" i="7" s="1"/>
  <c r="AK435" i="7"/>
  <c r="AJ435" i="7"/>
  <c r="W435" i="7"/>
  <c r="D435" i="7"/>
  <c r="AL435" i="7" s="1"/>
  <c r="AK566" i="7"/>
  <c r="AJ566" i="7"/>
  <c r="W566" i="7"/>
  <c r="D566" i="7"/>
  <c r="B566" i="7" s="1" a="1"/>
  <c r="B566" i="7" s="1"/>
  <c r="AK551" i="7"/>
  <c r="AJ551" i="7"/>
  <c r="W551" i="7"/>
  <c r="D551" i="7"/>
  <c r="B551" i="7" s="1" a="1"/>
  <c r="B551" i="7" s="1"/>
  <c r="AK434" i="7"/>
  <c r="AJ434" i="7"/>
  <c r="W434" i="7"/>
  <c r="D434" i="7"/>
  <c r="AL434" i="7" s="1"/>
  <c r="AK433" i="7"/>
  <c r="AJ433" i="7"/>
  <c r="W433" i="7"/>
  <c r="D433" i="7"/>
  <c r="AL433" i="7" s="1"/>
  <c r="AK565" i="7"/>
  <c r="AJ565" i="7"/>
  <c r="W565" i="7"/>
  <c r="D565" i="7"/>
  <c r="B565" i="7" s="1" a="1"/>
  <c r="B565" i="7" s="1"/>
  <c r="AK432" i="7"/>
  <c r="AJ432" i="7"/>
  <c r="W432" i="7"/>
  <c r="D432" i="7"/>
  <c r="B432" i="7" s="1" a="1"/>
  <c r="B432" i="7" s="1"/>
  <c r="AK550" i="7"/>
  <c r="AJ550" i="7"/>
  <c r="W550" i="7"/>
  <c r="D550" i="7"/>
  <c r="AK544" i="7"/>
  <c r="AJ544" i="7"/>
  <c r="D544" i="7"/>
  <c r="AL544" i="7" s="1"/>
  <c r="BA85" i="1"/>
  <c r="AL85" i="1"/>
  <c r="D85" i="1" s="1"/>
  <c r="B85" i="1" s="1"/>
  <c r="AI85" i="1"/>
  <c r="AI83" i="1"/>
  <c r="AL83" i="1"/>
  <c r="D83" i="1" s="1"/>
  <c r="AL90" i="1"/>
  <c r="AJ90" i="1" s="1"/>
  <c r="AI90" i="1"/>
  <c r="BA33" i="1"/>
  <c r="AL33" i="1"/>
  <c r="D33" i="1" s="1"/>
  <c r="AI33" i="1"/>
  <c r="AL88" i="1"/>
  <c r="D88" i="1" s="1"/>
  <c r="AL89" i="1"/>
  <c r="D89" i="1" s="1"/>
  <c r="AL84" i="1"/>
  <c r="AL91" i="1"/>
  <c r="D91" i="1" s="1"/>
  <c r="AL92" i="1"/>
  <c r="D92" i="1" s="1"/>
  <c r="B92" i="1" s="1"/>
  <c r="BA63" i="1"/>
  <c r="BA55" i="1"/>
  <c r="AI55" i="1"/>
  <c r="AL55" i="1"/>
  <c r="S29" i="6"/>
  <c r="T29" i="6"/>
  <c r="C29" i="6"/>
  <c r="B29" i="6" s="1" a="1"/>
  <c r="B29" i="6" s="1"/>
  <c r="AL75" i="1"/>
  <c r="AL206" i="1"/>
  <c r="D206" i="1" s="1"/>
  <c r="AL68" i="1"/>
  <c r="AL93" i="1"/>
  <c r="D93" i="1" s="1"/>
  <c r="B93" i="1" s="1"/>
  <c r="BA65" i="1"/>
  <c r="AI65" i="1"/>
  <c r="AN65" i="1"/>
  <c r="AL65" i="1"/>
  <c r="AI69" i="1"/>
  <c r="AI232" i="1"/>
  <c r="AI226" i="1"/>
  <c r="AL226" i="1"/>
  <c r="D226" i="1" s="1"/>
  <c r="AI95" i="1"/>
  <c r="AL95" i="1"/>
  <c r="D95" i="1" s="1"/>
  <c r="W283" i="7"/>
  <c r="AJ283" i="7"/>
  <c r="AK283" i="7"/>
  <c r="D283" i="7"/>
  <c r="B283" i="7" s="1" a="1"/>
  <c r="B283" i="7" s="1"/>
  <c r="AW25" i="1"/>
  <c r="AI194" i="1"/>
  <c r="AK570" i="7"/>
  <c r="AK571" i="7"/>
  <c r="AK572" i="7"/>
  <c r="AK573" i="7"/>
  <c r="AK574" i="7"/>
  <c r="AK575" i="7"/>
  <c r="AK576" i="7"/>
  <c r="AJ570" i="7"/>
  <c r="AJ571" i="7"/>
  <c r="AJ572" i="7"/>
  <c r="AJ573" i="7"/>
  <c r="AJ574" i="7"/>
  <c r="AJ575" i="7"/>
  <c r="AJ576" i="7"/>
  <c r="W570" i="7"/>
  <c r="W571" i="7"/>
  <c r="W572" i="7"/>
  <c r="W573" i="7"/>
  <c r="W574" i="7"/>
  <c r="W575" i="7"/>
  <c r="W576" i="7"/>
  <c r="D570" i="7"/>
  <c r="B570" i="7" s="1" a="1"/>
  <c r="B570" i="7" s="1"/>
  <c r="D571" i="7"/>
  <c r="D572" i="7"/>
  <c r="AL572" i="7" s="1"/>
  <c r="D573" i="7"/>
  <c r="AL573" i="7" s="1"/>
  <c r="D574" i="7"/>
  <c r="AL574" i="7" s="1"/>
  <c r="D575" i="7"/>
  <c r="B575" i="7" s="1" a="1"/>
  <c r="B575" i="7" s="1"/>
  <c r="D576" i="7"/>
  <c r="B576" i="7" s="1" a="1"/>
  <c r="B576" i="7" s="1"/>
  <c r="W32" i="6"/>
  <c r="X32" i="6" s="1"/>
  <c r="T32" i="6" s="1"/>
  <c r="S32" i="6"/>
  <c r="C32" i="6"/>
  <c r="B32" i="6" s="1" a="1"/>
  <c r="B32" i="6" s="1"/>
  <c r="AL98" i="1"/>
  <c r="AL80" i="1"/>
  <c r="D80" i="1" s="1"/>
  <c r="AL94" i="1"/>
  <c r="D94" i="1" s="1"/>
  <c r="AL99" i="1"/>
  <c r="D99" i="1" s="1"/>
  <c r="B99" i="1" s="1"/>
  <c r="AL79" i="1"/>
  <c r="D79" i="1" s="1"/>
  <c r="AL100" i="1"/>
  <c r="AL101" i="1"/>
  <c r="D101" i="1" s="1"/>
  <c r="AL209" i="1"/>
  <c r="BA100" i="1"/>
  <c r="AI100" i="1"/>
  <c r="T31" i="6"/>
  <c r="S31" i="6"/>
  <c r="C31" i="6"/>
  <c r="B31" i="6" s="1" a="1"/>
  <c r="B31" i="6" s="1"/>
  <c r="BA75" i="1"/>
  <c r="AI75" i="1"/>
  <c r="BA206" i="1"/>
  <c r="AI206" i="1"/>
  <c r="AK282" i="7"/>
  <c r="AJ282" i="7"/>
  <c r="D282" i="7"/>
  <c r="AL282" i="7" s="1"/>
  <c r="AI79" i="1"/>
  <c r="T105" i="6"/>
  <c r="S105" i="6"/>
  <c r="AI91" i="1"/>
  <c r="AN232" i="1"/>
  <c r="AL232" i="1"/>
  <c r="D232" i="1" s="1"/>
  <c r="AN99" i="1"/>
  <c r="AI99" i="1"/>
  <c r="S120" i="6"/>
  <c r="T120" i="6"/>
  <c r="X2" i="8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Z2" i="8" s="1"/>
  <c r="BA2" i="8" s="1"/>
  <c r="BB2" i="8" s="1"/>
  <c r="BC2" i="8" s="1"/>
  <c r="BD2" i="8" s="1"/>
  <c r="BE2" i="8" s="1"/>
  <c r="BF2" i="8" s="1"/>
  <c r="BG2" i="8" s="1"/>
  <c r="BH2" i="8" s="1"/>
  <c r="BI2" i="8" s="1"/>
  <c r="BJ2" i="8" s="1"/>
  <c r="BK2" i="8" s="1"/>
  <c r="BL2" i="8" s="1"/>
  <c r="BM2" i="8" s="1"/>
  <c r="BN2" i="8" s="1"/>
  <c r="BO2" i="8" s="1"/>
  <c r="BP2" i="8" s="1"/>
  <c r="BQ2" i="8" s="1"/>
  <c r="BR2" i="8" s="1"/>
  <c r="BS2" i="8" s="1"/>
  <c r="BT2" i="8" s="1"/>
  <c r="BU2" i="8" s="1"/>
  <c r="BV2" i="8" s="1"/>
  <c r="BW2" i="8" s="1"/>
  <c r="AV520" i="1"/>
  <c r="AM520" i="1"/>
  <c r="AL103" i="1"/>
  <c r="D103" i="1" s="1"/>
  <c r="B103" i="1" s="1"/>
  <c r="AL104" i="1"/>
  <c r="AJ104" i="1" s="1"/>
  <c r="AL105" i="1"/>
  <c r="AJ105" i="1" s="1"/>
  <c r="AL106" i="1"/>
  <c r="AL196" i="1"/>
  <c r="AL107" i="1"/>
  <c r="D107" i="1" s="1"/>
  <c r="B107" i="1" s="1"/>
  <c r="AN89" i="1"/>
  <c r="AI89" i="1"/>
  <c r="AI68" i="1"/>
  <c r="AI71" i="1"/>
  <c r="S121" i="6"/>
  <c r="T121" i="6"/>
  <c r="D593" i="7"/>
  <c r="AL593" i="7" s="1"/>
  <c r="W593" i="7"/>
  <c r="AJ593" i="7"/>
  <c r="AK593" i="7"/>
  <c r="D594" i="7"/>
  <c r="AL594" i="7" s="1"/>
  <c r="W594" i="7"/>
  <c r="AJ594" i="7"/>
  <c r="AK594" i="7"/>
  <c r="D595" i="7"/>
  <c r="AL595" i="7" s="1"/>
  <c r="W595" i="7"/>
  <c r="AJ595" i="7"/>
  <c r="AK595" i="7"/>
  <c r="D596" i="7"/>
  <c r="AL596" i="7" s="1"/>
  <c r="W596" i="7"/>
  <c r="AJ596" i="7"/>
  <c r="AK596" i="7"/>
  <c r="D597" i="7"/>
  <c r="AL597" i="7" s="1"/>
  <c r="W597" i="7"/>
  <c r="AJ597" i="7"/>
  <c r="AK597" i="7"/>
  <c r="D598" i="7"/>
  <c r="AL598" i="7" s="1"/>
  <c r="W598" i="7"/>
  <c r="AJ598" i="7"/>
  <c r="AK598" i="7"/>
  <c r="D599" i="7"/>
  <c r="B599" i="7" s="1" a="1"/>
  <c r="B599" i="7" s="1"/>
  <c r="W599" i="7"/>
  <c r="AJ599" i="7"/>
  <c r="AK599" i="7"/>
  <c r="D443" i="7"/>
  <c r="AL443" i="7" s="1"/>
  <c r="W443" i="7"/>
  <c r="AJ443" i="7"/>
  <c r="AK443" i="7"/>
  <c r="D600" i="7"/>
  <c r="B600" i="7" s="1" a="1"/>
  <c r="B600" i="7" s="1"/>
  <c r="W600" i="7"/>
  <c r="AJ600" i="7"/>
  <c r="AK600" i="7"/>
  <c r="D446" i="7"/>
  <c r="AL446" i="7" s="1"/>
  <c r="W446" i="7"/>
  <c r="AJ446" i="7"/>
  <c r="AK446" i="7"/>
  <c r="D601" i="7"/>
  <c r="AL601" i="7" s="1"/>
  <c r="W601" i="7"/>
  <c r="AJ601" i="7"/>
  <c r="AK601" i="7"/>
  <c r="D602" i="7"/>
  <c r="AL602" i="7" s="1"/>
  <c r="W602" i="7"/>
  <c r="AJ602" i="7"/>
  <c r="AK602" i="7"/>
  <c r="W284" i="7"/>
  <c r="D284" i="7"/>
  <c r="B284" i="7" s="1" a="1"/>
  <c r="B284" i="7" s="1"/>
  <c r="AJ284" i="7"/>
  <c r="AK284" i="7"/>
  <c r="AI26" i="1"/>
  <c r="AI32" i="1"/>
  <c r="AI31" i="1"/>
  <c r="AI28" i="1"/>
  <c r="AI218" i="1"/>
  <c r="AI219" i="1"/>
  <c r="AI36" i="1"/>
  <c r="AI217" i="1"/>
  <c r="AI24" i="1"/>
  <c r="AI229" i="1"/>
  <c r="AI234" i="1"/>
  <c r="AI27" i="1"/>
  <c r="AI23" i="1"/>
  <c r="AI46" i="1"/>
  <c r="AI30" i="1"/>
  <c r="AI25" i="1"/>
  <c r="AI92" i="1"/>
  <c r="AI101" i="1"/>
  <c r="AI215" i="1"/>
  <c r="AI223" i="1"/>
  <c r="AI81" i="1"/>
  <c r="AI209" i="1"/>
  <c r="AI56" i="1"/>
  <c r="AI74" i="1"/>
  <c r="AI87" i="1"/>
  <c r="AI233" i="1"/>
  <c r="AI105" i="1"/>
  <c r="AI106" i="1"/>
  <c r="AI97" i="1"/>
  <c r="AI103" i="1"/>
  <c r="AI108" i="1"/>
  <c r="AI98" i="1"/>
  <c r="AI107" i="1"/>
  <c r="AI96" i="1"/>
  <c r="AI176" i="1"/>
  <c r="AI58" i="1"/>
  <c r="AI80" i="1"/>
  <c r="AI110" i="1"/>
  <c r="AI207" i="1"/>
  <c r="AI208" i="1"/>
  <c r="AI196" i="1"/>
  <c r="AI506" i="1"/>
  <c r="AI111" i="1"/>
  <c r="AI231" i="1"/>
  <c r="AI102" i="1"/>
  <c r="AI104" i="1"/>
  <c r="AI84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9" i="1"/>
  <c r="AL506" i="1"/>
  <c r="AL111" i="1"/>
  <c r="D111" i="1" s="1"/>
  <c r="AL231" i="1"/>
  <c r="D231" i="1" s="1"/>
  <c r="B231" i="1" s="1"/>
  <c r="AL102" i="1"/>
  <c r="D102" i="1" s="1"/>
  <c r="AL114" i="1"/>
  <c r="D114" i="1" s="1"/>
  <c r="B114" i="1" s="1"/>
  <c r="AL122" i="1"/>
  <c r="AJ122" i="1" s="1"/>
  <c r="AL116" i="1"/>
  <c r="AL58" i="1"/>
  <c r="D58" i="1" s="1"/>
  <c r="AL110" i="1"/>
  <c r="D110" i="1" s="1"/>
  <c r="AL207" i="1"/>
  <c r="AL208" i="1"/>
  <c r="AN215" i="1"/>
  <c r="AL215" i="1"/>
  <c r="D215" i="1" s="1"/>
  <c r="B215" i="1" s="1"/>
  <c r="BA111" i="1"/>
  <c r="BA231" i="1"/>
  <c r="AK620" i="7"/>
  <c r="BA127" i="1"/>
  <c r="AL127" i="1"/>
  <c r="D127" i="1" s="1"/>
  <c r="AI127" i="1"/>
  <c r="BA136" i="1"/>
  <c r="AL136" i="1"/>
  <c r="D136" i="1" s="1"/>
  <c r="B136" i="1" s="1"/>
  <c r="AI136" i="1"/>
  <c r="BA128" i="1"/>
  <c r="AL128" i="1"/>
  <c r="D128" i="1" s="1"/>
  <c r="AI128" i="1"/>
  <c r="BA121" i="1"/>
  <c r="AL121" i="1"/>
  <c r="D121" i="1" s="1"/>
  <c r="B121" i="1" s="1"/>
  <c r="AI121" i="1"/>
  <c r="BA117" i="1"/>
  <c r="AL117" i="1"/>
  <c r="D117" i="1" s="1"/>
  <c r="AI117" i="1"/>
  <c r="BA116" i="1"/>
  <c r="AI116" i="1"/>
  <c r="AI436" i="1"/>
  <c r="BA436" i="1"/>
  <c r="AL436" i="1"/>
  <c r="D436" i="1" s="1"/>
  <c r="T28" i="6"/>
  <c r="S28" i="6"/>
  <c r="BA119" i="1"/>
  <c r="AL119" i="1"/>
  <c r="D119" i="1" s="1"/>
  <c r="B119" i="1" s="1"/>
  <c r="AI119" i="1"/>
  <c r="BA120" i="1"/>
  <c r="AL120" i="1"/>
  <c r="D120" i="1" s="1"/>
  <c r="AI120" i="1"/>
  <c r="BA118" i="1"/>
  <c r="AL118" i="1"/>
  <c r="AI118" i="1"/>
  <c r="AL96" i="1"/>
  <c r="AI122" i="1"/>
  <c r="BA94" i="1"/>
  <c r="AI94" i="1"/>
  <c r="BA110" i="1"/>
  <c r="BA80" i="1"/>
  <c r="AI115" i="1"/>
  <c r="BA113" i="1"/>
  <c r="AL113" i="1"/>
  <c r="D113" i="1" s="1"/>
  <c r="AI113" i="1"/>
  <c r="AL115" i="1"/>
  <c r="D115" i="1" s="1"/>
  <c r="B115" i="1" s="1"/>
  <c r="AL345" i="1"/>
  <c r="D345" i="1" s="1"/>
  <c r="AL233" i="1"/>
  <c r="D233" i="1" s="1"/>
  <c r="B233" i="1" s="1"/>
  <c r="AL112" i="1"/>
  <c r="D112" i="1" s="1"/>
  <c r="BA115" i="1"/>
  <c r="BA228" i="1"/>
  <c r="AL228" i="1"/>
  <c r="D228" i="1" s="1"/>
  <c r="B228" i="1" s="1"/>
  <c r="AI228" i="1"/>
  <c r="BA112" i="1"/>
  <c r="AI112" i="1"/>
  <c r="BA209" i="1"/>
  <c r="BA93" i="1"/>
  <c r="AI93" i="1"/>
  <c r="D624" i="7"/>
  <c r="W624" i="7"/>
  <c r="T122" i="6"/>
  <c r="S122" i="6"/>
  <c r="AN108" i="1"/>
  <c r="AL108" i="1"/>
  <c r="D108" i="1" s="1"/>
  <c r="BA108" i="1"/>
  <c r="AK621" i="7"/>
  <c r="AK447" i="7"/>
  <c r="AK622" i="7"/>
  <c r="AK623" i="7"/>
  <c r="AK624" i="7"/>
  <c r="AK625" i="7"/>
  <c r="AK626" i="7"/>
  <c r="AK627" i="7"/>
  <c r="AK628" i="7"/>
  <c r="AK629" i="7"/>
  <c r="AK630" i="7"/>
  <c r="AK631" i="7"/>
  <c r="AK632" i="7"/>
  <c r="AK445" i="7"/>
  <c r="AK633" i="7"/>
  <c r="AK634" i="7"/>
  <c r="AJ620" i="7"/>
  <c r="AJ621" i="7"/>
  <c r="AJ447" i="7"/>
  <c r="AJ622" i="7"/>
  <c r="AJ623" i="7"/>
  <c r="AJ624" i="7"/>
  <c r="AJ625" i="7"/>
  <c r="AJ626" i="7"/>
  <c r="AJ627" i="7"/>
  <c r="AJ628" i="7"/>
  <c r="AJ629" i="7"/>
  <c r="AJ630" i="7"/>
  <c r="AJ631" i="7"/>
  <c r="AJ632" i="7"/>
  <c r="AJ445" i="7"/>
  <c r="AJ633" i="7"/>
  <c r="AJ634" i="7"/>
  <c r="W626" i="7"/>
  <c r="W621" i="7"/>
  <c r="W447" i="7"/>
  <c r="W622" i="7"/>
  <c r="W625" i="7"/>
  <c r="W627" i="7"/>
  <c r="W628" i="7"/>
  <c r="W629" i="7"/>
  <c r="W630" i="7"/>
  <c r="W631" i="7"/>
  <c r="W620" i="7"/>
  <c r="D620" i="7"/>
  <c r="AL620" i="7" s="1"/>
  <c r="D621" i="7"/>
  <c r="AL621" i="7" s="1"/>
  <c r="D447" i="7"/>
  <c r="B447" i="7" s="1" a="1"/>
  <c r="B447" i="7" s="1"/>
  <c r="D622" i="7"/>
  <c r="AL622" i="7" s="1"/>
  <c r="D623" i="7"/>
  <c r="AL623" i="7" s="1"/>
  <c r="D625" i="7"/>
  <c r="B625" i="7" s="1" a="1"/>
  <c r="B625" i="7" s="1"/>
  <c r="D626" i="7"/>
  <c r="B626" i="7" s="1" a="1"/>
  <c r="B626" i="7" s="1"/>
  <c r="D627" i="7"/>
  <c r="AL627" i="7" s="1"/>
  <c r="D628" i="7"/>
  <c r="AL628" i="7" s="1"/>
  <c r="D629" i="7"/>
  <c r="B629" i="7" s="1" a="1"/>
  <c r="B629" i="7" s="1"/>
  <c r="D630" i="7"/>
  <c r="D631" i="7"/>
  <c r="B631" i="7" s="1" a="1"/>
  <c r="B631" i="7" s="1"/>
  <c r="D632" i="7"/>
  <c r="AL632" i="7" s="1"/>
  <c r="D445" i="7"/>
  <c r="B445" i="7" s="1" a="1"/>
  <c r="B445" i="7" s="1"/>
  <c r="D633" i="7"/>
  <c r="AL633" i="7" s="1"/>
  <c r="D634" i="7"/>
  <c r="AL634" i="7" s="1"/>
  <c r="AK635" i="7"/>
  <c r="AJ635" i="7"/>
  <c r="W635" i="7"/>
  <c r="D635" i="7"/>
  <c r="AJ466" i="7"/>
  <c r="AK466" i="7"/>
  <c r="AJ467" i="7"/>
  <c r="AK467" i="7"/>
  <c r="AJ468" i="7"/>
  <c r="AK468" i="7"/>
  <c r="AJ469" i="7"/>
  <c r="AK469" i="7"/>
  <c r="AJ470" i="7"/>
  <c r="AK470" i="7"/>
  <c r="AJ670" i="7"/>
  <c r="AK670" i="7"/>
  <c r="D470" i="7"/>
  <c r="B470" i="7" s="1" a="1"/>
  <c r="B470" i="7" s="1"/>
  <c r="D670" i="7"/>
  <c r="B670" i="7" s="1" a="1"/>
  <c r="B670" i="7" s="1"/>
  <c r="W577" i="7"/>
  <c r="W578" i="7"/>
  <c r="W579" i="7"/>
  <c r="W580" i="7"/>
  <c r="W581" i="7"/>
  <c r="W582" i="7"/>
  <c r="W648" i="7"/>
  <c r="W583" i="7"/>
  <c r="W584" i="7"/>
  <c r="W585" i="7"/>
  <c r="W586" i="7"/>
  <c r="W649" i="7"/>
  <c r="W587" i="7"/>
  <c r="W588" i="7"/>
  <c r="W589" i="7"/>
  <c r="W285" i="7"/>
  <c r="W590" i="7"/>
  <c r="W591" i="7"/>
  <c r="W286" i="7"/>
  <c r="W592" i="7"/>
  <c r="W603" i="7"/>
  <c r="W636" i="7"/>
  <c r="W637" i="7"/>
  <c r="AJ577" i="7"/>
  <c r="AK577" i="7"/>
  <c r="AJ578" i="7"/>
  <c r="AK578" i="7"/>
  <c r="AJ579" i="7"/>
  <c r="AK579" i="7"/>
  <c r="AJ580" i="7"/>
  <c r="AK580" i="7"/>
  <c r="AJ581" i="7"/>
  <c r="AK581" i="7"/>
  <c r="AJ582" i="7"/>
  <c r="AK582" i="7"/>
  <c r="AJ648" i="7"/>
  <c r="AK648" i="7"/>
  <c r="AJ583" i="7"/>
  <c r="AK583" i="7"/>
  <c r="AJ584" i="7"/>
  <c r="AK584" i="7"/>
  <c r="AJ585" i="7"/>
  <c r="AK585" i="7"/>
  <c r="AJ586" i="7"/>
  <c r="AK586" i="7"/>
  <c r="AJ649" i="7"/>
  <c r="AK649" i="7"/>
  <c r="AJ587" i="7"/>
  <c r="AK587" i="7"/>
  <c r="AJ588" i="7"/>
  <c r="AK588" i="7"/>
  <c r="AJ589" i="7"/>
  <c r="AK589" i="7"/>
  <c r="AJ285" i="7"/>
  <c r="AK285" i="7"/>
  <c r="AJ590" i="7"/>
  <c r="AK590" i="7"/>
  <c r="AJ591" i="7"/>
  <c r="AK591" i="7"/>
  <c r="AJ286" i="7"/>
  <c r="AK286" i="7"/>
  <c r="AJ592" i="7"/>
  <c r="AK592" i="7"/>
  <c r="AJ603" i="7"/>
  <c r="AK603" i="7"/>
  <c r="AJ636" i="7"/>
  <c r="AK636" i="7"/>
  <c r="AJ637" i="7"/>
  <c r="AK637" i="7"/>
  <c r="D577" i="7"/>
  <c r="AL577" i="7" s="1"/>
  <c r="D578" i="7"/>
  <c r="B578" i="7" s="1" a="1"/>
  <c r="B578" i="7" s="1"/>
  <c r="D579" i="7"/>
  <c r="B579" i="7" s="1" a="1"/>
  <c r="B579" i="7" s="1"/>
  <c r="D580" i="7"/>
  <c r="B580" i="7" s="1" a="1"/>
  <c r="B580" i="7" s="1"/>
  <c r="D581" i="7"/>
  <c r="AL581" i="7" s="1"/>
  <c r="D582" i="7"/>
  <c r="B582" i="7" s="1" a="1"/>
  <c r="B582" i="7" s="1"/>
  <c r="D648" i="7"/>
  <c r="B648" i="7" s="1" a="1"/>
  <c r="B648" i="7" s="1"/>
  <c r="D583" i="7"/>
  <c r="B583" i="7" s="1" a="1"/>
  <c r="B583" i="7" s="1"/>
  <c r="D584" i="7"/>
  <c r="B584" i="7" s="1" a="1"/>
  <c r="B584" i="7" s="1"/>
  <c r="D585" i="7"/>
  <c r="D586" i="7"/>
  <c r="AL586" i="7" s="1"/>
  <c r="D649" i="7"/>
  <c r="AL649" i="7" s="1"/>
  <c r="D587" i="7"/>
  <c r="B587" i="7" s="1" a="1"/>
  <c r="B587" i="7" s="1"/>
  <c r="D588" i="7"/>
  <c r="AL588" i="7" s="1"/>
  <c r="D589" i="7"/>
  <c r="AL589" i="7" s="1"/>
  <c r="D285" i="7"/>
  <c r="B285" i="7" s="1" a="1"/>
  <c r="B285" i="7" s="1"/>
  <c r="D590" i="7"/>
  <c r="AL590" i="7" s="1"/>
  <c r="D591" i="7"/>
  <c r="B591" i="7" s="1" a="1"/>
  <c r="B591" i="7" s="1"/>
  <c r="D286" i="7"/>
  <c r="AL286" i="7" s="1"/>
  <c r="D592" i="7"/>
  <c r="D603" i="7"/>
  <c r="AL603" i="7" s="1"/>
  <c r="D636" i="7"/>
  <c r="B636" i="7" s="1" a="1"/>
  <c r="B636" i="7" s="1"/>
  <c r="D637" i="7"/>
  <c r="B637" i="7" s="1" a="1"/>
  <c r="B637" i="7" s="1"/>
  <c r="BA475" i="1"/>
  <c r="AL475" i="1"/>
  <c r="AI475" i="1"/>
  <c r="BA123" i="1"/>
  <c r="AI123" i="1"/>
  <c r="AL123" i="1"/>
  <c r="D123" i="1" s="1"/>
  <c r="B123" i="1" s="1"/>
  <c r="BA107" i="1"/>
  <c r="C35" i="6"/>
  <c r="B35" i="6" s="1" a="1"/>
  <c r="B35" i="6" s="1"/>
  <c r="S35" i="6"/>
  <c r="T35" i="6"/>
  <c r="C36" i="6"/>
  <c r="B36" i="6" s="1" a="1"/>
  <c r="B36" i="6" s="1"/>
  <c r="S36" i="6"/>
  <c r="T36" i="6"/>
  <c r="S34" i="6"/>
  <c r="T34" i="6"/>
  <c r="C34" i="6"/>
  <c r="B34" i="6" s="1" a="1"/>
  <c r="B34" i="6" s="1"/>
  <c r="S33" i="6"/>
  <c r="T33" i="6"/>
  <c r="C33" i="6"/>
  <c r="B33" i="6" s="1" a="1"/>
  <c r="B33" i="6" s="1"/>
  <c r="AK448" i="7"/>
  <c r="AJ448" i="7"/>
  <c r="D448" i="7"/>
  <c r="AL448" i="7" s="1"/>
  <c r="AI124" i="1"/>
  <c r="AL124" i="1"/>
  <c r="D124" i="1" s="1"/>
  <c r="B124" i="1" s="1"/>
  <c r="BA124" i="1"/>
  <c r="AJ672" i="7"/>
  <c r="AK672" i="7"/>
  <c r="AJ673" i="7"/>
  <c r="AK673" i="7"/>
  <c r="AJ291" i="7"/>
  <c r="AK291" i="7"/>
  <c r="AJ450" i="7"/>
  <c r="AK450" i="7"/>
  <c r="AJ674" i="7"/>
  <c r="AK674" i="7"/>
  <c r="AJ669" i="7"/>
  <c r="AK669" i="7"/>
  <c r="AJ671" i="7"/>
  <c r="AK671" i="7"/>
  <c r="BA72" i="1"/>
  <c r="BA506" i="1"/>
  <c r="BA103" i="1"/>
  <c r="BA129" i="1"/>
  <c r="BA130" i="1"/>
  <c r="BA224" i="1"/>
  <c r="BA132" i="1"/>
  <c r="BA133" i="1"/>
  <c r="BA87" i="1"/>
  <c r="BA131" i="1"/>
  <c r="BA134" i="1"/>
  <c r="BA135" i="1"/>
  <c r="BA140" i="1"/>
  <c r="BA109" i="1"/>
  <c r="BA137" i="1"/>
  <c r="BA138" i="1"/>
  <c r="BA139" i="1"/>
  <c r="BA141" i="1"/>
  <c r="BA142" i="1"/>
  <c r="BA98" i="1"/>
  <c r="BA144" i="1"/>
  <c r="BA145" i="1"/>
  <c r="BA146" i="1"/>
  <c r="BA152" i="1"/>
  <c r="BA270" i="1"/>
  <c r="BA147" i="1"/>
  <c r="BA178" i="1"/>
  <c r="BA148" i="1"/>
  <c r="BA151" i="1"/>
  <c r="BA150" i="1"/>
  <c r="BA149" i="1"/>
  <c r="BA179" i="1"/>
  <c r="BA153" i="1"/>
  <c r="BA155" i="1"/>
  <c r="BA156" i="1"/>
  <c r="BA158" i="1"/>
  <c r="BA157" i="1"/>
  <c r="BA159" i="1"/>
  <c r="BA160" i="1"/>
  <c r="BA161" i="1"/>
  <c r="BA162" i="1"/>
  <c r="BA56" i="1"/>
  <c r="BA295" i="1"/>
  <c r="BA154" i="1"/>
  <c r="BA389" i="1"/>
  <c r="BA445" i="1"/>
  <c r="BA193" i="1"/>
  <c r="BA86" i="1"/>
  <c r="BA195" i="1"/>
  <c r="BA454" i="1"/>
  <c r="BA462" i="1"/>
  <c r="BA337" i="1"/>
  <c r="BA268" i="1"/>
  <c r="BA227" i="1"/>
  <c r="BA450" i="1"/>
  <c r="BA259" i="1"/>
  <c r="BA250" i="1"/>
  <c r="BA468" i="1"/>
  <c r="BA341" i="1"/>
  <c r="BA364" i="1"/>
  <c r="BA326" i="1"/>
  <c r="BA425" i="1"/>
  <c r="BA499" i="1"/>
  <c r="BA463" i="1"/>
  <c r="BA356" i="1"/>
  <c r="BA275" i="1"/>
  <c r="BA284" i="1"/>
  <c r="BA269" i="1"/>
  <c r="BA344" i="1"/>
  <c r="BA236" i="1"/>
  <c r="BA310" i="1"/>
  <c r="BA353" i="1"/>
  <c r="BA101" i="1"/>
  <c r="BA283" i="1"/>
  <c r="BA496" i="1"/>
  <c r="BA420" i="1"/>
  <c r="BA409" i="1"/>
  <c r="BA307" i="1"/>
  <c r="BA473" i="1"/>
  <c r="BA423" i="1"/>
  <c r="BA242" i="1"/>
  <c r="BA267" i="1"/>
  <c r="BA398" i="1"/>
  <c r="BA408" i="1"/>
  <c r="BA317" i="1"/>
  <c r="BA448" i="1"/>
  <c r="BA458" i="1"/>
  <c r="BA440" i="1"/>
  <c r="BA501" i="1"/>
  <c r="BA500" i="1"/>
  <c r="BA243" i="1"/>
  <c r="BA444" i="1"/>
  <c r="BA503" i="1"/>
  <c r="BA459" i="1"/>
  <c r="BA495" i="1"/>
  <c r="BA361" i="1"/>
  <c r="BA358" i="1"/>
  <c r="BA461" i="1"/>
  <c r="BA314" i="1"/>
  <c r="BA247" i="1"/>
  <c r="BA373" i="1"/>
  <c r="BA484" i="1"/>
  <c r="BA417" i="1"/>
  <c r="BA363" i="1"/>
  <c r="BA276" i="1"/>
  <c r="BA381" i="1"/>
  <c r="BA319" i="1"/>
  <c r="BA278" i="1"/>
  <c r="BA285" i="1"/>
  <c r="BA469" i="1"/>
  <c r="BA315" i="1"/>
  <c r="BA325" i="1"/>
  <c r="BA507" i="1"/>
  <c r="BA446" i="1"/>
  <c r="BA292" i="1"/>
  <c r="BA489" i="1"/>
  <c r="BA407" i="1"/>
  <c r="BA426" i="1"/>
  <c r="BA265" i="1"/>
  <c r="BA460" i="1"/>
  <c r="BA385" i="1"/>
  <c r="BA396" i="1"/>
  <c r="BA401" i="1"/>
  <c r="BA260" i="1"/>
  <c r="BA509" i="1"/>
  <c r="BA419" i="1"/>
  <c r="BA366" i="1"/>
  <c r="BA355" i="1"/>
  <c r="BA502" i="1"/>
  <c r="BA256" i="1"/>
  <c r="BA471" i="1"/>
  <c r="BA402" i="1"/>
  <c r="BA403" i="1"/>
  <c r="BA430" i="1"/>
  <c r="BA264" i="1"/>
  <c r="BA429" i="1"/>
  <c r="BA248" i="1"/>
  <c r="BA246" i="1"/>
  <c r="BA431" i="1"/>
  <c r="BA474" i="1"/>
  <c r="BA343" i="1"/>
  <c r="BA472" i="1"/>
  <c r="BA299" i="1"/>
  <c r="BA510" i="1"/>
  <c r="BA412" i="1"/>
  <c r="BA289" i="1"/>
  <c r="BA323" i="1"/>
  <c r="BA441" i="1"/>
  <c r="BA457" i="1"/>
  <c r="BA245" i="1"/>
  <c r="BA357" i="1"/>
  <c r="BA272" i="1"/>
  <c r="BA262" i="1"/>
  <c r="BA391" i="1"/>
  <c r="BA244" i="1"/>
  <c r="BA266" i="1"/>
  <c r="BA480" i="1"/>
  <c r="BA300" i="1"/>
  <c r="BA428" i="1"/>
  <c r="BA273" i="1"/>
  <c r="BA455" i="1"/>
  <c r="BA286" i="1"/>
  <c r="BA377" i="1"/>
  <c r="BA367" i="1"/>
  <c r="BA390" i="1"/>
  <c r="BA477" i="1"/>
  <c r="BA114" i="1"/>
  <c r="BA488" i="1"/>
  <c r="BA483" i="1"/>
  <c r="BA271" i="1"/>
  <c r="BA435" i="1"/>
  <c r="BA433" i="1"/>
  <c r="BA340" i="1"/>
  <c r="BA241" i="1"/>
  <c r="BA240" i="1"/>
  <c r="BA493" i="1"/>
  <c r="BA453" i="1"/>
  <c r="BA88" i="1"/>
  <c r="BA293" i="1"/>
  <c r="BA324" i="1"/>
  <c r="BA478" i="1"/>
  <c r="BA421" i="1"/>
  <c r="BA476" i="1"/>
  <c r="BA338" i="1"/>
  <c r="BA375" i="1"/>
  <c r="BA414" i="1"/>
  <c r="BA327" i="1"/>
  <c r="BA384" i="1"/>
  <c r="BA443" i="1"/>
  <c r="BA303" i="1"/>
  <c r="BA405" i="1"/>
  <c r="BA376" i="1"/>
  <c r="BA279" i="1"/>
  <c r="BA297" i="1"/>
  <c r="BA470" i="1"/>
  <c r="BA497" i="1"/>
  <c r="BA442" i="1"/>
  <c r="BA308" i="1"/>
  <c r="BA395" i="1"/>
  <c r="BA438" i="1"/>
  <c r="BA410" i="1"/>
  <c r="BA335" i="1"/>
  <c r="BA359" i="1"/>
  <c r="BA274" i="1"/>
  <c r="BA371" i="1"/>
  <c r="BA492" i="1"/>
  <c r="BA339" i="1"/>
  <c r="BA383" i="1"/>
  <c r="BA294" i="1"/>
  <c r="BA362" i="1"/>
  <c r="BA434" i="1"/>
  <c r="BA321" i="1"/>
  <c r="BA394" i="1"/>
  <c r="BA508" i="1"/>
  <c r="BA399" i="1"/>
  <c r="BA350" i="1"/>
  <c r="BA416" i="1"/>
  <c r="BA288" i="1"/>
  <c r="BA280" i="1"/>
  <c r="BA392" i="1"/>
  <c r="BA249" i="1"/>
  <c r="BA465" i="1"/>
  <c r="BA382" i="1"/>
  <c r="BA320" i="1"/>
  <c r="BA404" i="1"/>
  <c r="BA281" i="1"/>
  <c r="BA467" i="1"/>
  <c r="BA257" i="1"/>
  <c r="BA349" i="1"/>
  <c r="BA336" i="1"/>
  <c r="BA418" i="1"/>
  <c r="BA397" i="1"/>
  <c r="BA287" i="1"/>
  <c r="BA346" i="1"/>
  <c r="BA466" i="1"/>
  <c r="BA464" i="1"/>
  <c r="BA449" i="1"/>
  <c r="BA291" i="1"/>
  <c r="BA342" i="1"/>
  <c r="BA432" i="1"/>
  <c r="BA365" i="1"/>
  <c r="BA505" i="1"/>
  <c r="BA372" i="1"/>
  <c r="BA439" i="1"/>
  <c r="BA296" i="1"/>
  <c r="BA374" i="1"/>
  <c r="BA290" i="1"/>
  <c r="BA282" i="1"/>
  <c r="BA481" i="1"/>
  <c r="BA277" i="1"/>
  <c r="AI126" i="1"/>
  <c r="AI125" i="1"/>
  <c r="AI72" i="1"/>
  <c r="AI129" i="1"/>
  <c r="AL74" i="1"/>
  <c r="AJ74" i="1" s="1"/>
  <c r="AL126" i="1"/>
  <c r="D126" i="1" s="1"/>
  <c r="AL125" i="1"/>
  <c r="D125" i="1" s="1"/>
  <c r="B125" i="1" s="1"/>
  <c r="AL72" i="1"/>
  <c r="D466" i="7"/>
  <c r="AL466" i="7" s="1"/>
  <c r="D467" i="7"/>
  <c r="B467" i="7" s="1" a="1"/>
  <c r="B467" i="7" s="1"/>
  <c r="AL224" i="1"/>
  <c r="D224" i="1" s="1"/>
  <c r="B224" i="1" s="1"/>
  <c r="AI224" i="1"/>
  <c r="AL46" i="1"/>
  <c r="D46" i="1" s="1"/>
  <c r="AL25" i="1"/>
  <c r="AJ25" i="1" s="1"/>
  <c r="AL378" i="1"/>
  <c r="D378" i="1" s="1"/>
  <c r="B378" i="1" s="1"/>
  <c r="AL129" i="1"/>
  <c r="D129" i="1" s="1"/>
  <c r="B129" i="1" s="1"/>
  <c r="AK654" i="7"/>
  <c r="AK655" i="7"/>
  <c r="AK656" i="7"/>
  <c r="AK657" i="7"/>
  <c r="AK658" i="7"/>
  <c r="AK659" i="7"/>
  <c r="AK660" i="7"/>
  <c r="AK661" i="7"/>
  <c r="AJ654" i="7"/>
  <c r="AJ655" i="7"/>
  <c r="AJ656" i="7"/>
  <c r="AJ657" i="7"/>
  <c r="AJ658" i="7"/>
  <c r="AJ659" i="7"/>
  <c r="AJ660" i="7"/>
  <c r="AJ661" i="7"/>
  <c r="D468" i="7"/>
  <c r="AL468" i="7" s="1"/>
  <c r="AI378" i="1"/>
  <c r="AI130" i="1"/>
  <c r="AL130" i="1"/>
  <c r="D130" i="1" s="1"/>
  <c r="AW30" i="1"/>
  <c r="AW23" i="1"/>
  <c r="AW27" i="1"/>
  <c r="AW24" i="1"/>
  <c r="AW28" i="1"/>
  <c r="AW32" i="1"/>
  <c r="AW26" i="1"/>
  <c r="AK652" i="7"/>
  <c r="AJ652" i="7"/>
  <c r="D652" i="7"/>
  <c r="AL652" i="7" s="1"/>
  <c r="AQ437" i="1"/>
  <c r="BA437" i="1" s="1"/>
  <c r="AQ306" i="1"/>
  <c r="BA306" i="1" s="1"/>
  <c r="AQ352" i="1"/>
  <c r="BA352" i="1" s="1"/>
  <c r="AQ487" i="1"/>
  <c r="BA487" i="1" s="1"/>
  <c r="AQ351" i="1"/>
  <c r="BA351" i="1" s="1"/>
  <c r="AQ485" i="1"/>
  <c r="BA485" i="1" s="1"/>
  <c r="AQ309" i="1"/>
  <c r="BA309" i="1" s="1"/>
  <c r="AQ486" i="1"/>
  <c r="BA486" i="1" s="1"/>
  <c r="AQ312" i="1"/>
  <c r="BA312" i="1" s="1"/>
  <c r="AQ305" i="1"/>
  <c r="BA305" i="1" s="1"/>
  <c r="AQ304" i="1"/>
  <c r="AQ313" i="1"/>
  <c r="BA313" i="1" s="1"/>
  <c r="AQ237" i="1"/>
  <c r="BA237" i="1" s="1"/>
  <c r="AQ386" i="1"/>
  <c r="BA386" i="1" s="1"/>
  <c r="AQ393" i="1"/>
  <c r="BA393" i="1" s="1"/>
  <c r="AQ258" i="1"/>
  <c r="BA258" i="1" s="1"/>
  <c r="AQ345" i="1"/>
  <c r="BA345" i="1" s="1"/>
  <c r="AQ62" i="1"/>
  <c r="AQ30" i="1"/>
  <c r="AL30" i="1" s="1"/>
  <c r="D30" i="1" s="1"/>
  <c r="B30" i="1" s="1"/>
  <c r="AQ6" i="1"/>
  <c r="AQ388" i="1"/>
  <c r="BA388" i="1" s="1"/>
  <c r="AQ380" i="1"/>
  <c r="BA380" i="1" s="1"/>
  <c r="AQ387" i="1"/>
  <c r="BA387" i="1" s="1"/>
  <c r="AQ348" i="1"/>
  <c r="BA348" i="1" s="1"/>
  <c r="AQ411" i="1"/>
  <c r="BA411" i="1" s="1"/>
  <c r="AN330" i="1"/>
  <c r="AQ330" i="1" s="1"/>
  <c r="BA330" i="1" s="1"/>
  <c r="AN255" i="1"/>
  <c r="AQ255" i="1" s="1"/>
  <c r="AN328" i="1"/>
  <c r="AQ328" i="1" s="1"/>
  <c r="AN332" i="1"/>
  <c r="AQ332" i="1" s="1"/>
  <c r="AN427" i="1"/>
  <c r="BA427" i="1" s="1"/>
  <c r="AN329" i="1"/>
  <c r="AN333" i="1"/>
  <c r="AQ333" i="1" s="1"/>
  <c r="AN331" i="1"/>
  <c r="AQ331" i="1" s="1"/>
  <c r="AN334" i="1"/>
  <c r="AQ334" i="1" s="1"/>
  <c r="AN413" i="1"/>
  <c r="BA413" i="1" s="1"/>
  <c r="AN360" i="1"/>
  <c r="BA360" i="1" s="1"/>
  <c r="AN251" i="1"/>
  <c r="BA251" i="1" s="1"/>
  <c r="AN252" i="1"/>
  <c r="BA252" i="1" s="1"/>
  <c r="AN253" i="1"/>
  <c r="BA253" i="1" s="1"/>
  <c r="AN379" i="1"/>
  <c r="AN239" i="1"/>
  <c r="BA239" i="1" s="1"/>
  <c r="AN254" i="1"/>
  <c r="BA254" i="1" s="1"/>
  <c r="AN261" i="1"/>
  <c r="BA261" i="1" s="1"/>
  <c r="AN347" i="1"/>
  <c r="AQ347" i="1" s="1"/>
  <c r="BA347" i="1" s="1"/>
  <c r="AN447" i="1"/>
  <c r="BA447" i="1" s="1"/>
  <c r="AN494" i="1"/>
  <c r="AQ494" i="1" s="1"/>
  <c r="AN498" i="1"/>
  <c r="BA498" i="1" s="1"/>
  <c r="AN301" i="1"/>
  <c r="BA301" i="1" s="1"/>
  <c r="AN354" i="1"/>
  <c r="BA354" i="1" s="1"/>
  <c r="AN504" i="1"/>
  <c r="AQ504" i="1" s="1"/>
  <c r="BA504" i="1" s="1"/>
  <c r="AN298" i="1"/>
  <c r="BA298" i="1" s="1"/>
  <c r="AN422" i="1"/>
  <c r="AQ422" i="1" s="1"/>
  <c r="BA422" i="1" s="1"/>
  <c r="AN490" i="1"/>
  <c r="BA490" i="1" s="1"/>
  <c r="AN82" i="1"/>
  <c r="AL82" i="1"/>
  <c r="D82" i="1" s="1"/>
  <c r="B82" i="1" s="1"/>
  <c r="AN406" i="1"/>
  <c r="BA406" i="1" s="1"/>
  <c r="AN322" i="1"/>
  <c r="BA322" i="1" s="1"/>
  <c r="AN479" i="1"/>
  <c r="BA479" i="1" s="1"/>
  <c r="AN311" i="1"/>
  <c r="AQ311" i="1" s="1"/>
  <c r="AN318" i="1"/>
  <c r="AN263" i="1"/>
  <c r="BA263" i="1" s="1"/>
  <c r="AN451" i="1"/>
  <c r="BA451" i="1" s="1"/>
  <c r="AN81" i="1"/>
  <c r="AQ81" i="1" s="1"/>
  <c r="AN424" i="1"/>
  <c r="AN369" i="1"/>
  <c r="BA369" i="1" s="1"/>
  <c r="AN456" i="1"/>
  <c r="BA456" i="1" s="1"/>
  <c r="AN316" i="1"/>
  <c r="AN370" i="1"/>
  <c r="BA370" i="1" s="1"/>
  <c r="AN491" i="1"/>
  <c r="BA491" i="1" s="1"/>
  <c r="AN238" i="1"/>
  <c r="BA238" i="1" s="1"/>
  <c r="AN400" i="1"/>
  <c r="BA400" i="1" s="1"/>
  <c r="AN302" i="1"/>
  <c r="BA302" i="1" s="1"/>
  <c r="AN225" i="1"/>
  <c r="BA225" i="1" s="1"/>
  <c r="AN210" i="1"/>
  <c r="AN161" i="1"/>
  <c r="AN150" i="1"/>
  <c r="AN97" i="1"/>
  <c r="AN134" i="1"/>
  <c r="AN223" i="1"/>
  <c r="AL223" i="1"/>
  <c r="D223" i="1" s="1"/>
  <c r="AN235" i="1"/>
  <c r="AQ235" i="1" s="1"/>
  <c r="AN17" i="1"/>
  <c r="AN16" i="1"/>
  <c r="AQ16" i="1" s="1"/>
  <c r="AN15" i="1"/>
  <c r="AQ15" i="1" s="1"/>
  <c r="AN11" i="1"/>
  <c r="AQ11" i="1" s="1"/>
  <c r="AN10" i="1"/>
  <c r="AQ10" i="1" s="1"/>
  <c r="AN9" i="1"/>
  <c r="AQ9" i="1" s="1"/>
  <c r="AN92" i="1"/>
  <c r="AN129" i="1"/>
  <c r="AN219" i="1"/>
  <c r="AQ219" i="1" s="1"/>
  <c r="AN218" i="1"/>
  <c r="AQ218" i="1" s="1"/>
  <c r="AN28" i="1"/>
  <c r="AQ28" i="1" s="1"/>
  <c r="AL28" i="1" s="1"/>
  <c r="D28" i="1" s="1"/>
  <c r="AN31" i="1"/>
  <c r="AQ31" i="1" s="1"/>
  <c r="AN32" i="1"/>
  <c r="AQ32" i="1" s="1"/>
  <c r="BA82" i="1"/>
  <c r="AL97" i="1"/>
  <c r="D97" i="1" s="1"/>
  <c r="B97" i="1" s="1"/>
  <c r="BA81" i="1"/>
  <c r="D671" i="7"/>
  <c r="B671" i="7" s="1" a="1"/>
  <c r="B671" i="7" s="1"/>
  <c r="D672" i="7"/>
  <c r="B672" i="7" s="1" a="1"/>
  <c r="B672" i="7" s="1"/>
  <c r="AI235" i="1"/>
  <c r="AL235" i="1"/>
  <c r="D235" i="1" s="1"/>
  <c r="AL131" i="1"/>
  <c r="D131" i="1" s="1"/>
  <c r="B131" i="1" s="1"/>
  <c r="AI131" i="1"/>
  <c r="AL109" i="1"/>
  <c r="D109" i="1" s="1"/>
  <c r="T123" i="6"/>
  <c r="S123" i="6"/>
  <c r="AL227" i="1"/>
  <c r="D227" i="1" s="1"/>
  <c r="AI227" i="1"/>
  <c r="AL268" i="1"/>
  <c r="D268" i="1" s="1"/>
  <c r="AI268" i="1"/>
  <c r="AL337" i="1"/>
  <c r="D337" i="1" s="1"/>
  <c r="AI337" i="1"/>
  <c r="AL462" i="1"/>
  <c r="AI462" i="1"/>
  <c r="AL450" i="1"/>
  <c r="D450" i="1" s="1"/>
  <c r="AI450" i="1"/>
  <c r="AK452" i="7"/>
  <c r="AJ452" i="7"/>
  <c r="D452" i="7"/>
  <c r="AL452" i="7" s="1"/>
  <c r="AL87" i="1"/>
  <c r="D87" i="1" s="1"/>
  <c r="B87" i="1" s="1"/>
  <c r="S124" i="6"/>
  <c r="T124" i="6"/>
  <c r="C124" i="6"/>
  <c r="B124" i="6" s="1" a="1"/>
  <c r="B124" i="6" s="1"/>
  <c r="AI135" i="1"/>
  <c r="AL135" i="1"/>
  <c r="D674" i="7"/>
  <c r="B674" i="7" s="1" a="1"/>
  <c r="B674" i="7" s="1"/>
  <c r="AK296" i="7"/>
  <c r="AJ296" i="7"/>
  <c r="D296" i="7"/>
  <c r="B296" i="7" s="1" a="1"/>
  <c r="B296" i="7" s="1"/>
  <c r="AK297" i="7"/>
  <c r="AJ297" i="7"/>
  <c r="D297" i="7"/>
  <c r="AL297" i="7" s="1"/>
  <c r="AK449" i="7"/>
  <c r="AJ449" i="7"/>
  <c r="D449" i="7"/>
  <c r="B449" i="7" s="1" a="1"/>
  <c r="B449" i="7" s="1"/>
  <c r="AK293" i="7"/>
  <c r="AJ293" i="7"/>
  <c r="D293" i="7"/>
  <c r="AL293" i="7" s="1"/>
  <c r="D295" i="7"/>
  <c r="B295" i="7" s="1" a="1"/>
  <c r="B295" i="7" s="1"/>
  <c r="AK292" i="7"/>
  <c r="AJ292" i="7"/>
  <c r="D292" i="7"/>
  <c r="AL292" i="7" s="1"/>
  <c r="D450" i="7"/>
  <c r="AL450" i="7" s="1"/>
  <c r="D291" i="7"/>
  <c r="AL291" i="7" s="1"/>
  <c r="D673" i="7"/>
  <c r="AL673" i="7" s="1"/>
  <c r="AK295" i="7"/>
  <c r="AJ295" i="7"/>
  <c r="D669" i="7"/>
  <c r="AL669" i="7" s="1"/>
  <c r="AK294" i="7"/>
  <c r="AJ294" i="7"/>
  <c r="D294" i="7"/>
  <c r="AL294" i="7" s="1"/>
  <c r="AK298" i="7"/>
  <c r="AJ298" i="7"/>
  <c r="D298" i="7"/>
  <c r="B298" i="7" s="1" a="1"/>
  <c r="B298" i="7" s="1"/>
  <c r="AK451" i="7"/>
  <c r="AJ451" i="7"/>
  <c r="D451" i="7"/>
  <c r="B451" i="7" s="1" a="1"/>
  <c r="B451" i="7" s="1"/>
  <c r="AK453" i="7"/>
  <c r="AJ453" i="7"/>
  <c r="D453" i="7"/>
  <c r="AL453" i="7" s="1"/>
  <c r="AL454" i="1"/>
  <c r="D454" i="1" s="1"/>
  <c r="AI454" i="1"/>
  <c r="AL145" i="1"/>
  <c r="D145" i="1" s="1"/>
  <c r="B145" i="1" s="1"/>
  <c r="AI145" i="1"/>
  <c r="W666" i="7"/>
  <c r="W665" i="7"/>
  <c r="W444" i="7"/>
  <c r="W664" i="7"/>
  <c r="W663" i="7"/>
  <c r="W661" i="7"/>
  <c r="W662" i="7"/>
  <c r="W660" i="7"/>
  <c r="W659" i="7"/>
  <c r="AI345" i="1"/>
  <c r="W287" i="7"/>
  <c r="W658" i="7"/>
  <c r="W657" i="7"/>
  <c r="W656" i="7"/>
  <c r="W655" i="7"/>
  <c r="W654" i="7"/>
  <c r="T37" i="6"/>
  <c r="S37" i="6"/>
  <c r="B37" i="6" a="1"/>
  <c r="B37" i="6" s="1"/>
  <c r="T125" i="6"/>
  <c r="S125" i="6"/>
  <c r="C125" i="6"/>
  <c r="B125" i="6" s="1" a="1"/>
  <c r="B125" i="6" s="1"/>
  <c r="AK287" i="7"/>
  <c r="AK662" i="7"/>
  <c r="AK663" i="7"/>
  <c r="AK664" i="7"/>
  <c r="AK444" i="7"/>
  <c r="AK665" i="7"/>
  <c r="AK666" i="7"/>
  <c r="AK667" i="7"/>
  <c r="AK668" i="7"/>
  <c r="AJ287" i="7"/>
  <c r="AJ662" i="7"/>
  <c r="AJ663" i="7"/>
  <c r="AJ664" i="7"/>
  <c r="AJ444" i="7"/>
  <c r="AJ665" i="7"/>
  <c r="AJ666" i="7"/>
  <c r="AJ667" i="7"/>
  <c r="AJ668" i="7"/>
  <c r="D655" i="7"/>
  <c r="D656" i="7"/>
  <c r="AL656" i="7" s="1"/>
  <c r="D657" i="7"/>
  <c r="B657" i="7" s="1" a="1"/>
  <c r="B657" i="7" s="1"/>
  <c r="D658" i="7"/>
  <c r="AL658" i="7" s="1"/>
  <c r="D287" i="7"/>
  <c r="AL287" i="7" s="1"/>
  <c r="D659" i="7"/>
  <c r="AL659" i="7" s="1"/>
  <c r="D660" i="7"/>
  <c r="D661" i="7"/>
  <c r="AL661" i="7" s="1"/>
  <c r="D662" i="7"/>
  <c r="AL662" i="7" s="1"/>
  <c r="D663" i="7"/>
  <c r="D664" i="7"/>
  <c r="AL664" i="7" s="1"/>
  <c r="D444" i="7"/>
  <c r="AL444" i="7" s="1"/>
  <c r="D665" i="7"/>
  <c r="B665" i="7" s="1" a="1"/>
  <c r="B665" i="7" s="1"/>
  <c r="D666" i="7"/>
  <c r="B666" i="7" s="1" a="1"/>
  <c r="B666" i="7" s="1"/>
  <c r="D667" i="7"/>
  <c r="AL667" i="7" s="1"/>
  <c r="D668" i="7"/>
  <c r="D654" i="7"/>
  <c r="B654" i="7" s="1" a="1"/>
  <c r="B654" i="7" s="1"/>
  <c r="AI133" i="1"/>
  <c r="S30" i="6"/>
  <c r="T30" i="6"/>
  <c r="C30" i="6"/>
  <c r="B30" i="6" s="1" a="1"/>
  <c r="B30" i="6" s="1"/>
  <c r="S126" i="6"/>
  <c r="T126" i="6"/>
  <c r="C126" i="6"/>
  <c r="B126" i="6" s="1" a="1"/>
  <c r="B126" i="6" s="1"/>
  <c r="AI353" i="1"/>
  <c r="AL353" i="1"/>
  <c r="D353" i="1" s="1"/>
  <c r="B353" i="1" s="1"/>
  <c r="AL364" i="1"/>
  <c r="D364" i="1" s="1"/>
  <c r="B364" i="1" s="1"/>
  <c r="AI364" i="1"/>
  <c r="AK300" i="7"/>
  <c r="AJ300" i="7"/>
  <c r="D300" i="7"/>
  <c r="B300" i="7" s="1" a="1"/>
  <c r="B300" i="7" s="1"/>
  <c r="AL326" i="1"/>
  <c r="D326" i="1" s="1"/>
  <c r="AI326" i="1"/>
  <c r="AL139" i="1"/>
  <c r="D139" i="1" s="1"/>
  <c r="AI139" i="1"/>
  <c r="BA62" i="1"/>
  <c r="AL21" i="1"/>
  <c r="AJ21" i="1" s="1"/>
  <c r="AL141" i="1"/>
  <c r="D141" i="1" s="1"/>
  <c r="AI141" i="1"/>
  <c r="AI302" i="1"/>
  <c r="AL302" i="1"/>
  <c r="D302" i="1" s="1"/>
  <c r="AL147" i="1"/>
  <c r="D147" i="1" s="1"/>
  <c r="B147" i="1" s="1"/>
  <c r="AL151" i="1"/>
  <c r="D151" i="1" s="1"/>
  <c r="B151" i="1" s="1"/>
  <c r="AL468" i="1"/>
  <c r="D468" i="1" s="1"/>
  <c r="AL150" i="1"/>
  <c r="D150" i="1" s="1"/>
  <c r="AL138" i="1"/>
  <c r="D138" i="1" s="1"/>
  <c r="AL149" i="1"/>
  <c r="D149" i="1" s="1"/>
  <c r="AL133" i="1"/>
  <c r="D133" i="1" s="1"/>
  <c r="B133" i="1" s="1"/>
  <c r="AL250" i="1"/>
  <c r="AL178" i="1"/>
  <c r="D178" i="1" s="1"/>
  <c r="B178" i="1" s="1"/>
  <c r="AL179" i="1"/>
  <c r="D179" i="1" s="1"/>
  <c r="B179" i="1" s="1"/>
  <c r="AL153" i="1"/>
  <c r="D153" i="1" s="1"/>
  <c r="AL142" i="1"/>
  <c r="D142" i="1" s="1"/>
  <c r="AL137" i="1"/>
  <c r="D137" i="1" s="1"/>
  <c r="AL134" i="1"/>
  <c r="D134" i="1" s="1"/>
  <c r="B134" i="1" s="1"/>
  <c r="AN148" i="1"/>
  <c r="AL148" i="1"/>
  <c r="D148" i="1" s="1"/>
  <c r="AI148" i="1"/>
  <c r="AL491" i="1"/>
  <c r="D491" i="1" s="1"/>
  <c r="B491" i="1" s="1"/>
  <c r="AL132" i="1"/>
  <c r="D132" i="1" s="1"/>
  <c r="B132" i="1" s="1"/>
  <c r="W486" i="7"/>
  <c r="W485" i="7"/>
  <c r="W484" i="7"/>
  <c r="W483" i="7"/>
  <c r="W482" i="7"/>
  <c r="W481" i="7"/>
  <c r="W460" i="7"/>
  <c r="W480" i="7"/>
  <c r="W479" i="7"/>
  <c r="W478" i="7"/>
  <c r="W477" i="7"/>
  <c r="W476" i="7"/>
  <c r="W475" i="7"/>
  <c r="AK483" i="7"/>
  <c r="AJ483" i="7"/>
  <c r="D483" i="7"/>
  <c r="AL483" i="7" s="1"/>
  <c r="AK482" i="7"/>
  <c r="AJ482" i="7"/>
  <c r="D482" i="7"/>
  <c r="B482" i="7" s="1" a="1"/>
  <c r="B482" i="7" s="1"/>
  <c r="AK481" i="7"/>
  <c r="AJ481" i="7"/>
  <c r="B481" i="7" a="1"/>
  <c r="B481" i="7" s="1"/>
  <c r="AK460" i="7"/>
  <c r="AJ460" i="7"/>
  <c r="D460" i="7"/>
  <c r="AL460" i="7" s="1"/>
  <c r="AK480" i="7"/>
  <c r="AJ480" i="7"/>
  <c r="D480" i="7"/>
  <c r="AL480" i="7" s="1"/>
  <c r="AK479" i="7"/>
  <c r="AJ479" i="7"/>
  <c r="D479" i="7"/>
  <c r="B479" i="7" s="1" a="1"/>
  <c r="B479" i="7" s="1"/>
  <c r="AK478" i="7"/>
  <c r="AJ478" i="7"/>
  <c r="D478" i="7"/>
  <c r="AL478" i="7" s="1"/>
  <c r="AK477" i="7"/>
  <c r="AJ477" i="7"/>
  <c r="D477" i="7"/>
  <c r="B477" i="7" s="1" a="1"/>
  <c r="B477" i="7" s="1"/>
  <c r="AK476" i="7"/>
  <c r="AJ476" i="7"/>
  <c r="D476" i="7"/>
  <c r="AL476" i="7" s="1"/>
  <c r="AK486" i="7"/>
  <c r="AJ486" i="7"/>
  <c r="D486" i="7"/>
  <c r="B486" i="7" s="1" a="1"/>
  <c r="B486" i="7" s="1"/>
  <c r="AK485" i="7"/>
  <c r="AJ485" i="7"/>
  <c r="D485" i="7"/>
  <c r="AK484" i="7"/>
  <c r="AJ484" i="7"/>
  <c r="D484" i="7"/>
  <c r="B484" i="7" s="1" a="1"/>
  <c r="B484" i="7" s="1"/>
  <c r="AK475" i="7"/>
  <c r="AJ475" i="7"/>
  <c r="D475" i="7"/>
  <c r="B475" i="7" s="1" a="1"/>
  <c r="B475" i="7" s="1"/>
  <c r="AK461" i="7"/>
  <c r="AJ461" i="7"/>
  <c r="D461" i="7"/>
  <c r="B461" i="7" s="1" a="1"/>
  <c r="B461" i="7" s="1"/>
  <c r="AK514" i="7"/>
  <c r="AJ514" i="7"/>
  <c r="D514" i="7"/>
  <c r="AL514" i="7" s="1"/>
  <c r="D678" i="7"/>
  <c r="B678" i="7" s="1" a="1"/>
  <c r="B678" i="7" s="1"/>
  <c r="AJ678" i="7"/>
  <c r="AK678" i="7"/>
  <c r="AL283" i="1"/>
  <c r="D283" i="1" s="1"/>
  <c r="B283" i="1" s="1"/>
  <c r="AI283" i="1"/>
  <c r="D696" i="7"/>
  <c r="AL696" i="7" s="1"/>
  <c r="D697" i="7"/>
  <c r="AL697" i="7" s="1"/>
  <c r="D698" i="7"/>
  <c r="AL698" i="7" s="1"/>
  <c r="D309" i="7"/>
  <c r="AI138" i="1"/>
  <c r="AN144" i="1"/>
  <c r="AP144" i="1" s="1"/>
  <c r="AQ144" i="1" s="1"/>
  <c r="AI144" i="1"/>
  <c r="AK301" i="7"/>
  <c r="AJ301" i="7"/>
  <c r="D301" i="7"/>
  <c r="AL301" i="7" s="1"/>
  <c r="AK692" i="7"/>
  <c r="AJ692" i="7"/>
  <c r="D692" i="7"/>
  <c r="B692" i="7" s="1" a="1"/>
  <c r="B692" i="7" s="1"/>
  <c r="AK691" i="7"/>
  <c r="AJ691" i="7"/>
  <c r="D691" i="7"/>
  <c r="B691" i="7" s="1" a="1"/>
  <c r="B691" i="7" s="1"/>
  <c r="AK690" i="7"/>
  <c r="AJ690" i="7"/>
  <c r="D690" i="7"/>
  <c r="B690" i="7" s="1" a="1"/>
  <c r="B690" i="7" s="1"/>
  <c r="AK689" i="7"/>
  <c r="AJ689" i="7"/>
  <c r="D689" i="7"/>
  <c r="AK693" i="7"/>
  <c r="AJ693" i="7"/>
  <c r="D693" i="7"/>
  <c r="B693" i="7" s="1" a="1"/>
  <c r="B693" i="7" s="1"/>
  <c r="AK303" i="7"/>
  <c r="AJ303" i="7"/>
  <c r="D303" i="7"/>
  <c r="B303" i="7" s="1" a="1"/>
  <c r="B303" i="7" s="1"/>
  <c r="AL144" i="1"/>
  <c r="D144" i="1" s="1"/>
  <c r="AK688" i="7"/>
  <c r="AJ688" i="7"/>
  <c r="D688" i="7"/>
  <c r="B688" i="7" s="1" a="1"/>
  <c r="B688" i="7" s="1"/>
  <c r="AK308" i="7"/>
  <c r="AJ308" i="7"/>
  <c r="D308" i="7"/>
  <c r="AL308" i="7" s="1"/>
  <c r="AK694" i="7"/>
  <c r="AJ694" i="7"/>
  <c r="D694" i="7"/>
  <c r="B694" i="7" s="1" a="1"/>
  <c r="B694" i="7" s="1"/>
  <c r="V322" i="1"/>
  <c r="U322" i="1"/>
  <c r="AI456" i="1"/>
  <c r="AL456" i="1"/>
  <c r="D456" i="1" s="1"/>
  <c r="AI132" i="1"/>
  <c r="D288" i="7"/>
  <c r="AL288" i="7" s="1"/>
  <c r="D653" i="7"/>
  <c r="AL653" i="7" s="1"/>
  <c r="D289" i="7"/>
  <c r="B289" i="7" s="1" a="1"/>
  <c r="B289" i="7" s="1"/>
  <c r="D604" i="7"/>
  <c r="AL604" i="7" s="1"/>
  <c r="D605" i="7"/>
  <c r="AL605" i="7" s="1"/>
  <c r="D606" i="7"/>
  <c r="D607" i="7"/>
  <c r="AL607" i="7" s="1"/>
  <c r="D290" i="7"/>
  <c r="AL290" i="7" s="1"/>
  <c r="D608" i="7"/>
  <c r="AL608" i="7" s="1"/>
  <c r="D609" i="7"/>
  <c r="AL609" i="7" s="1"/>
  <c r="D610" i="7"/>
  <c r="AL610" i="7" s="1"/>
  <c r="D611" i="7"/>
  <c r="AL611" i="7" s="1"/>
  <c r="D612" i="7"/>
  <c r="AL612" i="7" s="1"/>
  <c r="D613" i="7"/>
  <c r="AL613" i="7" s="1"/>
  <c r="D614" i="7"/>
  <c r="AL614" i="7" s="1"/>
  <c r="D615" i="7"/>
  <c r="B615" i="7" s="1" a="1"/>
  <c r="B615" i="7" s="1"/>
  <c r="D616" i="7"/>
  <c r="D617" i="7"/>
  <c r="AL617" i="7" s="1"/>
  <c r="D618" i="7"/>
  <c r="AL618" i="7" s="1"/>
  <c r="D699" i="7"/>
  <c r="AL699" i="7" s="1"/>
  <c r="D702" i="7"/>
  <c r="AL702" i="7" s="1"/>
  <c r="D703" i="7"/>
  <c r="B703" i="7" s="1" a="1"/>
  <c r="B703" i="7" s="1"/>
  <c r="D704" i="7"/>
  <c r="B704" i="7" s="1" a="1"/>
  <c r="B704" i="7" s="1"/>
  <c r="D705" i="7"/>
  <c r="D457" i="7"/>
  <c r="B457" i="7" s="1" a="1"/>
  <c r="B457" i="7" s="1"/>
  <c r="AJ288" i="7"/>
  <c r="AK288" i="7"/>
  <c r="AJ653" i="7"/>
  <c r="AK653" i="7"/>
  <c r="AJ289" i="7"/>
  <c r="AK289" i="7"/>
  <c r="AJ604" i="7"/>
  <c r="AK604" i="7"/>
  <c r="AJ605" i="7"/>
  <c r="AK605" i="7"/>
  <c r="AJ606" i="7"/>
  <c r="AK606" i="7"/>
  <c r="AJ607" i="7"/>
  <c r="AK607" i="7"/>
  <c r="AJ290" i="7"/>
  <c r="AK290" i="7"/>
  <c r="AJ608" i="7"/>
  <c r="AK608" i="7"/>
  <c r="AJ609" i="7"/>
  <c r="AK609" i="7"/>
  <c r="AJ610" i="7"/>
  <c r="AK610" i="7"/>
  <c r="AJ611" i="7"/>
  <c r="AK611" i="7"/>
  <c r="AJ612" i="7"/>
  <c r="AK612" i="7"/>
  <c r="AJ613" i="7"/>
  <c r="AK613" i="7"/>
  <c r="AJ614" i="7"/>
  <c r="AK614" i="7"/>
  <c r="AJ615" i="7"/>
  <c r="AK615" i="7"/>
  <c r="AJ616" i="7"/>
  <c r="AK616" i="7"/>
  <c r="AJ617" i="7"/>
  <c r="AK617" i="7"/>
  <c r="AJ618" i="7"/>
  <c r="AK618" i="7"/>
  <c r="AI137" i="1"/>
  <c r="AI316" i="1"/>
  <c r="AL316" i="1"/>
  <c r="D316" i="1" s="1"/>
  <c r="AL341" i="1"/>
  <c r="D341" i="1" s="1"/>
  <c r="AI341" i="1"/>
  <c r="AI142" i="1"/>
  <c r="AJ695" i="7"/>
  <c r="AK695" i="7"/>
  <c r="D695" i="7"/>
  <c r="AL695" i="7" s="1"/>
  <c r="AJ696" i="7"/>
  <c r="AK696" i="7"/>
  <c r="AJ306" i="7"/>
  <c r="AK306" i="7"/>
  <c r="D306" i="7"/>
  <c r="B306" i="7" s="1" a="1"/>
  <c r="B306" i="7" s="1"/>
  <c r="AJ307" i="7"/>
  <c r="AK307" i="7"/>
  <c r="D307" i="7"/>
  <c r="B307" i="7" s="1" a="1"/>
  <c r="B307" i="7" s="1"/>
  <c r="AL310" i="1"/>
  <c r="D310" i="1" s="1"/>
  <c r="AI310" i="1"/>
  <c r="T38" i="6"/>
  <c r="S38" i="6"/>
  <c r="B38" i="6" a="1"/>
  <c r="B38" i="6" s="1"/>
  <c r="AL420" i="1"/>
  <c r="D420" i="1" s="1"/>
  <c r="B420" i="1" s="1"/>
  <c r="AI420" i="1"/>
  <c r="T130" i="6"/>
  <c r="S130" i="6"/>
  <c r="C130" i="6"/>
  <c r="B130" i="6" s="1" a="1"/>
  <c r="B130" i="6" s="1"/>
  <c r="AL496" i="1"/>
  <c r="D496" i="1" s="1"/>
  <c r="AI496" i="1"/>
  <c r="AL156" i="1"/>
  <c r="D156" i="1" s="1"/>
  <c r="AL159" i="1"/>
  <c r="D159" i="1" s="1"/>
  <c r="S132" i="6"/>
  <c r="T132" i="6"/>
  <c r="C132" i="6"/>
  <c r="B132" i="6" s="1" a="1"/>
  <c r="B132" i="6" s="1"/>
  <c r="C133" i="6"/>
  <c r="B133" i="6" s="1" a="1"/>
  <c r="B133" i="6" s="1"/>
  <c r="S133" i="6"/>
  <c r="T133" i="6"/>
  <c r="C134" i="6"/>
  <c r="B134" i="6" s="1" a="1"/>
  <c r="B134" i="6" s="1"/>
  <c r="S134" i="6"/>
  <c r="T134" i="6"/>
  <c r="S135" i="6"/>
  <c r="T135" i="6"/>
  <c r="C135" i="6"/>
  <c r="B135" i="6" s="1" a="1"/>
  <c r="B135" i="6" s="1"/>
  <c r="AI369" i="1"/>
  <c r="AI259" i="1"/>
  <c r="AI109" i="1"/>
  <c r="AI313" i="1"/>
  <c r="AI258" i="1"/>
  <c r="AI160" i="1"/>
  <c r="AI155" i="1"/>
  <c r="AI146" i="1"/>
  <c r="AI147" i="1"/>
  <c r="AI270" i="1"/>
  <c r="AI149" i="1"/>
  <c r="AI134" i="1"/>
  <c r="AI161" i="1"/>
  <c r="AI156" i="1"/>
  <c r="AI159" i="1"/>
  <c r="AI162" i="1"/>
  <c r="AI491" i="1"/>
  <c r="AI250" i="1"/>
  <c r="AI178" i="1"/>
  <c r="AI425" i="1"/>
  <c r="AI179" i="1"/>
  <c r="AI153" i="1"/>
  <c r="AI158" i="1"/>
  <c r="AI317" i="1"/>
  <c r="AI409" i="1"/>
  <c r="AI448" i="1"/>
  <c r="AI152" i="1"/>
  <c r="AI499" i="1"/>
  <c r="AI463" i="1"/>
  <c r="AI356" i="1"/>
  <c r="AI275" i="1"/>
  <c r="AI284" i="1"/>
  <c r="AI370" i="1"/>
  <c r="AI393" i="1"/>
  <c r="AI304" i="1"/>
  <c r="AI295" i="1"/>
  <c r="AI154" i="1"/>
  <c r="AI305" i="1"/>
  <c r="AI389" i="1"/>
  <c r="AI451" i="1"/>
  <c r="AI445" i="1"/>
  <c r="AI307" i="1"/>
  <c r="AI236" i="1"/>
  <c r="AI263" i="1"/>
  <c r="AI473" i="1"/>
  <c r="AI423" i="1"/>
  <c r="AI242" i="1"/>
  <c r="AI267" i="1"/>
  <c r="AI237" i="1"/>
  <c r="AI398" i="1"/>
  <c r="AI424" i="1"/>
  <c r="AI318" i="1"/>
  <c r="AI386" i="1"/>
  <c r="AI408" i="1"/>
  <c r="AI411" i="1"/>
  <c r="AI193" i="1"/>
  <c r="AI400" i="1"/>
  <c r="AI157" i="1"/>
  <c r="AI210" i="1"/>
  <c r="AI225" i="1"/>
  <c r="AI86" i="1"/>
  <c r="AI238" i="1"/>
  <c r="AI458" i="1"/>
  <c r="AI452" i="1"/>
  <c r="AI269" i="1"/>
  <c r="AI344" i="1"/>
  <c r="AI312" i="1"/>
  <c r="AI440" i="1"/>
  <c r="AI140" i="1"/>
  <c r="AI501" i="1"/>
  <c r="AI500" i="1"/>
  <c r="AI243" i="1"/>
  <c r="AI311" i="1"/>
  <c r="AI150" i="1"/>
  <c r="AI444" i="1"/>
  <c r="AI503" i="1"/>
  <c r="AI459" i="1"/>
  <c r="AI495" i="1"/>
  <c r="AI361" i="1"/>
  <c r="AI479" i="1"/>
  <c r="AI358" i="1"/>
  <c r="AI461" i="1"/>
  <c r="AI314" i="1"/>
  <c r="AI247" i="1"/>
  <c r="AI373" i="1"/>
  <c r="AI322" i="1"/>
  <c r="AI484" i="1"/>
  <c r="AI406" i="1"/>
  <c r="AI151" i="1"/>
  <c r="AI82" i="1"/>
  <c r="AI417" i="1"/>
  <c r="AI363" i="1"/>
  <c r="AI276" i="1"/>
  <c r="AI381" i="1"/>
  <c r="AI319" i="1"/>
  <c r="AI278" i="1"/>
  <c r="AI285" i="1"/>
  <c r="AI469" i="1"/>
  <c r="AI490" i="1"/>
  <c r="AI315" i="1"/>
  <c r="AI325" i="1"/>
  <c r="AI507" i="1"/>
  <c r="AI446" i="1"/>
  <c r="AI292" i="1"/>
  <c r="AI489" i="1"/>
  <c r="AI407" i="1"/>
  <c r="AI426" i="1"/>
  <c r="AI265" i="1"/>
  <c r="AI460" i="1"/>
  <c r="AI348" i="1"/>
  <c r="AI385" i="1"/>
  <c r="AI396" i="1"/>
  <c r="AI401" i="1"/>
  <c r="AI486" i="1"/>
  <c r="AI260" i="1"/>
  <c r="AI309" i="1"/>
  <c r="AI422" i="1"/>
  <c r="AI509" i="1"/>
  <c r="AI419" i="1"/>
  <c r="AI366" i="1"/>
  <c r="AI355" i="1"/>
  <c r="AI502" i="1"/>
  <c r="AI298" i="1"/>
  <c r="AI256" i="1"/>
  <c r="AI504" i="1"/>
  <c r="AI471" i="1"/>
  <c r="AI402" i="1"/>
  <c r="AI403" i="1"/>
  <c r="AI354" i="1"/>
  <c r="AI430" i="1"/>
  <c r="AI264" i="1"/>
  <c r="AI429" i="1"/>
  <c r="AI248" i="1"/>
  <c r="AI301" i="1"/>
  <c r="AI246" i="1"/>
  <c r="AI431" i="1"/>
  <c r="AI498" i="1"/>
  <c r="AI474" i="1"/>
  <c r="AI343" i="1"/>
  <c r="AI472" i="1"/>
  <c r="AI299" i="1"/>
  <c r="AI494" i="1"/>
  <c r="AI510" i="1"/>
  <c r="AI412" i="1"/>
  <c r="AI289" i="1"/>
  <c r="AI323" i="1"/>
  <c r="AI441" i="1"/>
  <c r="AI457" i="1"/>
  <c r="AI245" i="1"/>
  <c r="AI387" i="1"/>
  <c r="AI357" i="1"/>
  <c r="AI272" i="1"/>
  <c r="AI262" i="1"/>
  <c r="AI391" i="1"/>
  <c r="AI244" i="1"/>
  <c r="AI266" i="1"/>
  <c r="AI480" i="1"/>
  <c r="AI300" i="1"/>
  <c r="AI428" i="1"/>
  <c r="AI273" i="1"/>
  <c r="AI455" i="1"/>
  <c r="AI368" i="1"/>
  <c r="AI286" i="1"/>
  <c r="AI377" i="1"/>
  <c r="AI367" i="1"/>
  <c r="AI390" i="1"/>
  <c r="AI477" i="1"/>
  <c r="AI114" i="1"/>
  <c r="AI488" i="1"/>
  <c r="AI485" i="1"/>
  <c r="AI483" i="1"/>
  <c r="AI271" i="1"/>
  <c r="AI435" i="1"/>
  <c r="AI433" i="1"/>
  <c r="AI340" i="1"/>
  <c r="AI241" i="1"/>
  <c r="AI240" i="1"/>
  <c r="AI493" i="1"/>
  <c r="AI453" i="1"/>
  <c r="AI88" i="1"/>
  <c r="AI293" i="1"/>
  <c r="AI447" i="1"/>
  <c r="AI324" i="1"/>
  <c r="AI478" i="1"/>
  <c r="AI421" i="1"/>
  <c r="AI476" i="1"/>
  <c r="AI338" i="1"/>
  <c r="AI347" i="1"/>
  <c r="AI375" i="1"/>
  <c r="AI414" i="1"/>
  <c r="AI351" i="1"/>
  <c r="AI327" i="1"/>
  <c r="AI384" i="1"/>
  <c r="AI261" i="1"/>
  <c r="AI415" i="1"/>
  <c r="AI443" i="1"/>
  <c r="AI303" i="1"/>
  <c r="AI487" i="1"/>
  <c r="AI254" i="1"/>
  <c r="AI239" i="1"/>
  <c r="AI405" i="1"/>
  <c r="AI376" i="1"/>
  <c r="AI379" i="1"/>
  <c r="AI253" i="1"/>
  <c r="AI252" i="1"/>
  <c r="AI251" i="1"/>
  <c r="AI279" i="1"/>
  <c r="AI360" i="1"/>
  <c r="AI297" i="1"/>
  <c r="AI470" i="1"/>
  <c r="AI497" i="1"/>
  <c r="AI413" i="1"/>
  <c r="AI442" i="1"/>
  <c r="AI308" i="1"/>
  <c r="AI395" i="1"/>
  <c r="AI334" i="1"/>
  <c r="AI438" i="1"/>
  <c r="AI410" i="1"/>
  <c r="AI335" i="1"/>
  <c r="AI359" i="1"/>
  <c r="AI274" i="1"/>
  <c r="AI371" i="1"/>
  <c r="AI352" i="1"/>
  <c r="AI306" i="1"/>
  <c r="AI492" i="1"/>
  <c r="AI339" i="1"/>
  <c r="AI383" i="1"/>
  <c r="AI294" i="1"/>
  <c r="AI362" i="1"/>
  <c r="AI434" i="1"/>
  <c r="AI321" i="1"/>
  <c r="AI394" i="1"/>
  <c r="AI508" i="1"/>
  <c r="AI399" i="1"/>
  <c r="AI331" i="1"/>
  <c r="AI350" i="1"/>
  <c r="AI416" i="1"/>
  <c r="AI288" i="1"/>
  <c r="AI280" i="1"/>
  <c r="AI392" i="1"/>
  <c r="AI249" i="1"/>
  <c r="AI465" i="1"/>
  <c r="AI382" i="1"/>
  <c r="AI320" i="1"/>
  <c r="AI404" i="1"/>
  <c r="AI281" i="1"/>
  <c r="AI467" i="1"/>
  <c r="AI333" i="1"/>
  <c r="AI329" i="1"/>
  <c r="AI427" i="1"/>
  <c r="AI257" i="1"/>
  <c r="AI349" i="1"/>
  <c r="AI332" i="1"/>
  <c r="AI336" i="1"/>
  <c r="AI380" i="1"/>
  <c r="AI418" i="1"/>
  <c r="AI397" i="1"/>
  <c r="AI287" i="1"/>
  <c r="AI346" i="1"/>
  <c r="AI466" i="1"/>
  <c r="AI464" i="1"/>
  <c r="AI437" i="1"/>
  <c r="AI449" i="1"/>
  <c r="AI328" i="1"/>
  <c r="AI255" i="1"/>
  <c r="AI291" i="1"/>
  <c r="AI342" i="1"/>
  <c r="AI432" i="1"/>
  <c r="AI365" i="1"/>
  <c r="AI505" i="1"/>
  <c r="AI330" i="1"/>
  <c r="AI372" i="1"/>
  <c r="AI439" i="1"/>
  <c r="AI296" i="1"/>
  <c r="AI374" i="1"/>
  <c r="AI290" i="1"/>
  <c r="AI282" i="1"/>
  <c r="AI388" i="1"/>
  <c r="AI481" i="1"/>
  <c r="AI277" i="1"/>
  <c r="AI468" i="1"/>
  <c r="AL270" i="1"/>
  <c r="AK313" i="7"/>
  <c r="AJ313" i="7"/>
  <c r="D313" i="7"/>
  <c r="AL313" i="7" s="1"/>
  <c r="AK310" i="7"/>
  <c r="AJ310" i="7"/>
  <c r="D310" i="7"/>
  <c r="AL310" i="7" s="1"/>
  <c r="AK700" i="7"/>
  <c r="AJ700" i="7"/>
  <c r="D700" i="7"/>
  <c r="B700" i="7" s="1" a="1"/>
  <c r="B700" i="7" s="1"/>
  <c r="AK697" i="7"/>
  <c r="AJ697" i="7"/>
  <c r="AK315" i="7"/>
  <c r="AJ315" i="7"/>
  <c r="D315" i="7"/>
  <c r="AJ309" i="7"/>
  <c r="AK309" i="7"/>
  <c r="AL158" i="1"/>
  <c r="AL161" i="1"/>
  <c r="D161" i="1" s="1"/>
  <c r="AL155" i="1"/>
  <c r="D155" i="1" s="1"/>
  <c r="T39" i="6"/>
  <c r="S39" i="6"/>
  <c r="B39" i="6" a="1"/>
  <c r="B39" i="6" s="1"/>
  <c r="AL425" i="1"/>
  <c r="D425" i="1" s="1"/>
  <c r="AL20" i="1"/>
  <c r="AL501" i="1"/>
  <c r="D501" i="1" s="1"/>
  <c r="AL162" i="1"/>
  <c r="D162" i="1" s="1"/>
  <c r="AL56" i="1"/>
  <c r="D56" i="1" s="1"/>
  <c r="B56" i="1" s="1"/>
  <c r="AL409" i="1"/>
  <c r="D409" i="1" s="1"/>
  <c r="AJ686" i="7"/>
  <c r="AK686" i="7"/>
  <c r="D686" i="7"/>
  <c r="B686" i="7" s="1" a="1"/>
  <c r="B686" i="7" s="1"/>
  <c r="AJ685" i="7"/>
  <c r="AK685" i="7"/>
  <c r="D685" i="7"/>
  <c r="B685" i="7" s="1" a="1"/>
  <c r="B685" i="7" s="1"/>
  <c r="AJ684" i="7"/>
  <c r="AK684" i="7"/>
  <c r="D684" i="7"/>
  <c r="AJ683" i="7"/>
  <c r="AK683" i="7"/>
  <c r="D683" i="7"/>
  <c r="AJ682" i="7"/>
  <c r="AK682" i="7"/>
  <c r="D682" i="7"/>
  <c r="AL682" i="7" s="1"/>
  <c r="AJ681" i="7"/>
  <c r="AK681" i="7"/>
  <c r="D681" i="7"/>
  <c r="B681" i="7" s="1" a="1"/>
  <c r="B681" i="7" s="1"/>
  <c r="AJ680" i="7"/>
  <c r="AK680" i="7"/>
  <c r="D680" i="7"/>
  <c r="AL680" i="7" s="1"/>
  <c r="AJ318" i="7"/>
  <c r="AK318" i="7"/>
  <c r="D318" i="7"/>
  <c r="B318" i="7" s="1" a="1"/>
  <c r="B318" i="7" s="1"/>
  <c r="AJ687" i="7"/>
  <c r="AK687" i="7"/>
  <c r="D687" i="7"/>
  <c r="AJ463" i="7"/>
  <c r="AK463" i="7"/>
  <c r="D463" i="7"/>
  <c r="B463" i="7" s="1" a="1"/>
  <c r="B463" i="7" s="1"/>
  <c r="AJ679" i="7"/>
  <c r="AK679" i="7"/>
  <c r="D679" i="7"/>
  <c r="AJ462" i="7"/>
  <c r="AK462" i="7"/>
  <c r="D462" i="7"/>
  <c r="B462" i="7" s="1" a="1"/>
  <c r="B462" i="7" s="1"/>
  <c r="AJ317" i="7"/>
  <c r="AK317" i="7"/>
  <c r="D317" i="7"/>
  <c r="AK701" i="7"/>
  <c r="AJ701" i="7"/>
  <c r="D701" i="7"/>
  <c r="AL701" i="7" s="1"/>
  <c r="AK314" i="7"/>
  <c r="AJ314" i="7"/>
  <c r="D314" i="7"/>
  <c r="AL314" i="7" s="1"/>
  <c r="AK698" i="7"/>
  <c r="AJ698" i="7"/>
  <c r="AK312" i="7"/>
  <c r="AJ312" i="7"/>
  <c r="D312" i="7"/>
  <c r="B312" i="7" s="1" a="1"/>
  <c r="B312" i="7" s="1"/>
  <c r="AK316" i="7"/>
  <c r="AJ316" i="7"/>
  <c r="D316" i="7"/>
  <c r="AK311" i="7"/>
  <c r="AJ311" i="7"/>
  <c r="D311" i="7"/>
  <c r="AL311" i="7" s="1"/>
  <c r="AK456" i="7"/>
  <c r="AJ456" i="7"/>
  <c r="D456" i="7"/>
  <c r="B456" i="7" s="1" a="1"/>
  <c r="B456" i="7" s="1"/>
  <c r="S128" i="6"/>
  <c r="T128" i="6"/>
  <c r="C128" i="6"/>
  <c r="B128" i="6" s="1" a="1"/>
  <c r="B128" i="6" s="1"/>
  <c r="S40" i="6"/>
  <c r="T40" i="6"/>
  <c r="B40" i="6" a="1"/>
  <c r="B40" i="6" s="1"/>
  <c r="AL27" i="1"/>
  <c r="D27" i="1" s="1"/>
  <c r="BA378" i="1"/>
  <c r="AL234" i="1"/>
  <c r="D234" i="1" s="1"/>
  <c r="T141" i="6"/>
  <c r="S141" i="6"/>
  <c r="T129" i="6"/>
  <c r="S129" i="6"/>
  <c r="T127" i="6"/>
  <c r="S127" i="6"/>
  <c r="T131" i="6"/>
  <c r="S131" i="6"/>
  <c r="C131" i="6"/>
  <c r="B131" i="6" s="1" a="1"/>
  <c r="B131" i="6" s="1"/>
  <c r="T41" i="6"/>
  <c r="S41" i="6"/>
  <c r="C41" i="6"/>
  <c r="B41" i="6" s="1" a="1"/>
  <c r="B41" i="6" s="1"/>
  <c r="AL463" i="1"/>
  <c r="D463" i="1" s="1"/>
  <c r="B463" i="1" s="1"/>
  <c r="AL356" i="1"/>
  <c r="AL275" i="1"/>
  <c r="D275" i="1" s="1"/>
  <c r="AL284" i="1"/>
  <c r="D284" i="1" s="1"/>
  <c r="AL440" i="1"/>
  <c r="D440" i="1" s="1"/>
  <c r="AO520" i="1"/>
  <c r="AR520" i="1"/>
  <c r="AS520" i="1"/>
  <c r="AU520" i="1"/>
  <c r="T62" i="6"/>
  <c r="S62" i="6"/>
  <c r="C62" i="6"/>
  <c r="B62" i="6" s="1" a="1"/>
  <c r="B62" i="6" s="1"/>
  <c r="C136" i="6"/>
  <c r="B136" i="6" s="1" a="1"/>
  <c r="B136" i="6" s="1"/>
  <c r="AL154" i="1"/>
  <c r="AL160" i="1"/>
  <c r="D160" i="1" s="1"/>
  <c r="B160" i="1" s="1"/>
  <c r="AL312" i="1"/>
  <c r="D312" i="1" s="1"/>
  <c r="D491" i="7"/>
  <c r="B491" i="7" s="1" a="1"/>
  <c r="B491" i="7" s="1"/>
  <c r="AL304" i="1"/>
  <c r="D304" i="1" s="1"/>
  <c r="AL451" i="1"/>
  <c r="D451" i="1" s="1"/>
  <c r="AL313" i="1"/>
  <c r="D313" i="1" s="1"/>
  <c r="AL499" i="1"/>
  <c r="AL500" i="1"/>
  <c r="AL229" i="1"/>
  <c r="AL295" i="1"/>
  <c r="D295" i="1" s="1"/>
  <c r="B295" i="1" s="1"/>
  <c r="AL258" i="1"/>
  <c r="D258" i="1" s="1"/>
  <c r="B258" i="1" s="1"/>
  <c r="S138" i="6"/>
  <c r="T138" i="6"/>
  <c r="C138" i="6"/>
  <c r="B138" i="6" s="1" a="1"/>
  <c r="B138" i="6" s="1"/>
  <c r="C142" i="6"/>
  <c r="AL305" i="1"/>
  <c r="D305" i="1" s="1"/>
  <c r="C43" i="6"/>
  <c r="B43" i="6" s="1" a="1"/>
  <c r="B43" i="6" s="1"/>
  <c r="S43" i="6"/>
  <c r="T43" i="6"/>
  <c r="C44" i="6"/>
  <c r="B44" i="6" s="1" a="1"/>
  <c r="B44" i="6" s="1"/>
  <c r="S44" i="6"/>
  <c r="T44" i="6"/>
  <c r="AL6" i="1"/>
  <c r="D6" i="1" s="1"/>
  <c r="AL7" i="1"/>
  <c r="AJ7" i="1" s="1"/>
  <c r="AL8" i="1"/>
  <c r="AJ8" i="1" s="1"/>
  <c r="AL9" i="1"/>
  <c r="AJ9" i="1" s="1"/>
  <c r="AL10" i="1"/>
  <c r="D10" i="1" s="1"/>
  <c r="AL11" i="1"/>
  <c r="AJ11" i="1" s="1"/>
  <c r="AL12" i="1"/>
  <c r="AJ12" i="1" s="1"/>
  <c r="AL13" i="1"/>
  <c r="D13" i="1" s="1"/>
  <c r="AL14" i="1"/>
  <c r="AJ14" i="1" s="1"/>
  <c r="AL15" i="1"/>
  <c r="AJ15" i="1" s="1"/>
  <c r="AL16" i="1"/>
  <c r="AJ16" i="1" s="1"/>
  <c r="AL17" i="1"/>
  <c r="AJ17" i="1" s="1"/>
  <c r="AL18" i="1"/>
  <c r="AJ18" i="1" s="1"/>
  <c r="AL19" i="1"/>
  <c r="AJ19" i="1" s="1"/>
  <c r="AL29" i="1"/>
  <c r="AL370" i="1"/>
  <c r="D370" i="1" s="1"/>
  <c r="AL369" i="1"/>
  <c r="D369" i="1" s="1"/>
  <c r="AL218" i="1"/>
  <c r="D218" i="1" s="1"/>
  <c r="AL219" i="1"/>
  <c r="D219" i="1" s="1"/>
  <c r="AL36" i="1"/>
  <c r="D36" i="1" s="1"/>
  <c r="AL23" i="1"/>
  <c r="AJ23" i="1" s="1"/>
  <c r="AL393" i="1"/>
  <c r="D393" i="1" s="1"/>
  <c r="AL307" i="1"/>
  <c r="D307" i="1" s="1"/>
  <c r="AL22" i="1"/>
  <c r="AJ22" i="1" s="1"/>
  <c r="AL448" i="1"/>
  <c r="D448" i="1" s="1"/>
  <c r="AL259" i="1"/>
  <c r="AL217" i="1"/>
  <c r="AJ217" i="1" s="1"/>
  <c r="AL243" i="1"/>
  <c r="AL152" i="1"/>
  <c r="D152" i="1" s="1"/>
  <c r="B152" i="1" s="1"/>
  <c r="AL140" i="1"/>
  <c r="AL24" i="1"/>
  <c r="AL146" i="1"/>
  <c r="D146" i="1" s="1"/>
  <c r="B146" i="1" s="1"/>
  <c r="AL445" i="1"/>
  <c r="D445" i="1" s="1"/>
  <c r="B445" i="1" s="1"/>
  <c r="AL263" i="1"/>
  <c r="D263" i="1" s="1"/>
  <c r="B263" i="1" s="1"/>
  <c r="AL473" i="1"/>
  <c r="D473" i="1" s="1"/>
  <c r="AL423" i="1"/>
  <c r="D423" i="1" s="1"/>
  <c r="B423" i="1" s="1"/>
  <c r="AL236" i="1"/>
  <c r="D236" i="1" s="1"/>
  <c r="AL389" i="1"/>
  <c r="D389" i="1" s="1"/>
  <c r="AL242" i="1"/>
  <c r="D242" i="1" s="1"/>
  <c r="AL267" i="1"/>
  <c r="AL237" i="1"/>
  <c r="D237" i="1" s="1"/>
  <c r="AL398" i="1"/>
  <c r="D398" i="1" s="1"/>
  <c r="AL424" i="1"/>
  <c r="D424" i="1" s="1"/>
  <c r="AL318" i="1"/>
  <c r="D318" i="1" s="1"/>
  <c r="AL386" i="1"/>
  <c r="D386" i="1" s="1"/>
  <c r="AL408" i="1"/>
  <c r="D408" i="1" s="1"/>
  <c r="AL411" i="1"/>
  <c r="D411" i="1" s="1"/>
  <c r="AL193" i="1"/>
  <c r="AL400" i="1"/>
  <c r="D400" i="1" s="1"/>
  <c r="AL157" i="1"/>
  <c r="D157" i="1" s="1"/>
  <c r="B157" i="1" s="1"/>
  <c r="AL210" i="1"/>
  <c r="D210" i="1" s="1"/>
  <c r="AL225" i="1"/>
  <c r="D225" i="1" s="1"/>
  <c r="AL86" i="1"/>
  <c r="D86" i="1" s="1"/>
  <c r="B86" i="1" s="1"/>
  <c r="AL238" i="1"/>
  <c r="AL458" i="1"/>
  <c r="D458" i="1" s="1"/>
  <c r="AL452" i="1"/>
  <c r="D452" i="1" s="1"/>
  <c r="B452" i="1" s="1"/>
  <c r="AL269" i="1"/>
  <c r="D269" i="1" s="1"/>
  <c r="AL311" i="1"/>
  <c r="D311" i="1" s="1"/>
  <c r="B311" i="1" s="1"/>
  <c r="AL444" i="1"/>
  <c r="D444" i="1" s="1"/>
  <c r="AL503" i="1"/>
  <c r="AL459" i="1"/>
  <c r="D459" i="1" s="1"/>
  <c r="AL495" i="1"/>
  <c r="D495" i="1" s="1"/>
  <c r="B495" i="1" s="1"/>
  <c r="AL361" i="1"/>
  <c r="D361" i="1" s="1"/>
  <c r="AL479" i="1"/>
  <c r="D479" i="1" s="1"/>
  <c r="AL358" i="1"/>
  <c r="D358" i="1" s="1"/>
  <c r="AL461" i="1"/>
  <c r="AL314" i="1"/>
  <c r="D314" i="1" s="1"/>
  <c r="AL247" i="1"/>
  <c r="D247" i="1" s="1"/>
  <c r="AL373" i="1"/>
  <c r="D373" i="1" s="1"/>
  <c r="AL322" i="1"/>
  <c r="D322" i="1" s="1"/>
  <c r="B322" i="1" s="1"/>
  <c r="AL484" i="1"/>
  <c r="AL406" i="1"/>
  <c r="D406" i="1" s="1"/>
  <c r="B406" i="1" s="1"/>
  <c r="AL417" i="1"/>
  <c r="AL363" i="1"/>
  <c r="D363" i="1" s="1"/>
  <c r="AL276" i="1"/>
  <c r="D276" i="1" s="1"/>
  <c r="AL381" i="1"/>
  <c r="D381" i="1" s="1"/>
  <c r="B381" i="1" s="1"/>
  <c r="AL319" i="1"/>
  <c r="D319" i="1" s="1"/>
  <c r="B319" i="1" s="1"/>
  <c r="AL278" i="1"/>
  <c r="AL285" i="1"/>
  <c r="D285" i="1" s="1"/>
  <c r="B285" i="1" s="1"/>
  <c r="AL469" i="1"/>
  <c r="D469" i="1" s="1"/>
  <c r="AL490" i="1"/>
  <c r="D490" i="1" s="1"/>
  <c r="B490" i="1" s="1"/>
  <c r="AL315" i="1"/>
  <c r="D315" i="1" s="1"/>
  <c r="AL325" i="1"/>
  <c r="D325" i="1" s="1"/>
  <c r="B325" i="1" s="1"/>
  <c r="AL507" i="1"/>
  <c r="D507" i="1" s="1"/>
  <c r="AL446" i="1"/>
  <c r="D446" i="1" s="1"/>
  <c r="AL292" i="1"/>
  <c r="D292" i="1" s="1"/>
  <c r="AL489" i="1"/>
  <c r="D489" i="1" s="1"/>
  <c r="AL407" i="1"/>
  <c r="D407" i="1" s="1"/>
  <c r="AL426" i="1"/>
  <c r="D426" i="1" s="1"/>
  <c r="B426" i="1" s="1"/>
  <c r="AL265" i="1"/>
  <c r="D265" i="1" s="1"/>
  <c r="AL460" i="1"/>
  <c r="D460" i="1" s="1"/>
  <c r="AL348" i="1"/>
  <c r="D348" i="1" s="1"/>
  <c r="AL385" i="1"/>
  <c r="AL396" i="1"/>
  <c r="D396" i="1" s="1"/>
  <c r="B396" i="1" s="1"/>
  <c r="AL401" i="1"/>
  <c r="D401" i="1" s="1"/>
  <c r="AL486" i="1"/>
  <c r="D486" i="1" s="1"/>
  <c r="B486" i="1" s="1"/>
  <c r="AL260" i="1"/>
  <c r="D260" i="1" s="1"/>
  <c r="B260" i="1" s="1"/>
  <c r="AL309" i="1"/>
  <c r="D309" i="1" s="1"/>
  <c r="AL422" i="1"/>
  <c r="D422" i="1" s="1"/>
  <c r="AL509" i="1"/>
  <c r="AL419" i="1"/>
  <c r="AL366" i="1"/>
  <c r="D366" i="1" s="1"/>
  <c r="AL355" i="1"/>
  <c r="D355" i="1" s="1"/>
  <c r="AL502" i="1"/>
  <c r="D502" i="1" s="1"/>
  <c r="AL298" i="1"/>
  <c r="D298" i="1" s="1"/>
  <c r="AL256" i="1"/>
  <c r="D256" i="1" s="1"/>
  <c r="AL504" i="1"/>
  <c r="D504" i="1" s="1"/>
  <c r="B504" i="1" s="1"/>
  <c r="AL317" i="1"/>
  <c r="D317" i="1" s="1"/>
  <c r="AL471" i="1"/>
  <c r="D471" i="1" s="1"/>
  <c r="AL402" i="1"/>
  <c r="D402" i="1" s="1"/>
  <c r="AL403" i="1"/>
  <c r="D403" i="1" s="1"/>
  <c r="AL354" i="1"/>
  <c r="D354" i="1" s="1"/>
  <c r="AL344" i="1"/>
  <c r="D344" i="1" s="1"/>
  <c r="AL430" i="1"/>
  <c r="D430" i="1" s="1"/>
  <c r="B430" i="1" s="1"/>
  <c r="AL264" i="1"/>
  <c r="D264" i="1" s="1"/>
  <c r="B264" i="1" s="1"/>
  <c r="AL429" i="1"/>
  <c r="D429" i="1" s="1"/>
  <c r="B429" i="1" s="1"/>
  <c r="AL248" i="1"/>
  <c r="D248" i="1" s="1"/>
  <c r="B248" i="1" s="1"/>
  <c r="AL301" i="1"/>
  <c r="D301" i="1" s="1"/>
  <c r="AL246" i="1"/>
  <c r="D246" i="1" s="1"/>
  <c r="B246" i="1" s="1"/>
  <c r="AL431" i="1"/>
  <c r="D431" i="1" s="1"/>
  <c r="B431" i="1" s="1"/>
  <c r="AL498" i="1"/>
  <c r="D498" i="1" s="1"/>
  <c r="B498" i="1" s="1"/>
  <c r="AL474" i="1"/>
  <c r="AL343" i="1"/>
  <c r="D343" i="1" s="1"/>
  <c r="B343" i="1" s="1"/>
  <c r="AL472" i="1"/>
  <c r="D472" i="1" s="1"/>
  <c r="AL299" i="1"/>
  <c r="D299" i="1" s="1"/>
  <c r="AL494" i="1"/>
  <c r="D494" i="1" s="1"/>
  <c r="AL510" i="1"/>
  <c r="D510" i="1" s="1"/>
  <c r="B510" i="1" s="1"/>
  <c r="AL412" i="1"/>
  <c r="D412" i="1" s="1"/>
  <c r="AL289" i="1"/>
  <c r="D289" i="1" s="1"/>
  <c r="AL323" i="1"/>
  <c r="D323" i="1" s="1"/>
  <c r="AL441" i="1"/>
  <c r="D441" i="1" s="1"/>
  <c r="AL457" i="1"/>
  <c r="D457" i="1" s="1"/>
  <c r="AL245" i="1"/>
  <c r="D245" i="1" s="1"/>
  <c r="B245" i="1" s="1"/>
  <c r="AL387" i="1"/>
  <c r="D387" i="1" s="1"/>
  <c r="AL357" i="1"/>
  <c r="D357" i="1" s="1"/>
  <c r="AL272" i="1"/>
  <c r="AL262" i="1"/>
  <c r="D262" i="1" s="1"/>
  <c r="B262" i="1" s="1"/>
  <c r="AL391" i="1"/>
  <c r="AL244" i="1"/>
  <c r="D244" i="1" s="1"/>
  <c r="AL266" i="1"/>
  <c r="D266" i="1" s="1"/>
  <c r="AL480" i="1"/>
  <c r="D480" i="1" s="1"/>
  <c r="AL300" i="1"/>
  <c r="D300" i="1" s="1"/>
  <c r="AL428" i="1"/>
  <c r="AL273" i="1"/>
  <c r="D273" i="1" s="1"/>
  <c r="B273" i="1" s="1"/>
  <c r="AL455" i="1"/>
  <c r="D455" i="1" s="1"/>
  <c r="AL368" i="1"/>
  <c r="D368" i="1" s="1"/>
  <c r="B368" i="1" s="1"/>
  <c r="AL286" i="1"/>
  <c r="AL377" i="1"/>
  <c r="D377" i="1" s="1"/>
  <c r="AL367" i="1"/>
  <c r="D367" i="1" s="1"/>
  <c r="AL390" i="1"/>
  <c r="D390" i="1" s="1"/>
  <c r="B390" i="1" s="1"/>
  <c r="AL477" i="1"/>
  <c r="D477" i="1" s="1"/>
  <c r="B477" i="1" s="1"/>
  <c r="AL488" i="1"/>
  <c r="D488" i="1" s="1"/>
  <c r="AL485" i="1"/>
  <c r="AL483" i="1"/>
  <c r="D483" i="1" s="1"/>
  <c r="B483" i="1" s="1"/>
  <c r="AL271" i="1"/>
  <c r="D271" i="1" s="1"/>
  <c r="B271" i="1" s="1"/>
  <c r="AL435" i="1"/>
  <c r="D435" i="1" s="1"/>
  <c r="B435" i="1" s="1"/>
  <c r="AL433" i="1"/>
  <c r="D433" i="1" s="1"/>
  <c r="AL340" i="1"/>
  <c r="AL241" i="1"/>
  <c r="AL240" i="1"/>
  <c r="D240" i="1" s="1"/>
  <c r="AL493" i="1"/>
  <c r="D493" i="1" s="1"/>
  <c r="AL453" i="1"/>
  <c r="D453" i="1" s="1"/>
  <c r="AL293" i="1"/>
  <c r="D293" i="1" s="1"/>
  <c r="B293" i="1" s="1"/>
  <c r="AL447" i="1"/>
  <c r="D447" i="1" s="1"/>
  <c r="AL324" i="1"/>
  <c r="D324" i="1" s="1"/>
  <c r="AL478" i="1"/>
  <c r="D478" i="1" s="1"/>
  <c r="B478" i="1" s="1"/>
  <c r="AL421" i="1"/>
  <c r="D421" i="1" s="1"/>
  <c r="AL476" i="1"/>
  <c r="D476" i="1" s="1"/>
  <c r="AL338" i="1"/>
  <c r="D338" i="1" s="1"/>
  <c r="B338" i="1" s="1"/>
  <c r="AL347" i="1"/>
  <c r="D347" i="1" s="1"/>
  <c r="AL375" i="1"/>
  <c r="AL414" i="1"/>
  <c r="AL351" i="1"/>
  <c r="D351" i="1" s="1"/>
  <c r="B351" i="1" s="1"/>
  <c r="AL327" i="1"/>
  <c r="D327" i="1" s="1"/>
  <c r="B327" i="1" s="1"/>
  <c r="AL384" i="1"/>
  <c r="D384" i="1" s="1"/>
  <c r="B384" i="1" s="1"/>
  <c r="AL261" i="1"/>
  <c r="D261" i="1" s="1"/>
  <c r="B261" i="1" s="1"/>
  <c r="AL415" i="1"/>
  <c r="D415" i="1" s="1"/>
  <c r="B415" i="1" s="1"/>
  <c r="AL443" i="1"/>
  <c r="D443" i="1" s="1"/>
  <c r="AL303" i="1"/>
  <c r="D303" i="1" s="1"/>
  <c r="B303" i="1" s="1"/>
  <c r="AL487" i="1"/>
  <c r="D487" i="1" s="1"/>
  <c r="B487" i="1" s="1"/>
  <c r="AL254" i="1"/>
  <c r="AL239" i="1"/>
  <c r="D239" i="1" s="1"/>
  <c r="AL405" i="1"/>
  <c r="D405" i="1" s="1"/>
  <c r="B405" i="1" s="1"/>
  <c r="AL376" i="1"/>
  <c r="AL379" i="1"/>
  <c r="D379" i="1" s="1"/>
  <c r="AL253" i="1"/>
  <c r="AL252" i="1"/>
  <c r="D252" i="1" s="1"/>
  <c r="B252" i="1" s="1"/>
  <c r="AL251" i="1"/>
  <c r="D251" i="1" s="1"/>
  <c r="B251" i="1" s="1"/>
  <c r="AL279" i="1"/>
  <c r="D279" i="1" s="1"/>
  <c r="B279" i="1" s="1"/>
  <c r="AL360" i="1"/>
  <c r="D360" i="1" s="1"/>
  <c r="B360" i="1" s="1"/>
  <c r="AL297" i="1"/>
  <c r="D297" i="1" s="1"/>
  <c r="AL470" i="1"/>
  <c r="D470" i="1" s="1"/>
  <c r="AL497" i="1"/>
  <c r="AL413" i="1"/>
  <c r="D413" i="1" s="1"/>
  <c r="B413" i="1" s="1"/>
  <c r="AL442" i="1"/>
  <c r="D442" i="1" s="1"/>
  <c r="AL308" i="1"/>
  <c r="D308" i="1" s="1"/>
  <c r="AL395" i="1"/>
  <c r="D395" i="1" s="1"/>
  <c r="B395" i="1" s="1"/>
  <c r="AL334" i="1"/>
  <c r="D334" i="1" s="1"/>
  <c r="B334" i="1" s="1"/>
  <c r="AL438" i="1"/>
  <c r="D438" i="1" s="1"/>
  <c r="B438" i="1" s="1"/>
  <c r="AL410" i="1"/>
  <c r="D410" i="1" s="1"/>
  <c r="AL335" i="1"/>
  <c r="D335" i="1" s="1"/>
  <c r="AL359" i="1"/>
  <c r="D359" i="1" s="1"/>
  <c r="AL274" i="1"/>
  <c r="D274" i="1" s="1"/>
  <c r="B274" i="1" s="1"/>
  <c r="AL371" i="1"/>
  <c r="D371" i="1" s="1"/>
  <c r="B371" i="1" s="1"/>
  <c r="AL352" i="1"/>
  <c r="AL306" i="1"/>
  <c r="D306" i="1" s="1"/>
  <c r="AL492" i="1"/>
  <c r="D492" i="1" s="1"/>
  <c r="B492" i="1" s="1"/>
  <c r="AL339" i="1"/>
  <c r="D339" i="1" s="1"/>
  <c r="B339" i="1" s="1"/>
  <c r="AL383" i="1"/>
  <c r="D383" i="1" s="1"/>
  <c r="AL294" i="1"/>
  <c r="D294" i="1" s="1"/>
  <c r="AL362" i="1"/>
  <c r="D362" i="1" s="1"/>
  <c r="B362" i="1" s="1"/>
  <c r="AL434" i="1"/>
  <c r="D434" i="1" s="1"/>
  <c r="B434" i="1" s="1"/>
  <c r="AL321" i="1"/>
  <c r="AL394" i="1"/>
  <c r="D394" i="1" s="1"/>
  <c r="B394" i="1" s="1"/>
  <c r="AL508" i="1"/>
  <c r="AL399" i="1"/>
  <c r="D399" i="1" s="1"/>
  <c r="AL331" i="1"/>
  <c r="D331" i="1" s="1"/>
  <c r="B331" i="1" s="1"/>
  <c r="AL350" i="1"/>
  <c r="D350" i="1" s="1"/>
  <c r="B350" i="1" s="1"/>
  <c r="AL416" i="1"/>
  <c r="D416" i="1" s="1"/>
  <c r="B416" i="1" s="1"/>
  <c r="AL288" i="1"/>
  <c r="D288" i="1" s="1"/>
  <c r="B288" i="1" s="1"/>
  <c r="AL280" i="1"/>
  <c r="AL392" i="1"/>
  <c r="D392" i="1" s="1"/>
  <c r="AL249" i="1"/>
  <c r="AL465" i="1"/>
  <c r="D465" i="1" s="1"/>
  <c r="B465" i="1" s="1"/>
  <c r="AL382" i="1"/>
  <c r="AL320" i="1"/>
  <c r="AL404" i="1"/>
  <c r="D404" i="1" s="1"/>
  <c r="B404" i="1" s="1"/>
  <c r="AL281" i="1"/>
  <c r="D281" i="1" s="1"/>
  <c r="AL467" i="1"/>
  <c r="AL333" i="1"/>
  <c r="D333" i="1" s="1"/>
  <c r="B333" i="1" s="1"/>
  <c r="AL329" i="1"/>
  <c r="D329" i="1" s="1"/>
  <c r="B329" i="1" s="1"/>
  <c r="AL427" i="1"/>
  <c r="D427" i="1" s="1"/>
  <c r="B427" i="1" s="1"/>
  <c r="AL257" i="1"/>
  <c r="D257" i="1" s="1"/>
  <c r="B257" i="1" s="1"/>
  <c r="AL349" i="1"/>
  <c r="AL332" i="1"/>
  <c r="D332" i="1" s="1"/>
  <c r="B332" i="1" s="1"/>
  <c r="AL336" i="1"/>
  <c r="AL380" i="1"/>
  <c r="D380" i="1" s="1"/>
  <c r="B380" i="1" s="1"/>
  <c r="AL418" i="1"/>
  <c r="D418" i="1" s="1"/>
  <c r="AL397" i="1"/>
  <c r="D397" i="1" s="1"/>
  <c r="B397" i="1" s="1"/>
  <c r="AL287" i="1"/>
  <c r="D287" i="1" s="1"/>
  <c r="B287" i="1" s="1"/>
  <c r="AL346" i="1"/>
  <c r="D346" i="1" s="1"/>
  <c r="B346" i="1" s="1"/>
  <c r="AL466" i="1"/>
  <c r="AL464" i="1"/>
  <c r="D464" i="1" s="1"/>
  <c r="AL437" i="1"/>
  <c r="D437" i="1" s="1"/>
  <c r="B437" i="1" s="1"/>
  <c r="AL449" i="1"/>
  <c r="D449" i="1" s="1"/>
  <c r="B449" i="1" s="1"/>
  <c r="AL328" i="1"/>
  <c r="D328" i="1" s="1"/>
  <c r="B328" i="1" s="1"/>
  <c r="AL255" i="1"/>
  <c r="D255" i="1" s="1"/>
  <c r="B255" i="1" s="1"/>
  <c r="AL291" i="1"/>
  <c r="AL342" i="1"/>
  <c r="D342" i="1" s="1"/>
  <c r="B342" i="1" s="1"/>
  <c r="AL432" i="1"/>
  <c r="D432" i="1" s="1"/>
  <c r="AL365" i="1"/>
  <c r="D365" i="1" s="1"/>
  <c r="B365" i="1" s="1"/>
  <c r="AL505" i="1"/>
  <c r="AL330" i="1"/>
  <c r="D330" i="1" s="1"/>
  <c r="B330" i="1" s="1"/>
  <c r="AL372" i="1"/>
  <c r="D372" i="1" s="1"/>
  <c r="B372" i="1" s="1"/>
  <c r="AL439" i="1"/>
  <c r="D439" i="1" s="1"/>
  <c r="B439" i="1" s="1"/>
  <c r="AL296" i="1"/>
  <c r="D296" i="1" s="1"/>
  <c r="B296" i="1" s="1"/>
  <c r="AL374" i="1"/>
  <c r="D374" i="1" s="1"/>
  <c r="B374" i="1" s="1"/>
  <c r="AL290" i="1"/>
  <c r="D290" i="1" s="1"/>
  <c r="B290" i="1" s="1"/>
  <c r="AL282" i="1"/>
  <c r="AL388" i="1"/>
  <c r="D388" i="1" s="1"/>
  <c r="B388" i="1" s="1"/>
  <c r="AL481" i="1"/>
  <c r="D481" i="1" s="1"/>
  <c r="B481" i="1" s="1"/>
  <c r="AL277" i="1"/>
  <c r="D277" i="1" s="1"/>
  <c r="C141" i="6"/>
  <c r="B141" i="6" s="1" a="1"/>
  <c r="B141" i="6" s="1"/>
  <c r="W465" i="7"/>
  <c r="W464" i="7"/>
  <c r="AK464" i="7"/>
  <c r="AJ464" i="7"/>
  <c r="D464" i="7"/>
  <c r="B464" i="7" s="1" a="1"/>
  <c r="B464" i="7" s="1"/>
  <c r="D713" i="7"/>
  <c r="AL713" i="7" s="1"/>
  <c r="AW29" i="1"/>
  <c r="AK711" i="7"/>
  <c r="C61" i="6"/>
  <c r="B61" i="6" s="1" a="1"/>
  <c r="B61" i="6" s="1"/>
  <c r="C46" i="6"/>
  <c r="B46" i="6" s="1" a="1"/>
  <c r="B46" i="6" s="1"/>
  <c r="C137" i="6"/>
  <c r="B137" i="6" s="1" a="1"/>
  <c r="B137" i="6" s="1"/>
  <c r="C49" i="6"/>
  <c r="B49" i="6" s="1" a="1"/>
  <c r="B49" i="6" s="1"/>
  <c r="S49" i="6"/>
  <c r="T49" i="6"/>
  <c r="C50" i="6"/>
  <c r="B50" i="6" s="1" a="1"/>
  <c r="B50" i="6" s="1"/>
  <c r="S50" i="6"/>
  <c r="T50" i="6"/>
  <c r="C139" i="6"/>
  <c r="B139" i="6" s="1" a="1"/>
  <c r="B139" i="6" s="1"/>
  <c r="S139" i="6"/>
  <c r="T139" i="6"/>
  <c r="C140" i="6"/>
  <c r="B140" i="6" s="1" a="1"/>
  <c r="B140" i="6" s="1"/>
  <c r="S140" i="6"/>
  <c r="T140" i="6"/>
  <c r="S46" i="6"/>
  <c r="T46" i="6"/>
  <c r="C47" i="6"/>
  <c r="B47" i="6" s="1" a="1"/>
  <c r="B47" i="6" s="1"/>
  <c r="S47" i="6"/>
  <c r="T47" i="6"/>
  <c r="C48" i="6"/>
  <c r="B48" i="6" s="1" a="1"/>
  <c r="B48" i="6" s="1"/>
  <c r="S48" i="6"/>
  <c r="T48" i="6"/>
  <c r="AT520" i="1"/>
  <c r="D305" i="7"/>
  <c r="AL305" i="7" s="1"/>
  <c r="D710" i="7"/>
  <c r="B710" i="7" s="1" a="1"/>
  <c r="B710" i="7" s="1"/>
  <c r="AK305" i="7"/>
  <c r="AJ305" i="7"/>
  <c r="AK710" i="7"/>
  <c r="AJ710" i="7"/>
  <c r="AJ647" i="7"/>
  <c r="AK647" i="7"/>
  <c r="C129" i="6"/>
  <c r="B129" i="6" s="1" a="1"/>
  <c r="B129" i="6" s="1"/>
  <c r="C127" i="6"/>
  <c r="B127" i="6" s="1" a="1"/>
  <c r="B127" i="6" s="1"/>
  <c r="W711" i="7"/>
  <c r="W319" i="7"/>
  <c r="W709" i="7"/>
  <c r="W321" i="7"/>
  <c r="W322" i="7"/>
  <c r="W323" i="7"/>
  <c r="W324" i="7"/>
  <c r="W320" i="7"/>
  <c r="AK320" i="7"/>
  <c r="AJ320" i="7"/>
  <c r="D320" i="7"/>
  <c r="AK319" i="7"/>
  <c r="AJ319" i="7"/>
  <c r="D319" i="7"/>
  <c r="AJ711" i="7"/>
  <c r="D711" i="7"/>
  <c r="B711" i="7" s="1" a="1"/>
  <c r="B711" i="7" s="1"/>
  <c r="AK709" i="7"/>
  <c r="AJ709" i="7"/>
  <c r="D709" i="7"/>
  <c r="AK321" i="7"/>
  <c r="AJ321" i="7"/>
  <c r="D321" i="7"/>
  <c r="AK322" i="7"/>
  <c r="AJ322" i="7"/>
  <c r="D322" i="7"/>
  <c r="AL322" i="7" s="1"/>
  <c r="AK323" i="7"/>
  <c r="AJ323" i="7"/>
  <c r="D323" i="7"/>
  <c r="AL323" i="7" s="1"/>
  <c r="AK324" i="7"/>
  <c r="AJ324" i="7"/>
  <c r="D324" i="7"/>
  <c r="AJ702" i="7"/>
  <c r="AK702" i="7"/>
  <c r="AJ703" i="7"/>
  <c r="AK703" i="7"/>
  <c r="AJ458" i="7"/>
  <c r="AK458" i="7"/>
  <c r="AJ704" i="7"/>
  <c r="AK704" i="7"/>
  <c r="AJ705" i="7"/>
  <c r="AK705" i="7"/>
  <c r="AJ454" i="7"/>
  <c r="AK454" i="7"/>
  <c r="AJ457" i="7"/>
  <c r="AK457" i="7"/>
  <c r="AJ304" i="7"/>
  <c r="AK304" i="7"/>
  <c r="AJ299" i="7"/>
  <c r="AK299" i="7"/>
  <c r="AJ706" i="7"/>
  <c r="AK706" i="7"/>
  <c r="AJ707" i="7"/>
  <c r="AK707" i="7"/>
  <c r="AJ708" i="7"/>
  <c r="AK708" i="7"/>
  <c r="AJ699" i="7"/>
  <c r="AK699" i="7"/>
  <c r="D299" i="7"/>
  <c r="B299" i="7" s="1" a="1"/>
  <c r="B299" i="7" s="1"/>
  <c r="D706" i="7"/>
  <c r="B706" i="7" s="1" a="1"/>
  <c r="B706" i="7" s="1"/>
  <c r="D707" i="7"/>
  <c r="D708" i="7"/>
  <c r="AL708" i="7" s="1"/>
  <c r="D458" i="7"/>
  <c r="D454" i="7"/>
  <c r="B454" i="7" s="1" a="1"/>
  <c r="B454" i="7" s="1"/>
  <c r="D304" i="7"/>
  <c r="D675" i="7"/>
  <c r="AL675" i="7" s="1"/>
  <c r="D638" i="7"/>
  <c r="D639" i="7"/>
  <c r="D640" i="7"/>
  <c r="B640" i="7" s="1" a="1"/>
  <c r="B640" i="7" s="1"/>
  <c r="D641" i="7"/>
  <c r="B641" i="7" s="1" a="1"/>
  <c r="B641" i="7" s="1"/>
  <c r="D465" i="7"/>
  <c r="D642" i="7"/>
  <c r="B642" i="7" s="1" a="1"/>
  <c r="B642" i="7" s="1"/>
  <c r="D676" i="7"/>
  <c r="D643" i="7"/>
  <c r="AL643" i="7" s="1"/>
  <c r="D644" i="7"/>
  <c r="D455" i="7"/>
  <c r="D645" i="7"/>
  <c r="B645" i="7" s="1" a="1"/>
  <c r="B645" i="7" s="1"/>
  <c r="D677" i="7"/>
  <c r="AL677" i="7" s="1"/>
  <c r="D646" i="7"/>
  <c r="B646" i="7" s="1" a="1"/>
  <c r="B646" i="7" s="1"/>
  <c r="D569" i="7"/>
  <c r="AL569" i="7" s="1"/>
  <c r="D619" i="7"/>
  <c r="D647" i="7"/>
  <c r="B647" i="7" s="1" a="1"/>
  <c r="B647" i="7" s="1"/>
  <c r="AK619" i="7"/>
  <c r="AJ619" i="7"/>
  <c r="AK569" i="7"/>
  <c r="AJ569" i="7"/>
  <c r="AK646" i="7"/>
  <c r="AJ646" i="7"/>
  <c r="AK677" i="7"/>
  <c r="AJ677" i="7"/>
  <c r="AK645" i="7"/>
  <c r="AJ645" i="7"/>
  <c r="AK455" i="7"/>
  <c r="AJ455" i="7"/>
  <c r="AK644" i="7"/>
  <c r="AJ644" i="7"/>
  <c r="AK643" i="7"/>
  <c r="AJ643" i="7"/>
  <c r="AK676" i="7"/>
  <c r="AJ676" i="7"/>
  <c r="AK642" i="7"/>
  <c r="AJ642" i="7"/>
  <c r="AK465" i="7"/>
  <c r="AJ465" i="7"/>
  <c r="AK641" i="7"/>
  <c r="AJ641" i="7"/>
  <c r="AK640" i="7"/>
  <c r="AJ640" i="7"/>
  <c r="AK639" i="7"/>
  <c r="AJ639" i="7"/>
  <c r="AK638" i="7"/>
  <c r="AJ638" i="7"/>
  <c r="AK675" i="7"/>
  <c r="AJ675" i="7"/>
  <c r="AJ716" i="7"/>
  <c r="AK716" i="7"/>
  <c r="D716" i="7"/>
  <c r="AL716" i="7" s="1"/>
  <c r="AK714" i="7"/>
  <c r="AJ714" i="7"/>
  <c r="D714" i="7"/>
  <c r="B714" i="7" s="1" a="1"/>
  <c r="B714" i="7" s="1"/>
  <c r="AK715" i="7"/>
  <c r="AJ715" i="7"/>
  <c r="D715" i="7"/>
  <c r="D651" i="7"/>
  <c r="D302" i="7"/>
  <c r="B302" i="7" s="1" a="1"/>
  <c r="B302" i="7" s="1"/>
  <c r="D459" i="7"/>
  <c r="B459" i="7" s="1" a="1"/>
  <c r="B459" i="7" s="1"/>
  <c r="D327" i="7"/>
  <c r="D717" i="7"/>
  <c r="D325" i="7"/>
  <c r="D718" i="7"/>
  <c r="B718" i="7" s="1" a="1"/>
  <c r="B718" i="7" s="1"/>
  <c r="AK325" i="7"/>
  <c r="AJ325" i="7"/>
  <c r="W325" i="7"/>
  <c r="AK717" i="7"/>
  <c r="AJ717" i="7"/>
  <c r="AK713" i="7"/>
  <c r="AJ713" i="7"/>
  <c r="AK326" i="7"/>
  <c r="AJ326" i="7"/>
  <c r="W326" i="7"/>
  <c r="D326" i="7"/>
  <c r="AL326" i="7" s="1"/>
  <c r="T45" i="6"/>
  <c r="S45" i="6"/>
  <c r="C45" i="6"/>
  <c r="B45" i="6" s="1" a="1"/>
  <c r="B45" i="6" s="1"/>
  <c r="AK327" i="7"/>
  <c r="AJ327" i="7"/>
  <c r="AK487" i="7"/>
  <c r="AJ487" i="7"/>
  <c r="D487" i="7"/>
  <c r="AL487" i="7" s="1"/>
  <c r="S51" i="6"/>
  <c r="T51" i="6"/>
  <c r="C51" i="6"/>
  <c r="B51" i="6" s="1" a="1"/>
  <c r="B51" i="6" s="1"/>
  <c r="AN452" i="1"/>
  <c r="BA452" i="1" s="1"/>
  <c r="AN368" i="1"/>
  <c r="BA368" i="1" s="1"/>
  <c r="AN415" i="1"/>
  <c r="BA415" i="1" s="1"/>
  <c r="V394" i="1"/>
  <c r="W394" i="1" s="1"/>
  <c r="BA46" i="1"/>
  <c r="S144" i="6"/>
  <c r="T144" i="6"/>
  <c r="C144" i="6"/>
  <c r="B144" i="6" s="1" a="1"/>
  <c r="B144" i="6" s="1"/>
  <c r="AK328" i="7"/>
  <c r="AJ328" i="7"/>
  <c r="D328" i="7"/>
  <c r="B328" i="7" s="1" a="1"/>
  <c r="B328" i="7" s="1"/>
  <c r="S142" i="6"/>
  <c r="T142" i="6"/>
  <c r="AK723" i="7"/>
  <c r="AJ723" i="7"/>
  <c r="AK721" i="7"/>
  <c r="AJ721" i="7"/>
  <c r="AK720" i="7"/>
  <c r="AJ720" i="7"/>
  <c r="AK472" i="7"/>
  <c r="AJ472" i="7"/>
  <c r="AK473" i="7"/>
  <c r="AJ473" i="7"/>
  <c r="AK722" i="7"/>
  <c r="AJ722" i="7"/>
  <c r="AK719" i="7"/>
  <c r="AJ719" i="7"/>
  <c r="D723" i="7"/>
  <c r="D721" i="7"/>
  <c r="B721" i="7" s="1" a="1"/>
  <c r="B721" i="7" s="1"/>
  <c r="D720" i="7"/>
  <c r="D472" i="7"/>
  <c r="D473" i="7"/>
  <c r="D722" i="7"/>
  <c r="D719" i="7"/>
  <c r="AL719" i="7" s="1"/>
  <c r="AK712" i="7"/>
  <c r="AJ712" i="7"/>
  <c r="D712" i="7"/>
  <c r="AJ329" i="7"/>
  <c r="AK329" i="7"/>
  <c r="W329" i="7"/>
  <c r="D329" i="7"/>
  <c r="T61" i="6"/>
  <c r="S61" i="6"/>
  <c r="AK332" i="7"/>
  <c r="AJ332" i="7"/>
  <c r="D332" i="7"/>
  <c r="AK474" i="7"/>
  <c r="AJ474" i="7"/>
  <c r="D474" i="7"/>
  <c r="AL474" i="7" s="1"/>
  <c r="AJ733" i="7"/>
  <c r="AK733" i="7"/>
  <c r="W733" i="7"/>
  <c r="D733" i="7"/>
  <c r="AJ718" i="7"/>
  <c r="AK718" i="7"/>
  <c r="AJ650" i="7"/>
  <c r="AJ651" i="7"/>
  <c r="AJ302" i="7"/>
  <c r="AJ725" i="7"/>
  <c r="AK725" i="7"/>
  <c r="AK302" i="7"/>
  <c r="AS651" i="7"/>
  <c r="AK651" i="7" s="1"/>
  <c r="AK728" i="7"/>
  <c r="AJ728" i="7"/>
  <c r="D728" i="7"/>
  <c r="AL728" i="7" s="1"/>
  <c r="AK727" i="7"/>
  <c r="AJ727" i="7"/>
  <c r="D727" i="7"/>
  <c r="AK726" i="7"/>
  <c r="AJ726" i="7"/>
  <c r="D726" i="7"/>
  <c r="B726" i="7" s="1" a="1"/>
  <c r="B726" i="7" s="1"/>
  <c r="AK459" i="7"/>
  <c r="AJ459" i="7"/>
  <c r="AK513" i="7"/>
  <c r="AJ513" i="7"/>
  <c r="D513" i="7"/>
  <c r="AL513" i="7" s="1"/>
  <c r="D725" i="7"/>
  <c r="AL725" i="7" s="1"/>
  <c r="D490" i="7"/>
  <c r="AL490" i="7" s="1"/>
  <c r="D489" i="7"/>
  <c r="B489" i="7" s="1" a="1"/>
  <c r="B489" i="7" s="1"/>
  <c r="D732" i="7"/>
  <c r="D731" i="7"/>
  <c r="AL731" i="7" s="1"/>
  <c r="D730" i="7"/>
  <c r="AL730" i="7" s="1"/>
  <c r="D729" i="7"/>
  <c r="AL729" i="7" s="1"/>
  <c r="D469" i="7"/>
  <c r="B469" i="7" s="1" a="1"/>
  <c r="B469" i="7" s="1"/>
  <c r="D650" i="7"/>
  <c r="B650" i="7" s="1" a="1"/>
  <c r="B650" i="7" s="1"/>
  <c r="D763" i="7"/>
  <c r="AL763" i="7" s="1"/>
  <c r="AK650" i="7"/>
  <c r="AJ729" i="7"/>
  <c r="AK729" i="7"/>
  <c r="AJ730" i="7"/>
  <c r="AK730" i="7"/>
  <c r="AJ731" i="7"/>
  <c r="AK731" i="7"/>
  <c r="AJ732" i="7"/>
  <c r="AK732" i="7"/>
  <c r="W749" i="7"/>
  <c r="W725" i="7"/>
  <c r="W755" i="7"/>
  <c r="W342" i="7"/>
  <c r="W330" i="7"/>
  <c r="W724" i="7"/>
  <c r="W347" i="7"/>
  <c r="W343" i="7"/>
  <c r="W736" i="7"/>
  <c r="W756" i="7"/>
  <c r="W263" i="7"/>
  <c r="W754" i="7"/>
  <c r="W750" i="7"/>
  <c r="W337" i="7"/>
  <c r="W737" i="7"/>
  <c r="W336" i="7"/>
  <c r="W344" i="7"/>
  <c r="W738" i="7"/>
  <c r="W739" i="7"/>
  <c r="W488" i="7"/>
  <c r="W753" i="7"/>
  <c r="W334" i="7"/>
  <c r="W331" i="7"/>
  <c r="W345" i="7"/>
  <c r="W751" i="7"/>
  <c r="W740" i="7"/>
  <c r="W752" i="7"/>
  <c r="W735" i="7"/>
  <c r="W741" i="7"/>
  <c r="W757" i="7"/>
  <c r="W734" i="7"/>
  <c r="W742" i="7"/>
  <c r="W743" i="7"/>
  <c r="W747" i="7"/>
  <c r="W339" i="7"/>
  <c r="W744" i="7"/>
  <c r="W746" i="7"/>
  <c r="W758" i="7"/>
  <c r="W264" i="7"/>
  <c r="W764" i="7"/>
  <c r="W335" i="7"/>
  <c r="W745" i="7"/>
  <c r="W759" i="7"/>
  <c r="W760" i="7"/>
  <c r="W340" i="7"/>
  <c r="W761" i="7"/>
  <c r="W762" i="7"/>
  <c r="W763" i="7"/>
  <c r="W341" i="7"/>
  <c r="W333" i="7"/>
  <c r="W338" i="7"/>
  <c r="W748" i="7"/>
  <c r="AK338" i="7"/>
  <c r="AJ338" i="7"/>
  <c r="D338" i="7"/>
  <c r="B338" i="7" s="1" a="1"/>
  <c r="B338" i="7" s="1"/>
  <c r="AK333" i="7"/>
  <c r="AJ333" i="7"/>
  <c r="D333" i="7"/>
  <c r="B333" i="7" s="1" a="1"/>
  <c r="B333" i="7" s="1"/>
  <c r="AK341" i="7"/>
  <c r="AJ341" i="7"/>
  <c r="D341" i="7"/>
  <c r="AL341" i="7" s="1"/>
  <c r="AK763" i="7"/>
  <c r="AJ763" i="7"/>
  <c r="AK762" i="7"/>
  <c r="AJ762" i="7"/>
  <c r="D762" i="7"/>
  <c r="AK761" i="7"/>
  <c r="AJ761" i="7"/>
  <c r="D761" i="7"/>
  <c r="AK340" i="7"/>
  <c r="AJ340" i="7"/>
  <c r="D340" i="7"/>
  <c r="AK760" i="7"/>
  <c r="AJ760" i="7"/>
  <c r="D760" i="7"/>
  <c r="AK759" i="7"/>
  <c r="AJ759" i="7"/>
  <c r="D759" i="7"/>
  <c r="B759" i="7" s="1" a="1"/>
  <c r="B759" i="7" s="1"/>
  <c r="AK745" i="7"/>
  <c r="AJ745" i="7"/>
  <c r="D745" i="7"/>
  <c r="B745" i="7" s="1" a="1"/>
  <c r="B745" i="7" s="1"/>
  <c r="AK335" i="7"/>
  <c r="AJ335" i="7"/>
  <c r="D335" i="7"/>
  <c r="AK764" i="7"/>
  <c r="AJ764" i="7"/>
  <c r="D764" i="7"/>
  <c r="B764" i="7" s="1" a="1"/>
  <c r="B764" i="7" s="1"/>
  <c r="AK264" i="7"/>
  <c r="AJ264" i="7"/>
  <c r="D264" i="7"/>
  <c r="B264" i="7" s="1" a="1"/>
  <c r="B264" i="7" s="1"/>
  <c r="AK758" i="7"/>
  <c r="AJ758" i="7"/>
  <c r="D758" i="7"/>
  <c r="AK746" i="7"/>
  <c r="AJ746" i="7"/>
  <c r="D746" i="7"/>
  <c r="B746" i="7" s="1" a="1"/>
  <c r="B746" i="7" s="1"/>
  <c r="AK744" i="7"/>
  <c r="AJ744" i="7"/>
  <c r="D744" i="7"/>
  <c r="B744" i="7" s="1" a="1"/>
  <c r="B744" i="7" s="1"/>
  <c r="AK339" i="7"/>
  <c r="AJ339" i="7"/>
  <c r="D339" i="7"/>
  <c r="B339" i="7" s="1" a="1"/>
  <c r="B339" i="7" s="1"/>
  <c r="AK747" i="7"/>
  <c r="AJ747" i="7"/>
  <c r="D747" i="7"/>
  <c r="AK742" i="7"/>
  <c r="AJ742" i="7"/>
  <c r="D742" i="7"/>
  <c r="AK743" i="7"/>
  <c r="AJ743" i="7"/>
  <c r="D743" i="7"/>
  <c r="B743" i="7" s="1" a="1"/>
  <c r="B743" i="7" s="1"/>
  <c r="AK734" i="7"/>
  <c r="AJ734" i="7"/>
  <c r="D734" i="7"/>
  <c r="AL734" i="7" s="1"/>
  <c r="AK757" i="7"/>
  <c r="AJ757" i="7"/>
  <c r="D757" i="7"/>
  <c r="AL757" i="7" s="1"/>
  <c r="AK741" i="7"/>
  <c r="AJ741" i="7"/>
  <c r="D741" i="7"/>
  <c r="AK735" i="7"/>
  <c r="AJ735" i="7"/>
  <c r="D735" i="7"/>
  <c r="AK752" i="7"/>
  <c r="AJ752" i="7"/>
  <c r="D752" i="7"/>
  <c r="AL752" i="7" s="1"/>
  <c r="AK740" i="7"/>
  <c r="AJ740" i="7"/>
  <c r="D740" i="7"/>
  <c r="B740" i="7" s="1" a="1"/>
  <c r="B740" i="7" s="1"/>
  <c r="AK751" i="7"/>
  <c r="AJ751" i="7"/>
  <c r="D751" i="7"/>
  <c r="B751" i="7" s="1" a="1"/>
  <c r="B751" i="7" s="1"/>
  <c r="AK345" i="7"/>
  <c r="AJ345" i="7"/>
  <c r="D345" i="7"/>
  <c r="AL345" i="7" s="1"/>
  <c r="AK331" i="7"/>
  <c r="AJ331" i="7"/>
  <c r="D331" i="7"/>
  <c r="AL331" i="7" s="1"/>
  <c r="AK334" i="7"/>
  <c r="AJ334" i="7"/>
  <c r="D334" i="7"/>
  <c r="B334" i="7" s="1" a="1"/>
  <c r="B334" i="7" s="1"/>
  <c r="AK753" i="7"/>
  <c r="AJ753" i="7"/>
  <c r="D753" i="7"/>
  <c r="AL753" i="7" s="1"/>
  <c r="AK488" i="7"/>
  <c r="AJ488" i="7"/>
  <c r="D488" i="7"/>
  <c r="AK739" i="7"/>
  <c r="AJ739" i="7"/>
  <c r="D739" i="7"/>
  <c r="AL739" i="7" s="1"/>
  <c r="AK738" i="7"/>
  <c r="AJ738" i="7"/>
  <c r="D738" i="7"/>
  <c r="AK344" i="7"/>
  <c r="AJ344" i="7"/>
  <c r="D344" i="7"/>
  <c r="B344" i="7" s="1" a="1"/>
  <c r="B344" i="7" s="1"/>
  <c r="AK336" i="7"/>
  <c r="AJ336" i="7"/>
  <c r="D336" i="7"/>
  <c r="B336" i="7" s="1" a="1"/>
  <c r="B336" i="7" s="1"/>
  <c r="AK737" i="7"/>
  <c r="AJ737" i="7"/>
  <c r="D737" i="7"/>
  <c r="B737" i="7" s="1" a="1"/>
  <c r="B737" i="7" s="1"/>
  <c r="AK337" i="7"/>
  <c r="AJ337" i="7"/>
  <c r="D337" i="7"/>
  <c r="AK750" i="7"/>
  <c r="AJ750" i="7"/>
  <c r="D750" i="7"/>
  <c r="AL750" i="7" s="1"/>
  <c r="AK754" i="7"/>
  <c r="AJ754" i="7"/>
  <c r="D754" i="7"/>
  <c r="B754" i="7" s="1" a="1"/>
  <c r="B754" i="7" s="1"/>
  <c r="AK263" i="7"/>
  <c r="AJ263" i="7"/>
  <c r="D263" i="7"/>
  <c r="AL263" i="7" s="1"/>
  <c r="AK756" i="7"/>
  <c r="AJ756" i="7"/>
  <c r="D756" i="7"/>
  <c r="AL756" i="7" s="1"/>
  <c r="AK736" i="7"/>
  <c r="AJ736" i="7"/>
  <c r="D736" i="7"/>
  <c r="B736" i="7" s="1" a="1"/>
  <c r="B736" i="7" s="1"/>
  <c r="AK343" i="7"/>
  <c r="AJ343" i="7"/>
  <c r="D343" i="7"/>
  <c r="B343" i="7" s="1" a="1"/>
  <c r="B343" i="7" s="1"/>
  <c r="AK347" i="7"/>
  <c r="AJ347" i="7"/>
  <c r="D347" i="7"/>
  <c r="B347" i="7" s="1" a="1"/>
  <c r="B347" i="7" s="1"/>
  <c r="AK724" i="7"/>
  <c r="AJ724" i="7"/>
  <c r="D724" i="7"/>
  <c r="AL724" i="7" s="1"/>
  <c r="AK330" i="7"/>
  <c r="AJ330" i="7"/>
  <c r="D330" i="7"/>
  <c r="B330" i="7" s="1" a="1"/>
  <c r="B330" i="7" s="1"/>
  <c r="AK342" i="7"/>
  <c r="AJ342" i="7"/>
  <c r="D342" i="7"/>
  <c r="AL342" i="7" s="1"/>
  <c r="AK755" i="7"/>
  <c r="AJ755" i="7"/>
  <c r="D755" i="7"/>
  <c r="AK748" i="7"/>
  <c r="AJ748" i="7"/>
  <c r="D748" i="7"/>
  <c r="AL748" i="7" s="1"/>
  <c r="AK765" i="7"/>
  <c r="AJ765" i="7"/>
  <c r="D765" i="7"/>
  <c r="AL765" i="7" s="1"/>
  <c r="AJ790" i="7"/>
  <c r="AK790" i="7"/>
  <c r="AJ782" i="7"/>
  <c r="AK782" i="7"/>
  <c r="AJ358" i="7"/>
  <c r="AK358" i="7"/>
  <c r="AJ774" i="7"/>
  <c r="AK774" i="7"/>
  <c r="AJ777" i="7"/>
  <c r="AK777" i="7"/>
  <c r="AJ494" i="7"/>
  <c r="AK494" i="7"/>
  <c r="AJ778" i="7"/>
  <c r="AK778" i="7"/>
  <c r="AJ779" i="7"/>
  <c r="AK779" i="7"/>
  <c r="AJ780" i="7"/>
  <c r="AK780" i="7"/>
  <c r="AJ781" i="7"/>
  <c r="AK781" i="7"/>
  <c r="AJ783" i="7"/>
  <c r="AK783" i="7"/>
  <c r="AJ496" i="7"/>
  <c r="AK496" i="7"/>
  <c r="AJ359" i="7"/>
  <c r="AK359" i="7"/>
  <c r="AJ784" i="7"/>
  <c r="AK784" i="7"/>
  <c r="AJ497" i="7"/>
  <c r="AK497" i="7"/>
  <c r="AJ360" i="7"/>
  <c r="AK360" i="7"/>
  <c r="AJ495" i="7"/>
  <c r="AK495" i="7"/>
  <c r="AJ775" i="7"/>
  <c r="AK775" i="7"/>
  <c r="AJ776" i="7"/>
  <c r="AK776" i="7"/>
  <c r="AJ772" i="7"/>
  <c r="AK772" i="7"/>
  <c r="AJ773" i="7"/>
  <c r="AK773" i="7"/>
  <c r="AJ767" i="7"/>
  <c r="AK767" i="7"/>
  <c r="AJ768" i="7"/>
  <c r="AK768" i="7"/>
  <c r="AJ350" i="7"/>
  <c r="AK350" i="7"/>
  <c r="AJ769" i="7"/>
  <c r="AK769" i="7"/>
  <c r="AJ770" i="7"/>
  <c r="AK770" i="7"/>
  <c r="AJ346" i="7"/>
  <c r="AK346" i="7"/>
  <c r="AJ352" i="7"/>
  <c r="AK352" i="7"/>
  <c r="AJ353" i="7"/>
  <c r="AK353" i="7"/>
  <c r="AJ771" i="7"/>
  <c r="AK771" i="7"/>
  <c r="AJ493" i="7"/>
  <c r="AK493" i="7"/>
  <c r="AJ349" i="7"/>
  <c r="AK349" i="7"/>
  <c r="AJ489" i="7"/>
  <c r="AK489" i="7"/>
  <c r="AJ490" i="7"/>
  <c r="AK490" i="7"/>
  <c r="AJ348" i="7"/>
  <c r="AK348" i="7"/>
  <c r="AJ766" i="7"/>
  <c r="AK766" i="7"/>
  <c r="AJ491" i="7"/>
  <c r="AK491" i="7"/>
  <c r="AJ749" i="7"/>
  <c r="AK749" i="7"/>
  <c r="AJ351" i="7"/>
  <c r="AK351" i="7"/>
  <c r="AJ362" i="7"/>
  <c r="AK362" i="7"/>
  <c r="AJ388" i="7"/>
  <c r="AK388" i="7"/>
  <c r="AJ354" i="7"/>
  <c r="AK354" i="7"/>
  <c r="AJ355" i="7"/>
  <c r="AK355" i="7"/>
  <c r="AJ386" i="7"/>
  <c r="AK386" i="7"/>
  <c r="AJ356" i="7"/>
  <c r="AK356" i="7"/>
  <c r="AJ381" i="7"/>
  <c r="AK381" i="7"/>
  <c r="AJ379" i="7"/>
  <c r="AK379" i="7"/>
  <c r="AJ357" i="7"/>
  <c r="AK357" i="7"/>
  <c r="AJ378" i="7"/>
  <c r="AK378" i="7"/>
  <c r="AJ382" i="7"/>
  <c r="AK382" i="7"/>
  <c r="AJ380" i="7"/>
  <c r="AK380" i="7"/>
  <c r="AJ385" i="7"/>
  <c r="AK385" i="7"/>
  <c r="AJ387" i="7"/>
  <c r="AK387" i="7"/>
  <c r="AJ392" i="7"/>
  <c r="AK392" i="7"/>
  <c r="AJ394" i="7"/>
  <c r="AK394" i="7"/>
  <c r="AJ395" i="7"/>
  <c r="AK395" i="7"/>
  <c r="AJ393" i="7"/>
  <c r="AK393" i="7"/>
  <c r="AJ391" i="7"/>
  <c r="AK391" i="7"/>
  <c r="AJ396" i="7"/>
  <c r="AK396" i="7"/>
  <c r="AJ383" i="7"/>
  <c r="AK383" i="7"/>
  <c r="AJ384" i="7"/>
  <c r="AK384" i="7"/>
  <c r="AJ390" i="7"/>
  <c r="AK390" i="7"/>
  <c r="AJ389" i="7"/>
  <c r="AK389" i="7"/>
  <c r="AJ377" i="7"/>
  <c r="AK377" i="7"/>
  <c r="AJ369" i="7"/>
  <c r="AK369" i="7"/>
  <c r="AJ370" i="7"/>
  <c r="AK370" i="7"/>
  <c r="AJ376" i="7"/>
  <c r="AK376" i="7"/>
  <c r="AJ374" i="7"/>
  <c r="AK374" i="7"/>
  <c r="AJ373" i="7"/>
  <c r="AK373" i="7"/>
  <c r="AJ366" i="7"/>
  <c r="AK366" i="7"/>
  <c r="AJ375" i="7"/>
  <c r="AK375" i="7"/>
  <c r="AJ367" i="7"/>
  <c r="AK367" i="7"/>
  <c r="AJ372" i="7"/>
  <c r="AK372" i="7"/>
  <c r="AJ368" i="7"/>
  <c r="AK368" i="7"/>
  <c r="AJ365" i="7"/>
  <c r="AK365" i="7"/>
  <c r="AJ364" i="7"/>
  <c r="AK364" i="7"/>
  <c r="AJ371" i="7"/>
  <c r="AK371" i="7"/>
  <c r="AJ363" i="7"/>
  <c r="AK363" i="7"/>
  <c r="AJ361" i="7"/>
  <c r="AK361" i="7"/>
  <c r="AJ507" i="7"/>
  <c r="AK507" i="7"/>
  <c r="AJ506" i="7"/>
  <c r="AK506" i="7"/>
  <c r="AJ510" i="7"/>
  <c r="AK510" i="7"/>
  <c r="AJ511" i="7"/>
  <c r="AK511" i="7"/>
  <c r="AJ512" i="7"/>
  <c r="AK512" i="7"/>
  <c r="AJ500" i="7"/>
  <c r="AK500" i="7"/>
  <c r="AJ501" i="7"/>
  <c r="AK501" i="7"/>
  <c r="AJ508" i="7"/>
  <c r="AK508" i="7"/>
  <c r="AJ509" i="7"/>
  <c r="AK509" i="7"/>
  <c r="AJ492" i="7"/>
  <c r="AK492" i="7"/>
  <c r="AJ505" i="7"/>
  <c r="AK505" i="7"/>
  <c r="AJ504" i="7"/>
  <c r="AK504" i="7"/>
  <c r="AJ502" i="7"/>
  <c r="AK502" i="7"/>
  <c r="AJ503" i="7"/>
  <c r="AK503" i="7"/>
  <c r="AJ499" i="7"/>
  <c r="AK499" i="7"/>
  <c r="AJ498" i="7"/>
  <c r="AK498" i="7"/>
  <c r="AJ794" i="7"/>
  <c r="AK794" i="7"/>
  <c r="AJ792" i="7"/>
  <c r="AK792" i="7"/>
  <c r="AJ793" i="7"/>
  <c r="AK793" i="7"/>
  <c r="AJ791" i="7"/>
  <c r="AK791" i="7"/>
  <c r="AJ798" i="7"/>
  <c r="AK798" i="7"/>
  <c r="AJ795" i="7"/>
  <c r="AK795" i="7"/>
  <c r="AJ785" i="7"/>
  <c r="AK785" i="7"/>
  <c r="AJ796" i="7"/>
  <c r="AK796" i="7"/>
  <c r="AJ797" i="7"/>
  <c r="AK797" i="7"/>
  <c r="AJ801" i="7"/>
  <c r="AK801" i="7"/>
  <c r="AJ802" i="7"/>
  <c r="AK802" i="7"/>
  <c r="AJ803" i="7"/>
  <c r="AK803" i="7"/>
  <c r="AJ804" i="7"/>
  <c r="AK804" i="7"/>
  <c r="AJ786" i="7"/>
  <c r="AK786" i="7"/>
  <c r="AJ805" i="7"/>
  <c r="AK805" i="7"/>
  <c r="AJ806" i="7"/>
  <c r="AK806" i="7"/>
  <c r="AJ807" i="7"/>
  <c r="AK807" i="7"/>
  <c r="AJ808" i="7"/>
  <c r="AK808" i="7"/>
  <c r="AJ814" i="7"/>
  <c r="AK814" i="7"/>
  <c r="AJ812" i="7"/>
  <c r="AK812" i="7"/>
  <c r="AJ809" i="7"/>
  <c r="AK809" i="7"/>
  <c r="AJ810" i="7"/>
  <c r="AK810" i="7"/>
  <c r="AJ811" i="7"/>
  <c r="AK811" i="7"/>
  <c r="AJ813" i="7"/>
  <c r="AK813" i="7"/>
  <c r="AJ788" i="7"/>
  <c r="AK788" i="7"/>
  <c r="AJ787" i="7"/>
  <c r="AK787" i="7"/>
  <c r="AJ799" i="7"/>
  <c r="AK799" i="7"/>
  <c r="AJ800" i="7"/>
  <c r="AK800" i="7"/>
  <c r="AJ834" i="7"/>
  <c r="AK834" i="7"/>
  <c r="AJ835" i="7"/>
  <c r="AK835" i="7"/>
  <c r="AJ836" i="7"/>
  <c r="AK836" i="7"/>
  <c r="AJ837" i="7"/>
  <c r="AK837" i="7"/>
  <c r="AJ825" i="7"/>
  <c r="AK825" i="7"/>
  <c r="AJ830" i="7"/>
  <c r="AK830" i="7"/>
  <c r="AJ818" i="7"/>
  <c r="AK818" i="7"/>
  <c r="AJ851" i="7"/>
  <c r="AK851" i="7"/>
  <c r="AJ826" i="7"/>
  <c r="AK826" i="7"/>
  <c r="AJ838" i="7"/>
  <c r="AK838" i="7"/>
  <c r="AJ832" i="7"/>
  <c r="AK832" i="7"/>
  <c r="AJ839" i="7"/>
  <c r="AK839" i="7"/>
  <c r="AJ840" i="7"/>
  <c r="AK840" i="7"/>
  <c r="AJ841" i="7"/>
  <c r="AK841" i="7"/>
  <c r="AJ842" i="7"/>
  <c r="AK842" i="7"/>
  <c r="AJ843" i="7"/>
  <c r="AK843" i="7"/>
  <c r="AJ833" i="7"/>
  <c r="AK833" i="7"/>
  <c r="AL833" i="7"/>
  <c r="AJ831" i="7"/>
  <c r="AK831" i="7"/>
  <c r="AL831" i="7"/>
  <c r="AJ827" i="7"/>
  <c r="AK827" i="7"/>
  <c r="AJ828" i="7"/>
  <c r="AK828" i="7"/>
  <c r="AJ819" i="7"/>
  <c r="AK819" i="7"/>
  <c r="AJ822" i="7"/>
  <c r="AK822" i="7"/>
  <c r="AJ829" i="7"/>
  <c r="AK829" i="7"/>
  <c r="AJ823" i="7"/>
  <c r="AK823" i="7"/>
  <c r="AJ815" i="7"/>
  <c r="AK815" i="7"/>
  <c r="AJ820" i="7"/>
  <c r="AK820" i="7"/>
  <c r="AJ816" i="7"/>
  <c r="AK816" i="7"/>
  <c r="AJ817" i="7"/>
  <c r="AK817" i="7"/>
  <c r="AJ821" i="7"/>
  <c r="AK821" i="7"/>
  <c r="AJ824" i="7"/>
  <c r="AK824" i="7"/>
  <c r="AJ852" i="7"/>
  <c r="AK852" i="7"/>
  <c r="AJ848" i="7"/>
  <c r="AK848" i="7"/>
  <c r="AJ849" i="7"/>
  <c r="AK849" i="7"/>
  <c r="AJ845" i="7"/>
  <c r="AK845" i="7"/>
  <c r="AJ846" i="7"/>
  <c r="AK846" i="7"/>
  <c r="AJ847" i="7"/>
  <c r="AK847" i="7"/>
  <c r="AJ869" i="7"/>
  <c r="AK869" i="7"/>
  <c r="AJ870" i="7"/>
  <c r="AK870" i="7"/>
  <c r="AJ857" i="7"/>
  <c r="AK857" i="7"/>
  <c r="AJ858" i="7"/>
  <c r="AK858" i="7"/>
  <c r="AJ859" i="7"/>
  <c r="AK859" i="7"/>
  <c r="AJ860" i="7"/>
  <c r="AK860" i="7"/>
  <c r="AJ861" i="7"/>
  <c r="AK861" i="7"/>
  <c r="AJ862" i="7"/>
  <c r="AK862" i="7"/>
  <c r="AJ866" i="7"/>
  <c r="AK866" i="7"/>
  <c r="AJ850" i="7"/>
  <c r="AK850" i="7"/>
  <c r="AJ853" i="7"/>
  <c r="AK853" i="7"/>
  <c r="AJ863" i="7"/>
  <c r="AK863" i="7"/>
  <c r="AJ864" i="7"/>
  <c r="AK864" i="7"/>
  <c r="AJ865" i="7"/>
  <c r="AK865" i="7"/>
  <c r="AJ867" i="7"/>
  <c r="AK867" i="7"/>
  <c r="AJ868" i="7"/>
  <c r="AK868" i="7"/>
  <c r="AJ854" i="7"/>
  <c r="AK854" i="7"/>
  <c r="AJ855" i="7"/>
  <c r="AK855" i="7"/>
  <c r="AJ856" i="7"/>
  <c r="AK856" i="7"/>
  <c r="AJ844" i="7"/>
  <c r="AK844" i="7"/>
  <c r="AJ871" i="7"/>
  <c r="AK871" i="7"/>
  <c r="AJ872" i="7"/>
  <c r="AK872" i="7"/>
  <c r="AJ873" i="7"/>
  <c r="AK873" i="7"/>
  <c r="D766" i="7"/>
  <c r="B766" i="7" s="1" a="1"/>
  <c r="B766" i="7" s="1"/>
  <c r="D346" i="7"/>
  <c r="B346" i="7" s="1" a="1"/>
  <c r="B346" i="7" s="1"/>
  <c r="W346" i="7"/>
  <c r="S42" i="6"/>
  <c r="T42" i="6"/>
  <c r="C42" i="6"/>
  <c r="B42" i="6" s="1" a="1"/>
  <c r="B42" i="6" s="1"/>
  <c r="C63" i="6"/>
  <c r="B63" i="6" s="1" a="1"/>
  <c r="B63" i="6" s="1"/>
  <c r="T143" i="6"/>
  <c r="S143" i="6"/>
  <c r="C143" i="6"/>
  <c r="B143" i="6" s="1" a="1"/>
  <c r="B143" i="6" s="1"/>
  <c r="D749" i="7"/>
  <c r="D348" i="7"/>
  <c r="B348" i="7" s="1" a="1"/>
  <c r="B348" i="7" s="1"/>
  <c r="T146" i="6"/>
  <c r="S146" i="6"/>
  <c r="C146" i="6"/>
  <c r="B146" i="6" s="1" a="1"/>
  <c r="B146" i="6" s="1"/>
  <c r="T149" i="6"/>
  <c r="S149" i="6"/>
  <c r="C149" i="6"/>
  <c r="B149" i="6" s="1" a="1"/>
  <c r="B149" i="6" s="1"/>
  <c r="T63" i="6"/>
  <c r="S63" i="6"/>
  <c r="W349" i="7"/>
  <c r="D349" i="7"/>
  <c r="B349" i="7" s="1" a="1"/>
  <c r="B349" i="7" s="1"/>
  <c r="W351" i="7"/>
  <c r="D351" i="7"/>
  <c r="AL351" i="7" s="1"/>
  <c r="W354" i="7"/>
  <c r="D354" i="7"/>
  <c r="AL354" i="7" s="1"/>
  <c r="W493" i="7"/>
  <c r="D493" i="7"/>
  <c r="AL493" i="7" s="1"/>
  <c r="W353" i="7"/>
  <c r="D353" i="7"/>
  <c r="W771" i="7"/>
  <c r="D771" i="7"/>
  <c r="B771" i="7" s="1" a="1"/>
  <c r="B771" i="7" s="1"/>
  <c r="W352" i="7"/>
  <c r="D352" i="7"/>
  <c r="W350" i="7"/>
  <c r="D350" i="7"/>
  <c r="AL350" i="7" s="1"/>
  <c r="W768" i="7"/>
  <c r="D768" i="7"/>
  <c r="B768" i="7" s="1" a="1"/>
  <c r="B768" i="7" s="1"/>
  <c r="W356" i="7"/>
  <c r="D356" i="7"/>
  <c r="AL356" i="7" s="1"/>
  <c r="W492" i="7"/>
  <c r="D492" i="7"/>
  <c r="W357" i="7"/>
  <c r="D357" i="7"/>
  <c r="AL357" i="7" s="1"/>
  <c r="W767" i="7"/>
  <c r="D767" i="7"/>
  <c r="W770" i="7"/>
  <c r="D770" i="7"/>
  <c r="B770" i="7" s="1" a="1"/>
  <c r="B770" i="7" s="1"/>
  <c r="W769" i="7"/>
  <c r="D769" i="7"/>
  <c r="W773" i="7"/>
  <c r="D773" i="7"/>
  <c r="S64" i="6"/>
  <c r="T64" i="6"/>
  <c r="C64" i="6"/>
  <c r="B64" i="6" s="1" a="1"/>
  <c r="B64" i="6" s="1"/>
  <c r="S145" i="6"/>
  <c r="T145" i="6"/>
  <c r="C145" i="6"/>
  <c r="B145" i="6" s="1" a="1"/>
  <c r="B145" i="6" s="1"/>
  <c r="T150" i="6"/>
  <c r="S150" i="6"/>
  <c r="C150" i="6"/>
  <c r="B150" i="6" s="1" a="1"/>
  <c r="B150" i="6" s="1"/>
  <c r="T52" i="6"/>
  <c r="S52" i="6"/>
  <c r="C52" i="6"/>
  <c r="B52" i="6" s="1" a="1"/>
  <c r="B52" i="6" s="1"/>
  <c r="T148" i="6"/>
  <c r="S148" i="6"/>
  <c r="C148" i="6"/>
  <c r="B148" i="6" s="1" a="1"/>
  <c r="B148" i="6" s="1"/>
  <c r="T65" i="6"/>
  <c r="S65" i="6"/>
  <c r="C65" i="6"/>
  <c r="B65" i="6" s="1" a="1"/>
  <c r="B65" i="6" s="1"/>
  <c r="S53" i="6"/>
  <c r="T53" i="6"/>
  <c r="C53" i="6"/>
  <c r="B53" i="6" s="1" a="1"/>
  <c r="B53" i="6" s="1"/>
  <c r="S54" i="6"/>
  <c r="T54" i="6"/>
  <c r="C54" i="6"/>
  <c r="B54" i="6" s="1" a="1"/>
  <c r="B54" i="6" s="1"/>
  <c r="S66" i="6"/>
  <c r="T66" i="6"/>
  <c r="C66" i="6"/>
  <c r="B66" i="6" s="1" a="1"/>
  <c r="B66" i="6" s="1"/>
  <c r="S76" i="6"/>
  <c r="T76" i="6"/>
  <c r="C76" i="6"/>
  <c r="B76" i="6" s="1" a="1"/>
  <c r="B76" i="6" s="1"/>
  <c r="T55" i="6"/>
  <c r="S55" i="6"/>
  <c r="C55" i="6"/>
  <c r="B55" i="6" s="1" a="1"/>
  <c r="B55" i="6" s="1"/>
  <c r="T147" i="6"/>
  <c r="S147" i="6"/>
  <c r="C147" i="6"/>
  <c r="B147" i="6" s="1" a="1"/>
  <c r="B147" i="6" s="1"/>
  <c r="X57" i="6"/>
  <c r="T57" i="6" s="1"/>
  <c r="S57" i="6"/>
  <c r="C57" i="6"/>
  <c r="B57" i="6" s="1" a="1"/>
  <c r="B57" i="6" s="1"/>
  <c r="W782" i="7"/>
  <c r="W358" i="7"/>
  <c r="W774" i="7"/>
  <c r="W777" i="7"/>
  <c r="W494" i="7"/>
  <c r="W778" i="7"/>
  <c r="W779" i="7"/>
  <c r="W780" i="7"/>
  <c r="W781" i="7"/>
  <c r="W361" i="7"/>
  <c r="W783" i="7"/>
  <c r="W496" i="7"/>
  <c r="W498" i="7"/>
  <c r="W359" i="7"/>
  <c r="W784" i="7"/>
  <c r="W497" i="7"/>
  <c r="W360" i="7"/>
  <c r="W495" i="7"/>
  <c r="W775" i="7"/>
  <c r="W776" i="7"/>
  <c r="D782" i="7"/>
  <c r="B782" i="7" s="1" a="1"/>
  <c r="B782" i="7" s="1"/>
  <c r="D358" i="7"/>
  <c r="B358" i="7" s="1" a="1"/>
  <c r="B358" i="7" s="1"/>
  <c r="D774" i="7"/>
  <c r="AL774" i="7" s="1"/>
  <c r="D777" i="7"/>
  <c r="AL777" i="7" s="1"/>
  <c r="D494" i="7"/>
  <c r="AL494" i="7" s="1"/>
  <c r="D778" i="7"/>
  <c r="B778" i="7" s="1" a="1"/>
  <c r="B778" i="7" s="1"/>
  <c r="D779" i="7"/>
  <c r="AL779" i="7" s="1"/>
  <c r="D780" i="7"/>
  <c r="D781" i="7"/>
  <c r="D361" i="7"/>
  <c r="B361" i="7" s="1" a="1"/>
  <c r="B361" i="7" s="1"/>
  <c r="D783" i="7"/>
  <c r="D496" i="7"/>
  <c r="AL496" i="7" s="1"/>
  <c r="D498" i="7"/>
  <c r="AL498" i="7" s="1"/>
  <c r="D359" i="7"/>
  <c r="B359" i="7" s="1" a="1"/>
  <c r="B359" i="7" s="1"/>
  <c r="D784" i="7"/>
  <c r="B784" i="7" s="1" a="1"/>
  <c r="B784" i="7" s="1"/>
  <c r="D497" i="7"/>
  <c r="AL497" i="7" s="1"/>
  <c r="D360" i="7"/>
  <c r="D495" i="7"/>
  <c r="D775" i="7"/>
  <c r="B775" i="7" s="1" a="1"/>
  <c r="B775" i="7" s="1"/>
  <c r="D776" i="7"/>
  <c r="AL776" i="7" s="1"/>
  <c r="T56" i="6"/>
  <c r="S56" i="6"/>
  <c r="C56" i="6"/>
  <c r="B56" i="6" s="1" a="1"/>
  <c r="B56" i="6" s="1"/>
  <c r="D362" i="7"/>
  <c r="AL362" i="7" s="1"/>
  <c r="W772" i="7"/>
  <c r="D772" i="7"/>
  <c r="B772" i="7" s="1" a="1"/>
  <c r="B772" i="7" s="1"/>
  <c r="W355" i="7"/>
  <c r="D355" i="7"/>
  <c r="B355" i="7" s="1" a="1"/>
  <c r="B355" i="7" s="1"/>
  <c r="T151" i="6"/>
  <c r="S151" i="6"/>
  <c r="T75" i="6"/>
  <c r="S75" i="6"/>
  <c r="S152" i="6"/>
  <c r="T152" i="6"/>
  <c r="C152" i="6"/>
  <c r="B152" i="6" s="1" a="1"/>
  <c r="B152" i="6" s="1"/>
  <c r="C75" i="6"/>
  <c r="B75" i="6" s="1" a="1"/>
  <c r="B75" i="6" s="1"/>
  <c r="W371" i="7"/>
  <c r="D371" i="7"/>
  <c r="B371" i="7" s="1" a="1"/>
  <c r="B371" i="7" s="1"/>
  <c r="D501" i="7"/>
  <c r="AL501" i="7" s="1"/>
  <c r="D500" i="7"/>
  <c r="AL500" i="7" s="1"/>
  <c r="W364" i="7"/>
  <c r="D364" i="7"/>
  <c r="B364" i="7" s="1" a="1"/>
  <c r="B364" i="7" s="1"/>
  <c r="W502" i="7"/>
  <c r="D502" i="7"/>
  <c r="AL502" i="7" s="1"/>
  <c r="B833" i="7" a="1"/>
  <c r="B833" i="7" s="1"/>
  <c r="B831" i="7" a="1"/>
  <c r="B831" i="7" s="1"/>
  <c r="AK789" i="7"/>
  <c r="AJ789" i="7"/>
  <c r="W789" i="7"/>
  <c r="D789" i="7"/>
  <c r="B789" i="7" s="1" a="1"/>
  <c r="B789" i="7" s="1"/>
  <c r="W785" i="7"/>
  <c r="W790" i="7"/>
  <c r="D790" i="7"/>
  <c r="AL790" i="7" s="1"/>
  <c r="W363" i="7"/>
  <c r="D363" i="7"/>
  <c r="AL363" i="7" s="1"/>
  <c r="S74" i="6"/>
  <c r="T74" i="6"/>
  <c r="C74" i="6"/>
  <c r="B74" i="6" s="1" a="1"/>
  <c r="B74" i="6" s="1"/>
  <c r="W786" i="7"/>
  <c r="W787" i="7"/>
  <c r="D787" i="7"/>
  <c r="AL787" i="7" s="1"/>
  <c r="D785" i="7"/>
  <c r="W499" i="7"/>
  <c r="D802" i="7"/>
  <c r="AL802" i="7" s="1"/>
  <c r="D801" i="7"/>
  <c r="B801" i="7" s="1" a="1"/>
  <c r="B801" i="7" s="1"/>
  <c r="W788" i="7"/>
  <c r="D788" i="7"/>
  <c r="W503" i="7"/>
  <c r="D503" i="7"/>
  <c r="AL503" i="7" s="1"/>
  <c r="W800" i="7"/>
  <c r="D800" i="7"/>
  <c r="AL800" i="7" s="1"/>
  <c r="W826" i="7"/>
  <c r="D826" i="7"/>
  <c r="AL826" i="7" s="1"/>
  <c r="W366" i="7"/>
  <c r="W799" i="7"/>
  <c r="D799" i="7"/>
  <c r="AL799" i="7" s="1"/>
  <c r="D499" i="7"/>
  <c r="W838" i="7"/>
  <c r="D838" i="7"/>
  <c r="B838" i="7" s="1" a="1"/>
  <c r="B838" i="7" s="1"/>
  <c r="D832" i="7"/>
  <c r="AL832" i="7" s="1"/>
  <c r="W832" i="7"/>
  <c r="D839" i="7"/>
  <c r="W839" i="7"/>
  <c r="D840" i="7"/>
  <c r="AL840" i="7" s="1"/>
  <c r="W840" i="7"/>
  <c r="D841" i="7"/>
  <c r="B841" i="7" s="1" a="1"/>
  <c r="B841" i="7" s="1"/>
  <c r="W841" i="7"/>
  <c r="D842" i="7"/>
  <c r="AL842" i="7" s="1"/>
  <c r="W842" i="7"/>
  <c r="D843" i="7"/>
  <c r="W843" i="7"/>
  <c r="T155" i="6"/>
  <c r="S155" i="6"/>
  <c r="C155" i="6"/>
  <c r="B155" i="6" s="1" a="1"/>
  <c r="B155" i="6" s="1"/>
  <c r="C151" i="6"/>
  <c r="B151" i="6" s="1" a="1"/>
  <c r="B151" i="6" s="1"/>
  <c r="W817" i="7"/>
  <c r="D817" i="7"/>
  <c r="B817" i="7" s="1" a="1"/>
  <c r="B817" i="7" s="1"/>
  <c r="W816" i="7"/>
  <c r="D816" i="7"/>
  <c r="W820" i="7"/>
  <c r="D820" i="7"/>
  <c r="AL820" i="7" s="1"/>
  <c r="W815" i="7"/>
  <c r="D815" i="7"/>
  <c r="B815" i="7" s="1" a="1"/>
  <c r="B815" i="7" s="1"/>
  <c r="W823" i="7"/>
  <c r="D823" i="7"/>
  <c r="AL823" i="7" s="1"/>
  <c r="W829" i="7"/>
  <c r="D829" i="7"/>
  <c r="W822" i="7"/>
  <c r="D822" i="7"/>
  <c r="B822" i="7" s="1" a="1"/>
  <c r="B822" i="7" s="1"/>
  <c r="W819" i="7"/>
  <c r="D819" i="7"/>
  <c r="AL819" i="7" s="1"/>
  <c r="W828" i="7"/>
  <c r="D828" i="7"/>
  <c r="W827" i="7"/>
  <c r="D827" i="7"/>
  <c r="AL827" i="7" s="1"/>
  <c r="W824" i="7"/>
  <c r="D824" i="7"/>
  <c r="W821" i="7"/>
  <c r="D821" i="7"/>
  <c r="W812" i="7"/>
  <c r="W801" i="7"/>
  <c r="W808" i="7"/>
  <c r="W807" i="7"/>
  <c r="W806" i="7"/>
  <c r="D806" i="7"/>
  <c r="B806" i="7" s="1" a="1"/>
  <c r="B806" i="7" s="1"/>
  <c r="D807" i="7"/>
  <c r="D808" i="7"/>
  <c r="AL808" i="7" s="1"/>
  <c r="D812" i="7"/>
  <c r="AL812" i="7" s="1"/>
  <c r="W370" i="7"/>
  <c r="D370" i="7"/>
  <c r="AL370" i="7" s="1"/>
  <c r="W809" i="7"/>
  <c r="D809" i="7"/>
  <c r="B809" i="7" s="1" a="1"/>
  <c r="B809" i="7" s="1"/>
  <c r="W805" i="7"/>
  <c r="D805" i="7"/>
  <c r="AL805" i="7" s="1"/>
  <c r="W804" i="7"/>
  <c r="D804" i="7"/>
  <c r="W369" i="7"/>
  <c r="D369" i="7"/>
  <c r="AL369" i="7" s="1"/>
  <c r="W803" i="7"/>
  <c r="D803" i="7"/>
  <c r="AL803" i="7" s="1"/>
  <c r="W810" i="7"/>
  <c r="D810" i="7"/>
  <c r="AL810" i="7" s="1"/>
  <c r="W811" i="7"/>
  <c r="D811" i="7"/>
  <c r="AL811" i="7" s="1"/>
  <c r="W802" i="7"/>
  <c r="C197" i="6"/>
  <c r="X58" i="6"/>
  <c r="T58" i="6" s="1"/>
  <c r="C72" i="6"/>
  <c r="B72" i="6" s="1" a="1"/>
  <c r="B72" i="6" s="1"/>
  <c r="S72" i="6"/>
  <c r="C73" i="6"/>
  <c r="B73" i="6" s="1" a="1"/>
  <c r="B73" i="6" s="1"/>
  <c r="S73" i="6"/>
  <c r="T159" i="6"/>
  <c r="S159" i="6"/>
  <c r="C159" i="6"/>
  <c r="B159" i="6" s="1" a="1"/>
  <c r="B159" i="6" s="1"/>
  <c r="T158" i="6"/>
  <c r="S158" i="6"/>
  <c r="C158" i="6"/>
  <c r="B158" i="6" s="1" a="1"/>
  <c r="B158" i="6" s="1"/>
  <c r="T157" i="6"/>
  <c r="S157" i="6"/>
  <c r="C157" i="6"/>
  <c r="B157" i="6" s="1" a="1"/>
  <c r="B157" i="6" s="1"/>
  <c r="T156" i="6"/>
  <c r="S156" i="6"/>
  <c r="C156" i="6"/>
  <c r="B156" i="6" s="1" a="1"/>
  <c r="B156" i="6" s="1"/>
  <c r="S70" i="6"/>
  <c r="C70" i="6"/>
  <c r="B70" i="6" s="1" a="1"/>
  <c r="B70" i="6" s="1"/>
  <c r="T153" i="6"/>
  <c r="S153" i="6"/>
  <c r="C153" i="6"/>
  <c r="B153" i="6" s="1" a="1"/>
  <c r="B153" i="6" s="1"/>
  <c r="D389" i="7"/>
  <c r="B389" i="7" s="1" a="1"/>
  <c r="B389" i="7" s="1"/>
  <c r="T77" i="6"/>
  <c r="S77" i="6"/>
  <c r="C77" i="6"/>
  <c r="B77" i="6" s="1" a="1"/>
  <c r="B77" i="6" s="1"/>
  <c r="D510" i="7"/>
  <c r="D511" i="7"/>
  <c r="AL511" i="7" s="1"/>
  <c r="D508" i="7"/>
  <c r="B508" i="7" s="1" a="1"/>
  <c r="B508" i="7" s="1"/>
  <c r="D509" i="7"/>
  <c r="B509" i="7" s="1" a="1"/>
  <c r="B509" i="7" s="1"/>
  <c r="W830" i="7"/>
  <c r="D830" i="7"/>
  <c r="AL830" i="7" s="1"/>
  <c r="D512" i="7"/>
  <c r="B512" i="7" s="1" a="1"/>
  <c r="B512" i="7" s="1"/>
  <c r="W798" i="7"/>
  <c r="D798" i="7"/>
  <c r="W505" i="7"/>
  <c r="D505" i="7"/>
  <c r="AL505" i="7" s="1"/>
  <c r="W814" i="7"/>
  <c r="D814" i="7"/>
  <c r="B814" i="7" s="1" a="1"/>
  <c r="B814" i="7" s="1"/>
  <c r="W372" i="7"/>
  <c r="D372" i="7"/>
  <c r="B372" i="7" s="1" a="1"/>
  <c r="B372" i="7" s="1"/>
  <c r="W506" i="7"/>
  <c r="D506" i="7"/>
  <c r="AL506" i="7" s="1"/>
  <c r="C71" i="6"/>
  <c r="B71" i="6" s="1" a="1"/>
  <c r="B71" i="6" s="1"/>
  <c r="S182" i="6"/>
  <c r="T182" i="6"/>
  <c r="S183" i="6"/>
  <c r="T183" i="6"/>
  <c r="S184" i="6"/>
  <c r="T184" i="6"/>
  <c r="S163" i="6"/>
  <c r="T163" i="6"/>
  <c r="S185" i="6"/>
  <c r="T185" i="6"/>
  <c r="S186" i="6"/>
  <c r="T186" i="6"/>
  <c r="S172" i="6"/>
  <c r="T172" i="6"/>
  <c r="S187" i="6"/>
  <c r="T187" i="6"/>
  <c r="S164" i="6"/>
  <c r="T164" i="6"/>
  <c r="C164" i="6"/>
  <c r="B164" i="6" s="1" a="1"/>
  <c r="B164" i="6" s="1"/>
  <c r="S162" i="6"/>
  <c r="T162" i="6"/>
  <c r="C162" i="6"/>
  <c r="B162" i="6" s="1" a="1"/>
  <c r="B162" i="6" s="1"/>
  <c r="S165" i="6"/>
  <c r="T165" i="6"/>
  <c r="C165" i="6"/>
  <c r="B165" i="6" s="1" a="1"/>
  <c r="B165" i="6" s="1"/>
  <c r="S166" i="6"/>
  <c r="T166" i="6"/>
  <c r="C166" i="6"/>
  <c r="B166" i="6" s="1" a="1"/>
  <c r="B166" i="6" s="1"/>
  <c r="S167" i="6"/>
  <c r="T167" i="6"/>
  <c r="C167" i="6"/>
  <c r="B167" i="6" s="1" a="1"/>
  <c r="B167" i="6" s="1"/>
  <c r="S173" i="6"/>
  <c r="T173" i="6"/>
  <c r="C173" i="6"/>
  <c r="B173" i="6" s="1" a="1"/>
  <c r="B173" i="6" s="1"/>
  <c r="S168" i="6"/>
  <c r="T168" i="6"/>
  <c r="C168" i="6"/>
  <c r="B168" i="6" s="1" a="1"/>
  <c r="B168" i="6" s="1"/>
  <c r="S174" i="6"/>
  <c r="T174" i="6"/>
  <c r="C174" i="6"/>
  <c r="B174" i="6" s="1" a="1"/>
  <c r="B174" i="6" s="1"/>
  <c r="S175" i="6"/>
  <c r="T175" i="6"/>
  <c r="C175" i="6"/>
  <c r="B175" i="6" s="1" a="1"/>
  <c r="B175" i="6" s="1"/>
  <c r="S176" i="6"/>
  <c r="T176" i="6"/>
  <c r="C176" i="6"/>
  <c r="B176" i="6" s="1" a="1"/>
  <c r="B176" i="6" s="1"/>
  <c r="S177" i="6"/>
  <c r="T177" i="6"/>
  <c r="C177" i="6"/>
  <c r="B177" i="6" s="1" a="1"/>
  <c r="B177" i="6" s="1"/>
  <c r="S178" i="6"/>
  <c r="T178" i="6"/>
  <c r="C178" i="6"/>
  <c r="B178" i="6" s="1" a="1"/>
  <c r="B178" i="6" s="1"/>
  <c r="S179" i="6"/>
  <c r="T179" i="6"/>
  <c r="C179" i="6"/>
  <c r="B179" i="6" s="1" a="1"/>
  <c r="B179" i="6" s="1"/>
  <c r="S180" i="6"/>
  <c r="T180" i="6"/>
  <c r="C180" i="6"/>
  <c r="B180" i="6" s="1" a="1"/>
  <c r="B180" i="6" s="1"/>
  <c r="S169" i="6"/>
  <c r="T169" i="6"/>
  <c r="C169" i="6"/>
  <c r="B169" i="6" s="1" a="1"/>
  <c r="B169" i="6" s="1"/>
  <c r="S181" i="6"/>
  <c r="T181" i="6"/>
  <c r="C181" i="6"/>
  <c r="B181" i="6" s="1" a="1"/>
  <c r="B181" i="6" s="1"/>
  <c r="S170" i="6"/>
  <c r="T170" i="6"/>
  <c r="C170" i="6"/>
  <c r="B170" i="6" s="1" a="1"/>
  <c r="B170" i="6" s="1"/>
  <c r="C182" i="6"/>
  <c r="B182" i="6" s="1" a="1"/>
  <c r="B182" i="6" s="1"/>
  <c r="C183" i="6"/>
  <c r="B183" i="6" s="1" a="1"/>
  <c r="B183" i="6" s="1"/>
  <c r="C184" i="6"/>
  <c r="B184" i="6" s="1" a="1"/>
  <c r="B184" i="6" s="1"/>
  <c r="C163" i="6"/>
  <c r="B163" i="6" s="1" a="1"/>
  <c r="B163" i="6" s="1"/>
  <c r="C185" i="6"/>
  <c r="B185" i="6" s="1" a="1"/>
  <c r="B185" i="6" s="1"/>
  <c r="C186" i="6"/>
  <c r="B186" i="6" s="1" a="1"/>
  <c r="B186" i="6" s="1"/>
  <c r="C172" i="6"/>
  <c r="B172" i="6" s="1" a="1"/>
  <c r="B172" i="6" s="1"/>
  <c r="C187" i="6"/>
  <c r="B187" i="6" s="1" a="1"/>
  <c r="B187" i="6" s="1"/>
  <c r="S154" i="6"/>
  <c r="T154" i="6"/>
  <c r="C154" i="6"/>
  <c r="B154" i="6" s="1" a="1"/>
  <c r="B154" i="6" s="1"/>
  <c r="S171" i="6"/>
  <c r="T171" i="6"/>
  <c r="C171" i="6"/>
  <c r="B171" i="6" s="1" a="1"/>
  <c r="B171" i="6" s="1"/>
  <c r="W834" i="7"/>
  <c r="W795" i="7"/>
  <c r="W504" i="7"/>
  <c r="W835" i="7"/>
  <c r="W377" i="7"/>
  <c r="W376" i="7"/>
  <c r="W792" i="7"/>
  <c r="W813" i="7"/>
  <c r="W793" i="7"/>
  <c r="W791" i="7"/>
  <c r="W836" i="7"/>
  <c r="W367" i="7"/>
  <c r="W794" i="7"/>
  <c r="W365" i="7"/>
  <c r="W796" i="7"/>
  <c r="W797" i="7"/>
  <c r="W837" i="7"/>
  <c r="W818" i="7"/>
  <c r="W825" i="7"/>
  <c r="W374" i="7"/>
  <c r="W368" i="7"/>
  <c r="W373" i="7"/>
  <c r="W866" i="7"/>
  <c r="W852" i="7"/>
  <c r="W391" i="7"/>
  <c r="W850" i="7"/>
  <c r="W848" i="7"/>
  <c r="W849" i="7"/>
  <c r="W395" i="7"/>
  <c r="W854" i="7"/>
  <c r="W855" i="7"/>
  <c r="W856" i="7"/>
  <c r="W853" i="7"/>
  <c r="W863" i="7"/>
  <c r="W864" i="7"/>
  <c r="W857" i="7"/>
  <c r="W858" i="7"/>
  <c r="W859" i="7"/>
  <c r="W860" i="7"/>
  <c r="W861" i="7"/>
  <c r="W862" i="7"/>
  <c r="W512" i="7"/>
  <c r="W865" i="7"/>
  <c r="W867" i="7"/>
  <c r="W868" i="7"/>
  <c r="W375" i="7"/>
  <c r="W871" i="7"/>
  <c r="W872" i="7"/>
  <c r="W873" i="7"/>
  <c r="W869" i="7"/>
  <c r="W870" i="7"/>
  <c r="W507" i="7"/>
  <c r="W509" i="7"/>
  <c r="W379" i="7"/>
  <c r="W378" i="7"/>
  <c r="W382" i="7"/>
  <c r="W380" i="7"/>
  <c r="W385" i="7"/>
  <c r="W387" i="7"/>
  <c r="W390" i="7"/>
  <c r="W388" i="7"/>
  <c r="W394" i="7"/>
  <c r="W396" i="7"/>
  <c r="W393" i="7"/>
  <c r="W392" i="7"/>
  <c r="W383" i="7"/>
  <c r="W384" i="7"/>
  <c r="W386" i="7"/>
  <c r="W851" i="7"/>
  <c r="W845" i="7"/>
  <c r="W846" i="7"/>
  <c r="W847" i="7"/>
  <c r="W844" i="7"/>
  <c r="D786" i="7"/>
  <c r="AL786" i="7" s="1"/>
  <c r="D507" i="7"/>
  <c r="AL507" i="7" s="1"/>
  <c r="D870" i="7"/>
  <c r="D869" i="7"/>
  <c r="AL869" i="7" s="1"/>
  <c r="D873" i="7"/>
  <c r="D872" i="7"/>
  <c r="AL872" i="7" s="1"/>
  <c r="D871" i="7"/>
  <c r="D375" i="7"/>
  <c r="D868" i="7"/>
  <c r="B868" i="7" s="1" a="1"/>
  <c r="B868" i="7" s="1"/>
  <c r="D867" i="7"/>
  <c r="AL867" i="7" s="1"/>
  <c r="D865" i="7"/>
  <c r="AL865" i="7" s="1"/>
  <c r="D862" i="7"/>
  <c r="AL862" i="7" s="1"/>
  <c r="D861" i="7"/>
  <c r="B861" i="7" s="1" a="1"/>
  <c r="B861" i="7" s="1"/>
  <c r="D860" i="7"/>
  <c r="B860" i="7" s="1" a="1"/>
  <c r="B860" i="7" s="1"/>
  <c r="D859" i="7"/>
  <c r="AL859" i="7" s="1"/>
  <c r="D858" i="7"/>
  <c r="D857" i="7"/>
  <c r="D864" i="7"/>
  <c r="AL864" i="7" s="1"/>
  <c r="D863" i="7"/>
  <c r="B863" i="7" s="1" a="1"/>
  <c r="B863" i="7" s="1"/>
  <c r="D853" i="7"/>
  <c r="B853" i="7" s="1" a="1"/>
  <c r="B853" i="7" s="1"/>
  <c r="D856" i="7"/>
  <c r="AL856" i="7" s="1"/>
  <c r="D855" i="7"/>
  <c r="B855" i="7" s="1" a="1"/>
  <c r="B855" i="7" s="1"/>
  <c r="D854" i="7"/>
  <c r="B854" i="7" s="1" a="1"/>
  <c r="B854" i="7" s="1"/>
  <c r="D395" i="7"/>
  <c r="AL395" i="7" s="1"/>
  <c r="D849" i="7"/>
  <c r="B849" i="7" s="1" a="1"/>
  <c r="B849" i="7" s="1"/>
  <c r="D848" i="7"/>
  <c r="AL848" i="7" s="1"/>
  <c r="D850" i="7"/>
  <c r="AL850" i="7" s="1"/>
  <c r="D391" i="7"/>
  <c r="AL391" i="7" s="1"/>
  <c r="D852" i="7"/>
  <c r="AL852" i="7" s="1"/>
  <c r="D866" i="7"/>
  <c r="B866" i="7" s="1" a="1"/>
  <c r="B866" i="7" s="1"/>
  <c r="D373" i="7"/>
  <c r="D368" i="7"/>
  <c r="AL368" i="7" s="1"/>
  <c r="D366" i="7"/>
  <c r="D374" i="7"/>
  <c r="D825" i="7"/>
  <c r="D818" i="7"/>
  <c r="B818" i="7" s="1" a="1"/>
  <c r="B818" i="7" s="1"/>
  <c r="D837" i="7"/>
  <c r="AL837" i="7" s="1"/>
  <c r="D797" i="7"/>
  <c r="AL797" i="7" s="1"/>
  <c r="D796" i="7"/>
  <c r="AL796" i="7" s="1"/>
  <c r="D365" i="7"/>
  <c r="B365" i="7" s="1" a="1"/>
  <c r="B365" i="7" s="1"/>
  <c r="D794" i="7"/>
  <c r="B794" i="7" s="1" a="1"/>
  <c r="B794" i="7" s="1"/>
  <c r="D367" i="7"/>
  <c r="D836" i="7"/>
  <c r="B836" i="7" s="1" a="1"/>
  <c r="B836" i="7" s="1"/>
  <c r="D791" i="7"/>
  <c r="D793" i="7"/>
  <c r="D813" i="7"/>
  <c r="B813" i="7" s="1" a="1"/>
  <c r="B813" i="7" s="1"/>
  <c r="D792" i="7"/>
  <c r="B792" i="7" s="1" a="1"/>
  <c r="B792" i="7" s="1"/>
  <c r="D376" i="7"/>
  <c r="B376" i="7" s="1" a="1"/>
  <c r="B376" i="7" s="1"/>
  <c r="D377" i="7"/>
  <c r="D835" i="7"/>
  <c r="AL835" i="7" s="1"/>
  <c r="D504" i="7"/>
  <c r="B504" i="7" s="1" a="1"/>
  <c r="B504" i="7" s="1"/>
  <c r="D795" i="7"/>
  <c r="B795" i="7" s="1" a="1"/>
  <c r="B795" i="7" s="1"/>
  <c r="D834" i="7"/>
  <c r="AL834" i="7" s="1"/>
  <c r="D844" i="7"/>
  <c r="D847" i="7"/>
  <c r="B847" i="7" s="1" a="1"/>
  <c r="B847" i="7" s="1"/>
  <c r="D846" i="7"/>
  <c r="AL846" i="7" s="1"/>
  <c r="D845" i="7"/>
  <c r="B845" i="7" s="1" a="1"/>
  <c r="B845" i="7" s="1"/>
  <c r="D851" i="7"/>
  <c r="AL851" i="7" s="1"/>
  <c r="D386" i="7"/>
  <c r="AL386" i="7" s="1"/>
  <c r="D384" i="7"/>
  <c r="AL384" i="7" s="1"/>
  <c r="D383" i="7"/>
  <c r="AL383" i="7" s="1"/>
  <c r="D392" i="7"/>
  <c r="D393" i="7"/>
  <c r="AL393" i="7" s="1"/>
  <c r="D396" i="7"/>
  <c r="D394" i="7"/>
  <c r="D388" i="7"/>
  <c r="D390" i="7"/>
  <c r="B390" i="7" s="1" a="1"/>
  <c r="B390" i="7" s="1"/>
  <c r="D387" i="7"/>
  <c r="AL387" i="7" s="1"/>
  <c r="D385" i="7"/>
  <c r="B385" i="7" s="1" a="1"/>
  <c r="B385" i="7" s="1"/>
  <c r="D380" i="7"/>
  <c r="D382" i="7"/>
  <c r="B382" i="7" s="1" a="1"/>
  <c r="B382" i="7" s="1"/>
  <c r="D378" i="7"/>
  <c r="AL378" i="7" s="1"/>
  <c r="D379" i="7"/>
  <c r="D381" i="7"/>
  <c r="S71" i="6"/>
  <c r="C161" i="6"/>
  <c r="B161" i="6" s="1" a="1"/>
  <c r="B161" i="6" s="1"/>
  <c r="S161" i="6"/>
  <c r="T161" i="6"/>
  <c r="C58" i="6"/>
  <c r="B58" i="6" s="1" a="1"/>
  <c r="B58" i="6" s="1"/>
  <c r="S58" i="6"/>
  <c r="C67" i="6"/>
  <c r="B67" i="6" s="1" a="1"/>
  <c r="B67" i="6" s="1"/>
  <c r="S67" i="6"/>
  <c r="C68" i="6"/>
  <c r="B68" i="6" s="1" a="1"/>
  <c r="B68" i="6" s="1"/>
  <c r="S68" i="6"/>
  <c r="C69" i="6"/>
  <c r="B69" i="6" s="1" a="1"/>
  <c r="B69" i="6" s="1"/>
  <c r="S69" i="6"/>
  <c r="C188" i="6"/>
  <c r="B188" i="6" s="1" a="1"/>
  <c r="B188" i="6" s="1"/>
  <c r="S188" i="6"/>
  <c r="T188" i="6"/>
  <c r="C189" i="6"/>
  <c r="B189" i="6" s="1" a="1"/>
  <c r="B189" i="6" s="1"/>
  <c r="S189" i="6"/>
  <c r="T189" i="6"/>
  <c r="C160" i="6"/>
  <c r="B160" i="6" s="1" a="1"/>
  <c r="B160" i="6" s="1"/>
  <c r="S160" i="6"/>
  <c r="T160" i="6"/>
  <c r="C190" i="6"/>
  <c r="B190" i="6" s="1" a="1"/>
  <c r="B190" i="6" s="1"/>
  <c r="S190" i="6"/>
  <c r="T190" i="6"/>
  <c r="C191" i="6"/>
  <c r="B191" i="6" s="1" a="1"/>
  <c r="B191" i="6" s="1"/>
  <c r="S191" i="6"/>
  <c r="T191" i="6"/>
  <c r="C192" i="6"/>
  <c r="B192" i="6" s="1" a="1"/>
  <c r="B192" i="6" s="1"/>
  <c r="S192" i="6"/>
  <c r="T192" i="6"/>
  <c r="C193" i="6"/>
  <c r="B193" i="6" s="1" a="1"/>
  <c r="B193" i="6" s="1"/>
  <c r="S193" i="6"/>
  <c r="T193" i="6"/>
  <c r="C194" i="6"/>
  <c r="B194" i="6" s="1" a="1"/>
  <c r="B194" i="6" s="1"/>
  <c r="S194" i="6"/>
  <c r="T194" i="6"/>
  <c r="C195" i="6"/>
  <c r="B195" i="6" s="1" a="1"/>
  <c r="B195" i="6" s="1"/>
  <c r="S195" i="6"/>
  <c r="T195" i="6"/>
  <c r="C196" i="6"/>
  <c r="B196" i="6" s="1" a="1"/>
  <c r="B196" i="6" s="1"/>
  <c r="S196" i="6"/>
  <c r="T196" i="6"/>
  <c r="T67" i="6"/>
  <c r="T70" i="6"/>
  <c r="T68" i="6"/>
  <c r="T73" i="6"/>
  <c r="T72" i="6"/>
  <c r="T71" i="6"/>
  <c r="T69" i="6"/>
  <c r="W37" i="1"/>
  <c r="X9" i="10" l="1"/>
  <c r="J9" i="10"/>
  <c r="Q9" i="10"/>
  <c r="Y10" i="10"/>
  <c r="R10" i="10"/>
  <c r="K10" i="10"/>
  <c r="A3" i="7"/>
  <c r="A515" i="7"/>
  <c r="A397" i="7"/>
  <c r="A223" i="7"/>
  <c r="B359" i="1"/>
  <c r="B442" i="1"/>
  <c r="B476" i="1"/>
  <c r="B453" i="1"/>
  <c r="B457" i="1"/>
  <c r="B366" i="1"/>
  <c r="B401" i="1"/>
  <c r="B407" i="1"/>
  <c r="B358" i="1"/>
  <c r="B316" i="1"/>
  <c r="B113" i="1"/>
  <c r="B91" i="1"/>
  <c r="B167" i="1"/>
  <c r="B308" i="1"/>
  <c r="B335" i="1"/>
  <c r="B344" i="1"/>
  <c r="B315" i="1"/>
  <c r="B479" i="1"/>
  <c r="B242" i="1"/>
  <c r="B451" i="1"/>
  <c r="B440" i="1"/>
  <c r="B148" i="1"/>
  <c r="B302" i="1"/>
  <c r="B454" i="1"/>
  <c r="B130" i="1"/>
  <c r="B46" i="1"/>
  <c r="B101" i="1"/>
  <c r="B57" i="1"/>
  <c r="B410" i="1"/>
  <c r="B421" i="1"/>
  <c r="B300" i="1"/>
  <c r="B357" i="1"/>
  <c r="B323" i="1"/>
  <c r="B472" i="1"/>
  <c r="B301" i="1"/>
  <c r="B354" i="1"/>
  <c r="B298" i="1"/>
  <c r="B292" i="1"/>
  <c r="B361" i="1"/>
  <c r="B269" i="1"/>
  <c r="B400" i="1"/>
  <c r="B408" i="1"/>
  <c r="B304" i="1"/>
  <c r="B284" i="1"/>
  <c r="B155" i="1"/>
  <c r="B496" i="1"/>
  <c r="B450" i="1"/>
  <c r="B127" i="1"/>
  <c r="B111" i="1"/>
  <c r="B89" i="1"/>
  <c r="B70" i="1"/>
  <c r="B143" i="1"/>
  <c r="B432" i="1"/>
  <c r="B480" i="1"/>
  <c r="B387" i="1"/>
  <c r="B373" i="1"/>
  <c r="B424" i="1"/>
  <c r="B448" i="1"/>
  <c r="B275" i="1"/>
  <c r="B161" i="1"/>
  <c r="B149" i="1"/>
  <c r="B112" i="1"/>
  <c r="B117" i="1"/>
  <c r="B206" i="1"/>
  <c r="B230" i="1"/>
  <c r="B482" i="1"/>
  <c r="B306" i="1"/>
  <c r="B470" i="1"/>
  <c r="B324" i="1"/>
  <c r="B377" i="1"/>
  <c r="B266" i="1"/>
  <c r="B289" i="1"/>
  <c r="B422" i="1"/>
  <c r="B460" i="1"/>
  <c r="B386" i="1"/>
  <c r="B473" i="1"/>
  <c r="B369" i="1"/>
  <c r="B341" i="1"/>
  <c r="B456" i="1"/>
  <c r="B137" i="1"/>
  <c r="B138" i="1"/>
  <c r="B141" i="1"/>
  <c r="B326" i="1"/>
  <c r="B128" i="1"/>
  <c r="B83" i="1"/>
  <c r="B71" i="1"/>
  <c r="B221" i="1"/>
  <c r="B464" i="1"/>
  <c r="B399" i="1"/>
  <c r="B443" i="1"/>
  <c r="B447" i="1"/>
  <c r="B471" i="1"/>
  <c r="B355" i="1"/>
  <c r="B469" i="1"/>
  <c r="B411" i="1"/>
  <c r="B398" i="1"/>
  <c r="B370" i="1"/>
  <c r="B312" i="1"/>
  <c r="B159" i="1"/>
  <c r="B142" i="1"/>
  <c r="B150" i="1"/>
  <c r="B345" i="1"/>
  <c r="B436" i="1"/>
  <c r="B232" i="1"/>
  <c r="B47" i="1"/>
  <c r="B51" i="1"/>
  <c r="B392" i="1"/>
  <c r="B433" i="1"/>
  <c r="B317" i="1"/>
  <c r="B507" i="1"/>
  <c r="B314" i="1"/>
  <c r="B459" i="1"/>
  <c r="B458" i="1"/>
  <c r="B225" i="1"/>
  <c r="B237" i="1"/>
  <c r="B393" i="1"/>
  <c r="B425" i="1"/>
  <c r="B156" i="1"/>
  <c r="B310" i="1"/>
  <c r="B153" i="1"/>
  <c r="B468" i="1"/>
  <c r="B337" i="1"/>
  <c r="B95" i="1"/>
  <c r="B33" i="1"/>
  <c r="AJ34" i="1"/>
  <c r="AJ30" i="1"/>
  <c r="AJ35" i="1"/>
  <c r="AJ33" i="1"/>
  <c r="AJ36" i="1"/>
  <c r="AL31" i="1"/>
  <c r="B873" i="7" a="1"/>
  <c r="B873" i="7" s="1"/>
  <c r="B173" i="1"/>
  <c r="B10" i="1"/>
  <c r="B6" i="1"/>
  <c r="AL201" i="7"/>
  <c r="B548" i="7" a="1"/>
  <c r="B548" i="7" s="1"/>
  <c r="AJ184" i="1"/>
  <c r="B26" i="1"/>
  <c r="B389" i="1"/>
  <c r="B35" i="1"/>
  <c r="B415" i="7" a="1"/>
  <c r="B415" i="7" s="1"/>
  <c r="AJ214" i="1"/>
  <c r="AJ107" i="1"/>
  <c r="B696" i="7" a="1"/>
  <c r="B696" i="7" s="1"/>
  <c r="AJ79" i="1"/>
  <c r="AJ89" i="1"/>
  <c r="AJ101" i="1"/>
  <c r="AL600" i="7"/>
  <c r="AL467" i="7"/>
  <c r="B613" i="7" a="1"/>
  <c r="B613" i="7" s="1"/>
  <c r="AJ341" i="1"/>
  <c r="AJ222" i="1"/>
  <c r="D199" i="1"/>
  <c r="B226" i="1" s="1"/>
  <c r="BA333" i="1"/>
  <c r="AJ333" i="1" s="1"/>
  <c r="AL256" i="7"/>
  <c r="B412" i="7" a="1"/>
  <c r="B412" i="7" s="1"/>
  <c r="AL413" i="7"/>
  <c r="AJ463" i="1"/>
  <c r="W322" i="1"/>
  <c r="AJ372" i="1"/>
  <c r="AJ46" i="1"/>
  <c r="D8" i="1"/>
  <c r="AJ391" i="1"/>
  <c r="D190" i="1"/>
  <c r="B190" i="1" s="1"/>
  <c r="AJ282" i="1"/>
  <c r="AJ500" i="1"/>
  <c r="AJ474" i="1"/>
  <c r="AL541" i="7"/>
  <c r="AJ123" i="1"/>
  <c r="AJ228" i="1"/>
  <c r="AJ83" i="1"/>
  <c r="AJ63" i="1"/>
  <c r="AJ99" i="1"/>
  <c r="AJ292" i="1"/>
  <c r="AJ361" i="1"/>
  <c r="AJ221" i="1"/>
  <c r="AJ312" i="1"/>
  <c r="AJ186" i="1"/>
  <c r="AJ269" i="1"/>
  <c r="D60" i="1"/>
  <c r="B60" i="1" s="1"/>
  <c r="AJ438" i="1"/>
  <c r="AJ440" i="1"/>
  <c r="AJ125" i="1"/>
  <c r="AJ298" i="1"/>
  <c r="D16" i="1"/>
  <c r="BA494" i="1"/>
  <c r="AJ494" i="1" s="1"/>
  <c r="BA332" i="1"/>
  <c r="AJ332" i="1" s="1"/>
  <c r="AJ388" i="1"/>
  <c r="D12" i="1"/>
  <c r="AJ111" i="1"/>
  <c r="AJ226" i="1"/>
  <c r="AJ374" i="1"/>
  <c r="AJ147" i="1"/>
  <c r="D191" i="1"/>
  <c r="B191" i="1" s="1"/>
  <c r="AJ257" i="1"/>
  <c r="AJ49" i="1"/>
  <c r="AJ323" i="1"/>
  <c r="AJ262" i="1"/>
  <c r="AJ173" i="1"/>
  <c r="AJ157" i="1"/>
  <c r="AJ426" i="1"/>
  <c r="AJ482" i="1"/>
  <c r="D217" i="1"/>
  <c r="B244" i="1" s="1"/>
  <c r="D17" i="1"/>
  <c r="B17" i="1" s="1"/>
  <c r="D21" i="1"/>
  <c r="B21" i="1" s="1"/>
  <c r="D9" i="1"/>
  <c r="B9" i="1" s="1"/>
  <c r="AJ449" i="1"/>
  <c r="D23" i="1"/>
  <c r="AJ397" i="1"/>
  <c r="AJ140" i="1"/>
  <c r="AJ71" i="1"/>
  <c r="AJ403" i="1"/>
  <c r="AJ151" i="1"/>
  <c r="B573" i="7" a="1"/>
  <c r="B573" i="7" s="1"/>
  <c r="AL818" i="7"/>
  <c r="B716" i="7" a="1"/>
  <c r="B716" i="7" s="1"/>
  <c r="B790" i="7" a="1"/>
  <c r="B790" i="7" s="1"/>
  <c r="B659" i="7" a="1"/>
  <c r="B659" i="7" s="1"/>
  <c r="AL714" i="7"/>
  <c r="AL405" i="7"/>
  <c r="B423" i="7" a="1"/>
  <c r="B423" i="7" s="1"/>
  <c r="B288" i="7" a="1"/>
  <c r="B288" i="7" s="1"/>
  <c r="B623" i="7" a="1"/>
  <c r="B623" i="7" s="1"/>
  <c r="AL692" i="7"/>
  <c r="B799" i="7" a="1"/>
  <c r="B799" i="7" s="1"/>
  <c r="B812" i="7" a="1"/>
  <c r="B812" i="7" s="1"/>
  <c r="B452" i="7" a="1"/>
  <c r="B452" i="7" s="1"/>
  <c r="AL484" i="7"/>
  <c r="AL289" i="7"/>
  <c r="B872" i="7" a="1"/>
  <c r="B872" i="7" s="1"/>
  <c r="B530" i="7" a="1"/>
  <c r="B530" i="7" s="1"/>
  <c r="B604" i="7" a="1"/>
  <c r="B604" i="7" s="1"/>
  <c r="AL537" i="7"/>
  <c r="B362" i="7" a="1"/>
  <c r="B362" i="7" s="1"/>
  <c r="AL365" i="7"/>
  <c r="AL545" i="7"/>
  <c r="B471" i="7" a="1"/>
  <c r="B471" i="7" s="1"/>
  <c r="AL778" i="7"/>
  <c r="B643" i="7" a="1"/>
  <c r="B643" i="7" s="1"/>
  <c r="B281" i="7" a="1"/>
  <c r="B281" i="7" s="1"/>
  <c r="AL657" i="7"/>
  <c r="AL854" i="7"/>
  <c r="AL258" i="7"/>
  <c r="AL647" i="7"/>
  <c r="B220" i="7" a="1"/>
  <c r="B220" i="7" s="1"/>
  <c r="AL438" i="7"/>
  <c r="AL861" i="7"/>
  <c r="AL648" i="7"/>
  <c r="B561" i="7" a="1"/>
  <c r="B561" i="7" s="1"/>
  <c r="B420" i="7" a="1"/>
  <c r="B420" i="7" s="1"/>
  <c r="B802" i="7" a="1"/>
  <c r="B802" i="7" s="1"/>
  <c r="B498" i="7" a="1"/>
  <c r="B498" i="7" s="1"/>
  <c r="B253" i="7" a="1"/>
  <c r="B253" i="7" s="1"/>
  <c r="B589" i="7" a="1"/>
  <c r="B589" i="7" s="1"/>
  <c r="B531" i="7" a="1"/>
  <c r="B531" i="7" s="1"/>
  <c r="B774" i="7" a="1"/>
  <c r="B774" i="7" s="1"/>
  <c r="AL533" i="7"/>
  <c r="AL312" i="7"/>
  <c r="AL330" i="7"/>
  <c r="AL599" i="7"/>
  <c r="AL555" i="7"/>
  <c r="B535" i="7" a="1"/>
  <c r="B535" i="7" s="1"/>
  <c r="B505" i="7" a="1"/>
  <c r="B505" i="7" s="1"/>
  <c r="B859" i="7" a="1"/>
  <c r="B859" i="7" s="1"/>
  <c r="B506" i="7" a="1"/>
  <c r="B506" i="7" s="1"/>
  <c r="B842" i="7" a="1"/>
  <c r="B842" i="7" s="1"/>
  <c r="B322" i="7" a="1"/>
  <c r="B322" i="7" s="1"/>
  <c r="AL491" i="7"/>
  <c r="B450" i="7" a="1"/>
  <c r="B450" i="7" s="1"/>
  <c r="AL841" i="7"/>
  <c r="B444" i="7" a="1"/>
  <c r="B444" i="7" s="1"/>
  <c r="AL451" i="7"/>
  <c r="B208" i="7" a="1"/>
  <c r="B208" i="7" s="1"/>
  <c r="AL212" i="7"/>
  <c r="AL296" i="7"/>
  <c r="B777" i="7" a="1"/>
  <c r="B777" i="7" s="1"/>
  <c r="B750" i="7" a="1"/>
  <c r="B750" i="7" s="1"/>
  <c r="AL645" i="7"/>
  <c r="AL439" i="7"/>
  <c r="B406" i="7" a="1"/>
  <c r="B406" i="7" s="1"/>
  <c r="BA334" i="1"/>
  <c r="AJ334" i="1" s="1"/>
  <c r="AJ507" i="1"/>
  <c r="AJ486" i="1"/>
  <c r="AJ394" i="1"/>
  <c r="D59" i="1"/>
  <c r="BA255" i="1"/>
  <c r="AJ255" i="1" s="1"/>
  <c r="AJ177" i="1"/>
  <c r="AJ67" i="1"/>
  <c r="AJ326" i="1"/>
  <c r="AJ143" i="1"/>
  <c r="AJ251" i="1"/>
  <c r="AJ180" i="1"/>
  <c r="AJ92" i="1"/>
  <c r="AJ353" i="1"/>
  <c r="AJ321" i="1"/>
  <c r="AJ324" i="1"/>
  <c r="AJ114" i="1"/>
  <c r="AJ459" i="1"/>
  <c r="AJ420" i="1"/>
  <c r="AJ365" i="1"/>
  <c r="D189" i="1"/>
  <c r="B189" i="1" s="1"/>
  <c r="AJ419" i="1"/>
  <c r="AJ223" i="1"/>
  <c r="D391" i="1"/>
  <c r="B391" i="1" s="1"/>
  <c r="D185" i="1"/>
  <c r="B185" i="1" s="1"/>
  <c r="AJ337" i="1"/>
  <c r="D22" i="1"/>
  <c r="AJ58" i="1"/>
  <c r="AJ66" i="1"/>
  <c r="AJ156" i="1"/>
  <c r="AJ454" i="1"/>
  <c r="AJ201" i="1"/>
  <c r="AJ230" i="1"/>
  <c r="AJ480" i="1"/>
  <c r="AJ95" i="1"/>
  <c r="AJ203" i="1"/>
  <c r="AJ27" i="1"/>
  <c r="AJ404" i="1"/>
  <c r="AJ496" i="1"/>
  <c r="BA328" i="1"/>
  <c r="AJ328" i="1" s="1"/>
  <c r="AJ355" i="1"/>
  <c r="AJ444" i="1"/>
  <c r="AJ271" i="1"/>
  <c r="AJ136" i="1"/>
  <c r="AJ233" i="1"/>
  <c r="AJ249" i="1"/>
  <c r="AJ250" i="1"/>
  <c r="AJ378" i="1"/>
  <c r="D171" i="1"/>
  <c r="B171" i="1" s="1"/>
  <c r="AJ390" i="1"/>
  <c r="AJ402" i="1"/>
  <c r="AL768" i="7"/>
  <c r="AL678" i="7"/>
  <c r="D77" i="1"/>
  <c r="AJ429" i="1"/>
  <c r="AJ456" i="1"/>
  <c r="B201" i="7" a="1"/>
  <c r="B201" i="7" s="1"/>
  <c r="D7" i="1"/>
  <c r="B702" i="7" a="1"/>
  <c r="B702" i="7" s="1"/>
  <c r="AL740" i="7"/>
  <c r="AL207" i="7"/>
  <c r="AL470" i="7"/>
  <c r="D25" i="1"/>
  <c r="B846" i="7" a="1"/>
  <c r="B846" i="7" s="1"/>
  <c r="AJ452" i="1"/>
  <c r="AJ103" i="1"/>
  <c r="AJ381" i="1"/>
  <c r="AJ423" i="1"/>
  <c r="AJ373" i="1"/>
  <c r="AJ120" i="1"/>
  <c r="AL249" i="7"/>
  <c r="D90" i="1"/>
  <c r="B90" i="1" s="1"/>
  <c r="B595" i="7" a="1"/>
  <c r="B595" i="7" s="1"/>
  <c r="AL575" i="7"/>
  <c r="B867" i="7" a="1"/>
  <c r="B867" i="7" s="1"/>
  <c r="B832" i="7" a="1"/>
  <c r="B832" i="7" s="1"/>
  <c r="B752" i="7" a="1"/>
  <c r="B752" i="7" s="1"/>
  <c r="AL640" i="7"/>
  <c r="AL693" i="7"/>
  <c r="B552" i="7" a="1"/>
  <c r="B552" i="7" s="1"/>
  <c r="B568" i="7" a="1"/>
  <c r="B568" i="7" s="1"/>
  <c r="BA311" i="1"/>
  <c r="AJ311" i="1" s="1"/>
  <c r="AJ132" i="1"/>
  <c r="AJ93" i="1"/>
  <c r="D18" i="1"/>
  <c r="B370" i="7" a="1"/>
  <c r="B370" i="7" s="1"/>
  <c r="AJ485" i="1"/>
  <c r="AJ443" i="1"/>
  <c r="AJ91" i="1"/>
  <c r="AJ47" i="1"/>
  <c r="B596" i="7" a="1"/>
  <c r="B596" i="7" s="1"/>
  <c r="AJ51" i="1"/>
  <c r="AL636" i="7"/>
  <c r="D249" i="1"/>
  <c r="B249" i="1" s="1"/>
  <c r="AJ412" i="1"/>
  <c r="AJ371" i="1"/>
  <c r="AJ87" i="1"/>
  <c r="D74" i="1"/>
  <c r="B74" i="1" s="1"/>
  <c r="AL688" i="7"/>
  <c r="AJ187" i="1"/>
  <c r="B363" i="7" a="1"/>
  <c r="B363" i="7" s="1"/>
  <c r="AJ236" i="1"/>
  <c r="AJ259" i="1"/>
  <c r="AJ392" i="1"/>
  <c r="AJ478" i="1"/>
  <c r="AJ367" i="1"/>
  <c r="AJ458" i="1"/>
  <c r="AJ380" i="1"/>
  <c r="AJ446" i="1"/>
  <c r="AJ247" i="1"/>
  <c r="B483" i="7" a="1"/>
  <c r="B483" i="7" s="1"/>
  <c r="AJ448" i="1"/>
  <c r="AJ280" i="1"/>
  <c r="AJ308" i="1"/>
  <c r="AJ499" i="1"/>
  <c r="AJ237" i="1"/>
  <c r="AL529" i="7"/>
  <c r="AL349" i="7"/>
  <c r="AL411" i="7"/>
  <c r="AL629" i="7"/>
  <c r="B803" i="7" a="1"/>
  <c r="B803" i="7" s="1"/>
  <c r="AL539" i="7"/>
  <c r="AL482" i="7"/>
  <c r="B286" i="7" a="1"/>
  <c r="B286" i="7" s="1"/>
  <c r="B342" i="7" a="1"/>
  <c r="B342" i="7" s="1"/>
  <c r="AL385" i="7"/>
  <c r="AL583" i="7"/>
  <c r="AL772" i="7"/>
  <c r="B609" i="7" a="1"/>
  <c r="B609" i="7" s="1"/>
  <c r="B331" i="7" a="1"/>
  <c r="B331" i="7" s="1"/>
  <c r="AL469" i="7"/>
  <c r="AL704" i="7"/>
  <c r="AL711" i="7"/>
  <c r="B698" i="7" a="1"/>
  <c r="B698" i="7" s="1"/>
  <c r="AL681" i="7"/>
  <c r="AL355" i="7"/>
  <c r="B393" i="7" a="1"/>
  <c r="B393" i="7" s="1"/>
  <c r="B701" i="7" a="1"/>
  <c r="B701" i="7" s="1"/>
  <c r="B427" i="7" a="1"/>
  <c r="B427" i="7" s="1"/>
  <c r="B602" i="7" a="1"/>
  <c r="B602" i="7" s="1"/>
  <c r="B634" i="7" a="1"/>
  <c r="B634" i="7" s="1"/>
  <c r="B558" i="7" a="1"/>
  <c r="B558" i="7" s="1"/>
  <c r="B786" i="7" a="1"/>
  <c r="B786" i="7" s="1"/>
  <c r="B507" i="7" a="1"/>
  <c r="B507" i="7" s="1"/>
  <c r="AL274" i="7"/>
  <c r="B865" i="7" a="1"/>
  <c r="B865" i="7" s="1"/>
  <c r="AL718" i="7"/>
  <c r="AL454" i="7"/>
  <c r="B756" i="7" a="1"/>
  <c r="B756" i="7" s="1"/>
  <c r="B292" i="7" a="1"/>
  <c r="B292" i="7" s="1"/>
  <c r="AL615" i="7"/>
  <c r="AL284" i="7"/>
  <c r="AL567" i="7"/>
  <c r="B254" i="7" a="1"/>
  <c r="B254" i="7" s="1"/>
  <c r="AL737" i="7"/>
  <c r="AL216" i="7"/>
  <c r="B572" i="7" a="1"/>
  <c r="B572" i="7" s="1"/>
  <c r="AL461" i="7"/>
  <c r="B729" i="7" a="1"/>
  <c r="B729" i="7" s="1"/>
  <c r="AL710" i="7"/>
  <c r="AL860" i="7"/>
  <c r="AL674" i="7"/>
  <c r="AL556" i="7"/>
  <c r="AL591" i="7"/>
  <c r="B294" i="7" a="1"/>
  <c r="B294" i="7" s="1"/>
  <c r="B387" i="7" a="1"/>
  <c r="B387" i="7" s="1"/>
  <c r="B862" i="7" a="1"/>
  <c r="B862" i="7" s="1"/>
  <c r="AL509" i="7"/>
  <c r="B500" i="7" a="1"/>
  <c r="B500" i="7" s="1"/>
  <c r="AL751" i="7"/>
  <c r="AL205" i="7"/>
  <c r="AL792" i="7"/>
  <c r="B414" i="7" a="1"/>
  <c r="B414" i="7" s="1"/>
  <c r="AL686" i="7"/>
  <c r="AL203" i="7"/>
  <c r="B796" i="7" a="1"/>
  <c r="B796" i="7" s="1"/>
  <c r="AL457" i="7"/>
  <c r="B468" i="7" a="1"/>
  <c r="B468" i="7" s="1"/>
  <c r="B434" i="7" a="1"/>
  <c r="B434" i="7" s="1"/>
  <c r="AL817" i="7"/>
  <c r="B830" i="7" a="1"/>
  <c r="B830" i="7" s="1"/>
  <c r="B273" i="7" a="1"/>
  <c r="B273" i="7" s="1"/>
  <c r="B419" i="7" a="1"/>
  <c r="B419" i="7" s="1"/>
  <c r="AJ310" i="1"/>
  <c r="AL822" i="7"/>
  <c r="AL261" i="7"/>
  <c r="AL302" i="7"/>
  <c r="B598" i="7" a="1"/>
  <c r="B598" i="7" s="1"/>
  <c r="B395" i="7" a="1"/>
  <c r="B395" i="7" s="1"/>
  <c r="AL440" i="7"/>
  <c r="B713" i="7" a="1"/>
  <c r="B713" i="7" s="1"/>
  <c r="B590" i="7" a="1"/>
  <c r="B590" i="7" s="1"/>
  <c r="B607" i="7" a="1"/>
  <c r="B607" i="7" s="1"/>
  <c r="B270" i="7" a="1"/>
  <c r="B270" i="7" s="1"/>
  <c r="B837" i="7" a="1"/>
  <c r="B837" i="7" s="1"/>
  <c r="B819" i="7" a="1"/>
  <c r="B819" i="7" s="1"/>
  <c r="B724" i="7" a="1"/>
  <c r="B724" i="7" s="1"/>
  <c r="B682" i="7" a="1"/>
  <c r="B682" i="7" s="1"/>
  <c r="AL547" i="7"/>
  <c r="B252" i="7" a="1"/>
  <c r="B252" i="7" s="1"/>
  <c r="B593" i="7" a="1"/>
  <c r="B593" i="7" s="1"/>
  <c r="AL481" i="7"/>
  <c r="AL459" i="7"/>
  <c r="B511" i="7" a="1"/>
  <c r="B511" i="7" s="1"/>
  <c r="B474" i="7" a="1"/>
  <c r="B474" i="7" s="1"/>
  <c r="B617" i="7" a="1"/>
  <c r="B617" i="7" s="1"/>
  <c r="B536" i="7" a="1"/>
  <c r="B536" i="7" s="1"/>
  <c r="AL410" i="7"/>
  <c r="B864" i="7" a="1"/>
  <c r="B864" i="7" s="1"/>
  <c r="B797" i="7" a="1"/>
  <c r="B797" i="7" s="1"/>
  <c r="AL463" i="7"/>
  <c r="B480" i="7" a="1"/>
  <c r="B480" i="7" s="1"/>
  <c r="B502" i="7" a="1"/>
  <c r="B502" i="7" s="1"/>
  <c r="B437" i="7" a="1"/>
  <c r="B437" i="7" s="1"/>
  <c r="AL441" i="7"/>
  <c r="AL795" i="7"/>
  <c r="AL399" i="7"/>
  <c r="AL479" i="7"/>
  <c r="AL333" i="7"/>
  <c r="B835" i="7" a="1"/>
  <c r="B835" i="7" s="1"/>
  <c r="AL532" i="7"/>
  <c r="B708" i="7" a="1"/>
  <c r="B708" i="7" s="1"/>
  <c r="AL672" i="7"/>
  <c r="B293" i="7" a="1"/>
  <c r="B293" i="7" s="1"/>
  <c r="B656" i="7" a="1"/>
  <c r="B656" i="7" s="1"/>
  <c r="B290" i="7" a="1"/>
  <c r="B290" i="7" s="1"/>
  <c r="B416" i="7" a="1"/>
  <c r="B416" i="7" s="1"/>
  <c r="B496" i="7" a="1"/>
  <c r="B496" i="7" s="1"/>
  <c r="AL584" i="7"/>
  <c r="AL570" i="7"/>
  <c r="AL318" i="7"/>
  <c r="AL339" i="7"/>
  <c r="AL445" i="7"/>
  <c r="B664" i="7" a="1"/>
  <c r="B664" i="7" s="1"/>
  <c r="B834" i="7" a="1"/>
  <c r="B834" i="7" s="1"/>
  <c r="B856" i="7" a="1"/>
  <c r="B856" i="7" s="1"/>
  <c r="AL364" i="7"/>
  <c r="AL706" i="7"/>
  <c r="B291" i="7" a="1"/>
  <c r="B291" i="7" s="1"/>
  <c r="AL409" i="7"/>
  <c r="AL361" i="7"/>
  <c r="AL866" i="7"/>
  <c r="B378" i="7" a="1"/>
  <c r="B378" i="7" s="1"/>
  <c r="B826" i="7" a="1"/>
  <c r="B826" i="7" s="1"/>
  <c r="B734" i="7" a="1"/>
  <c r="B734" i="7" s="1"/>
  <c r="B554" i="7" a="1"/>
  <c r="B554" i="7" s="1"/>
  <c r="AL271" i="7"/>
  <c r="AL736" i="7"/>
  <c r="B614" i="7" a="1"/>
  <c r="B614" i="7" s="1"/>
  <c r="B852" i="7" a="1"/>
  <c r="B852" i="7" s="1"/>
  <c r="B345" i="7" a="1"/>
  <c r="B345" i="7" s="1"/>
  <c r="AL265" i="7"/>
  <c r="AL766" i="7"/>
  <c r="B267" i="7" a="1"/>
  <c r="B267" i="7" s="1"/>
  <c r="B653" i="7" a="1"/>
  <c r="B653" i="7" s="1"/>
  <c r="B476" i="7" a="1"/>
  <c r="B476" i="7" s="1"/>
  <c r="AL512" i="7"/>
  <c r="AL336" i="7"/>
  <c r="B544" i="7" a="1"/>
  <c r="B544" i="7" s="1"/>
  <c r="AL218" i="7"/>
  <c r="B633" i="7" a="1"/>
  <c r="B633" i="7" s="1"/>
  <c r="AL559" i="7"/>
  <c r="AL626" i="7"/>
  <c r="AL671" i="7"/>
  <c r="B652" i="7" a="1"/>
  <c r="B652" i="7" s="1"/>
  <c r="B669" i="7" a="1"/>
  <c r="B669" i="7" s="1"/>
  <c r="AL625" i="7"/>
  <c r="AL221" i="7"/>
  <c r="B487" i="7" a="1"/>
  <c r="B487" i="7" s="1"/>
  <c r="AL815" i="7"/>
  <c r="AL782" i="7"/>
  <c r="B323" i="7" a="1"/>
  <c r="B323" i="7" s="1"/>
  <c r="AL700" i="7"/>
  <c r="AL328" i="7"/>
  <c r="AL300" i="7"/>
  <c r="AL542" i="7"/>
  <c r="AL504" i="7"/>
  <c r="AL447" i="7"/>
  <c r="AL462" i="7"/>
  <c r="AL726" i="7"/>
  <c r="B448" i="7" a="1"/>
  <c r="B448" i="7" s="1"/>
  <c r="B478" i="7" a="1"/>
  <c r="B478" i="7" s="1"/>
  <c r="B574" i="7" a="1"/>
  <c r="B574" i="7" s="1"/>
  <c r="AL694" i="7"/>
  <c r="B282" i="7" a="1"/>
  <c r="B282" i="7" s="1"/>
  <c r="AL358" i="7"/>
  <c r="AL754" i="7"/>
  <c r="B560" i="7" a="1"/>
  <c r="B560" i="7" s="1"/>
  <c r="AL721" i="7"/>
  <c r="B628" i="7" a="1"/>
  <c r="B628" i="7" s="1"/>
  <c r="B311" i="7" a="1"/>
  <c r="B311" i="7" s="1"/>
  <c r="B313" i="7" a="1"/>
  <c r="B313" i="7" s="1"/>
  <c r="B350" i="7" a="1"/>
  <c r="B350" i="7" s="1"/>
  <c r="B514" i="7" a="1"/>
  <c r="B514" i="7" s="1"/>
  <c r="AL436" i="7"/>
  <c r="AL417" i="7"/>
  <c r="B277" i="7" a="1"/>
  <c r="B277" i="7" s="1"/>
  <c r="B503" i="7" a="1"/>
  <c r="B503" i="7" s="1"/>
  <c r="AL456" i="7"/>
  <c r="B748" i="7" a="1"/>
  <c r="B748" i="7" s="1"/>
  <c r="B408" i="7" a="1"/>
  <c r="B408" i="7" s="1"/>
  <c r="AL449" i="7"/>
  <c r="AL283" i="7"/>
  <c r="B611" i="7" a="1"/>
  <c r="B611" i="7" s="1"/>
  <c r="AL407" i="7"/>
  <c r="B538" i="7" a="1"/>
  <c r="B538" i="7" s="1"/>
  <c r="B219" i="7" a="1"/>
  <c r="B219" i="7" s="1"/>
  <c r="AL654" i="7"/>
  <c r="B354" i="7" a="1"/>
  <c r="B354" i="7" s="1"/>
  <c r="B597" i="7" a="1"/>
  <c r="B597" i="7" s="1"/>
  <c r="AL637" i="7"/>
  <c r="B204" i="7" a="1"/>
  <c r="B204" i="7" s="1"/>
  <c r="B209" i="7" a="1"/>
  <c r="B209" i="7" s="1"/>
  <c r="AL691" i="7"/>
  <c r="B297" i="7" a="1"/>
  <c r="B297" i="7" s="1"/>
  <c r="B594" i="7" a="1"/>
  <c r="B594" i="7" s="1"/>
  <c r="AL285" i="7"/>
  <c r="B577" i="7" a="1"/>
  <c r="B577" i="7" s="1"/>
  <c r="B557" i="7" a="1"/>
  <c r="B557" i="7" s="1"/>
  <c r="B601" i="7" a="1"/>
  <c r="B601" i="7" s="1"/>
  <c r="AL551" i="7"/>
  <c r="AL432" i="7"/>
  <c r="AL442" i="7"/>
  <c r="B275" i="7" a="1"/>
  <c r="B275" i="7" s="1"/>
  <c r="B305" i="7" a="1"/>
  <c r="B305" i="7" s="1"/>
  <c r="AL580" i="7"/>
  <c r="AL565" i="7"/>
  <c r="B673" i="7" a="1"/>
  <c r="B673" i="7" s="1"/>
  <c r="B222" i="7" a="1"/>
  <c r="B222" i="7" s="1"/>
  <c r="AL579" i="7"/>
  <c r="AL477" i="7"/>
  <c r="AL217" i="7"/>
  <c r="AL563" i="7"/>
  <c r="AL303" i="7"/>
  <c r="AL402" i="7"/>
  <c r="B314" i="7" a="1"/>
  <c r="B314" i="7" s="1"/>
  <c r="AL855" i="7"/>
  <c r="AL576" i="7"/>
  <c r="AL566" i="7"/>
  <c r="B632" i="7" a="1"/>
  <c r="B632" i="7" s="1"/>
  <c r="B433" i="7" a="1"/>
  <c r="B433" i="7" s="1"/>
  <c r="AL578" i="7"/>
  <c r="AL873" i="7"/>
  <c r="B255" i="7" a="1"/>
  <c r="B255" i="7" s="1"/>
  <c r="B215" i="7" a="1"/>
  <c r="B215" i="7" s="1"/>
  <c r="B618" i="7" a="1"/>
  <c r="B618" i="7" s="1"/>
  <c r="AL266" i="7"/>
  <c r="B494" i="7" a="1"/>
  <c r="B494" i="7" s="1"/>
  <c r="AL670" i="7"/>
  <c r="AL540" i="7"/>
  <c r="AL813" i="7"/>
  <c r="B739" i="7" a="1"/>
  <c r="B739" i="7" s="1"/>
  <c r="B257" i="7" a="1"/>
  <c r="B257" i="7" s="1"/>
  <c r="AL847" i="7"/>
  <c r="B443" i="7" a="1"/>
  <c r="B443" i="7" s="1"/>
  <c r="AL276" i="7"/>
  <c r="AL665" i="7"/>
  <c r="B310" i="7" a="1"/>
  <c r="B310" i="7" s="1"/>
  <c r="AL211" i="7"/>
  <c r="B259" i="7" a="1"/>
  <c r="B259" i="7" s="1"/>
  <c r="B588" i="7" a="1"/>
  <c r="B588" i="7" s="1"/>
  <c r="B435" i="7" a="1"/>
  <c r="B435" i="7" s="1"/>
  <c r="AL334" i="7"/>
  <c r="B384" i="7" a="1"/>
  <c r="B384" i="7" s="1"/>
  <c r="AL213" i="7"/>
  <c r="B827" i="7" a="1"/>
  <c r="B827" i="7" s="1"/>
  <c r="B430" i="7" a="1"/>
  <c r="B430" i="7" s="1"/>
  <c r="B610" i="7" a="1"/>
  <c r="B610" i="7" s="1"/>
  <c r="B426" i="7" a="1"/>
  <c r="B426" i="7" s="1"/>
  <c r="B603" i="7" a="1"/>
  <c r="B603" i="7" s="1"/>
  <c r="B422" i="7" a="1"/>
  <c r="B422" i="7" s="1"/>
  <c r="B210" i="7" a="1"/>
  <c r="B210" i="7" s="1"/>
  <c r="AL279" i="7"/>
  <c r="AL587" i="7"/>
  <c r="B662" i="7" a="1"/>
  <c r="B662" i="7" s="1"/>
  <c r="AL278" i="7"/>
  <c r="B658" i="7" a="1"/>
  <c r="B658" i="7" s="1"/>
  <c r="B466" i="7" a="1"/>
  <c r="B466" i="7" s="1"/>
  <c r="AL685" i="7"/>
  <c r="B697" i="7" a="1"/>
  <c r="B697" i="7" s="1"/>
  <c r="B586" i="7" a="1"/>
  <c r="B586" i="7" s="1"/>
  <c r="AL424" i="7"/>
  <c r="B621" i="7" a="1"/>
  <c r="B621" i="7" s="1"/>
  <c r="B280" i="7" a="1"/>
  <c r="B280" i="7" s="1"/>
  <c r="B728" i="7" a="1"/>
  <c r="B728" i="7" s="1"/>
  <c r="AL631" i="7"/>
  <c r="B206" i="7" a="1"/>
  <c r="B206" i="7" s="1"/>
  <c r="B608" i="7" a="1"/>
  <c r="B608" i="7" s="1"/>
  <c r="B351" i="7" a="1"/>
  <c r="B351" i="7" s="1"/>
  <c r="AL489" i="7"/>
  <c r="B627" i="7" a="1"/>
  <c r="B627" i="7" s="1"/>
  <c r="AL298" i="7"/>
  <c r="B779" i="7" a="1"/>
  <c r="B779" i="7" s="1"/>
  <c r="AL425" i="7"/>
  <c r="B562" i="7" a="1"/>
  <c r="B562" i="7" s="1"/>
  <c r="B421" i="7" a="1"/>
  <c r="B421" i="7" s="1"/>
  <c r="B446" i="7" a="1"/>
  <c r="B446" i="7" s="1"/>
  <c r="AL646" i="7"/>
  <c r="AL262" i="7"/>
  <c r="B667" i="7" a="1"/>
  <c r="B667" i="7" s="1"/>
  <c r="B564" i="7" a="1"/>
  <c r="B564" i="7" s="1"/>
  <c r="AL745" i="7"/>
  <c r="AL642" i="7"/>
  <c r="B428" i="7" a="1"/>
  <c r="B428" i="7" s="1"/>
  <c r="AL343" i="7"/>
  <c r="AL418" i="7"/>
  <c r="B546" i="7" a="1"/>
  <c r="B546" i="7" s="1"/>
  <c r="B731" i="7" a="1"/>
  <c r="B731" i="7" s="1"/>
  <c r="B260" i="7" a="1"/>
  <c r="B260" i="7" s="1"/>
  <c r="B730" i="7" a="1"/>
  <c r="B730" i="7" s="1"/>
  <c r="B308" i="7" a="1"/>
  <c r="B308" i="7" s="1"/>
  <c r="B214" i="7" a="1"/>
  <c r="B214" i="7" s="1"/>
  <c r="B725" i="7" a="1"/>
  <c r="B725" i="7" s="1"/>
  <c r="AL431" i="7"/>
  <c r="AL690" i="7"/>
  <c r="AL508" i="7"/>
  <c r="AL359" i="7"/>
  <c r="B460" i="7" a="1"/>
  <c r="B460" i="7" s="1"/>
  <c r="B699" i="7" a="1"/>
  <c r="B699" i="7" s="1"/>
  <c r="B851" i="7" a="1"/>
  <c r="B851" i="7" s="1"/>
  <c r="B820" i="7" a="1"/>
  <c r="B820" i="7" s="1"/>
  <c r="AL759" i="7"/>
  <c r="AL635" i="7"/>
  <c r="B635" i="7" a="1"/>
  <c r="B635" i="7" s="1"/>
  <c r="AL785" i="7"/>
  <c r="B785" i="7" a="1"/>
  <c r="B785" i="7" s="1"/>
  <c r="B585" i="7" a="1"/>
  <c r="B585" i="7" s="1"/>
  <c r="AL585" i="7"/>
  <c r="AJ213" i="1"/>
  <c r="D213" i="1"/>
  <c r="B213" i="1" s="1"/>
  <c r="AL464" i="7"/>
  <c r="B605" i="7" a="1"/>
  <c r="B605" i="7" s="1"/>
  <c r="AL379" i="7"/>
  <c r="B379" i="7" a="1"/>
  <c r="B379" i="7" s="1"/>
  <c r="B788" i="7" a="1"/>
  <c r="B788" i="7" s="1"/>
  <c r="AL788" i="7"/>
  <c r="B755" i="7" a="1"/>
  <c r="B755" i="7" s="1"/>
  <c r="AL755" i="7"/>
  <c r="AL683" i="7"/>
  <c r="B683" i="7" a="1"/>
  <c r="B683" i="7" s="1"/>
  <c r="B663" i="7" a="1"/>
  <c r="B663" i="7" s="1"/>
  <c r="AL663" i="7"/>
  <c r="B571" i="7" a="1"/>
  <c r="B571" i="7" s="1"/>
  <c r="AL571" i="7"/>
  <c r="D55" i="1"/>
  <c r="B55" i="1" s="1"/>
  <c r="AJ55" i="1"/>
  <c r="AL789" i="7"/>
  <c r="AL269" i="7"/>
  <c r="B549" i="7" a="1"/>
  <c r="B549" i="7" s="1"/>
  <c r="AL486" i="7"/>
  <c r="B337" i="7" a="1"/>
  <c r="B337" i="7" s="1"/>
  <c r="AL337" i="7"/>
  <c r="AL738" i="7"/>
  <c r="B738" i="7" a="1"/>
  <c r="B738" i="7" s="1"/>
  <c r="AL733" i="7"/>
  <c r="B733" i="7" a="1"/>
  <c r="B733" i="7" s="1"/>
  <c r="AL329" i="7"/>
  <c r="B329" i="7" a="1"/>
  <c r="B329" i="7" s="1"/>
  <c r="AL644" i="7"/>
  <c r="B644" i="7" a="1"/>
  <c r="B644" i="7" s="1"/>
  <c r="D209" i="1"/>
  <c r="B209" i="1" s="1"/>
  <c r="AJ209" i="1"/>
  <c r="D48" i="1"/>
  <c r="B48" i="1" s="1"/>
  <c r="AJ48" i="1"/>
  <c r="B765" i="7" a="1"/>
  <c r="B765" i="7" s="1"/>
  <c r="B616" i="7" a="1"/>
  <c r="B616" i="7" s="1"/>
  <c r="AL616" i="7"/>
  <c r="B592" i="7" a="1"/>
  <c r="B592" i="7" s="1"/>
  <c r="AL592" i="7"/>
  <c r="AJ76" i="1"/>
  <c r="D76" i="1"/>
  <c r="D200" i="1"/>
  <c r="B200" i="1" s="1"/>
  <c r="AJ200" i="1"/>
  <c r="AL829" i="7"/>
  <c r="B829" i="7" a="1"/>
  <c r="B829" i="7" s="1"/>
  <c r="AL767" i="7"/>
  <c r="B767" i="7" a="1"/>
  <c r="B767" i="7" s="1"/>
  <c r="AL352" i="7"/>
  <c r="B352" i="7" a="1"/>
  <c r="B352" i="7" s="1"/>
  <c r="B763" i="7" a="1"/>
  <c r="B763" i="7" s="1"/>
  <c r="B320" i="7" a="1"/>
  <c r="B320" i="7" s="1"/>
  <c r="AL320" i="7"/>
  <c r="D267" i="1"/>
  <c r="B267" i="1" s="1"/>
  <c r="AJ267" i="1"/>
  <c r="D98" i="1"/>
  <c r="B98" i="1" s="1"/>
  <c r="AJ98" i="1"/>
  <c r="B353" i="7" a="1"/>
  <c r="B353" i="7" s="1"/>
  <c r="AL353" i="7"/>
  <c r="B719" i="7" a="1"/>
  <c r="B719" i="7" s="1"/>
  <c r="B356" i="7" a="1"/>
  <c r="B356" i="7" s="1"/>
  <c r="B742" i="7" a="1"/>
  <c r="B742" i="7" s="1"/>
  <c r="AL742" i="7"/>
  <c r="AL335" i="7"/>
  <c r="B335" i="7" a="1"/>
  <c r="B335" i="7" s="1"/>
  <c r="AL321" i="7"/>
  <c r="B321" i="7" a="1"/>
  <c r="B321" i="7" s="1"/>
  <c r="D497" i="1"/>
  <c r="B497" i="1" s="1"/>
  <c r="AJ497" i="1"/>
  <c r="AL660" i="7"/>
  <c r="B660" i="7" a="1"/>
  <c r="B660" i="7" s="1"/>
  <c r="B550" i="7" a="1"/>
  <c r="B550" i="7" s="1"/>
  <c r="AL550" i="7"/>
  <c r="B309" i="7" a="1"/>
  <c r="B309" i="7" s="1"/>
  <c r="AL309" i="7"/>
  <c r="AL783" i="7"/>
  <c r="B783" i="7" a="1"/>
  <c r="B783" i="7" s="1"/>
  <c r="AL845" i="7"/>
  <c r="B377" i="7" a="1"/>
  <c r="B377" i="7" s="1"/>
  <c r="AL377" i="7"/>
  <c r="B639" i="7" a="1"/>
  <c r="B639" i="7" s="1"/>
  <c r="AL639" i="7"/>
  <c r="AL485" i="7"/>
  <c r="B485" i="7" a="1"/>
  <c r="B485" i="7" s="1"/>
  <c r="AL668" i="7"/>
  <c r="B668" i="7" a="1"/>
  <c r="B668" i="7" s="1"/>
  <c r="AL624" i="7"/>
  <c r="B624" i="7" a="1"/>
  <c r="B624" i="7" s="1"/>
  <c r="AL858" i="7"/>
  <c r="B858" i="7" a="1"/>
  <c r="B858" i="7" s="1"/>
  <c r="AL839" i="7"/>
  <c r="B839" i="7" a="1"/>
  <c r="B839" i="7" s="1"/>
  <c r="B388" i="7" a="1"/>
  <c r="B388" i="7" s="1"/>
  <c r="AL388" i="7"/>
  <c r="AL843" i="7"/>
  <c r="B843" i="7" a="1"/>
  <c r="B843" i="7" s="1"/>
  <c r="B773" i="7" a="1"/>
  <c r="B773" i="7" s="1"/>
  <c r="AL773" i="7"/>
  <c r="B687" i="7" a="1"/>
  <c r="B687" i="7" s="1"/>
  <c r="AL687" i="7"/>
  <c r="BA304" i="1"/>
  <c r="AJ304" i="1" s="1"/>
  <c r="AL543" i="7"/>
  <c r="B543" i="7" a="1"/>
  <c r="B543" i="7" s="1"/>
  <c r="B722" i="7" a="1"/>
  <c r="B722" i="7" s="1"/>
  <c r="AL722" i="7"/>
  <c r="AL325" i="7"/>
  <c r="B325" i="7" a="1"/>
  <c r="B325" i="7" s="1"/>
  <c r="AL676" i="7"/>
  <c r="B676" i="7" a="1"/>
  <c r="B676" i="7" s="1"/>
  <c r="AL268" i="7"/>
  <c r="B268" i="7" a="1"/>
  <c r="B268" i="7" s="1"/>
  <c r="B798" i="7" a="1"/>
  <c r="B798" i="7" s="1"/>
  <c r="AL798" i="7"/>
  <c r="B304" i="7" a="1"/>
  <c r="B304" i="7" s="1"/>
  <c r="AL304" i="7"/>
  <c r="AL390" i="7"/>
  <c r="B800" i="7" a="1"/>
  <c r="B800" i="7" s="1"/>
  <c r="B844" i="7" a="1"/>
  <c r="B844" i="7" s="1"/>
  <c r="AL844" i="7"/>
  <c r="AL374" i="7"/>
  <c r="B374" i="7" a="1"/>
  <c r="B374" i="7" s="1"/>
  <c r="AL870" i="7"/>
  <c r="B870" i="7" a="1"/>
  <c r="B870" i="7" s="1"/>
  <c r="B811" i="7" a="1"/>
  <c r="B811" i="7" s="1"/>
  <c r="B495" i="7" a="1"/>
  <c r="B495" i="7" s="1"/>
  <c r="AL495" i="7"/>
  <c r="B753" i="7" a="1"/>
  <c r="B753" i="7" s="1"/>
  <c r="AL762" i="7"/>
  <c r="B762" i="7" a="1"/>
  <c r="B762" i="7" s="1"/>
  <c r="AJ395" i="1"/>
  <c r="AL689" i="7"/>
  <c r="B689" i="7" a="1"/>
  <c r="B689" i="7" s="1"/>
  <c r="AL655" i="7"/>
  <c r="B655" i="7" a="1"/>
  <c r="B655" i="7" s="1"/>
  <c r="AL360" i="7"/>
  <c r="B360" i="7" a="1"/>
  <c r="B360" i="7" s="1"/>
  <c r="B735" i="7" a="1"/>
  <c r="B735" i="7" s="1"/>
  <c r="AL735" i="7"/>
  <c r="B327" i="7" a="1"/>
  <c r="B327" i="7" s="1"/>
  <c r="AL327" i="7"/>
  <c r="AL619" i="7"/>
  <c r="B619" i="7" a="1"/>
  <c r="B619" i="7" s="1"/>
  <c r="D382" i="1"/>
  <c r="B382" i="1" s="1"/>
  <c r="AJ382" i="1"/>
  <c r="B272" i="7" a="1"/>
  <c r="B272" i="7" s="1"/>
  <c r="AL272" i="7"/>
  <c r="D73" i="1"/>
  <c r="AJ73" i="1"/>
  <c r="AJ453" i="1"/>
  <c r="AJ483" i="1"/>
  <c r="AJ195" i="1"/>
  <c r="AJ436" i="1"/>
  <c r="AL650" i="7"/>
  <c r="AJ384" i="1"/>
  <c r="B757" i="7" a="1"/>
  <c r="B757" i="7" s="1"/>
  <c r="AJ510" i="1"/>
  <c r="B497" i="7" a="1"/>
  <c r="B497" i="7" s="1"/>
  <c r="D499" i="1"/>
  <c r="B499" i="1" s="1"/>
  <c r="AJ139" i="1"/>
  <c r="AJ470" i="1"/>
  <c r="AJ258" i="1"/>
  <c r="AL801" i="7"/>
  <c r="D15" i="1"/>
  <c r="B581" i="7" a="1"/>
  <c r="B581" i="7" s="1"/>
  <c r="AL295" i="7"/>
  <c r="AL553" i="7"/>
  <c r="B287" i="7" a="1"/>
  <c r="B287" i="7" s="1"/>
  <c r="B386" i="7" a="1"/>
  <c r="B386" i="7" s="1"/>
  <c r="B453" i="7" a="1"/>
  <c r="B453" i="7" s="1"/>
  <c r="AJ466" i="1"/>
  <c r="AJ464" i="1"/>
  <c r="AJ493" i="1"/>
  <c r="AJ431" i="1"/>
  <c r="AJ363" i="1"/>
  <c r="B810" i="7" a="1"/>
  <c r="B810" i="7" s="1"/>
  <c r="B675" i="7" a="1"/>
  <c r="B675" i="7" s="1"/>
  <c r="B490" i="7" a="1"/>
  <c r="B490" i="7" s="1"/>
  <c r="B301" i="7" a="1"/>
  <c r="B301" i="7" s="1"/>
  <c r="AL372" i="7"/>
  <c r="B677" i="7" a="1"/>
  <c r="B677" i="7" s="1"/>
  <c r="AJ428" i="1"/>
  <c r="AJ445" i="1"/>
  <c r="D259" i="1"/>
  <c r="B259" i="1" s="1"/>
  <c r="AJ294" i="1"/>
  <c r="B680" i="7" a="1"/>
  <c r="B680" i="7" s="1"/>
  <c r="D282" i="1"/>
  <c r="B282" i="1" s="1"/>
  <c r="AL475" i="7"/>
  <c r="AJ359" i="1"/>
  <c r="D419" i="1"/>
  <c r="B419" i="1" s="1"/>
  <c r="AJ491" i="1"/>
  <c r="AL764" i="7"/>
  <c r="AL666" i="7"/>
  <c r="B357" i="7" a="1"/>
  <c r="B357" i="7" s="1"/>
  <c r="AJ490" i="1"/>
  <c r="AJ161" i="1"/>
  <c r="AL743" i="7"/>
  <c r="B368" i="7" a="1"/>
  <c r="B368" i="7" s="1"/>
  <c r="AL863" i="7"/>
  <c r="B808" i="7" a="1"/>
  <c r="B808" i="7" s="1"/>
  <c r="B622" i="7" a="1"/>
  <c r="B622" i="7" s="1"/>
  <c r="AL347" i="7"/>
  <c r="AJ289" i="1"/>
  <c r="AJ366" i="1"/>
  <c r="AJ285" i="1"/>
  <c r="AJ501" i="1"/>
  <c r="AJ109" i="1"/>
  <c r="AJ134" i="1"/>
  <c r="AJ240" i="1"/>
  <c r="AJ398" i="1"/>
  <c r="AJ492" i="1"/>
  <c r="D140" i="1"/>
  <c r="B140" i="1" s="1"/>
  <c r="AJ274" i="1"/>
  <c r="AJ442" i="1"/>
  <c r="AJ477" i="1"/>
  <c r="AJ472" i="1"/>
  <c r="AJ260" i="1"/>
  <c r="AJ276" i="1"/>
  <c r="AJ450" i="1"/>
  <c r="AJ141" i="1"/>
  <c r="AJ194" i="1"/>
  <c r="AJ234" i="1"/>
  <c r="AJ121" i="1"/>
  <c r="AJ64" i="1"/>
  <c r="D192" i="1"/>
  <c r="B192" i="1" s="1"/>
  <c r="AJ307" i="1"/>
  <c r="AJ138" i="1"/>
  <c r="AJ26" i="1"/>
  <c r="AJ206" i="1"/>
  <c r="AJ284" i="1"/>
  <c r="D122" i="1"/>
  <c r="B122" i="1" s="1"/>
  <c r="AJ6" i="1"/>
  <c r="AJ158" i="1"/>
  <c r="AJ383" i="1"/>
  <c r="AJ335" i="1"/>
  <c r="AJ435" i="1"/>
  <c r="AJ273" i="1"/>
  <c r="AJ441" i="1"/>
  <c r="AJ264" i="1"/>
  <c r="AJ364" i="1"/>
  <c r="AJ268" i="1"/>
  <c r="AJ159" i="1"/>
  <c r="AJ110" i="1"/>
  <c r="D14" i="1"/>
  <c r="B14" i="1" s="1"/>
  <c r="AJ351" i="1"/>
  <c r="AJ275" i="1"/>
  <c r="AJ204" i="1"/>
  <c r="AJ421" i="1"/>
  <c r="AJ468" i="1"/>
  <c r="AJ277" i="1"/>
  <c r="D170" i="1"/>
  <c r="B170" i="1" s="1"/>
  <c r="AJ53" i="1"/>
  <c r="AJ434" i="1"/>
  <c r="AL769" i="7"/>
  <c r="B769" i="7" a="1"/>
  <c r="B769" i="7" s="1"/>
  <c r="AL684" i="7"/>
  <c r="B684" i="7" a="1"/>
  <c r="B684" i="7" s="1"/>
  <c r="AJ20" i="1"/>
  <c r="D20" i="1"/>
  <c r="B20" i="1" s="1"/>
  <c r="B606" i="7" a="1"/>
  <c r="B606" i="7" s="1"/>
  <c r="AL606" i="7"/>
  <c r="B807" i="7" a="1"/>
  <c r="B807" i="7" s="1"/>
  <c r="AL807" i="7"/>
  <c r="AL488" i="7"/>
  <c r="B488" i="7" a="1"/>
  <c r="B488" i="7" s="1"/>
  <c r="AL741" i="7"/>
  <c r="B741" i="7" a="1"/>
  <c r="B741" i="7" s="1"/>
  <c r="AL332" i="7"/>
  <c r="B332" i="7" a="1"/>
  <c r="B332" i="7" s="1"/>
  <c r="B720" i="7" a="1"/>
  <c r="B720" i="7" s="1"/>
  <c r="AL720" i="7"/>
  <c r="AL651" i="7"/>
  <c r="B651" i="7" a="1"/>
  <c r="B651" i="7" s="1"/>
  <c r="AL317" i="7"/>
  <c r="B317" i="7" a="1"/>
  <c r="B317" i="7" s="1"/>
  <c r="AJ126" i="1"/>
  <c r="AJ296" i="1"/>
  <c r="B396" i="7" a="1"/>
  <c r="B396" i="7" s="1"/>
  <c r="AL396" i="7"/>
  <c r="B366" i="7" a="1"/>
  <c r="B366" i="7" s="1"/>
  <c r="AL366" i="7"/>
  <c r="AL510" i="7"/>
  <c r="B510" i="7" a="1"/>
  <c r="B510" i="7" s="1"/>
  <c r="AL499" i="7"/>
  <c r="B499" i="7" a="1"/>
  <c r="B499" i="7" s="1"/>
  <c r="B749" i="7" a="1"/>
  <c r="B749" i="7" s="1"/>
  <c r="AL749" i="7"/>
  <c r="AL712" i="7"/>
  <c r="B712" i="7" a="1"/>
  <c r="B712" i="7" s="1"/>
  <c r="B715" i="7" a="1"/>
  <c r="B715" i="7" s="1"/>
  <c r="AL715" i="7"/>
  <c r="B707" i="7" a="1"/>
  <c r="B707" i="7" s="1"/>
  <c r="AL707" i="7"/>
  <c r="B319" i="7" a="1"/>
  <c r="B319" i="7" s="1"/>
  <c r="AL319" i="7"/>
  <c r="D241" i="1"/>
  <c r="B241" i="1" s="1"/>
  <c r="AJ241" i="1"/>
  <c r="AL316" i="7"/>
  <c r="B316" i="7" a="1"/>
  <c r="B316" i="7" s="1"/>
  <c r="AL473" i="7"/>
  <c r="B473" i="7" a="1"/>
  <c r="B473" i="7" s="1"/>
  <c r="D349" i="1"/>
  <c r="B349" i="1" s="1"/>
  <c r="AJ349" i="1"/>
  <c r="AL380" i="7"/>
  <c r="B380" i="7" a="1"/>
  <c r="B380" i="7" s="1"/>
  <c r="AL857" i="7"/>
  <c r="B857" i="7" a="1"/>
  <c r="B857" i="7" s="1"/>
  <c r="B781" i="7" a="1"/>
  <c r="B781" i="7" s="1"/>
  <c r="AL781" i="7"/>
  <c r="B717" i="7" a="1"/>
  <c r="B717" i="7" s="1"/>
  <c r="AL717" i="7"/>
  <c r="D461" i="1"/>
  <c r="B461" i="1" s="1"/>
  <c r="AJ461" i="1"/>
  <c r="D238" i="1"/>
  <c r="B238" i="1" s="1"/>
  <c r="AJ238" i="1"/>
  <c r="D29" i="1"/>
  <c r="B36" i="1" s="1"/>
  <c r="AJ29" i="1"/>
  <c r="AL375" i="7"/>
  <c r="B375" i="7" a="1"/>
  <c r="B375" i="7" s="1"/>
  <c r="AL761" i="7"/>
  <c r="B761" i="7" a="1"/>
  <c r="B761" i="7" s="1"/>
  <c r="AL775" i="7"/>
  <c r="AL780" i="7"/>
  <c r="B780" i="7" a="1"/>
  <c r="B780" i="7" s="1"/>
  <c r="D352" i="1"/>
  <c r="B352" i="1" s="1"/>
  <c r="AJ352" i="1"/>
  <c r="D376" i="1"/>
  <c r="B376" i="1" s="1"/>
  <c r="AJ376" i="1"/>
  <c r="D278" i="1"/>
  <c r="B278" i="1" s="1"/>
  <c r="AJ278" i="1"/>
  <c r="B850" i="7" a="1"/>
  <c r="B850" i="7" s="1"/>
  <c r="B569" i="7" a="1"/>
  <c r="B569" i="7" s="1"/>
  <c r="B661" i="7" a="1"/>
  <c r="B661" i="7" s="1"/>
  <c r="B791" i="7" a="1"/>
  <c r="B791" i="7" s="1"/>
  <c r="AL791" i="7"/>
  <c r="B758" i="7" a="1"/>
  <c r="B758" i="7" s="1"/>
  <c r="AL758" i="7"/>
  <c r="AL732" i="7"/>
  <c r="B732" i="7" a="1"/>
  <c r="B732" i="7" s="1"/>
  <c r="AL465" i="7"/>
  <c r="B465" i="7" a="1"/>
  <c r="B465" i="7" s="1"/>
  <c r="D505" i="1"/>
  <c r="B505" i="1" s="1"/>
  <c r="AJ505" i="1"/>
  <c r="BA210" i="1"/>
  <c r="AJ210" i="1" s="1"/>
  <c r="AL821" i="7"/>
  <c r="B821" i="7" a="1"/>
  <c r="B821" i="7" s="1"/>
  <c r="B492" i="7" a="1"/>
  <c r="B492" i="7" s="1"/>
  <c r="AL492" i="7"/>
  <c r="B501" i="7" a="1"/>
  <c r="B501" i="7" s="1"/>
  <c r="AL381" i="7"/>
  <c r="B381" i="7" a="1"/>
  <c r="B381" i="7" s="1"/>
  <c r="B828" i="7" a="1"/>
  <c r="B828" i="7" s="1"/>
  <c r="AL828" i="7"/>
  <c r="D508" i="1"/>
  <c r="B508" i="1" s="1"/>
  <c r="AJ508" i="1"/>
  <c r="B705" i="7" a="1"/>
  <c r="B705" i="7" s="1"/>
  <c r="AL705" i="7"/>
  <c r="AL836" i="7"/>
  <c r="AL373" i="7"/>
  <c r="B373" i="7" a="1"/>
  <c r="B373" i="7" s="1"/>
  <c r="B709" i="7" a="1"/>
  <c r="B709" i="7" s="1"/>
  <c r="AL709" i="7"/>
  <c r="AJ356" i="1"/>
  <c r="D356" i="1"/>
  <c r="B356" i="1" s="1"/>
  <c r="AL299" i="7"/>
  <c r="B493" i="7" a="1"/>
  <c r="B493" i="7" s="1"/>
  <c r="B805" i="7" a="1"/>
  <c r="B805" i="7" s="1"/>
  <c r="B326" i="7" a="1"/>
  <c r="B326" i="7" s="1"/>
  <c r="AL382" i="7"/>
  <c r="B695" i="7" a="1"/>
  <c r="B695" i="7" s="1"/>
  <c r="AL868" i="7"/>
  <c r="B804" i="7" a="1"/>
  <c r="B804" i="7" s="1"/>
  <c r="AL804" i="7"/>
  <c r="AL346" i="7"/>
  <c r="AL344" i="7"/>
  <c r="AL376" i="7"/>
  <c r="AL264" i="7"/>
  <c r="B612" i="7" a="1"/>
  <c r="B612" i="7" s="1"/>
  <c r="AJ418" i="1"/>
  <c r="B649" i="7" a="1"/>
  <c r="B649" i="7" s="1"/>
  <c r="B620" i="7" a="1"/>
  <c r="B620" i="7" s="1"/>
  <c r="AL582" i="7"/>
  <c r="B823" i="7" a="1"/>
  <c r="B823" i="7" s="1"/>
  <c r="B848" i="7" a="1"/>
  <c r="B848" i="7" s="1"/>
  <c r="AL338" i="7"/>
  <c r="AL307" i="7"/>
  <c r="AJ291" i="1"/>
  <c r="AJ148" i="1"/>
  <c r="AJ232" i="1"/>
  <c r="AJ215" i="1"/>
  <c r="AJ78" i="1"/>
  <c r="AJ320" i="1"/>
  <c r="AJ387" i="1"/>
  <c r="AJ193" i="1"/>
  <c r="AJ149" i="1"/>
  <c r="AJ113" i="1"/>
  <c r="AJ119" i="1"/>
  <c r="AJ118" i="1"/>
  <c r="AJ188" i="1"/>
  <c r="AJ330" i="1"/>
  <c r="AJ281" i="1"/>
  <c r="AJ244" i="1"/>
  <c r="AJ489" i="1"/>
  <c r="AJ315" i="1"/>
  <c r="AJ295" i="1"/>
  <c r="AJ153" i="1"/>
  <c r="AJ131" i="1"/>
  <c r="B534" i="7" a="1"/>
  <c r="B534" i="7" s="1"/>
  <c r="AJ225" i="1"/>
  <c r="AJ370" i="1"/>
  <c r="AJ488" i="1"/>
  <c r="AJ299" i="1"/>
  <c r="AJ293" i="1"/>
  <c r="D118" i="1"/>
  <c r="B118" i="1" s="1"/>
  <c r="AJ389" i="1"/>
  <c r="D19" i="1"/>
  <c r="AJ405" i="1"/>
  <c r="AJ455" i="1"/>
  <c r="AJ152" i="1"/>
  <c r="D158" i="1"/>
  <c r="AJ150" i="1"/>
  <c r="AJ358" i="1"/>
  <c r="AJ80" i="1"/>
  <c r="AJ37" i="1"/>
  <c r="AJ85" i="1"/>
  <c r="AJ178" i="1"/>
  <c r="D320" i="1"/>
  <c r="B320" i="1" s="1"/>
  <c r="AJ252" i="1"/>
  <c r="AJ469" i="1"/>
  <c r="AJ137" i="1"/>
  <c r="AJ133" i="1"/>
  <c r="AJ430" i="1"/>
  <c r="AJ408" i="1"/>
  <c r="D202" i="1"/>
  <c r="AJ357" i="1"/>
  <c r="D474" i="1"/>
  <c r="B474" i="1" s="1"/>
  <c r="AJ211" i="1"/>
  <c r="AJ422" i="1"/>
  <c r="D181" i="1"/>
  <c r="B181" i="1" s="1"/>
  <c r="AJ94" i="1"/>
  <c r="AJ155" i="1"/>
  <c r="AJ401" i="1"/>
  <c r="AJ97" i="1"/>
  <c r="AJ100" i="1"/>
  <c r="AJ197" i="1"/>
  <c r="AJ287" i="1"/>
  <c r="AJ129" i="1"/>
  <c r="AJ300" i="1"/>
  <c r="AJ239" i="1"/>
  <c r="AJ246" i="1"/>
  <c r="AJ283" i="1"/>
  <c r="D169" i="1"/>
  <c r="B169" i="1" s="1"/>
  <c r="AJ231" i="1"/>
  <c r="D485" i="1"/>
  <c r="B485" i="1" s="1"/>
  <c r="AJ354" i="1"/>
  <c r="AJ146" i="1"/>
  <c r="AJ439" i="1"/>
  <c r="AJ433" i="1"/>
  <c r="AJ348" i="1"/>
  <c r="AJ108" i="1"/>
  <c r="AJ411" i="1"/>
  <c r="AJ327" i="1"/>
  <c r="AJ245" i="1"/>
  <c r="AJ256" i="1"/>
  <c r="AJ130" i="1"/>
  <c r="AJ115" i="1"/>
  <c r="AJ305" i="1"/>
  <c r="AJ102" i="1"/>
  <c r="AJ465" i="1"/>
  <c r="AJ290" i="1"/>
  <c r="AJ369" i="1"/>
  <c r="AJ346" i="1"/>
  <c r="AJ425" i="1"/>
  <c r="AJ88" i="1"/>
  <c r="AJ342" i="1"/>
  <c r="D272" i="1"/>
  <c r="B272" i="1" s="1"/>
  <c r="AJ272" i="1"/>
  <c r="AJ498" i="1"/>
  <c r="D484" i="1"/>
  <c r="B484" i="1" s="1"/>
  <c r="AJ484" i="1"/>
  <c r="D220" i="1"/>
  <c r="AJ220" i="1"/>
  <c r="D75" i="1"/>
  <c r="B75" i="1" s="1"/>
  <c r="AJ75" i="1"/>
  <c r="D11" i="1"/>
  <c r="B11" i="1" s="1"/>
  <c r="D291" i="1"/>
  <c r="B291" i="1" s="1"/>
  <c r="D466" i="1"/>
  <c r="B466" i="1" s="1"/>
  <c r="D243" i="1"/>
  <c r="B243" i="1" s="1"/>
  <c r="AJ243" i="1"/>
  <c r="AJ179" i="1"/>
  <c r="D462" i="1"/>
  <c r="B462" i="1" s="1"/>
  <c r="AJ462" i="1"/>
  <c r="D506" i="1"/>
  <c r="B506" i="1" s="1"/>
  <c r="AJ506" i="1"/>
  <c r="D38" i="1"/>
  <c r="AJ432" i="1"/>
  <c r="AJ57" i="1"/>
  <c r="AJ145" i="1"/>
  <c r="AJ86" i="1"/>
  <c r="AJ81" i="1"/>
  <c r="AJ473" i="1"/>
  <c r="AJ338" i="1"/>
  <c r="AJ286" i="1"/>
  <c r="AQ379" i="1"/>
  <c r="BA379" i="1" s="1"/>
  <c r="D116" i="1"/>
  <c r="B116" i="1" s="1"/>
  <c r="AJ116" i="1"/>
  <c r="AJ84" i="1"/>
  <c r="D84" i="1"/>
  <c r="B84" i="1" s="1"/>
  <c r="AJ69" i="1"/>
  <c r="D69" i="1"/>
  <c r="AJ205" i="1"/>
  <c r="D54" i="1"/>
  <c r="B54" i="1" s="1"/>
  <c r="AJ54" i="1"/>
  <c r="AJ172" i="1"/>
  <c r="D172" i="1"/>
  <c r="B172" i="1" s="1"/>
  <c r="AJ487" i="1"/>
  <c r="AJ495" i="1"/>
  <c r="AJ261" i="1"/>
  <c r="D375" i="1"/>
  <c r="B375" i="1" s="1"/>
  <c r="AJ375" i="1"/>
  <c r="AJ24" i="1"/>
  <c r="D24" i="1"/>
  <c r="AJ183" i="1"/>
  <c r="D183" i="1"/>
  <c r="B183" i="1" s="1"/>
  <c r="AJ409" i="1"/>
  <c r="AJ302" i="1"/>
  <c r="AJ248" i="1"/>
  <c r="D467" i="1"/>
  <c r="B467" i="1" s="1"/>
  <c r="AJ467" i="1"/>
  <c r="D321" i="1"/>
  <c r="B321" i="1" s="1"/>
  <c r="D253" i="1"/>
  <c r="B253" i="1" s="1"/>
  <c r="AJ253" i="1"/>
  <c r="D254" i="1"/>
  <c r="B254" i="1" s="1"/>
  <c r="AJ254" i="1"/>
  <c r="D340" i="1"/>
  <c r="B340" i="1" s="1"/>
  <c r="AJ340" i="1"/>
  <c r="AJ317" i="1"/>
  <c r="AJ502" i="1"/>
  <c r="D193" i="1"/>
  <c r="B193" i="1" s="1"/>
  <c r="D135" i="1"/>
  <c r="B135" i="1" s="1"/>
  <c r="AJ135" i="1"/>
  <c r="BA318" i="1"/>
  <c r="AJ318" i="1" s="1"/>
  <c r="AJ479" i="1"/>
  <c r="D72" i="1"/>
  <c r="AJ72" i="1"/>
  <c r="AJ377" i="1"/>
  <c r="D96" i="1"/>
  <c r="B96" i="1" s="1"/>
  <c r="AJ96" i="1"/>
  <c r="AJ196" i="1"/>
  <c r="D196" i="1"/>
  <c r="B223" i="1" s="1"/>
  <c r="D100" i="1"/>
  <c r="D216" i="1"/>
  <c r="B216" i="1" s="1"/>
  <c r="AJ216" i="1"/>
  <c r="AJ50" i="1"/>
  <c r="AJ447" i="1"/>
  <c r="AJ106" i="1"/>
  <c r="D106" i="1"/>
  <c r="B106" i="1" s="1"/>
  <c r="AJ417" i="1"/>
  <c r="D417" i="1"/>
  <c r="B417" i="1" s="1"/>
  <c r="AQ329" i="1"/>
  <c r="BA329" i="1" s="1"/>
  <c r="D65" i="1"/>
  <c r="AJ65" i="1"/>
  <c r="AJ124" i="1"/>
  <c r="D229" i="1"/>
  <c r="B229" i="1" s="1"/>
  <c r="AJ229" i="1"/>
  <c r="D154" i="1"/>
  <c r="B154" i="1" s="1"/>
  <c r="AJ154" i="1"/>
  <c r="AQ424" i="1"/>
  <c r="BA424" i="1" s="1"/>
  <c r="AJ424" i="1" s="1"/>
  <c r="D62" i="1"/>
  <c r="B62" i="1" s="1"/>
  <c r="AJ62" i="1"/>
  <c r="D475" i="1"/>
  <c r="B475" i="1" s="1"/>
  <c r="AJ475" i="1"/>
  <c r="AJ504" i="1"/>
  <c r="AJ368" i="1"/>
  <c r="D385" i="1"/>
  <c r="B385" i="1" s="1"/>
  <c r="AJ385" i="1"/>
  <c r="AJ160" i="1"/>
  <c r="AJ10" i="1"/>
  <c r="AJ471" i="1"/>
  <c r="AJ297" i="1"/>
  <c r="AJ415" i="1"/>
  <c r="AJ400" i="1"/>
  <c r="AJ322" i="1"/>
  <c r="AJ127" i="1"/>
  <c r="AJ350" i="1"/>
  <c r="AJ386" i="1"/>
  <c r="AJ176" i="1"/>
  <c r="AJ344" i="1"/>
  <c r="AJ343" i="1"/>
  <c r="AJ503" i="1"/>
  <c r="D500" i="1"/>
  <c r="B500" i="1" s="1"/>
  <c r="AJ218" i="1"/>
  <c r="BA235" i="1"/>
  <c r="AJ235" i="1" s="1"/>
  <c r="AJ219" i="1"/>
  <c r="D61" i="1"/>
  <c r="B61" i="1" s="1"/>
  <c r="AJ61" i="1"/>
  <c r="D250" i="1"/>
  <c r="B250" i="1" s="1"/>
  <c r="AJ427" i="1"/>
  <c r="AJ437" i="1"/>
  <c r="AJ212" i="1"/>
  <c r="AJ396" i="1"/>
  <c r="AJ313" i="1"/>
  <c r="AJ112" i="1"/>
  <c r="AJ198" i="1"/>
  <c r="AJ481" i="1"/>
  <c r="AJ142" i="1"/>
  <c r="AJ266" i="1"/>
  <c r="AJ476" i="1"/>
  <c r="AJ309" i="1"/>
  <c r="AJ393" i="1"/>
  <c r="AJ162" i="1"/>
  <c r="AJ208" i="1"/>
  <c r="D208" i="1"/>
  <c r="AJ362" i="1"/>
  <c r="AJ457" i="1"/>
  <c r="AJ82" i="1"/>
  <c r="AJ306" i="1"/>
  <c r="D286" i="1"/>
  <c r="B286" i="1" s="1"/>
  <c r="D270" i="1"/>
  <c r="B297" i="1" s="1"/>
  <c r="AJ270" i="1"/>
  <c r="AJ207" i="1"/>
  <c r="D207" i="1"/>
  <c r="B207" i="1" s="1"/>
  <c r="D212" i="1"/>
  <c r="B212" i="1" s="1"/>
  <c r="AJ301" i="1"/>
  <c r="AJ407" i="1"/>
  <c r="AJ410" i="1"/>
  <c r="AJ117" i="1"/>
  <c r="AJ175" i="1"/>
  <c r="D175" i="1"/>
  <c r="B175" i="1" s="1"/>
  <c r="AJ406" i="1"/>
  <c r="AN520" i="1"/>
  <c r="AJ413" i="1"/>
  <c r="AJ288" i="1"/>
  <c r="AJ52" i="1"/>
  <c r="AJ339" i="1"/>
  <c r="D503" i="1"/>
  <c r="B503" i="1" s="1"/>
  <c r="AJ242" i="1"/>
  <c r="AJ70" i="1"/>
  <c r="AJ265" i="1"/>
  <c r="AJ319" i="1"/>
  <c r="AJ347" i="1"/>
  <c r="D280" i="1"/>
  <c r="AJ227" i="1"/>
  <c r="AJ263" i="1"/>
  <c r="AJ56" i="1"/>
  <c r="AJ128" i="1"/>
  <c r="D105" i="1"/>
  <c r="B105" i="1" s="1"/>
  <c r="AJ399" i="1"/>
  <c r="AJ279" i="1"/>
  <c r="AJ509" i="1"/>
  <c r="D509" i="1"/>
  <c r="B509" i="1" s="1"/>
  <c r="D68" i="1"/>
  <c r="B68" i="1" s="1"/>
  <c r="AJ68" i="1"/>
  <c r="AJ345" i="1"/>
  <c r="AJ314" i="1"/>
  <c r="AJ360" i="1"/>
  <c r="D104" i="1"/>
  <c r="B104" i="1" s="1"/>
  <c r="AJ451" i="1"/>
  <c r="AL32" i="1"/>
  <c r="D32" i="1" s="1"/>
  <c r="AJ224" i="1"/>
  <c r="Z1" i="6"/>
  <c r="AC1" i="6"/>
  <c r="D428" i="1"/>
  <c r="B428" i="1" s="1"/>
  <c r="AL367" i="7"/>
  <c r="B367" i="7" a="1"/>
  <c r="B367" i="7" s="1"/>
  <c r="B638" i="7" a="1"/>
  <c r="B638" i="7" s="1"/>
  <c r="AL638" i="7"/>
  <c r="AL853" i="7"/>
  <c r="AL806" i="7"/>
  <c r="B840" i="7" a="1"/>
  <c r="B840" i="7" s="1"/>
  <c r="W1" i="6"/>
  <c r="AJ416" i="1"/>
  <c r="B369" i="7" a="1"/>
  <c r="B369" i="7" s="1"/>
  <c r="AL794" i="7"/>
  <c r="B513" i="7" a="1"/>
  <c r="B513" i="7" s="1"/>
  <c r="B391" i="7" a="1"/>
  <c r="B391" i="7" s="1"/>
  <c r="AL838" i="7"/>
  <c r="B787" i="7" a="1"/>
  <c r="B787" i="7" s="1"/>
  <c r="B824" i="7" a="1"/>
  <c r="B824" i="7" s="1"/>
  <c r="AL824" i="7"/>
  <c r="B760" i="7" a="1"/>
  <c r="B760" i="7" s="1"/>
  <c r="AL760" i="7"/>
  <c r="AL723" i="7"/>
  <c r="B723" i="7" a="1"/>
  <c r="B723" i="7" s="1"/>
  <c r="AL324" i="7"/>
  <c r="B324" i="7" a="1"/>
  <c r="B324" i="7" s="1"/>
  <c r="B679" i="7" a="1"/>
  <c r="B679" i="7" s="1"/>
  <c r="AL679" i="7"/>
  <c r="B315" i="7" a="1"/>
  <c r="B315" i="7" s="1"/>
  <c r="AL315" i="7"/>
  <c r="AJ144" i="1"/>
  <c r="AL348" i="7"/>
  <c r="AL306" i="7"/>
  <c r="B776" i="7" a="1"/>
  <c r="B776" i="7" s="1"/>
  <c r="AL793" i="7"/>
  <c r="B793" i="7" a="1"/>
  <c r="B793" i="7" s="1"/>
  <c r="AL825" i="7"/>
  <c r="B825" i="7" a="1"/>
  <c r="B825" i="7" s="1"/>
  <c r="AL784" i="7"/>
  <c r="AL630" i="7"/>
  <c r="B630" i="7" a="1"/>
  <c r="B630" i="7" s="1"/>
  <c r="B394" i="7" a="1"/>
  <c r="B394" i="7" s="1"/>
  <c r="AL394" i="7"/>
  <c r="AJ28" i="1"/>
  <c r="AL371" i="7"/>
  <c r="B869" i="7" a="1"/>
  <c r="B869" i="7" s="1"/>
  <c r="AL770" i="7"/>
  <c r="AL849" i="7"/>
  <c r="AL816" i="7"/>
  <c r="B816" i="7" a="1"/>
  <c r="B816" i="7" s="1"/>
  <c r="AL727" i="7"/>
  <c r="B727" i="7" a="1"/>
  <c r="B727" i="7" s="1"/>
  <c r="AP520" i="1"/>
  <c r="AL814" i="7"/>
  <c r="B341" i="7" a="1"/>
  <c r="B341" i="7" s="1"/>
  <c r="AL641" i="7"/>
  <c r="AL389" i="7"/>
  <c r="AL429" i="7"/>
  <c r="AL744" i="7"/>
  <c r="AL340" i="7"/>
  <c r="B340" i="7" a="1"/>
  <c r="B340" i="7" s="1"/>
  <c r="B455" i="7" a="1"/>
  <c r="B455" i="7" s="1"/>
  <c r="AL455" i="7"/>
  <c r="AJ303" i="1"/>
  <c r="AL746" i="7"/>
  <c r="AJ460" i="1"/>
  <c r="AJ325" i="1"/>
  <c r="B383" i="7" a="1"/>
  <c r="B383" i="7" s="1"/>
  <c r="AL771" i="7"/>
  <c r="AL809" i="7"/>
  <c r="AL392" i="7"/>
  <c r="B392" i="7" a="1"/>
  <c r="B392" i="7" s="1"/>
  <c r="B871" i="7" a="1"/>
  <c r="B871" i="7" s="1"/>
  <c r="AL871" i="7"/>
  <c r="B263" i="7" a="1"/>
  <c r="B263" i="7" s="1"/>
  <c r="B747" i="7" a="1"/>
  <c r="B747" i="7" s="1"/>
  <c r="AL747" i="7"/>
  <c r="B472" i="7" a="1"/>
  <c r="B472" i="7" s="1"/>
  <c r="AL472" i="7"/>
  <c r="B458" i="7" a="1"/>
  <c r="B458" i="7" s="1"/>
  <c r="AL458" i="7"/>
  <c r="D336" i="1"/>
  <c r="B336" i="1" s="1"/>
  <c r="AJ336" i="1"/>
  <c r="D414" i="1"/>
  <c r="B414" i="1" s="1"/>
  <c r="AJ414" i="1"/>
  <c r="AL703" i="7"/>
  <c r="BA331" i="1"/>
  <c r="AJ331" i="1" s="1"/>
  <c r="AJ13" i="1"/>
  <c r="AQ316" i="1"/>
  <c r="AL202" i="7"/>
  <c r="Z3" i="10" l="1"/>
  <c r="Y102" i="10"/>
  <c r="X3" i="10"/>
  <c r="X101" i="10"/>
  <c r="J3" i="10"/>
  <c r="T3" i="10"/>
  <c r="Y101" i="10"/>
  <c r="Q3" i="10"/>
  <c r="M9" i="10"/>
  <c r="Q7" i="10"/>
  <c r="Q102" i="10"/>
  <c r="Z4" i="10"/>
  <c r="S4" i="10"/>
  <c r="L4" i="10"/>
  <c r="R102" i="10"/>
  <c r="J7" i="10"/>
  <c r="X4" i="10"/>
  <c r="Q4" i="10"/>
  <c r="J4" i="10"/>
  <c r="K102" i="10"/>
  <c r="X7" i="10"/>
  <c r="Y7" i="10"/>
  <c r="R7" i="10"/>
  <c r="K7" i="10"/>
  <c r="AA9" i="10"/>
  <c r="X102" i="10"/>
  <c r="M3" i="10"/>
  <c r="L3" i="10"/>
  <c r="T9" i="10"/>
  <c r="J102" i="10"/>
  <c r="J101" i="10"/>
  <c r="AA3" i="10"/>
  <c r="AA11" i="10"/>
  <c r="AB11" i="10" s="1"/>
  <c r="T11" i="10"/>
  <c r="U11" i="10" s="1"/>
  <c r="M11" i="10"/>
  <c r="S3" i="10"/>
  <c r="K101" i="10"/>
  <c r="T4" i="10"/>
  <c r="M4" i="10"/>
  <c r="AA4" i="10"/>
  <c r="AA5" i="10"/>
  <c r="T5" i="10"/>
  <c r="M5" i="10"/>
  <c r="L7" i="10"/>
  <c r="AA8" i="10"/>
  <c r="T8" i="10"/>
  <c r="M8" i="10"/>
  <c r="Z6" i="10"/>
  <c r="S6" i="10"/>
  <c r="L6" i="10"/>
  <c r="Q101" i="10"/>
  <c r="Y99" i="10"/>
  <c r="K99" i="10"/>
  <c r="N99" i="10" s="1"/>
  <c r="R99" i="10"/>
  <c r="Z9" i="10"/>
  <c r="S9" i="10"/>
  <c r="L9" i="10"/>
  <c r="S7" i="10"/>
  <c r="J10" i="10"/>
  <c r="X10" i="10"/>
  <c r="Q10" i="10"/>
  <c r="Z5" i="10"/>
  <c r="S5" i="10"/>
  <c r="L5" i="10"/>
  <c r="X99" i="10"/>
  <c r="J99" i="10"/>
  <c r="Q99" i="10"/>
  <c r="AA7" i="10"/>
  <c r="T7" i="10"/>
  <c r="M7" i="10"/>
  <c r="Z10" i="10"/>
  <c r="S10" i="10"/>
  <c r="L10" i="10"/>
  <c r="Z7" i="10"/>
  <c r="R101" i="10"/>
  <c r="B27" i="1"/>
  <c r="B194" i="1"/>
  <c r="B28" i="1"/>
  <c r="B7" i="1"/>
  <c r="AK1" i="7"/>
  <c r="AT1" i="7"/>
  <c r="AQ1" i="7"/>
  <c r="AN1" i="7"/>
  <c r="B208" i="1"/>
  <c r="B69" i="1"/>
  <c r="B15" i="1"/>
  <c r="B446" i="1"/>
  <c r="B418" i="1"/>
  <c r="B348" i="1"/>
  <c r="B379" i="1"/>
  <c r="B139" i="1"/>
  <c r="B236" i="1"/>
  <c r="B489" i="1"/>
  <c r="B409" i="1"/>
  <c r="B202" i="1"/>
  <c r="B18" i="1"/>
  <c r="B77" i="1"/>
  <c r="B22" i="1"/>
  <c r="B59" i="1"/>
  <c r="B16" i="1"/>
  <c r="B120" i="1"/>
  <c r="B63" i="1"/>
  <c r="B108" i="1"/>
  <c r="B305" i="1"/>
  <c r="B102" i="1"/>
  <c r="B313" i="1"/>
  <c r="B72" i="1"/>
  <c r="B158" i="1"/>
  <c r="B73" i="1"/>
  <c r="B13" i="1"/>
  <c r="B363" i="1"/>
  <c r="B488" i="1"/>
  <c r="B88" i="1"/>
  <c r="B218" i="1"/>
  <c r="B403" i="1"/>
  <c r="B318" i="1"/>
  <c r="B240" i="1"/>
  <c r="B281" i="1"/>
  <c r="B239" i="1"/>
  <c r="B280" i="1"/>
  <c r="B65" i="1"/>
  <c r="B100" i="1"/>
  <c r="B217" i="1"/>
  <c r="B347" i="1"/>
  <c r="B109" i="1"/>
  <c r="B502" i="1"/>
  <c r="B49" i="1"/>
  <c r="B126" i="1"/>
  <c r="B162" i="1"/>
  <c r="B144" i="1"/>
  <c r="B197" i="1"/>
  <c r="B196" i="1"/>
  <c r="B220" i="1"/>
  <c r="B29" i="1"/>
  <c r="B78" i="1"/>
  <c r="B307" i="1"/>
  <c r="B309" i="1"/>
  <c r="B383" i="1"/>
  <c r="B58" i="1"/>
  <c r="B402" i="1"/>
  <c r="B79" i="1"/>
  <c r="B234" i="1"/>
  <c r="B299" i="1"/>
  <c r="B235" i="1"/>
  <c r="B210" i="1"/>
  <c r="B256" i="1"/>
  <c r="B76" i="1"/>
  <c r="B265" i="1"/>
  <c r="B247" i="1"/>
  <c r="B52" i="1"/>
  <c r="B441" i="1"/>
  <c r="B455" i="1"/>
  <c r="B64" i="1"/>
  <c r="B268" i="1"/>
  <c r="B270" i="1"/>
  <c r="B25" i="1"/>
  <c r="B199" i="1"/>
  <c r="B94" i="1"/>
  <c r="B501" i="1"/>
  <c r="B276" i="1"/>
  <c r="B110" i="1"/>
  <c r="B227" i="1"/>
  <c r="B277" i="1"/>
  <c r="B66" i="1"/>
  <c r="B494" i="1"/>
  <c r="B198" i="1"/>
  <c r="B412" i="1"/>
  <c r="B294" i="1"/>
  <c r="B367" i="1"/>
  <c r="B81" i="1"/>
  <c r="B219" i="1"/>
  <c r="B493" i="1"/>
  <c r="B444" i="1"/>
  <c r="B80" i="1"/>
  <c r="B38" i="1"/>
  <c r="B37" i="1"/>
  <c r="D31" i="1"/>
  <c r="K100" i="10" s="1"/>
  <c r="AJ31" i="1"/>
  <c r="AJ32" i="1"/>
  <c r="D10" i="10"/>
  <c r="B8" i="1"/>
  <c r="C9" i="10"/>
  <c r="B19" i="1"/>
  <c r="B32" i="1"/>
  <c r="B24" i="1"/>
  <c r="B23" i="1"/>
  <c r="B12" i="1"/>
  <c r="AQ520" i="1"/>
  <c r="AJ379" i="1"/>
  <c r="AJ329" i="1"/>
  <c r="BA316" i="1"/>
  <c r="AJ316" i="1" s="1"/>
  <c r="AW2" i="1" l="1"/>
  <c r="AT2" i="1"/>
  <c r="R100" i="10"/>
  <c r="U100" i="10" s="1"/>
  <c r="C29" i="1"/>
  <c r="AJ2" i="1"/>
  <c r="Y8" i="10"/>
  <c r="Y12" i="10" s="1"/>
  <c r="R8" i="10"/>
  <c r="R12" i="10" s="1"/>
  <c r="K8" i="10"/>
  <c r="K12" i="10" s="1"/>
  <c r="J8" i="10"/>
  <c r="J12" i="10" s="1"/>
  <c r="X8" i="10"/>
  <c r="Q8" i="10"/>
  <c r="X100" i="10"/>
  <c r="J100" i="10"/>
  <c r="AZ2" i="1"/>
  <c r="L8" i="10"/>
  <c r="L12" i="10" s="1"/>
  <c r="T6" i="10"/>
  <c r="U6" i="10" s="1"/>
  <c r="AA6" i="10"/>
  <c r="AA12" i="10" s="1"/>
  <c r="C166" i="1"/>
  <c r="Z8" i="10"/>
  <c r="Z12" i="10" s="1"/>
  <c r="M6" i="10"/>
  <c r="N6" i="10" s="1"/>
  <c r="S8" i="10"/>
  <c r="AN2" i="1"/>
  <c r="Y100" i="10"/>
  <c r="AB100" i="10" s="1"/>
  <c r="C5" i="1"/>
  <c r="Q100" i="10"/>
  <c r="AQ2" i="1"/>
  <c r="N4" i="10"/>
  <c r="B31" i="1"/>
  <c r="B34" i="1"/>
  <c r="AB10" i="10"/>
  <c r="U9" i="10"/>
  <c r="U102" i="10"/>
  <c r="AB3" i="10"/>
  <c r="U5" i="10"/>
  <c r="AB102" i="10"/>
  <c r="E10" i="10"/>
  <c r="D102" i="10"/>
  <c r="F9" i="10"/>
  <c r="AB101" i="10"/>
  <c r="E9" i="10"/>
  <c r="AB9" i="10"/>
  <c r="U7" i="10"/>
  <c r="U101" i="10"/>
  <c r="E4" i="10"/>
  <c r="F7" i="10"/>
  <c r="N10" i="10"/>
  <c r="C10" i="10"/>
  <c r="D101" i="10"/>
  <c r="AB5" i="10"/>
  <c r="F11" i="10"/>
  <c r="G11" i="10" s="1"/>
  <c r="N11" i="10"/>
  <c r="C7" i="10"/>
  <c r="N7" i="10"/>
  <c r="N5" i="10"/>
  <c r="E5" i="10"/>
  <c r="N3" i="10"/>
  <c r="N9" i="10"/>
  <c r="C101" i="10"/>
  <c r="N101" i="10"/>
  <c r="D7" i="10"/>
  <c r="D99" i="10"/>
  <c r="F5" i="10"/>
  <c r="U10" i="10"/>
  <c r="E6" i="10"/>
  <c r="F8" i="10"/>
  <c r="F3" i="10"/>
  <c r="N102" i="10"/>
  <c r="C102" i="10"/>
  <c r="E7" i="10"/>
  <c r="AB7" i="10"/>
  <c r="C3" i="10"/>
  <c r="U99" i="10"/>
  <c r="E99" i="10"/>
  <c r="AB4" i="10"/>
  <c r="E100" i="10"/>
  <c r="E3" i="10"/>
  <c r="U3" i="10"/>
  <c r="AB99" i="10"/>
  <c r="C4" i="10"/>
  <c r="AB6" i="10" l="1"/>
  <c r="F4" i="10"/>
  <c r="G4" i="10" s="1"/>
  <c r="E8" i="10"/>
  <c r="E12" i="10" s="1"/>
  <c r="D8" i="10"/>
  <c r="D12" i="10" s="1"/>
  <c r="C100" i="10"/>
  <c r="AB8" i="10"/>
  <c r="S12" i="10"/>
  <c r="T12" i="10"/>
  <c r="U8" i="10"/>
  <c r="M12" i="10"/>
  <c r="F6" i="10"/>
  <c r="G6" i="10" s="1"/>
  <c r="G10" i="10"/>
  <c r="G9" i="10"/>
  <c r="G102" i="10"/>
  <c r="G101" i="10"/>
  <c r="G7" i="10"/>
  <c r="Q12" i="10"/>
  <c r="G5" i="10"/>
  <c r="X12" i="10"/>
  <c r="N100" i="10"/>
  <c r="D100" i="10"/>
  <c r="G100" i="10" s="1"/>
  <c r="N8" i="10"/>
  <c r="C8" i="10"/>
  <c r="G3" i="10"/>
  <c r="U4" i="10"/>
  <c r="G99" i="10"/>
  <c r="C99" i="10"/>
  <c r="G8" i="10" l="1"/>
  <c r="F12" i="10"/>
  <c r="C1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<sst xmlns="http://schemas.openxmlformats.org/spreadsheetml/2006/main" count="22069" uniqueCount="5699">
  <si>
    <t>NON MODIFICARE CELLE CONTENTENTI FORMULE (ES. B,C,D)</t>
  </si>
  <si>
    <t>cls</t>
  </si>
  <si>
    <t>sgn</t>
  </si>
  <si>
    <t>wip</t>
  </si>
  <si>
    <t>hld</t>
  </si>
  <si>
    <t>abt</t>
  </si>
  <si>
    <t>RIP</t>
  </si>
  <si>
    <t>|</t>
  </si>
  <si>
    <t>Ordine</t>
  </si>
  <si>
    <t>#</t>
  </si>
  <si>
    <t>Status</t>
  </si>
  <si>
    <t>Nome</t>
  </si>
  <si>
    <t>Codename</t>
  </si>
  <si>
    <t>Provincia</t>
  </si>
  <si>
    <t>P.IVA</t>
  </si>
  <si>
    <t>ATECO 2007</t>
  </si>
  <si>
    <t>Settore</t>
  </si>
  <si>
    <t>Attività</t>
  </si>
  <si>
    <t>Riferimento cliente</t>
  </si>
  <si>
    <t>Azionista_1</t>
  </si>
  <si>
    <t>Azionista_2</t>
  </si>
  <si>
    <t>Presidente</t>
  </si>
  <si>
    <t>AD</t>
  </si>
  <si>
    <t>Pres.Col.Sind</t>
  </si>
  <si>
    <t>Cons</t>
  </si>
  <si>
    <t>Anno</t>
  </si>
  <si>
    <t>Sales</t>
  </si>
  <si>
    <t>Ebitda</t>
  </si>
  <si>
    <t>Ebitda(%)</t>
  </si>
  <si>
    <t>Ut. Netto</t>
  </si>
  <si>
    <t>IFN</t>
  </si>
  <si>
    <t>Fonte</t>
  </si>
  <si>
    <t>Segnalatore EXT</t>
  </si>
  <si>
    <t>Relazione @BCA</t>
  </si>
  <si>
    <t>In Charge @BCA</t>
  </si>
  <si>
    <t>Staff_1</t>
  </si>
  <si>
    <t>Staff_2</t>
  </si>
  <si>
    <t>Note</t>
  </si>
  <si>
    <t>Days since idea</t>
  </si>
  <si>
    <t>Days since latest progress</t>
  </si>
  <si>
    <t>Tipologia di Incarico</t>
  </si>
  <si>
    <t>Progress</t>
  </si>
  <si>
    <t>Idea</t>
  </si>
  <si>
    <t>1° Contatto</t>
  </si>
  <si>
    <t>Re-call</t>
  </si>
  <si>
    <t>Contatto aperto</t>
  </si>
  <si>
    <t>Meet_1 / Call</t>
  </si>
  <si>
    <t>Meet_2</t>
  </si>
  <si>
    <t>Meet_3 (Pitch)</t>
  </si>
  <si>
    <t>Meet_5</t>
  </si>
  <si>
    <t>Signed</t>
  </si>
  <si>
    <t>On-hold</t>
  </si>
  <si>
    <t>Aborted</t>
  </si>
  <si>
    <t>Closed</t>
  </si>
  <si>
    <t>% @abor</t>
  </si>
  <si>
    <t>P&amp;B C.so Italia</t>
  </si>
  <si>
    <t xml:space="preserve"> </t>
  </si>
  <si>
    <t>Education</t>
  </si>
  <si>
    <t>Gestione di strutture scolastiche</t>
  </si>
  <si>
    <t>Odile Broglin</t>
  </si>
  <si>
    <t>Relazione</t>
  </si>
  <si>
    <t>LOM</t>
  </si>
  <si>
    <t>LUS</t>
  </si>
  <si>
    <t>Fee Sharing con Alessandro Piona</t>
  </si>
  <si>
    <t>Buy Side</t>
  </si>
  <si>
    <t>na</t>
  </si>
  <si>
    <t/>
  </si>
  <si>
    <t>Ala</t>
  </si>
  <si>
    <t>TO</t>
  </si>
  <si>
    <t>Aerospace</t>
  </si>
  <si>
    <t>Altro</t>
  </si>
  <si>
    <t>Bolaffi (Beyoncé - Minoranza)</t>
  </si>
  <si>
    <t>Beyonce</t>
  </si>
  <si>
    <t>10156770017</t>
  </si>
  <si>
    <t>Retail</t>
  </si>
  <si>
    <t>Commercio oro da investimento</t>
  </si>
  <si>
    <t>F. Bolaffi</t>
  </si>
  <si>
    <t>no</t>
  </si>
  <si>
    <t>ASC</t>
  </si>
  <si>
    <t>PAD</t>
  </si>
  <si>
    <t>Fra Diavolo (Pj Hell)</t>
  </si>
  <si>
    <t>Hell</t>
  </si>
  <si>
    <t>01217560015</t>
  </si>
  <si>
    <t>Food</t>
  </si>
  <si>
    <t>Catena di ristoranti pizzeria</t>
  </si>
  <si>
    <t>Mauro D'errico</t>
  </si>
  <si>
    <t>RIM</t>
  </si>
  <si>
    <t>Sell Side</t>
  </si>
  <si>
    <t>Bolaffi (Pj Mango)</t>
  </si>
  <si>
    <t>Mango</t>
  </si>
  <si>
    <t>P&amp;B Melabimbi</t>
  </si>
  <si>
    <t>Francia</t>
  </si>
  <si>
    <t>P&amp;B Ristori</t>
  </si>
  <si>
    <t>Pezzutti Group (Valutazione)</t>
  </si>
  <si>
    <t>PN</t>
  </si>
  <si>
    <t>00300430931</t>
  </si>
  <si>
    <t>Plastic</t>
  </si>
  <si>
    <t>Stampaggio materie plastiche a iniezione</t>
  </si>
  <si>
    <t>Fabio Messinese</t>
  </si>
  <si>
    <t>Segnalatore</t>
  </si>
  <si>
    <t>Neri Andrea</t>
  </si>
  <si>
    <t>Valutazione</t>
  </si>
  <si>
    <t>SoBeSport</t>
  </si>
  <si>
    <t>MI</t>
  </si>
  <si>
    <t>08430980964</t>
  </si>
  <si>
    <t>Other services</t>
  </si>
  <si>
    <t>Comunicazione e marketing sportivo per professionisti</t>
  </si>
  <si>
    <t>Gianluca Voulaz</t>
  </si>
  <si>
    <t>Rossi Navi (Valutazione)</t>
  </si>
  <si>
    <t>LU</t>
  </si>
  <si>
    <t>01431670460</t>
  </si>
  <si>
    <t>Industrial</t>
  </si>
  <si>
    <t>Costruzione di navi e imbarcazioni</t>
  </si>
  <si>
    <t>Paride Rossi</t>
  </si>
  <si>
    <t>Claudio Rossi</t>
  </si>
  <si>
    <t>P&amp;B Vispa Teresa</t>
  </si>
  <si>
    <t>P&amp;B Canadian Island</t>
  </si>
  <si>
    <t>Pladway S.r.l.</t>
  </si>
  <si>
    <t>10251710967</t>
  </si>
  <si>
    <t>Tech</t>
  </si>
  <si>
    <t>Piattaforma di DOOH</t>
  </si>
  <si>
    <t>Luca Scelsa</t>
  </si>
  <si>
    <t>Intro Fee 10%</t>
  </si>
  <si>
    <t>Becoming Education (buy OIS)</t>
  </si>
  <si>
    <t>Nido</t>
  </si>
  <si>
    <t>11603690964</t>
  </si>
  <si>
    <t>Rossi Navi (M&amp;A)</t>
  </si>
  <si>
    <t>Penta</t>
  </si>
  <si>
    <t>GID</t>
  </si>
  <si>
    <t>Seatram (Valutazione)</t>
  </si>
  <si>
    <t>GE</t>
  </si>
  <si>
    <t>02806090102</t>
  </si>
  <si>
    <t>Logistics</t>
  </si>
  <si>
    <t xml:space="preserve">Freight Forwarding </t>
  </si>
  <si>
    <t>L. Bruzzo</t>
  </si>
  <si>
    <t>English Gate School (sell side)</t>
  </si>
  <si>
    <t>Idia</t>
  </si>
  <si>
    <t>CO</t>
  </si>
  <si>
    <t>07055650969</t>
  </si>
  <si>
    <t xml:space="preserve">Klodia Gaudino </t>
  </si>
  <si>
    <t>Cold Call</t>
  </si>
  <si>
    <t>ISL Nardi</t>
  </si>
  <si>
    <t>Edvige</t>
  </si>
  <si>
    <t>Spedizioni internazionali via nave</t>
  </si>
  <si>
    <t>si</t>
  </si>
  <si>
    <t>Ferrari - Contratto di Sviluppo (CdS)</t>
  </si>
  <si>
    <t>e-Building</t>
  </si>
  <si>
    <t>MO</t>
  </si>
  <si>
    <t>00159560366</t>
  </si>
  <si>
    <t>Automotive</t>
  </si>
  <si>
    <t>Produzione auto sportive</t>
  </si>
  <si>
    <t>Alessandro Tedesco</t>
  </si>
  <si>
    <t>Aimo + Consulman</t>
  </si>
  <si>
    <t>FCA</t>
  </si>
  <si>
    <t>MMO</t>
  </si>
  <si>
    <t>GSE</t>
  </si>
  <si>
    <t>Ferrari - CdS - Management &amp; Reporting</t>
  </si>
  <si>
    <t>Haier/Candy - Contratto di Sviluppo (CdS)</t>
  </si>
  <si>
    <t>Digit+Sost</t>
  </si>
  <si>
    <t>MB</t>
  </si>
  <si>
    <t>00786860965</t>
  </si>
  <si>
    <t>Produzione elettrodomestici</t>
  </si>
  <si>
    <t>Daniele Frigerio</t>
  </si>
  <si>
    <t>Consulman</t>
  </si>
  <si>
    <t>Maschio Gaspardo - Simest</t>
  </si>
  <si>
    <t>Internaz.</t>
  </si>
  <si>
    <t>PD</t>
  </si>
  <si>
    <t>03272800289</t>
  </si>
  <si>
    <t>Produzione attrezzature agricole</t>
  </si>
  <si>
    <t>Pierantonio Prevarin</t>
  </si>
  <si>
    <t>Mise</t>
  </si>
  <si>
    <t>Maschio Gaspardo - LIFE</t>
  </si>
  <si>
    <t>Free Green Nature - LIFE</t>
  </si>
  <si>
    <t>Robot</t>
  </si>
  <si>
    <t>TV</t>
  </si>
  <si>
    <t>05101340262</t>
  </si>
  <si>
    <t>Distilleria F.lli Caffo (master always live)</t>
  </si>
  <si>
    <t>VV</t>
  </si>
  <si>
    <t>00093830792</t>
  </si>
  <si>
    <t>Food: Spirits</t>
  </si>
  <si>
    <t>Distilleria - Amaro del Capo</t>
  </si>
  <si>
    <t>S. Caffo</t>
  </si>
  <si>
    <t>Fam. Caffo</t>
  </si>
  <si>
    <t>sì</t>
  </si>
  <si>
    <t>YIES School</t>
  </si>
  <si>
    <t>Cedar</t>
  </si>
  <si>
    <t>09365500967</t>
  </si>
  <si>
    <t>Angela Paladino</t>
  </si>
  <si>
    <t>Next HS</t>
  </si>
  <si>
    <t>Silicon</t>
  </si>
  <si>
    <t>02879420962</t>
  </si>
  <si>
    <t>465100</t>
  </si>
  <si>
    <t>Vendita retail e e-commerce di elettronica</t>
  </si>
  <si>
    <t>Alessandro Gerelli</t>
  </si>
  <si>
    <t>Giglio</t>
  </si>
  <si>
    <t>PT</t>
  </si>
  <si>
    <t>01857760977</t>
  </si>
  <si>
    <t>Industrial - Luxury</t>
  </si>
  <si>
    <t>Lavorazione di accessori per settore del lusso e alta moda</t>
  </si>
  <si>
    <t>Sarah Strufaldi</t>
  </si>
  <si>
    <t>Fusto</t>
  </si>
  <si>
    <t>00767700156</t>
  </si>
  <si>
    <t>Packaging</t>
  </si>
  <si>
    <t>Imballaggi in metallo</t>
  </si>
  <si>
    <t>W. Cereda</t>
  </si>
  <si>
    <t>Fam. Cereda</t>
  </si>
  <si>
    <t>Eurocert SpA</t>
  </si>
  <si>
    <t>Assure</t>
  </si>
  <si>
    <t>BO</t>
  </si>
  <si>
    <t>Servizi Certificazione</t>
  </si>
  <si>
    <t>Azienda di certificazione tecnica di impianti civili di vario genere</t>
  </si>
  <si>
    <t>Andrea Ballandi</t>
  </si>
  <si>
    <t>Andrea Lenzi</t>
  </si>
  <si>
    <t>Elogy</t>
  </si>
  <si>
    <t>Techne</t>
  </si>
  <si>
    <t>BN</t>
  </si>
  <si>
    <t>01739520623</t>
  </si>
  <si>
    <t>620100</t>
  </si>
  <si>
    <t>Servizi di logistica integrata/piattaforma digitale e-commerce</t>
  </si>
  <si>
    <t>Luca Lanzoni</t>
  </si>
  <si>
    <t>Marco Lanzoni</t>
  </si>
  <si>
    <t>Cantaluppi</t>
  </si>
  <si>
    <t>Consulting</t>
  </si>
  <si>
    <t>Consulenza IP</t>
  </si>
  <si>
    <t>Alberto Maggi</t>
  </si>
  <si>
    <t>International School Brescia (sell side)</t>
  </si>
  <si>
    <t>BS</t>
  </si>
  <si>
    <t>03915470987</t>
  </si>
  <si>
    <t>Scuola internazionale k-12</t>
  </si>
  <si>
    <t>Omar Bonomelli</t>
  </si>
  <si>
    <t>F.A.S.T.</t>
  </si>
  <si>
    <t>Race</t>
  </si>
  <si>
    <t>RA</t>
  </si>
  <si>
    <t>01120890395</t>
  </si>
  <si>
    <t>Agenzia di viaggi</t>
  </si>
  <si>
    <t>Massimo Bertozzi</t>
  </si>
  <si>
    <t>n.d.</t>
  </si>
  <si>
    <t>Azionista</t>
  </si>
  <si>
    <t>Maurizio Bertozzi</t>
  </si>
  <si>
    <t>Medical</t>
  </si>
  <si>
    <t>-</t>
  </si>
  <si>
    <t>Tampieri</t>
  </si>
  <si>
    <t>02075400396</t>
  </si>
  <si>
    <t xml:space="preserve">Produzione olio </t>
  </si>
  <si>
    <t>ASC/FCA</t>
  </si>
  <si>
    <t>Fischer &amp; Rechsteiner (buy)</t>
  </si>
  <si>
    <t>LC</t>
  </si>
  <si>
    <t>00210750139</t>
  </si>
  <si>
    <t>Riccardo Riva</t>
  </si>
  <si>
    <t>Ermanno Restano</t>
  </si>
  <si>
    <t>La Coque de Nacre</t>
  </si>
  <si>
    <t>Fashion</t>
  </si>
  <si>
    <t>Gioielli - designer e rivenditori</t>
  </si>
  <si>
    <t>GMAP</t>
  </si>
  <si>
    <t>00597370980</t>
  </si>
  <si>
    <t>Industrial: Steel</t>
  </si>
  <si>
    <t>Lavorazione acciaio</t>
  </si>
  <si>
    <t>Simonini Sergio</t>
  </si>
  <si>
    <t>Intro Fee a Cassa Padana</t>
  </si>
  <si>
    <t>PR</t>
  </si>
  <si>
    <t>02606120349</t>
  </si>
  <si>
    <t>Diagnosi terapeutica e trattamento patologie croniche</t>
  </si>
  <si>
    <t>EducatioNest</t>
  </si>
  <si>
    <t>03806400366</t>
  </si>
  <si>
    <t>Paola Dieci</t>
  </si>
  <si>
    <t>Luigi Zaini S.p.A.</t>
  </si>
  <si>
    <t>00868710153</t>
  </si>
  <si>
    <t>Food&amp;Beverage</t>
  </si>
  <si>
    <t>Azienda di cioccolato e caramelle</t>
  </si>
  <si>
    <t>Fra Diavolo (2° round)</t>
  </si>
  <si>
    <t>PC</t>
  </si>
  <si>
    <t>PG</t>
  </si>
  <si>
    <t>UD</t>
  </si>
  <si>
    <t>ASP</t>
  </si>
  <si>
    <t>Software</t>
  </si>
  <si>
    <t>Andrea Delfini</t>
  </si>
  <si>
    <t>Alessandro Curti</t>
  </si>
  <si>
    <t xml:space="preserve">Galvani </t>
  </si>
  <si>
    <t>VR</t>
  </si>
  <si>
    <t>00864400239</t>
  </si>
  <si>
    <t xml:space="preserve">Produzione di camere bianche </t>
  </si>
  <si>
    <t>Fam. Galvani</t>
  </si>
  <si>
    <t>Kronos 2 Ceramiche Spa</t>
  </si>
  <si>
    <t>Ceramic Tiles</t>
  </si>
  <si>
    <t>Produttore pavimenti in ceramica</t>
  </si>
  <si>
    <t>Agrimola SpA</t>
  </si>
  <si>
    <t>Lavorazione e conservazione di frutta e di ortaggi</t>
  </si>
  <si>
    <t>Cellularline</t>
  </si>
  <si>
    <t>RE</t>
  </si>
  <si>
    <t>09800730963</t>
  </si>
  <si>
    <t>Dispositivi elettronici e accessori smartphone</t>
  </si>
  <si>
    <t>Tumidei</t>
  </si>
  <si>
    <t>FC</t>
  </si>
  <si>
    <t>00138140405</t>
  </si>
  <si>
    <t>Manufacturing</t>
  </si>
  <si>
    <t>Fabbricazione di mobili per arredamento domestico</t>
  </si>
  <si>
    <t>Eurofork S.r.l.</t>
  </si>
  <si>
    <t xml:space="preserve"> 07953860017</t>
  </si>
  <si>
    <t>Forcole Telescopiche e Sistemi a navetta - magazzini automatici</t>
  </si>
  <si>
    <t>Cold call</t>
  </si>
  <si>
    <t>WINS International School</t>
  </si>
  <si>
    <t>Monica Di Oronzo</t>
  </si>
  <si>
    <t>LM Trading</t>
  </si>
  <si>
    <t>Recupero materiale ferroso</t>
  </si>
  <si>
    <t>Mario Lamacchia</t>
  </si>
  <si>
    <t>Luca Raspa</t>
  </si>
  <si>
    <t>Fanin</t>
  </si>
  <si>
    <t>Feed</t>
  </si>
  <si>
    <t>VI</t>
  </si>
  <si>
    <t>03891740247</t>
  </si>
  <si>
    <t>Other: Animal feed</t>
  </si>
  <si>
    <t>Produzione mangimi animali</t>
  </si>
  <si>
    <t>Andrea Rizzieri</t>
  </si>
  <si>
    <t>MAD</t>
  </si>
  <si>
    <t>Tregenplast Spa</t>
  </si>
  <si>
    <t>08627270963</t>
  </si>
  <si>
    <t>Recupero e rigenerazione scarti plastici</t>
  </si>
  <si>
    <t>Maurizio Dicataldo</t>
  </si>
  <si>
    <t>Fiera PLAST</t>
  </si>
  <si>
    <t>Nice Spa</t>
  </si>
  <si>
    <t>02717060277</t>
  </si>
  <si>
    <t>Elettronica</t>
  </si>
  <si>
    <t>Fabbricazione di sistemi per l'automazione della casa</t>
  </si>
  <si>
    <t>Marco Bianchet</t>
  </si>
  <si>
    <t>Intersistemi SpA</t>
  </si>
  <si>
    <t>Cloud</t>
  </si>
  <si>
    <t>RM</t>
  </si>
  <si>
    <t>ICT</t>
  </si>
  <si>
    <t>System Integration</t>
  </si>
  <si>
    <t>Federica d'Amato</t>
  </si>
  <si>
    <t>Sandro Rinaldini</t>
  </si>
  <si>
    <t>Pladway S.r.l. (sell-side)</t>
  </si>
  <si>
    <t>Letizia Venturini</t>
  </si>
  <si>
    <t>FI</t>
  </si>
  <si>
    <t>05475460480</t>
  </si>
  <si>
    <t>Gabriella Ganugi</t>
  </si>
  <si>
    <t>Myes School (sellside)</t>
  </si>
  <si>
    <t>07096960484</t>
  </si>
  <si>
    <t>Corsi di lingua</t>
  </si>
  <si>
    <t>Fomec</t>
  </si>
  <si>
    <t>CN</t>
  </si>
  <si>
    <t>02924330042</t>
  </si>
  <si>
    <t xml:space="preserve">Industrial </t>
  </si>
  <si>
    <t>Forgiatura di metalli</t>
  </si>
  <si>
    <t>Giambattista Bruni Conter</t>
  </si>
  <si>
    <t>Stam</t>
  </si>
  <si>
    <t>04412800262</t>
  </si>
  <si>
    <t>Produzione di linee di profilatura e di taglio della lamiera</t>
  </si>
  <si>
    <t>Nicola Sacca</t>
  </si>
  <si>
    <t>Giovanna Sacca</t>
  </si>
  <si>
    <t>Eugenio Rizio</t>
  </si>
  <si>
    <t>Stracciari SpA (Conc. Ford Bologna)</t>
  </si>
  <si>
    <t>Speed</t>
  </si>
  <si>
    <t xml:space="preserve">Concessionario monomarca FORD per Bologna e Provincia </t>
  </si>
  <si>
    <t>Raffaella e Antonella Stracciari</t>
  </si>
  <si>
    <t>Federico Ferracini</t>
  </si>
  <si>
    <t>Tria Spa</t>
  </si>
  <si>
    <t>00840300156</t>
  </si>
  <si>
    <t>Produzione di macchinari per trattamento scarti plastici</t>
  </si>
  <si>
    <t>Luciano Anceschi</t>
  </si>
  <si>
    <t>Finmasi</t>
  </si>
  <si>
    <t>02367090368</t>
  </si>
  <si>
    <t>Centro servizi acciaio</t>
  </si>
  <si>
    <t>Delio Ottaviani</t>
  </si>
  <si>
    <t>Franchini Lamiere</t>
  </si>
  <si>
    <t>02318260987</t>
  </si>
  <si>
    <t>Santo Franchini</t>
  </si>
  <si>
    <t>01875930040</t>
  </si>
  <si>
    <t>Lavorazione vetro</t>
  </si>
  <si>
    <t>Fam. Borgna</t>
  </si>
  <si>
    <t>G. Candiani</t>
  </si>
  <si>
    <t>VA</t>
  </si>
  <si>
    <t>00154310122</t>
  </si>
  <si>
    <t>Gianfranco Veneziano</t>
  </si>
  <si>
    <t>VisMederi Srl</t>
  </si>
  <si>
    <t>Health</t>
  </si>
  <si>
    <t>SI</t>
  </si>
  <si>
    <t>Pharma</t>
  </si>
  <si>
    <t>Servizi e processi per testing virus e batteri</t>
  </si>
  <si>
    <t>Emanuele Montomoli</t>
  </si>
  <si>
    <t>Duccio Meiattini</t>
  </si>
  <si>
    <t>Promeco Spa</t>
  </si>
  <si>
    <t>02912190135</t>
  </si>
  <si>
    <t>Produzione di macchinari e sistemi per il riciclaggio di rifiuti e scarti industriali</t>
  </si>
  <si>
    <t>Paolo Rebai</t>
  </si>
  <si>
    <t>Leonardi Spa</t>
  </si>
  <si>
    <t>AN</t>
  </si>
  <si>
    <t>02355580156</t>
  </si>
  <si>
    <t>Produzione di polimeri ad alte prestazioni</t>
  </si>
  <si>
    <t>Luca Leonardi</t>
  </si>
  <si>
    <t>Castagna Univel</t>
  </si>
  <si>
    <t>LO</t>
  </si>
  <si>
    <t>01740530330</t>
  </si>
  <si>
    <t>Produzione di imballaggi, film e pellicole trasparenti</t>
  </si>
  <si>
    <t>TFC (buy side Passi di Bimbo)</t>
  </si>
  <si>
    <t>Sense</t>
  </si>
  <si>
    <t>08492630960</t>
  </si>
  <si>
    <t>Nathan Sutton</t>
  </si>
  <si>
    <t>Pj Pelagos</t>
  </si>
  <si>
    <t>Pelagos</t>
  </si>
  <si>
    <t>Messico</t>
  </si>
  <si>
    <t>Lavorazione e vendita sardine in latta</t>
  </si>
  <si>
    <t>Mondo SpA</t>
  </si>
  <si>
    <t>Fabbricazione di altri prodotti in gomma nca</t>
  </si>
  <si>
    <t>Giorgio Lesage</t>
  </si>
  <si>
    <t xml:space="preserve">no </t>
  </si>
  <si>
    <t>Artigo SpA (Cairo Montenotte - SV)</t>
  </si>
  <si>
    <t>EFC Acciai</t>
  </si>
  <si>
    <t>00108740192</t>
  </si>
  <si>
    <t>Tubificio</t>
  </si>
  <si>
    <t>TFC (buy side)</t>
  </si>
  <si>
    <t>Emilio Avati</t>
  </si>
  <si>
    <t>Sanfelice</t>
  </si>
  <si>
    <t>CR</t>
  </si>
  <si>
    <t>00111500195</t>
  </si>
  <si>
    <t>Produzione carne di volatili e macellazione</t>
  </si>
  <si>
    <t>Bassi Sandra</t>
  </si>
  <si>
    <t>Produzione di cioccolatini e torroni</t>
  </si>
  <si>
    <t>Paolo Careri</t>
  </si>
  <si>
    <t>Iluna Group Srl</t>
  </si>
  <si>
    <t>Textile</t>
  </si>
  <si>
    <t>Fabbricazione di articoli tessili tecnici ed industriali</t>
  </si>
  <si>
    <t>Emilio Caccia</t>
  </si>
  <si>
    <t>Pj Hickory</t>
  </si>
  <si>
    <t>Hickory</t>
  </si>
  <si>
    <t>USA</t>
  </si>
  <si>
    <t>Produzione salse</t>
  </si>
  <si>
    <t xml:space="preserve">Accademia della moda IUAD </t>
  </si>
  <si>
    <t>NA</t>
  </si>
  <si>
    <t>05058720631</t>
  </si>
  <si>
    <t xml:space="preserve">Istituto di moda e design </t>
  </si>
  <si>
    <t xml:space="preserve">Cold Call </t>
  </si>
  <si>
    <t>Octans Capital</t>
  </si>
  <si>
    <t>Search Fund</t>
  </si>
  <si>
    <t>Konrad Jakubowski</t>
  </si>
  <si>
    <t>Potential buyer Elogy</t>
  </si>
  <si>
    <t>Milkman</t>
  </si>
  <si>
    <t>Spagna</t>
  </si>
  <si>
    <t>Soluzioni icloud per logistica ultimo miglio</t>
  </si>
  <si>
    <t>Tommaso Baù</t>
  </si>
  <si>
    <t>Paack</t>
  </si>
  <si>
    <t>Trasporti e consegne di pacchi</t>
  </si>
  <si>
    <t>Luciano Traja</t>
  </si>
  <si>
    <t>Guidolin Girotto Srl</t>
  </si>
  <si>
    <t>PV</t>
  </si>
  <si>
    <t>01699030183</t>
  </si>
  <si>
    <t>Produzione di macchine per il taglio di precisione di materiali flessibili</t>
  </si>
  <si>
    <t>Davide Guidolin</t>
  </si>
  <si>
    <t>Gruppo Buscaroli moto</t>
  </si>
  <si>
    <t>Concessionario motociclistico</t>
  </si>
  <si>
    <t>3T Cycling (per Trilantic)</t>
  </si>
  <si>
    <t>03427570167</t>
  </si>
  <si>
    <t>Consumer</t>
  </si>
  <si>
    <t>Produttore di bici B2B</t>
  </si>
  <si>
    <t>Gefran</t>
  </si>
  <si>
    <t>03032420170</t>
  </si>
  <si>
    <t>Sensori</t>
  </si>
  <si>
    <t>Fam. Franceschetti</t>
  </si>
  <si>
    <t>Piccolo Daniele</t>
  </si>
  <si>
    <t>Cosmetica</t>
  </si>
  <si>
    <t>Antonio Giraudo</t>
  </si>
  <si>
    <t>Sergio Simonini</t>
  </si>
  <si>
    <t>De Martini Bayart &amp; Textfibra</t>
  </si>
  <si>
    <t>BI</t>
  </si>
  <si>
    <t>Produzione nastri cotonieri e lanieri</t>
  </si>
  <si>
    <t>Roca</t>
  </si>
  <si>
    <t>Fadis SpA</t>
  </si>
  <si>
    <t>Produzione di avvolgitori di precisione per bobine e macchine per filati</t>
  </si>
  <si>
    <t>Deborah Carabellli</t>
  </si>
  <si>
    <t>Monti Antonio SpA</t>
  </si>
  <si>
    <t>Produzione di macchine per finissaggio, termostampa, asciugatura dei tessuti</t>
  </si>
  <si>
    <t>Vincenzo Monti</t>
  </si>
  <si>
    <t>Siliconi commmerciali SpA</t>
  </si>
  <si>
    <t>Chemicals</t>
  </si>
  <si>
    <t xml:space="preserve">Produzione di aerosol e additivi per settore tessile a altri settori </t>
  </si>
  <si>
    <t>Andrea Conterno</t>
  </si>
  <si>
    <t>Salmoiraghi SpA</t>
  </si>
  <si>
    <t>Produzione di macchinari e sistemi per movimentazione automatica, stoccaggio e imballaggio fine linea</t>
  </si>
  <si>
    <t>Filippo Salmoiraghi</t>
  </si>
  <si>
    <t>Kloeckner</t>
  </si>
  <si>
    <t>Francoforte</t>
  </si>
  <si>
    <t>DE</t>
  </si>
  <si>
    <t>Distribuzione e lavorazione acciaio</t>
  </si>
  <si>
    <t>Francois-David Martino</t>
  </si>
  <si>
    <t>QB Group</t>
  </si>
  <si>
    <t>Padova</t>
  </si>
  <si>
    <t>Tecnologia applicata all settore Healthcare</t>
  </si>
  <si>
    <t>Margaritelli S.p.A.</t>
  </si>
  <si>
    <t>02981200542</t>
  </si>
  <si>
    <t>Fabbricazione di pavimenti in legno</t>
  </si>
  <si>
    <t>Luca Margaritelli</t>
  </si>
  <si>
    <t>00166260026</t>
  </si>
  <si>
    <t>Produzione di acqua minerale e bibite</t>
  </si>
  <si>
    <t>Giovanni Vietti</t>
  </si>
  <si>
    <t>La Focacceria</t>
  </si>
  <si>
    <t>MIC</t>
  </si>
  <si>
    <t>Produzione di tubi in acciaio</t>
  </si>
  <si>
    <t>Fonderia di Torbole (EF Group)</t>
  </si>
  <si>
    <t>Industrial - Automotive</t>
  </si>
  <si>
    <t>Produzione di dischi freno in ghisa</t>
  </si>
  <si>
    <t>Enrico Frigerio</t>
  </si>
  <si>
    <t>Finanziamento</t>
  </si>
  <si>
    <t>Fudex Group SpA</t>
  </si>
  <si>
    <t>Snack</t>
  </si>
  <si>
    <t>Produzione Snack Salutistici</t>
  </si>
  <si>
    <t>FG</t>
  </si>
  <si>
    <t>Scuola Internazionale di Pavia</t>
  </si>
  <si>
    <t>Produzione di formaggi</t>
  </si>
  <si>
    <t>PI</t>
  </si>
  <si>
    <t>Globalform</t>
  </si>
  <si>
    <t>SA</t>
  </si>
  <si>
    <t>Piazza Copernico</t>
  </si>
  <si>
    <t>09270731004</t>
  </si>
  <si>
    <t>Corsi di formazione professionale</t>
  </si>
  <si>
    <t xml:space="preserve">Dynamicom Education </t>
  </si>
  <si>
    <t>03338800968</t>
  </si>
  <si>
    <t>Saint Denis School</t>
  </si>
  <si>
    <t>Just in Case</t>
  </si>
  <si>
    <t>SEM - Sorgenti Emiliane Modena</t>
  </si>
  <si>
    <t>Acqua imbottigliata</t>
  </si>
  <si>
    <t>Claudio Turchi</t>
  </si>
  <si>
    <t>Lauretana (buy side Levico)</t>
  </si>
  <si>
    <t>Salus</t>
  </si>
  <si>
    <t>Biesse Solution</t>
  </si>
  <si>
    <t>CZ</t>
  </si>
  <si>
    <t>03244770784</t>
  </si>
  <si>
    <t xml:space="preserve">Usiogope </t>
  </si>
  <si>
    <t>03494600277</t>
  </si>
  <si>
    <t>01360130338</t>
  </si>
  <si>
    <t>Mediazione linguistica Perugia</t>
  </si>
  <si>
    <t>02270480540</t>
  </si>
  <si>
    <t>Scuola superiore per mediatori linguistici</t>
  </si>
  <si>
    <t>Jakala (buy)</t>
  </si>
  <si>
    <t>08462130967</t>
  </si>
  <si>
    <t>464990</t>
  </si>
  <si>
    <t>Madtech</t>
  </si>
  <si>
    <t>Francesca Chieti</t>
  </si>
  <si>
    <t>CAEmate</t>
  </si>
  <si>
    <t>BZ</t>
  </si>
  <si>
    <t>02957860212</t>
  </si>
  <si>
    <t>Software stabilità strutturale</t>
  </si>
  <si>
    <t>Massimo Penasa</t>
  </si>
  <si>
    <t>0.6</t>
  </si>
  <si>
    <t>n.a.</t>
  </si>
  <si>
    <t>Fundraising</t>
  </si>
  <si>
    <t>10693910969</t>
  </si>
  <si>
    <t>PE</t>
  </si>
  <si>
    <t>Private equity</t>
  </si>
  <si>
    <t>Marco Giuseppini</t>
  </si>
  <si>
    <t>Jakala (buy su iConsulting)</t>
  </si>
  <si>
    <t>02175721204</t>
  </si>
  <si>
    <t>Consulenza &amp; Prodotti data analytics</t>
  </si>
  <si>
    <t>SBS</t>
  </si>
  <si>
    <t>Lake</t>
  </si>
  <si>
    <t>NO</t>
  </si>
  <si>
    <t>01888310032</t>
  </si>
  <si>
    <t>Mattia Marchesa</t>
  </si>
  <si>
    <t>Alessandro Storti</t>
  </si>
  <si>
    <t>28/11/22</t>
  </si>
  <si>
    <t xml:space="preserve">Corsi di formazione professionale </t>
  </si>
  <si>
    <t>International School of Bologna</t>
  </si>
  <si>
    <t>02474371206</t>
  </si>
  <si>
    <t>ALP</t>
  </si>
  <si>
    <t>x-Next</t>
  </si>
  <si>
    <t>08523280967</t>
  </si>
  <si>
    <t>Macchine per ispezione raggi x del cibo</t>
  </si>
  <si>
    <t>Michele Ognissanti</t>
  </si>
  <si>
    <t>Edra SpA</t>
  </si>
  <si>
    <t>00670710508</t>
  </si>
  <si>
    <t>Design</t>
  </si>
  <si>
    <t>Arredamento di lusso</t>
  </si>
  <si>
    <t>Bilingual British School (sell side)</t>
  </si>
  <si>
    <t>BG</t>
  </si>
  <si>
    <t>03702330162</t>
  </si>
  <si>
    <t>Gianmario Parisi</t>
  </si>
  <si>
    <t>Finmasi Group (FDC)</t>
  </si>
  <si>
    <t>Produzione di schede stampate (PCB)</t>
  </si>
  <si>
    <t>Codognotto Network Srl</t>
  </si>
  <si>
    <t>Hermes</t>
  </si>
  <si>
    <t>0474360310</t>
  </si>
  <si>
    <t>transportation company</t>
  </si>
  <si>
    <t>Spedizionieri</t>
  </si>
  <si>
    <t>Bertozzi Maurizio</t>
  </si>
  <si>
    <t>Sunino S.p.A.</t>
  </si>
  <si>
    <t>02577830017</t>
  </si>
  <si>
    <t xml:space="preserve">MAS </t>
  </si>
  <si>
    <t>Not Just A Label</t>
  </si>
  <si>
    <t>Consumer: Retail</t>
  </si>
  <si>
    <t>Piattaforma di moda</t>
  </si>
  <si>
    <t>Stefan Siegel</t>
  </si>
  <si>
    <t>Ind Expert</t>
  </si>
  <si>
    <t>Nicola Monti</t>
  </si>
  <si>
    <t>Dolciaria A. Loison Srl</t>
  </si>
  <si>
    <t>02259320246</t>
  </si>
  <si>
    <t>Produzione di prodotti da forno per festività</t>
  </si>
  <si>
    <t>Mediterranean Hospitality</t>
  </si>
  <si>
    <t>Hospitality</t>
  </si>
  <si>
    <t>03650690799</t>
  </si>
  <si>
    <t>Leisure and hospitality</t>
  </si>
  <si>
    <t>Gestione hotel</t>
  </si>
  <si>
    <t>Luca Giuliano</t>
  </si>
  <si>
    <t>Caffo Sebastiano</t>
  </si>
  <si>
    <t>Zumtobel</t>
  </si>
  <si>
    <t>Light</t>
  </si>
  <si>
    <t>Lighting</t>
  </si>
  <si>
    <t>Lampade e sistemi di illluminazione</t>
  </si>
  <si>
    <t>Matteo Cundari</t>
  </si>
  <si>
    <t>Pj Epicure</t>
  </si>
  <si>
    <t>Epicure</t>
  </si>
  <si>
    <t>Gourmet food (focus: tartufo)</t>
  </si>
  <si>
    <t>Moretti Forni</t>
  </si>
  <si>
    <t>Fiera Host</t>
  </si>
  <si>
    <t>Yeppon</t>
  </si>
  <si>
    <t>Cage</t>
  </si>
  <si>
    <t>07356580964</t>
  </si>
  <si>
    <t>E-commerce di elettronica</t>
  </si>
  <si>
    <t>D. Longo</t>
  </si>
  <si>
    <t>C. Sacchini</t>
  </si>
  <si>
    <t>Brighenti</t>
  </si>
  <si>
    <t>Ludovico Martelli (buy su Haan)</t>
  </si>
  <si>
    <t xml:space="preserve">04514880485
</t>
  </si>
  <si>
    <t>Consumer: Beauty</t>
  </si>
  <si>
    <t>Produzione di prodotti per la cura dell'uomo (rasatura, igiene orale, dermocosmesi)</t>
  </si>
  <si>
    <t xml:space="preserve">Relazione </t>
  </si>
  <si>
    <t>Pezzutti Group - reloaded</t>
  </si>
  <si>
    <t>Fiaptech</t>
  </si>
  <si>
    <t>Gemini</t>
  </si>
  <si>
    <t>Produzione di anime in plastica</t>
  </si>
  <si>
    <t>Pierpaolo Angelucci</t>
  </si>
  <si>
    <t>Mediterranean Hospitality - Giubola</t>
  </si>
  <si>
    <t>Haier/Candy - Credito Imposta R&amp;D</t>
  </si>
  <si>
    <t>Samag Holding</t>
  </si>
  <si>
    <t>Holding di investimento nel settore logistica</t>
  </si>
  <si>
    <t>DHL</t>
  </si>
  <si>
    <t>Germania</t>
  </si>
  <si>
    <t>Spedizioni e trasporto</t>
  </si>
  <si>
    <t>Logistica integrata</t>
  </si>
  <si>
    <t>ID Logistic</t>
  </si>
  <si>
    <t>Logistica e 3pl</t>
  </si>
  <si>
    <t>Michael Chalchat</t>
  </si>
  <si>
    <t>Bartolini</t>
  </si>
  <si>
    <t>ABC</t>
  </si>
  <si>
    <t>Food: Agrifood</t>
  </si>
  <si>
    <t>Commercio all'ingrosso di frutta e ortaggi</t>
  </si>
  <si>
    <t>A. Pagni</t>
  </si>
  <si>
    <t>Irico Gualchierani Handling Srl</t>
  </si>
  <si>
    <t>Produzione di sistemi per movimentazione automatica bobine</t>
  </si>
  <si>
    <t xml:space="preserve">Niccolò Paoli </t>
  </si>
  <si>
    <t>Alba International School (sell side)</t>
  </si>
  <si>
    <t>03700250040</t>
  </si>
  <si>
    <t>Scuola internazionale 6-14</t>
  </si>
  <si>
    <t>Silvana Carbone</t>
  </si>
  <si>
    <t>Fiorucci ( per Nuo Capital)</t>
  </si>
  <si>
    <t>London</t>
  </si>
  <si>
    <t>Abbigliamento</t>
  </si>
  <si>
    <t>Pj Pearl (Sell side AirX)</t>
  </si>
  <si>
    <t>Pearl</t>
  </si>
  <si>
    <t>Malta</t>
  </si>
  <si>
    <t>Services</t>
  </si>
  <si>
    <t>Compagnia aerea di private charter</t>
  </si>
  <si>
    <t>Eurocast</t>
  </si>
  <si>
    <t>Polonia</t>
  </si>
  <si>
    <t>Produzione film in plastica</t>
  </si>
  <si>
    <t xml:space="preserve">Hinojosa Group </t>
  </si>
  <si>
    <t>Produzione packaging in cartone e carta</t>
  </si>
  <si>
    <t>08893870967</t>
  </si>
  <si>
    <t>W. Training</t>
  </si>
  <si>
    <t>02602440352</t>
  </si>
  <si>
    <t>Leo Barozzini</t>
  </si>
  <si>
    <t>Talent Form</t>
  </si>
  <si>
    <t>10322191007</t>
  </si>
  <si>
    <t>Certificazioni professionali</t>
  </si>
  <si>
    <t>Mirco Mlekuz</t>
  </si>
  <si>
    <t>K Labs</t>
  </si>
  <si>
    <t>02034520367</t>
  </si>
  <si>
    <t>Massimo Bruni</t>
  </si>
  <si>
    <t>Braavery</t>
  </si>
  <si>
    <t>RO</t>
  </si>
  <si>
    <t>10266780963</t>
  </si>
  <si>
    <t>Sweden</t>
  </si>
  <si>
    <t>Aldi</t>
  </si>
  <si>
    <t>GDO</t>
  </si>
  <si>
    <t>ISFOM</t>
  </si>
  <si>
    <t>RC</t>
  </si>
  <si>
    <t>02165940806</t>
  </si>
  <si>
    <t>Corsi di formazione marittima</t>
  </si>
  <si>
    <t>Giuseppo Cotroneo</t>
  </si>
  <si>
    <t>Pj Arnold</t>
  </si>
  <si>
    <t>Arnold</t>
  </si>
  <si>
    <t>Hungary</t>
  </si>
  <si>
    <t xml:space="preserve">Private label manufacturer of nutrition supplements </t>
  </si>
  <si>
    <t>Pezzutti Group - Pj Grecale (sell side)</t>
  </si>
  <si>
    <t>Grecale</t>
  </si>
  <si>
    <t>Fischer &amp; Rechsteiner (Pj. Seagull)</t>
  </si>
  <si>
    <t>Pj Trigger</t>
  </si>
  <si>
    <t>Trigger</t>
  </si>
  <si>
    <t>Produzione di sensori</t>
  </si>
  <si>
    <t>Pj Tifaani</t>
  </si>
  <si>
    <t>Tifaani</t>
  </si>
  <si>
    <t>linee produttive automattizzate e macchine industriali personalizzate</t>
  </si>
  <si>
    <t>Technical Plast</t>
  </si>
  <si>
    <t>Stampaggio a iniezione polimeri speciali</t>
  </si>
  <si>
    <t>Pezzutti (mandato Forest)</t>
  </si>
  <si>
    <t>INOX PA (Simest)</t>
  </si>
  <si>
    <t>Scissors</t>
  </si>
  <si>
    <t>Fercam Holding</t>
  </si>
  <si>
    <t>02937940217</t>
  </si>
  <si>
    <t>Trasporti su gomma</t>
  </si>
  <si>
    <t>Hannes Baumgartner</t>
  </si>
  <si>
    <t>Contattato per ISL Nardi</t>
  </si>
  <si>
    <t>Pj Beatrice</t>
  </si>
  <si>
    <t>Beatrice</t>
  </si>
  <si>
    <t>UK</t>
  </si>
  <si>
    <t xml:space="preserve">Toy / Party / Craft &amp; Play market </t>
  </si>
  <si>
    <t>Gemar</t>
  </si>
  <si>
    <t>FR</t>
  </si>
  <si>
    <t>01743770602</t>
  </si>
  <si>
    <t>324020</t>
  </si>
  <si>
    <t>Produzione di palloncini per feste</t>
  </si>
  <si>
    <t>Genesio Rocca</t>
  </si>
  <si>
    <t>Controparte</t>
  </si>
  <si>
    <t>Darling (Fundraising)</t>
  </si>
  <si>
    <t>Produzione di creme per viso e corpo</t>
  </si>
  <si>
    <t>Alberto Giacobazzi</t>
  </si>
  <si>
    <t>Datatex</t>
  </si>
  <si>
    <t xml:space="preserve">Software per textile e garment </t>
  </si>
  <si>
    <t>Vittoria International School</t>
  </si>
  <si>
    <t>11124480010</t>
  </si>
  <si>
    <t xml:space="preserve">Scuola internazionale </t>
  </si>
  <si>
    <t>Elisabetta Roasio</t>
  </si>
  <si>
    <t>Bolaffi</t>
  </si>
  <si>
    <t>x</t>
  </si>
  <si>
    <t>Lorenzo Pellegrino</t>
  </si>
  <si>
    <t xml:space="preserve">Pj Chariot </t>
  </si>
  <si>
    <t>Formel</t>
  </si>
  <si>
    <t>01784630814</t>
  </si>
  <si>
    <t>Sergio Ficara</t>
  </si>
  <si>
    <t>D.B. Group</t>
  </si>
  <si>
    <t>03311000263</t>
  </si>
  <si>
    <t>Spedizioni internazionali e logistica</t>
  </si>
  <si>
    <t>Silvia Moretto</t>
  </si>
  <si>
    <t>Fava Bibite</t>
  </si>
  <si>
    <t>Soda</t>
  </si>
  <si>
    <t>00578370132</t>
  </si>
  <si>
    <t>Food: Beverage</t>
  </si>
  <si>
    <t>Produzione di bevande non alcolice a marchio e c/terzi</t>
  </si>
  <si>
    <t>Davide Fava</t>
  </si>
  <si>
    <t>Distilleria F.lli Caffo (buy-side su Molinari)</t>
  </si>
  <si>
    <t>Dioniso</t>
  </si>
  <si>
    <t>01479670299</t>
  </si>
  <si>
    <t>Arredamento</t>
  </si>
  <si>
    <t>Molinari S.p.A.</t>
  </si>
  <si>
    <t>Distilleria</t>
  </si>
  <si>
    <t>Mario Molinari</t>
  </si>
  <si>
    <t>Nuccio Caffo</t>
  </si>
  <si>
    <t>Epipoli</t>
  </si>
  <si>
    <t>Giftcard e pagamenti</t>
  </si>
  <si>
    <t>Gaetano Giannetto</t>
  </si>
  <si>
    <t>Contatto Yeppon, interessato ad acquisizioni di competitor</t>
  </si>
  <si>
    <t>Molino Casillo</t>
  </si>
  <si>
    <t>BA</t>
  </si>
  <si>
    <t>Produzione di farine</t>
  </si>
  <si>
    <t>Pasquale Casillo</t>
  </si>
  <si>
    <t>Farmac-Zabban</t>
  </si>
  <si>
    <t>Reno</t>
  </si>
  <si>
    <t>Produzione medicazioni</t>
  </si>
  <si>
    <t>Giangiacomo Zabban</t>
  </si>
  <si>
    <t>PizzaMI</t>
  </si>
  <si>
    <t>Produzione pizze precotte</t>
  </si>
  <si>
    <t>02322490398</t>
  </si>
  <si>
    <t>Veronesi</t>
  </si>
  <si>
    <t>Mare S.p.A.</t>
  </si>
  <si>
    <t>Chemical</t>
  </si>
  <si>
    <t>Massimo Montanaro</t>
  </si>
  <si>
    <t>Passi di Bimbo (8 strutture) (buyside)</t>
  </si>
  <si>
    <t>09131131006</t>
  </si>
  <si>
    <t>Susanna Adacher</t>
  </si>
  <si>
    <t>Ecosistem</t>
  </si>
  <si>
    <t>00853710796</t>
  </si>
  <si>
    <t>Environmental service</t>
  </si>
  <si>
    <t>Gestione di rifiuti pericolosi</t>
  </si>
  <si>
    <t>Tonino Marchio</t>
  </si>
  <si>
    <t>Rocco Aversa</t>
  </si>
  <si>
    <t>Raspa Luca</t>
  </si>
  <si>
    <t>Istituto Volta</t>
  </si>
  <si>
    <t>07135680721</t>
  </si>
  <si>
    <t>Corsi di informatica</t>
  </si>
  <si>
    <t>Fabrizio Tittozzi</t>
  </si>
  <si>
    <t>Montallegro</t>
  </si>
  <si>
    <t>00967100108</t>
  </si>
  <si>
    <t>Casa di cura</t>
  </si>
  <si>
    <t>Il Germoglio</t>
  </si>
  <si>
    <t>03685830238</t>
  </si>
  <si>
    <t>Produzione di pane surgelato</t>
  </si>
  <si>
    <t>Minardi Piume</t>
  </si>
  <si>
    <t>02075270393</t>
  </si>
  <si>
    <t>Other</t>
  </si>
  <si>
    <t>Produzione piume</t>
  </si>
  <si>
    <t>Massimo Castellucci</t>
  </si>
  <si>
    <t>Silc</t>
  </si>
  <si>
    <t>00163160195</t>
  </si>
  <si>
    <t>Lavorazione cellulosa</t>
  </si>
  <si>
    <t>Allianz</t>
  </si>
  <si>
    <t>Ludovico Martelli (buy su Darling)</t>
  </si>
  <si>
    <t>Pepino</t>
  </si>
  <si>
    <t>10497030014</t>
  </si>
  <si>
    <t>Produzione B2B gelati</t>
  </si>
  <si>
    <t>Sider Trading</t>
  </si>
  <si>
    <t>01534060981</t>
  </si>
  <si>
    <t>Produzione e vendita piastre refrattarie e carbone per acciaierie</t>
  </si>
  <si>
    <t>Sandra Bassi</t>
  </si>
  <si>
    <t>S.I.L.F.A.</t>
  </si>
  <si>
    <t>Eurotherm</t>
  </si>
  <si>
    <t>01124390210</t>
  </si>
  <si>
    <t>Specializzata in sistemi di riscaldamento a pavimento</t>
  </si>
  <si>
    <t>Christian Pezzei</t>
  </si>
  <si>
    <t>Contatto Crea, interessato ad acquisizione</t>
  </si>
  <si>
    <t>Cimberio</t>
  </si>
  <si>
    <t>Roberto Cimberio</t>
  </si>
  <si>
    <t>Fashion &amp; Textile</t>
  </si>
  <si>
    <t>Ecoprogram Flotte</t>
  </si>
  <si>
    <t>Torino</t>
  </si>
  <si>
    <t>AL</t>
  </si>
  <si>
    <t>02348880069</t>
  </si>
  <si>
    <t>Servizi di logistica per flotte automotive</t>
  </si>
  <si>
    <t>Gianluca Barabino</t>
  </si>
  <si>
    <t>Giulietta Sada</t>
  </si>
  <si>
    <t>Pianeta Alimentare S.r.l.</t>
  </si>
  <si>
    <t>RG</t>
  </si>
  <si>
    <t>Produttore di cibi a base di carne</t>
  </si>
  <si>
    <t>M. Occhipinti</t>
  </si>
  <si>
    <t>Vittoria Mascioli</t>
  </si>
  <si>
    <t>Pantani Divisione Tubi S.r.l.</t>
  </si>
  <si>
    <t>03392810408</t>
  </si>
  <si>
    <t>Giuseppe Pantani</t>
  </si>
  <si>
    <t>Luca Pantani</t>
  </si>
  <si>
    <t>Simona Pantani</t>
  </si>
  <si>
    <t>Pietro Cumpostu</t>
  </si>
  <si>
    <t>MN</t>
  </si>
  <si>
    <t>Cos.Pel. S.r.l.</t>
  </si>
  <si>
    <t>02145810046</t>
  </si>
  <si>
    <t>Parti di carrozzeria per veicoli industriali e commerciali</t>
  </si>
  <si>
    <t>Pierangelo Pellegrino</t>
  </si>
  <si>
    <t>Rita Maria Costamagna</t>
  </si>
  <si>
    <t>Dario Micheli</t>
  </si>
  <si>
    <t>TS</t>
  </si>
  <si>
    <t>Foma S.p.A.</t>
  </si>
  <si>
    <t>002290710177</t>
  </si>
  <si>
    <t>Estrusione alluminio</t>
  </si>
  <si>
    <t>Alessandro Montini</t>
  </si>
  <si>
    <t>Armando Montini</t>
  </si>
  <si>
    <t>Raccortubi S.p.A.</t>
  </si>
  <si>
    <t>00747640159</t>
  </si>
  <si>
    <t>Lavorazione di tubi metallici e raccordi</t>
  </si>
  <si>
    <t>Luca Pentericci</t>
  </si>
  <si>
    <t>Ecorav (buy side)</t>
  </si>
  <si>
    <t>BL</t>
  </si>
  <si>
    <t>00737320259</t>
  </si>
  <si>
    <t>382200</t>
  </si>
  <si>
    <t>C. Alessandri</t>
  </si>
  <si>
    <t>L. Minella</t>
  </si>
  <si>
    <t>Istituto Aleardo Aleardi S.r.l.</t>
  </si>
  <si>
    <t>02547770236</t>
  </si>
  <si>
    <t>Scuola internazionale 3-19 anni</t>
  </si>
  <si>
    <t>Guido Gobino</t>
  </si>
  <si>
    <t>02646140018 </t>
  </si>
  <si>
    <t>Produzione di cioccolato e dolci</t>
  </si>
  <si>
    <t>Target Parodi (buyside)</t>
  </si>
  <si>
    <t>Augusto Parodi</t>
  </si>
  <si>
    <t>02081960243</t>
  </si>
  <si>
    <t>Vending machines</t>
  </si>
  <si>
    <t>Nico (buy su eden)</t>
  </si>
  <si>
    <t>Eden</t>
  </si>
  <si>
    <t>SR</t>
  </si>
  <si>
    <t>00210240891</t>
  </si>
  <si>
    <t>Bonifiche ambientali terreni pericolosi</t>
  </si>
  <si>
    <t>Life Group</t>
  </si>
  <si>
    <t>03053080986</t>
  </si>
  <si>
    <t>HR</t>
  </si>
  <si>
    <t>Agenzia del lavoro</t>
  </si>
  <si>
    <t>Patrizia Fulgoni</t>
  </si>
  <si>
    <t>KEDA Industrial Group</t>
  </si>
  <si>
    <t>Cina</t>
  </si>
  <si>
    <t>Produzione di linee per la produzione di ceramica</t>
  </si>
  <si>
    <t>Todd Hueng</t>
  </si>
  <si>
    <t>ITAP</t>
  </si>
  <si>
    <t>Prodotti idrotermosanitari</t>
  </si>
  <si>
    <t>Francesco Patti</t>
  </si>
  <si>
    <t>Buyer Crea</t>
  </si>
  <si>
    <t>Ecoroe (buy su Specialacque)</t>
  </si>
  <si>
    <t>Milano</t>
  </si>
  <si>
    <t>03339280152</t>
  </si>
  <si>
    <t>Tessitura Monti (buyside con weba)</t>
  </si>
  <si>
    <t>Produzione di tessuti</t>
  </si>
  <si>
    <t>Pj Fine (MPI buy-side su UtilGroup)</t>
  </si>
  <si>
    <t>Tranciatura fine</t>
  </si>
  <si>
    <t>Hotel Carasco Lipari</t>
  </si>
  <si>
    <t>Hotel</t>
  </si>
  <si>
    <t>Luca Del Bono</t>
  </si>
  <si>
    <t>Colla (Forgrana)</t>
  </si>
  <si>
    <t>00348560335</t>
  </si>
  <si>
    <t>Produzione e vendita formaggi</t>
  </si>
  <si>
    <t>Giuseppe Colla</t>
  </si>
  <si>
    <t>Ideagroup</t>
  </si>
  <si>
    <t>01982150268</t>
  </si>
  <si>
    <t xml:space="preserve">Produzione di mobili da arredamento bagni </t>
  </si>
  <si>
    <t>Metrika (buy su Specialtempra)</t>
  </si>
  <si>
    <t>Baby College (sell side)</t>
  </si>
  <si>
    <t>05834440967</t>
  </si>
  <si>
    <t>Silvia Coletti</t>
  </si>
  <si>
    <t>Zanetti (Forgrana)</t>
  </si>
  <si>
    <t>Cheese</t>
  </si>
  <si>
    <t>00373690163</t>
  </si>
  <si>
    <t>Vendita di formaggi</t>
  </si>
  <si>
    <t>Carlo Zanetti</t>
  </si>
  <si>
    <t>Dalter (Forgrana)</t>
  </si>
  <si>
    <t>00509530358</t>
  </si>
  <si>
    <t>Stefano Ricotti</t>
  </si>
  <si>
    <t>Progrip</t>
  </si>
  <si>
    <t>01202210124</t>
  </si>
  <si>
    <t>Accessori moto</t>
  </si>
  <si>
    <t>nd</t>
  </si>
  <si>
    <t>Marco Dal Molin</t>
  </si>
  <si>
    <t>The Riverside Company (add on Galvanina)</t>
  </si>
  <si>
    <t>RN</t>
  </si>
  <si>
    <t>00142010404</t>
  </si>
  <si>
    <t xml:space="preserve">Acque minerali e bevande non alcoliche </t>
  </si>
  <si>
    <t>Private Equity</t>
  </si>
  <si>
    <t>Curti Costruzioni Meccaniche SpA</t>
  </si>
  <si>
    <t>00081590390</t>
  </si>
  <si>
    <t xml:space="preserve">Costruzione Macchinari Packaging </t>
  </si>
  <si>
    <t>Euronics</t>
  </si>
  <si>
    <t>Massimo Dell'Acqua</t>
  </si>
  <si>
    <t>Potenziale investitore Yeppon</t>
  </si>
  <si>
    <t>Italsempione</t>
  </si>
  <si>
    <t>00235300035</t>
  </si>
  <si>
    <t>Pietro Vavassori</t>
  </si>
  <si>
    <t>Potenziale investitore ISL Nardi</t>
  </si>
  <si>
    <t>Italmondo</t>
  </si>
  <si>
    <t>00737560151</t>
  </si>
  <si>
    <t>Giuseppe Di Stasi</t>
  </si>
  <si>
    <t>Mooney (buy)</t>
  </si>
  <si>
    <t>10387140964</t>
  </si>
  <si>
    <t>642000</t>
  </si>
  <si>
    <t>Servizi di pagamento</t>
  </si>
  <si>
    <t>VB</t>
  </si>
  <si>
    <t>Stefano Guazzaroni</t>
  </si>
  <si>
    <t>Grimaldi Group</t>
  </si>
  <si>
    <t>00117240820</t>
  </si>
  <si>
    <t>Diego Pacella</t>
  </si>
  <si>
    <t>Tarros</t>
  </si>
  <si>
    <t>SP</t>
  </si>
  <si>
    <t>00910150119</t>
  </si>
  <si>
    <t>Danilo Ricci</t>
  </si>
  <si>
    <t>Gruber Logistics</t>
  </si>
  <si>
    <t>00520690215</t>
  </si>
  <si>
    <t>Spedizioni internazionali</t>
  </si>
  <si>
    <t>Marcello Corazzola</t>
  </si>
  <si>
    <t>Aermec</t>
  </si>
  <si>
    <t>Alessandro Riello</t>
  </si>
  <si>
    <t>Urban Vision</t>
  </si>
  <si>
    <t>Gianluca de Marchi/Alfredo Ricca</t>
  </si>
  <si>
    <t>Potenziale investitore Pladway</t>
  </si>
  <si>
    <t>Plax Srl</t>
  </si>
  <si>
    <t>02250140155</t>
  </si>
  <si>
    <t>Produzione di packaging e articoli in plastica</t>
  </si>
  <si>
    <t>Vesevo</t>
  </si>
  <si>
    <t>08424511213</t>
  </si>
  <si>
    <t>Strumenti per la misura dello stato di usura degli pneumatici</t>
  </si>
  <si>
    <t>Flavio Farroni</t>
  </si>
  <si>
    <t>Green Future Project</t>
  </si>
  <si>
    <t>15810811008</t>
  </si>
  <si>
    <t>Soluzioni di offsetting dell'impatto ambientale delle aziende</t>
  </si>
  <si>
    <t xml:space="preserve">Jonathan Pugerup </t>
  </si>
  <si>
    <t>Deco (Buy side)</t>
  </si>
  <si>
    <t>00069540391</t>
  </si>
  <si>
    <t xml:space="preserve">Design </t>
  </si>
  <si>
    <t>Rivestimenti in legni compositi e naturali</t>
  </si>
  <si>
    <t>,</t>
  </si>
  <si>
    <t>Estral S.p.A.</t>
  </si>
  <si>
    <t>00813410172</t>
  </si>
  <si>
    <t>Michele Cibaldi</t>
  </si>
  <si>
    <t>Notolityx</t>
  </si>
  <si>
    <t>Bulgaria</t>
  </si>
  <si>
    <t>Regtech - AI per individuare rischi di frodi finanziarie</t>
  </si>
  <si>
    <t xml:space="preserve">Mariana Gospodinova </t>
  </si>
  <si>
    <t>MAS</t>
  </si>
  <si>
    <t>Eurofil S.r.l. (Pj. Wings)</t>
  </si>
  <si>
    <t>TE</t>
  </si>
  <si>
    <t>01265350684</t>
  </si>
  <si>
    <t xml:space="preserve">Health </t>
  </si>
  <si>
    <t xml:space="preserve">Produzione di assorbenti e ausili per incontinenze </t>
  </si>
  <si>
    <t>Prodotti Dolciari Cassibba</t>
  </si>
  <si>
    <t>Prodotti dolciari</t>
  </si>
  <si>
    <t>Giorgio Cassibba</t>
  </si>
  <si>
    <t>Distilleria F.lli Caffo (buy-side su Safari)</t>
  </si>
  <si>
    <t>Cogne Acciai Speciali</t>
  </si>
  <si>
    <t>AO</t>
  </si>
  <si>
    <t>02187360967</t>
  </si>
  <si>
    <t>Acciaieria</t>
  </si>
  <si>
    <t>Walsin Lihwa</t>
  </si>
  <si>
    <t>Fam. Marzorati</t>
  </si>
  <si>
    <t>INOX PA (kloeckner)</t>
  </si>
  <si>
    <t>Riva e Mariani (Target Armonia)</t>
  </si>
  <si>
    <t>00565810827</t>
  </si>
  <si>
    <t>Isolamento termico e acustico</t>
  </si>
  <si>
    <t>Commercio all'ingrosso di profumi e cosmetici</t>
  </si>
  <si>
    <t xml:space="preserve">Parmon </t>
  </si>
  <si>
    <t>CT</t>
  </si>
  <si>
    <t>02318140874</t>
  </si>
  <si>
    <t>Healthcare</t>
  </si>
  <si>
    <t>Prodotti per l'incontinenza, femcare e mascherine chirurgiche</t>
  </si>
  <si>
    <t>Serena Turrisi - Fideuram</t>
  </si>
  <si>
    <t>Garmont per Montura</t>
  </si>
  <si>
    <t>00516070018</t>
  </si>
  <si>
    <t>05275470010</t>
  </si>
  <si>
    <t>Vhernier</t>
  </si>
  <si>
    <t>01150040069</t>
  </si>
  <si>
    <t>Apparel</t>
  </si>
  <si>
    <t>Anelli, collane, gioielleria</t>
  </si>
  <si>
    <t>Ecorav</t>
  </si>
  <si>
    <t>LaPresse</t>
  </si>
  <si>
    <t>06723500010</t>
  </si>
  <si>
    <t>Media</t>
  </si>
  <si>
    <t>Multimedia company</t>
  </si>
  <si>
    <t>Molino Peila S.p.A.</t>
  </si>
  <si>
    <t>Food: healthy</t>
  </si>
  <si>
    <t>Farine e semilavorati senza glutine</t>
  </si>
  <si>
    <t>Fam. Peila</t>
  </si>
  <si>
    <t>Sirelma Group S.r.l.</t>
  </si>
  <si>
    <t>Stampaggio a caldo</t>
  </si>
  <si>
    <t>Gianluigi Serena</t>
  </si>
  <si>
    <t>Tecnologie Avanzate T.A. S.r.l.</t>
  </si>
  <si>
    <t>Macchinari per l'healthcare</t>
  </si>
  <si>
    <t>Fam. Catolla</t>
  </si>
  <si>
    <t>L.A.R.C. S.p.A.</t>
  </si>
  <si>
    <t>Poliambulatori e strutture</t>
  </si>
  <si>
    <t>Vistar Media</t>
  </si>
  <si>
    <t>US</t>
  </si>
  <si>
    <t>Michael Provenzano</t>
  </si>
  <si>
    <t>Canada</t>
  </si>
  <si>
    <t>Tap Tap Sonata</t>
  </si>
  <si>
    <t>EnelX</t>
  </si>
  <si>
    <t>Fabio Carrozzo</t>
  </si>
  <si>
    <t>Polli S.p.A.</t>
  </si>
  <si>
    <t>13292940155</t>
  </si>
  <si>
    <t>Produzione conserve e sughi pronti</t>
  </si>
  <si>
    <t>Manuela Polli</t>
  </si>
  <si>
    <t>Gruppo Ageco</t>
  </si>
  <si>
    <t>Waste</t>
  </si>
  <si>
    <t>Trattamento rifiuti pericolosi</t>
  </si>
  <si>
    <t>Siram (su Alan)</t>
  </si>
  <si>
    <t>Sludge</t>
  </si>
  <si>
    <t>08786190150</t>
  </si>
  <si>
    <t>Efficienza Energetica</t>
  </si>
  <si>
    <t>Progetta e fornisce soluzioni di efficienza energetica, gestione integrata delle acque e dei rifiuti speciali</t>
  </si>
  <si>
    <t>E. Trentin
M. V. Pisante</t>
  </si>
  <si>
    <t>Gruppo Veolia</t>
  </si>
  <si>
    <t>Jean Marie Gabriel Lambert</t>
  </si>
  <si>
    <t>Filtrex</t>
  </si>
  <si>
    <t>06954820152</t>
  </si>
  <si>
    <t>Fabbricazione di filtri industriali</t>
  </si>
  <si>
    <t>Nicola Riolo</t>
  </si>
  <si>
    <t>Mega S.r.l.</t>
  </si>
  <si>
    <t>10030070154</t>
  </si>
  <si>
    <t>Trattamento rifiuti</t>
  </si>
  <si>
    <t>Mauro Gaburri</t>
  </si>
  <si>
    <t>S.E.A.M. S.r.l.</t>
  </si>
  <si>
    <t>10732660153</t>
  </si>
  <si>
    <t>Francesco Almagno</t>
  </si>
  <si>
    <t>Raspa</t>
  </si>
  <si>
    <t>M.P.I. MAGNETI PERMANENTI INDUSTRIALI S.R.L.</t>
  </si>
  <si>
    <t>07684030153</t>
  </si>
  <si>
    <t>Produzione di magneti</t>
  </si>
  <si>
    <t>Erminio Belotti</t>
  </si>
  <si>
    <t>	Romana Naccari</t>
  </si>
  <si>
    <t>Mauro Radaelli</t>
  </si>
  <si>
    <t>Metallurgica Luigi Pessina Acciai S.p.a.</t>
  </si>
  <si>
    <t>00634080121</t>
  </si>
  <si>
    <t>Lavorazione dei metalli</t>
  </si>
  <si>
    <t>PA</t>
  </si>
  <si>
    <t>Industrial/Food</t>
  </si>
  <si>
    <t>Cristiano Alessandri</t>
  </si>
  <si>
    <t>Bonadeo Corrado</t>
  </si>
  <si>
    <t>La Fabbrica della Pasta</t>
  </si>
  <si>
    <t>05355241216</t>
  </si>
  <si>
    <t>Pastificio</t>
  </si>
  <si>
    <t>Ciro Moccia</t>
  </si>
  <si>
    <t>Ertha</t>
  </si>
  <si>
    <t>Tavole da surf in legno ecosostenibili</t>
  </si>
  <si>
    <t>Ettore Burdese</t>
  </si>
  <si>
    <t>BDC S.R.L.</t>
  </si>
  <si>
    <t>08363500961</t>
  </si>
  <si>
    <t>Scuola paritaria + internazionale 0 - 14 anni</t>
  </si>
  <si>
    <t>Ecorav (buy-side su Fagioli)</t>
  </si>
  <si>
    <t>Ecoroe S.r.l. (buy side su Fagioli)</t>
  </si>
  <si>
    <t>Elemento</t>
  </si>
  <si>
    <t>03959360045</t>
  </si>
  <si>
    <t>Software di cloud-sharing</t>
  </si>
  <si>
    <t>Gabriele Fronzé</t>
  </si>
  <si>
    <t>SmartFAB</t>
  </si>
  <si>
    <t>10468390967</t>
  </si>
  <si>
    <t>Data analytics per l'industria</t>
  </si>
  <si>
    <t>Ann Marie Locicero</t>
  </si>
  <si>
    <t>GMI S.r.l.</t>
  </si>
  <si>
    <t>03352510162</t>
  </si>
  <si>
    <t>Manutenzione impianti refrattari</t>
  </si>
  <si>
    <t>Francesco Turcato</t>
  </si>
  <si>
    <t>Maurizio Marino Locati</t>
  </si>
  <si>
    <t>Goodfellas SRL</t>
  </si>
  <si>
    <t>03771760984</t>
  </si>
  <si>
    <t>Produzione capi spalla a marchio People of Shibuya</t>
  </si>
  <si>
    <t>Monti Nicola</t>
  </si>
  <si>
    <t>OMFB</t>
  </si>
  <si>
    <t>06226910963</t>
  </si>
  <si>
    <t>Produzione di pompe, ecc</t>
  </si>
  <si>
    <t>WBI (su Betatex)</t>
  </si>
  <si>
    <t>00440180545</t>
  </si>
  <si>
    <t>Produzione di dispositivi medici</t>
  </si>
  <si>
    <t>Wise (su Fomec)</t>
  </si>
  <si>
    <t>Distilleria F.lli Caffo (Diageo)</t>
  </si>
  <si>
    <t>Finelvo</t>
  </si>
  <si>
    <t>00393390027</t>
  </si>
  <si>
    <t>Produzione fibre tessili</t>
  </si>
  <si>
    <t>Marco De Filippo</t>
  </si>
  <si>
    <t>INDUSTRIA DELLE BIBITE ANALCOLICHE, DELLE ACQUE MINERALI E DI ALTR ACQUE IN BOTTIGLIA</t>
  </si>
  <si>
    <t>Giovanni Vietti Michelina</t>
  </si>
  <si>
    <t>Anna Rina Vietti Michelina</t>
  </si>
  <si>
    <t>Antonio Pola</t>
  </si>
  <si>
    <t>Alberto Murialdo</t>
  </si>
  <si>
    <t>Raccagni Group</t>
  </si>
  <si>
    <t>Fashion&amp;Textile</t>
  </si>
  <si>
    <t>Cerniere per alta moda</t>
  </si>
  <si>
    <t>Fam. Raccagni</t>
  </si>
  <si>
    <t>Flydeco S.r.l.</t>
  </si>
  <si>
    <t>00820780161</t>
  </si>
  <si>
    <t>Trattamento rifiuti liquidi pericolosi</t>
  </si>
  <si>
    <t>Pamela Cerri</t>
  </si>
  <si>
    <t>Massimo Costa</t>
  </si>
  <si>
    <t>Acquavia</t>
  </si>
  <si>
    <t>Pantofola d'Oro S.p.A.</t>
  </si>
  <si>
    <t>AP</t>
  </si>
  <si>
    <t>01427260672</t>
  </si>
  <si>
    <t>Fabbricazione di calzature</t>
  </si>
  <si>
    <t>Kim David Williams</t>
  </si>
  <si>
    <t>Paolo Tesini</t>
  </si>
  <si>
    <t>Errecinque S.r.l.</t>
  </si>
  <si>
    <t>02392710014</t>
  </si>
  <si>
    <t>Tubazioni termoplastiche, stampaggio ad iniezione di particolari in plastica e in gomma per l’industria, in particolare per il settore automotive</t>
  </si>
  <si>
    <t>I.C.A.S. S.p.A.</t>
  </si>
  <si>
    <t xml:space="preserve">00477030019 </t>
  </si>
  <si>
    <t>Gabbiette per spumanti</t>
  </si>
  <si>
    <t xml:space="preserve"> 04478471008</t>
  </si>
  <si>
    <t>Esapharma</t>
  </si>
  <si>
    <t>10297780156</t>
  </si>
  <si>
    <t>Produzione di prodotti dermatologici</t>
  </si>
  <si>
    <t>Massimiliano Perego</t>
  </si>
  <si>
    <t>Cremonesi Franco</t>
  </si>
  <si>
    <t>Orim</t>
  </si>
  <si>
    <t>MC</t>
  </si>
  <si>
    <t>00688230432</t>
  </si>
  <si>
    <t>Trattamento catalizzatori</t>
  </si>
  <si>
    <t>Nico S.p.A. (Ecologica Tredi)</t>
  </si>
  <si>
    <t>Pietro Balistrieri</t>
  </si>
  <si>
    <t>Gianni Balistrieri</t>
  </si>
  <si>
    <t>MAEG Costruzioni</t>
  </si>
  <si>
    <t>03030960268</t>
  </si>
  <si>
    <t>251100</t>
  </si>
  <si>
    <t>Costruzioni</t>
  </si>
  <si>
    <t>Carpenteria metallica</t>
  </si>
  <si>
    <t>Alfeo Ortolan</t>
  </si>
  <si>
    <t>Imball Carton S.r.l.</t>
  </si>
  <si>
    <t>00553340985</t>
  </si>
  <si>
    <t>Produzione di cartone ondulato</t>
  </si>
  <si>
    <t>Cassa Padana</t>
  </si>
  <si>
    <t>Mzaalo</t>
  </si>
  <si>
    <t>India</t>
  </si>
  <si>
    <t>Fintech</t>
  </si>
  <si>
    <t>Swaneet Singh</t>
  </si>
  <si>
    <t>PA Aromatic (Flavour Art)</t>
  </si>
  <si>
    <t>02229590183</t>
  </si>
  <si>
    <t>Crea, produce e distribuisce aromi per l'industria alimentare e farmaceutica</t>
  </si>
  <si>
    <t>Jean-Francois Cruciani</t>
  </si>
  <si>
    <t>Linea Sterile S.p.A.</t>
  </si>
  <si>
    <t>02039470402</t>
  </si>
  <si>
    <t>Ricondiziomento teleria per la sala operatoria</t>
  </si>
  <si>
    <t>Terenzi Vino</t>
  </si>
  <si>
    <t>GR</t>
  </si>
  <si>
    <t>01266200532</t>
  </si>
  <si>
    <t>012100</t>
  </si>
  <si>
    <t>Azienda vinicola</t>
  </si>
  <si>
    <t>Melloni Matteo</t>
  </si>
  <si>
    <t>Il Piccolo Principe (sell side)</t>
  </si>
  <si>
    <t>11038191000</t>
  </si>
  <si>
    <t>Gang del Bosco (buy side Busy Bees)</t>
  </si>
  <si>
    <t>PO</t>
  </si>
  <si>
    <t>02277380974</t>
  </si>
  <si>
    <t>Veronica Scopelliti</t>
  </si>
  <si>
    <t>Pj. Four-G (Fomec - Marcora - ASO- Viar)</t>
  </si>
  <si>
    <t>Pellegrino Lorenzo</t>
  </si>
  <si>
    <t>Ecorav (Le Foglie)</t>
  </si>
  <si>
    <t>Tradebe (Le Foglie)</t>
  </si>
  <si>
    <t>Alex Gazulla</t>
  </si>
  <si>
    <t>Victor Creixell</t>
  </si>
  <si>
    <t>WOZON</t>
  </si>
  <si>
    <t>Alessandro Rospigliosi</t>
  </si>
  <si>
    <t xml:space="preserve">ASC </t>
  </si>
  <si>
    <t>Italia NFT</t>
  </si>
  <si>
    <t>12046190968</t>
  </si>
  <si>
    <t>Astro s.r.l.</t>
  </si>
  <si>
    <t>00904350055</t>
  </si>
  <si>
    <t>Chiusure per bottiglie di vino</t>
  </si>
  <si>
    <t>Madama Oliva</t>
  </si>
  <si>
    <t>10702821009</t>
  </si>
  <si>
    <t>Snack a base di oliva</t>
  </si>
  <si>
    <t>Ludovico Martelli (Claus Porto)</t>
  </si>
  <si>
    <t>Tradebe (Pj Eden)</t>
  </si>
  <si>
    <t>Tradebe (Pj Mega S.r.l.)</t>
  </si>
  <si>
    <t xml:space="preserve">Tradebe (Robi S.r.l.) </t>
  </si>
  <si>
    <t>Settimi Elettrogalvanica</t>
  </si>
  <si>
    <t>01173470434</t>
  </si>
  <si>
    <t>Elettrogalvanica per accessori moda</t>
  </si>
  <si>
    <t>Michele Cicchetti</t>
  </si>
  <si>
    <t>Molini Pivetti - BUY su ARBORE</t>
  </si>
  <si>
    <t>FE</t>
  </si>
  <si>
    <t>00055650386</t>
  </si>
  <si>
    <t>Produzione di farine per uso industriale e domestico</t>
  </si>
  <si>
    <t>Proma Group</t>
  </si>
  <si>
    <t>CS</t>
  </si>
  <si>
    <t>01872610611</t>
  </si>
  <si>
    <t>Stampaggio metalli</t>
  </si>
  <si>
    <t>Eurotecno</t>
  </si>
  <si>
    <t xml:space="preserve">Noleggio di piattaforme </t>
  </si>
  <si>
    <t>Deco (sell side)</t>
  </si>
  <si>
    <t>03702400163</t>
  </si>
  <si>
    <t>Rivestimenti in legno indoor e outdoor</t>
  </si>
  <si>
    <t>L. Caselli</t>
  </si>
  <si>
    <t>Fabrice Turries</t>
  </si>
  <si>
    <t>Imperiale Suites Milano</t>
  </si>
  <si>
    <t>Real Estate</t>
  </si>
  <si>
    <t>Struttura di lusso dotata di suites</t>
  </si>
  <si>
    <t>B. Intignano</t>
  </si>
  <si>
    <t>CEG/GID</t>
  </si>
  <si>
    <t>Garmont (per Cina)</t>
  </si>
  <si>
    <t>04643700265</t>
  </si>
  <si>
    <t>Produzione di calzature tecniche</t>
  </si>
  <si>
    <t>Pj Neighbourhood (Borello)</t>
  </si>
  <si>
    <t>04890700018</t>
  </si>
  <si>
    <t>Food Retail</t>
  </si>
  <si>
    <t>Gestione supermercati alta gamma</t>
  </si>
  <si>
    <t>Kemon</t>
  </si>
  <si>
    <t>00237580543</t>
  </si>
  <si>
    <t>Beauty</t>
  </si>
  <si>
    <t xml:space="preserve">Prodotti per la cura dei capelli </t>
  </si>
  <si>
    <t>P&amp;B Development</t>
  </si>
  <si>
    <t>Gestioni industriali group</t>
  </si>
  <si>
    <t>01451960494</t>
  </si>
  <si>
    <t xml:space="preserve">Fabbricazione di prodotti chimici </t>
  </si>
  <si>
    <t>Insight Design School</t>
  </si>
  <si>
    <t>Hong Kong</t>
  </si>
  <si>
    <t>Scuola di design</t>
  </si>
  <si>
    <t>Eve Marcier</t>
  </si>
  <si>
    <t>Osit Impresa (Subdued)</t>
  </si>
  <si>
    <t>10713061009</t>
  </si>
  <si>
    <t>Vestiti a marchio Subdued</t>
  </si>
  <si>
    <t>Molini Pivetti - Pj Flour</t>
  </si>
  <si>
    <t>Simeon</t>
  </si>
  <si>
    <t>0432974338</t>
  </si>
  <si>
    <t>Carpenteria metallica e facciate</t>
  </si>
  <si>
    <t>Marco Simeon</t>
  </si>
  <si>
    <t>Martino</t>
  </si>
  <si>
    <t>03137390047</t>
  </si>
  <si>
    <t>Progettazione e realizzazione di strutture in carpenteria metallica</t>
  </si>
  <si>
    <t>Gabriele Aimar</t>
  </si>
  <si>
    <t>MR C.</t>
  </si>
  <si>
    <t>Pj Pellegrino</t>
  </si>
  <si>
    <t>Distilleria F.lli Caffo (Lucas Bols)</t>
  </si>
  <si>
    <t>Befood</t>
  </si>
  <si>
    <t>TR</t>
  </si>
  <si>
    <t>01406270551</t>
  </si>
  <si>
    <t>Petfood per cani e gatti</t>
  </si>
  <si>
    <t>OMS</t>
  </si>
  <si>
    <t xml:space="preserve">03780430017 </t>
  </si>
  <si>
    <t>Produzione di componenti meccaniche</t>
  </si>
  <si>
    <t>Perlangeli Maurizio</t>
  </si>
  <si>
    <t>Loro Piana  S.p.A.</t>
  </si>
  <si>
    <t>VC</t>
  </si>
  <si>
    <t>01611400027</t>
  </si>
  <si>
    <t>Abbigliamento di lusso</t>
  </si>
  <si>
    <t>Fiorella Valaderio</t>
  </si>
  <si>
    <t>Quality Forming S.r.l.</t>
  </si>
  <si>
    <t>01634410987</t>
  </si>
  <si>
    <t>Produzione di raccorderia attraverso formatura e estrusione a freddo dei metalli</t>
  </si>
  <si>
    <t>Alessandro Martino Brunelli</t>
  </si>
  <si>
    <t>Giorgio Berardi</t>
  </si>
  <si>
    <t>Ivano Brunelli</t>
  </si>
  <si>
    <t>Maurizio Perlangeli</t>
  </si>
  <si>
    <t>Minima Group</t>
  </si>
  <si>
    <t>CE</t>
  </si>
  <si>
    <t>06013610636</t>
  </si>
  <si>
    <t>Servizi ospedalieri</t>
  </si>
  <si>
    <t>Goma Elettronica (Buy)</t>
  </si>
  <si>
    <t>Pattern</t>
  </si>
  <si>
    <t>10072750010</t>
  </si>
  <si>
    <t>Abbigliamento di lusso private label</t>
  </si>
  <si>
    <t>Kippy</t>
  </si>
  <si>
    <t>08263160965</t>
  </si>
  <si>
    <t>Startup di collari tecnologici</t>
  </si>
  <si>
    <t>Company Service Swiss Sa Group</t>
  </si>
  <si>
    <t>Svizzera</t>
  </si>
  <si>
    <t>Oil &amp; Gas services</t>
  </si>
  <si>
    <t>Fabio Valentini</t>
  </si>
  <si>
    <t>PAD/ALP</t>
  </si>
  <si>
    <t>Jesus - Basic Net</t>
  </si>
  <si>
    <t>Brand di Jeans</t>
  </si>
  <si>
    <t>P&amp;B In Crescendo</t>
  </si>
  <si>
    <t>Nardi</t>
  </si>
  <si>
    <t>00552410540</t>
  </si>
  <si>
    <t>Attrezzi per trattori</t>
  </si>
  <si>
    <t>Il Gufo</t>
  </si>
  <si>
    <t>03450970268</t>
  </si>
  <si>
    <t>Abbigliamento per bambini</t>
  </si>
  <si>
    <t>Alessandra Chiavelli</t>
  </si>
  <si>
    <t>Rosso S.r.l.</t>
  </si>
  <si>
    <t>02452350040</t>
  </si>
  <si>
    <t>Giuseppe Calonico</t>
  </si>
  <si>
    <t>Sebi</t>
  </si>
  <si>
    <t>01512040120</t>
  </si>
  <si>
    <t>Servizi doganali e di trasporto internazionale</t>
  </si>
  <si>
    <t>Meneguzzi Gianluca</t>
  </si>
  <si>
    <t>Kopron</t>
  </si>
  <si>
    <t>05057480153</t>
  </si>
  <si>
    <t>Fabbricazione strutture metalliche</t>
  </si>
  <si>
    <t>Mario Vergani</t>
  </si>
  <si>
    <t>Paolo Luigi Vergani</t>
  </si>
  <si>
    <t>Micheli Dario</t>
  </si>
  <si>
    <t>Tubinox</t>
  </si>
  <si>
    <t>01656320130</t>
  </si>
  <si>
    <t>Produzione di tubi</t>
  </si>
  <si>
    <t>Experimental Group</t>
  </si>
  <si>
    <t>Lubrogamma 2000 Srl</t>
  </si>
  <si>
    <t>01127060174</t>
  </si>
  <si>
    <t xml:space="preserve">Retail / Oil </t>
  </si>
  <si>
    <t>Distribuzione di lubrificanti industriali e grassi speciali</t>
  </si>
  <si>
    <t>C.Ratti</t>
  </si>
  <si>
    <t>Crelove</t>
  </si>
  <si>
    <t>Payot</t>
  </si>
  <si>
    <t>Italian Converter</t>
  </si>
  <si>
    <t>01572930186</t>
  </si>
  <si>
    <t>Tessile</t>
  </si>
  <si>
    <t>Produzione di tessuti innovativi per calzatura, pelletteria, abbigliamento e arredamento</t>
  </si>
  <si>
    <t>Costantino Karazissis Dolzanelli</t>
  </si>
  <si>
    <t>Albani Adriano</t>
  </si>
  <si>
    <t>Savino del Bene</t>
  </si>
  <si>
    <t>05300610481</t>
  </si>
  <si>
    <t>Paolo Nocentini</t>
  </si>
  <si>
    <t>EVERCORE per ILLVA Saronno</t>
  </si>
  <si>
    <t>01075640688</t>
  </si>
  <si>
    <t>Produzione di bibite alcoliche</t>
  </si>
  <si>
    <t>A. Marzorati</t>
  </si>
  <si>
    <t>P&amp;B Fate Turchine</t>
  </si>
  <si>
    <t>P&amp;B Klab Kids</t>
  </si>
  <si>
    <t>TN</t>
  </si>
  <si>
    <t>Gruppo INI (Infravia)</t>
  </si>
  <si>
    <t>01618340580</t>
  </si>
  <si>
    <t>Gruppo di poliambulatori e case di cura</t>
  </si>
  <si>
    <t xml:space="preserve">si </t>
  </si>
  <si>
    <t>The Corner.com</t>
  </si>
  <si>
    <t>06937930151</t>
  </si>
  <si>
    <t>Gestione sito di e.commerce</t>
  </si>
  <si>
    <t>Nembri Silk</t>
  </si>
  <si>
    <t>03851540983</t>
  </si>
  <si>
    <t>Preparazione e filatura di fibre tessili</t>
  </si>
  <si>
    <t>P&amp;B Greenwood</t>
  </si>
  <si>
    <t>Orsero</t>
  </si>
  <si>
    <t>09160710969</t>
  </si>
  <si>
    <t>Food: Retail</t>
  </si>
  <si>
    <t>Importazione e distribuzione di frutta</t>
  </si>
  <si>
    <t>IKRIX</t>
  </si>
  <si>
    <t>02225200993</t>
  </si>
  <si>
    <t>E. Barce</t>
  </si>
  <si>
    <t>KAOS</t>
  </si>
  <si>
    <t>03667390375</t>
  </si>
  <si>
    <t>Commercio all'ingrosso di abbigliamento e accessori</t>
  </si>
  <si>
    <t>Calzolari</t>
  </si>
  <si>
    <t>Mantellini Michele</t>
  </si>
  <si>
    <t>S.C.O.U.T.</t>
  </si>
  <si>
    <t>03964120376</t>
  </si>
  <si>
    <t>Stefano Poluzzi</t>
  </si>
  <si>
    <t>Nima Sushi&amp;Poke</t>
  </si>
  <si>
    <t>03665270132</t>
  </si>
  <si>
    <t>Catena di ristoranti sushi</t>
  </si>
  <si>
    <t>EVERCORE per Ski Resorts</t>
  </si>
  <si>
    <t>Gimar Poliambulatorio</t>
  </si>
  <si>
    <t>02536600139</t>
  </si>
  <si>
    <t>Fisioterapia</t>
  </si>
  <si>
    <t>Loredana Coppolino</t>
  </si>
  <si>
    <t>Gaetana Adragna</t>
  </si>
  <si>
    <t>Matteo Melloni</t>
  </si>
  <si>
    <t>First Education (Buy side - Pj Premium)</t>
  </si>
  <si>
    <t>Corsi di formazione professionale finanziaria</t>
  </si>
  <si>
    <t>FDC</t>
  </si>
  <si>
    <t>P&amp;B Trieste</t>
  </si>
  <si>
    <t>Fee Sharing con Roberto Concina</t>
  </si>
  <si>
    <t>Tradebe</t>
  </si>
  <si>
    <t>Rebaioli</t>
  </si>
  <si>
    <t>00808540173</t>
  </si>
  <si>
    <t>Instalazione reti elettriche</t>
  </si>
  <si>
    <t>Installa reti elettriche, strutture per telecomunicazioni e impianti per energie rinnovabili</t>
  </si>
  <si>
    <t>Novotex</t>
  </si>
  <si>
    <t>00861940153</t>
  </si>
  <si>
    <t>Resine poliuretaniche</t>
  </si>
  <si>
    <t>Paolo Magni</t>
  </si>
  <si>
    <t>Gruppo COIM</t>
  </si>
  <si>
    <t>Guido Arici</t>
  </si>
  <si>
    <t>Grand Frais</t>
  </si>
  <si>
    <t>Catena di supermercati specializzati nel fresco</t>
  </si>
  <si>
    <t>Denis Dumont</t>
  </si>
  <si>
    <t>Annalisa Donesana</t>
  </si>
  <si>
    <t>Hotel &amp; Leisure</t>
  </si>
  <si>
    <t>Migros</t>
  </si>
  <si>
    <t>Supermercati e Centri Commerciali</t>
  </si>
  <si>
    <t>Costume National</t>
  </si>
  <si>
    <t>04604720484</t>
  </si>
  <si>
    <t>Capasa</t>
  </si>
  <si>
    <t>Gualtiero Valdo</t>
  </si>
  <si>
    <t>Galeazzi Profumerie</t>
  </si>
  <si>
    <t>P&amp;B Kids Carducci</t>
  </si>
  <si>
    <t>Pier e commercialista</t>
  </si>
  <si>
    <t>Markiol</t>
  </si>
  <si>
    <t>01176110268</t>
  </si>
  <si>
    <t>Distribuzione materiale elettrico</t>
  </si>
  <si>
    <t>Alida Carcano</t>
  </si>
  <si>
    <t>Gericke</t>
  </si>
  <si>
    <t>Macchinari industriali</t>
  </si>
  <si>
    <t>Markus Gericke</t>
  </si>
  <si>
    <t>Interessati a estrusori per alimenti</t>
  </si>
  <si>
    <t>Puff (sell / fund raising)</t>
  </si>
  <si>
    <t>10286490015</t>
  </si>
  <si>
    <t>Produzione liquidi per sigarette elettroniche</t>
  </si>
  <si>
    <t>Magazzini Gabrielli</t>
  </si>
  <si>
    <t>00103300448</t>
  </si>
  <si>
    <t>Giancarlo Gabrielli</t>
  </si>
  <si>
    <t>Fam. Gabrielli</t>
  </si>
  <si>
    <t>Revlon (2 brand ad Alfaparf)</t>
  </si>
  <si>
    <t>San Marco Hotels</t>
  </si>
  <si>
    <t>VE</t>
  </si>
  <si>
    <t>00406490276</t>
  </si>
  <si>
    <t>Gestione hotel a Venezia</t>
  </si>
  <si>
    <t>Lino Cazzavillan</t>
  </si>
  <si>
    <t>Marco Dalmolin</t>
  </si>
  <si>
    <t>Langhe (Pj Sideways)</t>
  </si>
  <si>
    <t>ELSAFRA (IPO da B.ca Sempione)</t>
  </si>
  <si>
    <t>Alberto Schiesaro</t>
  </si>
  <si>
    <t>SIED (Ferrero Group) - Buyside su Eusebio</t>
  </si>
  <si>
    <t>07195050013</t>
  </si>
  <si>
    <t>Energy</t>
  </si>
  <si>
    <t>Produzione energia rinnovabile</t>
  </si>
  <si>
    <t>G. Schiavone</t>
  </si>
  <si>
    <t>Fam. Ferrero</t>
  </si>
  <si>
    <t>Jewerly</t>
  </si>
  <si>
    <t>Edilizia</t>
  </si>
  <si>
    <t>IT</t>
  </si>
  <si>
    <t>Ecosfera S.r.l.</t>
  </si>
  <si>
    <t>01486470337</t>
  </si>
  <si>
    <t>Linda Barri</t>
  </si>
  <si>
    <t>La Doria</t>
  </si>
  <si>
    <t xml:space="preserve">NON MODIFICARE CELLE CONTENTENTI FORMULE </t>
  </si>
  <si>
    <t>Tracking</t>
  </si>
  <si>
    <t>WIP</t>
  </si>
  <si>
    <t>Flow</t>
  </si>
  <si>
    <t>Int'l Partner</t>
  </si>
  <si>
    <t>Country</t>
  </si>
  <si>
    <t>Type of mandate</t>
  </si>
  <si>
    <t>Sector</t>
  </si>
  <si>
    <t>Description</t>
  </si>
  <si>
    <t>Partner’s Notes</t>
  </si>
  <si>
    <t>Relationship @BCA</t>
  </si>
  <si>
    <t>Notes</t>
  </si>
  <si>
    <t>First Contact</t>
  </si>
  <si>
    <t>Latest Progress</t>
  </si>
  <si>
    <t>Outbound</t>
  </si>
  <si>
    <t xml:space="preserve">Allegrini </t>
  </si>
  <si>
    <t>Italy</t>
  </si>
  <si>
    <t>Sell</t>
  </si>
  <si>
    <t xml:space="preserve">Produzione di detergenti professionali </t>
  </si>
  <si>
    <t>Ricavi: €35M, EBITDA €1+M</t>
  </si>
  <si>
    <t>Industrie Chimiche Forestali</t>
  </si>
  <si>
    <t>Produzione di colle e riforzanti per diversi settori industriali</t>
  </si>
  <si>
    <t>Ricavi: €88M, EBITDA €8M</t>
  </si>
  <si>
    <t>Inbound</t>
  </si>
  <si>
    <t>Financière de Courcelles - GMAP</t>
  </si>
  <si>
    <t>France</t>
  </si>
  <si>
    <t>Buy</t>
  </si>
  <si>
    <t>Affordable jewelery</t>
  </si>
  <si>
    <t xml:space="preserve">designer and B2B distributor of silver &amp; gold-plated jewelry </t>
  </si>
  <si>
    <t>Rev: €40M; EBITDA €8M</t>
  </si>
  <si>
    <t>RIòN - GMAP</t>
  </si>
  <si>
    <t>Mexico</t>
  </si>
  <si>
    <t>Fishing, processing, and commercializing sardines</t>
  </si>
  <si>
    <t>Rev: $86M; Ebitda $29m</t>
  </si>
  <si>
    <t>Ricavi: €30M, EBITDA €4M</t>
  </si>
  <si>
    <t>Rev: €30M; Ebitda €5m</t>
  </si>
  <si>
    <t>HICKORY</t>
  </si>
  <si>
    <t>BGLCO - GMAP</t>
  </si>
  <si>
    <t>Produttore di salse per condimento</t>
  </si>
  <si>
    <t>Rev: $150M; Ebitda $50m</t>
  </si>
  <si>
    <t>High-end sensors</t>
  </si>
  <si>
    <t xml:space="preserve">industrial engineering: automated production lines and customized machines </t>
  </si>
  <si>
    <t>Rev: €50M; Ebitda €7m</t>
  </si>
  <si>
    <t>CS Corporate Advisory</t>
  </si>
  <si>
    <t>Spain</t>
  </si>
  <si>
    <t xml:space="preserve">Corrugated cardboard  packaging manufacturer </t>
  </si>
  <si>
    <t>Rev: €800M</t>
  </si>
  <si>
    <t>Invescom Corporate Finance - GMAP</t>
  </si>
  <si>
    <t>Rev: €31M; EBITDA: €5.8M</t>
  </si>
  <si>
    <t>Flair (Xerjoff)</t>
  </si>
  <si>
    <t>Meeting Barcellona</t>
  </si>
  <si>
    <t>Silicon (NextHS)</t>
  </si>
  <si>
    <t>ICT (Intersistemi)</t>
  </si>
  <si>
    <t>Vax (Vismederi)</t>
  </si>
  <si>
    <t>VegOil (Tampieri)</t>
  </si>
  <si>
    <t>THERAS Group (Medicus)</t>
  </si>
  <si>
    <t>Disposables for diabetes and pain therapy</t>
  </si>
  <si>
    <t>Pj Chariot</t>
  </si>
  <si>
    <t>IOM - GMAP</t>
  </si>
  <si>
    <t>Germany</t>
  </si>
  <si>
    <t>Asset heavy freight forwarder for short haul</t>
  </si>
  <si>
    <t>Rev: €20M; EBITDA: €1M</t>
  </si>
  <si>
    <t>JBR - GMAP</t>
  </si>
  <si>
    <t>Clinica privata</t>
  </si>
  <si>
    <t>Ricavi: 20M, EBITDA 3,6M</t>
  </si>
  <si>
    <t>Produzione di anime/tubi in plastica</t>
  </si>
  <si>
    <t>Rev: €32 M; EBITDA: €6M</t>
  </si>
  <si>
    <t xml:space="preserve">Martech </t>
  </si>
  <si>
    <t>Rev: €266 M; EBITDA: €20.7M</t>
  </si>
  <si>
    <t xml:space="preserve">G. Mariani &amp; Co. </t>
  </si>
  <si>
    <t>Producer of aromas and ingredients</t>
  </si>
  <si>
    <t>Zetra - GMAP</t>
  </si>
  <si>
    <t>Spirits</t>
  </si>
  <si>
    <t>Stampaggio plastico</t>
  </si>
  <si>
    <t>Aspesi</t>
  </si>
  <si>
    <t>Palazzari &amp; Turries</t>
  </si>
  <si>
    <t>Brand  di moda</t>
  </si>
  <si>
    <t>Astro</t>
  </si>
  <si>
    <t>Beverage</t>
  </si>
  <si>
    <t>Closures</t>
  </si>
  <si>
    <t>Alfaparf (Buy-side)</t>
  </si>
  <si>
    <t>Prodotti haircare</t>
  </si>
  <si>
    <t>Techedge (HL)</t>
  </si>
  <si>
    <t>Houlihan Lockey - Int.</t>
  </si>
  <si>
    <t>Finmasi Group</t>
  </si>
  <si>
    <t>PCB</t>
  </si>
  <si>
    <t>Sagiv - Gaon Group</t>
  </si>
  <si>
    <t>Value Base - GMAP</t>
  </si>
  <si>
    <t>Israel</t>
  </si>
  <si>
    <t>Componenti in ottone (Valvole, raccordi,ecc)</t>
  </si>
  <si>
    <t xml:space="preserve">Project Lectio </t>
  </si>
  <si>
    <t>Condere - GMAP</t>
  </si>
  <si>
    <t>Brasil</t>
  </si>
  <si>
    <t>tipografia brasiliana</t>
  </si>
  <si>
    <t>100% cash out</t>
  </si>
  <si>
    <t>Pj Pearl</t>
  </si>
  <si>
    <t>Zeus Capital - GMAP</t>
  </si>
  <si>
    <t>Rev: €133M; EBITDA: €21M</t>
  </si>
  <si>
    <t>Supermarket</t>
  </si>
  <si>
    <t>Rev: €9.9M; EBITDA: €2M</t>
  </si>
  <si>
    <t>SAFETY</t>
  </si>
  <si>
    <t>Equipaggiamenti di sicurezza</t>
  </si>
  <si>
    <t>Ricavi: €10+ M, EBITDA €1+ M</t>
  </si>
  <si>
    <t>Esser-Metallbau</t>
  </si>
  <si>
    <t>Produzione di lamiere</t>
  </si>
  <si>
    <t>Ricavi: €10M, EBITDA €2,5M</t>
  </si>
  <si>
    <t>ROOFTOP (COLOGNE BICYCLE GROUP)</t>
  </si>
  <si>
    <t>Produzione bici</t>
  </si>
  <si>
    <t>Ricavi: €21 M, EBITDA €3+ M</t>
  </si>
  <si>
    <t>Waste operator</t>
  </si>
  <si>
    <t>Cooper Parry - GMAP</t>
  </si>
  <si>
    <t>Service</t>
  </si>
  <si>
    <t>Construction and demolition waste operator</t>
  </si>
  <si>
    <t>Ricavi: £40M, EBITDA £7M</t>
  </si>
  <si>
    <t>Cargo Compass</t>
  </si>
  <si>
    <t>International Freight Forwarding</t>
  </si>
  <si>
    <t>NORTON</t>
  </si>
  <si>
    <t>Healthcare project management</t>
  </si>
  <si>
    <t>Healthcare consultancy, asset and project management business</t>
  </si>
  <si>
    <t>Ricavi: €15M, EBITDA €4M</t>
  </si>
  <si>
    <t>BOREAS</t>
  </si>
  <si>
    <t>Cooper Parry</t>
  </si>
  <si>
    <t>HVAC</t>
  </si>
  <si>
    <t>U.S. Based Sell-Side Prospect</t>
  </si>
  <si>
    <t>Cleaners, degreasers, adhesives, sealants, gaskets, etc.</t>
  </si>
  <si>
    <t>Ricavi: $160M, EBITDA $12M</t>
  </si>
  <si>
    <t>Pj Insurety</t>
  </si>
  <si>
    <t>Anquor Corporate Finance - GMAP</t>
  </si>
  <si>
    <t>Consumer Project</t>
  </si>
  <si>
    <t>Pj Steel</t>
  </si>
  <si>
    <t>stainless steel tubes and fittings</t>
  </si>
  <si>
    <t>Ecole des Roches</t>
  </si>
  <si>
    <t>Electronic Traffic Sign Manufacturer</t>
  </si>
  <si>
    <t>Crossbie</t>
  </si>
  <si>
    <t>On hold</t>
  </si>
  <si>
    <t>PALLAS (Defenture)</t>
  </si>
  <si>
    <t>Netherlands</t>
  </si>
  <si>
    <t>Army</t>
  </si>
  <si>
    <t>Opp. Paper Mill</t>
  </si>
  <si>
    <t>Production of white corrugated medium paper</t>
  </si>
  <si>
    <t>Rev: €150M; EBITDA: €25M</t>
  </si>
  <si>
    <t>Opp. PhotoVoltaic</t>
  </si>
  <si>
    <t>Impianto PV (8MWp)</t>
  </si>
  <si>
    <t>PJ Paper Mill (Sell)</t>
  </si>
  <si>
    <t>Paper Mill</t>
  </si>
  <si>
    <t>Opp. Healthcare (Biweekly call)</t>
  </si>
  <si>
    <t>Gestione di RSA (focus Italia e Spagna)</t>
  </si>
  <si>
    <t>GFI (Sell)</t>
  </si>
  <si>
    <t>Crosbie &amp;Co - GMAP</t>
  </si>
  <si>
    <t>Lavorazione e distribuzione cereali e legumi (min Rev. $120M)</t>
  </si>
  <si>
    <t>Pj BigBang</t>
  </si>
  <si>
    <t>Wine</t>
  </si>
  <si>
    <t>WineTech</t>
  </si>
  <si>
    <t>Rev: €6,8 M</t>
  </si>
  <si>
    <t xml:space="preserve">Sales Manago </t>
  </si>
  <si>
    <t>E-commerce software</t>
  </si>
  <si>
    <t>Customer engagement platform for e-commerce</t>
  </si>
  <si>
    <t>Trelleborg (buy)</t>
  </si>
  <si>
    <t>Produttori di dispositivi medici (min Rev. €10m; EBITDA 20%)</t>
  </si>
  <si>
    <t>Opp. Energy (Biweekly call)</t>
  </si>
  <si>
    <t>PV plant (8MW) in Italy</t>
  </si>
  <si>
    <t>Pj Cosmetics</t>
  </si>
  <si>
    <t>Cosmetics</t>
  </si>
  <si>
    <t>Skincare per mass-market</t>
  </si>
  <si>
    <t>EBITDA:  £3m</t>
  </si>
  <si>
    <t>We Make Things</t>
  </si>
  <si>
    <t>Componenti per biciclette BMX</t>
  </si>
  <si>
    <t>Rev: €20M; EBITDA: €3M</t>
  </si>
  <si>
    <t>Hydal</t>
  </si>
  <si>
    <t>Saga Corporate Finance - GMAP</t>
  </si>
  <si>
    <t>Norway</t>
  </si>
  <si>
    <t>Aluminium extrusion</t>
  </si>
  <si>
    <t>Rev: €92M; EBITDA: €6M</t>
  </si>
  <si>
    <t>Project Zamna</t>
  </si>
  <si>
    <t>Trasporto merci pericolose</t>
  </si>
  <si>
    <t>Rev: €9.5M; EBITDA €0,7M</t>
  </si>
  <si>
    <t>Coopservice</t>
  </si>
  <si>
    <t>Job service</t>
  </si>
  <si>
    <t>Agenzie interinali</t>
  </si>
  <si>
    <t xml:space="preserve">Grupo Hasar </t>
  </si>
  <si>
    <t>Fenix Partners - GMAP</t>
  </si>
  <si>
    <t>Argentina</t>
  </si>
  <si>
    <t xml:space="preserve">IT </t>
  </si>
  <si>
    <t>System integrato in argentina</t>
  </si>
  <si>
    <t>Rev: $17.5M; EBITDA: $3.3M</t>
  </si>
  <si>
    <t>Alliance Etiquettes</t>
  </si>
  <si>
    <t>Produzione etichette</t>
  </si>
  <si>
    <t>5-30 M turnover - EBITDA &gt;0</t>
  </si>
  <si>
    <t>Pietro Rosa TBM</t>
  </si>
  <si>
    <t>Sell/Buy</t>
  </si>
  <si>
    <t>Componenti rotori</t>
  </si>
  <si>
    <t>Project "Soilutions"</t>
  </si>
  <si>
    <t>Agricultural</t>
  </si>
  <si>
    <t>Produttore di substrati per coltivazione</t>
  </si>
  <si>
    <t>Rev: €70,9M; EBITDA: €9,2M</t>
  </si>
  <si>
    <t xml:space="preserve">Satoshi Tango </t>
  </si>
  <si>
    <t>Crypto trading, Crypto financial services</t>
  </si>
  <si>
    <t>Rev: $4.1M; EBITDA: 2.8M; cercano in latin america</t>
  </si>
  <si>
    <t>Project Lambda</t>
  </si>
  <si>
    <t>Hardware per la logistica (RFID, etichettatrici)</t>
  </si>
  <si>
    <t>Rev: €75M; EBITDA: €5M</t>
  </si>
  <si>
    <t>Grona Shipping</t>
  </si>
  <si>
    <t>Transport</t>
  </si>
  <si>
    <t>Trasporto marittimo</t>
  </si>
  <si>
    <t>Grona Shipping è alla ricerca di un coinvestitore per l'acquisizione di una società cisterniera olandese a capitale privato, che gestisce una flotta di otto navi cisterna per prodotti chimici ed è alla ricerca di un successore.</t>
  </si>
  <si>
    <t>HQ Pack Group</t>
  </si>
  <si>
    <t>Packaging per il settore dei semiconduttori</t>
  </si>
  <si>
    <t>Rev: €93,8M; EBITDA: €16,5M</t>
  </si>
  <si>
    <t>BOIS Equipment Rentals</t>
  </si>
  <si>
    <t>Offshore equipment rentals</t>
  </si>
  <si>
    <t>Rev: €7.7M; EBITDA: €3,9M</t>
  </si>
  <si>
    <t xml:space="preserve">Nucon Aerospace </t>
  </si>
  <si>
    <t>Meridian Capital - GMAP</t>
  </si>
  <si>
    <t>Sistemi di controllo di movimento</t>
  </si>
  <si>
    <t>Rev: $25M; EBITDA: $7M</t>
  </si>
  <si>
    <t>Thales</t>
  </si>
  <si>
    <t>Cybersecurity, Software; UAV</t>
  </si>
  <si>
    <t>Softline Holding</t>
  </si>
  <si>
    <t>IT solutions and services</t>
  </si>
  <si>
    <t>Tipa</t>
  </si>
  <si>
    <t>Packaging sostenibile</t>
  </si>
  <si>
    <t>Project Avocado</t>
  </si>
  <si>
    <t>Banmerchant - GMAP</t>
  </si>
  <si>
    <t>Chile</t>
  </si>
  <si>
    <t>Export di avocado</t>
  </si>
  <si>
    <t>Rev: $19M; EBITDA: $0,4M</t>
  </si>
  <si>
    <t>Project Architectural Metal &amp; Glass Co.</t>
  </si>
  <si>
    <t>Construction engineering, project management, ect</t>
  </si>
  <si>
    <t>Rev: $60M; EBITDA: $20M</t>
  </si>
  <si>
    <t>Northwest Construction</t>
  </si>
  <si>
    <t>Construction</t>
  </si>
  <si>
    <t>Rev:$110M; EBITDA: $15M</t>
  </si>
  <si>
    <t>RCR</t>
  </si>
  <si>
    <t>Vietnam</t>
  </si>
  <si>
    <t>Facilities Management</t>
  </si>
  <si>
    <t>Solar Company</t>
  </si>
  <si>
    <t>R&amp;D semiconduttori</t>
  </si>
  <si>
    <t>Fundraising €20M</t>
  </si>
  <si>
    <t>Siam Seaplane</t>
  </si>
  <si>
    <t>Thailand</t>
  </si>
  <si>
    <t>Leisure</t>
  </si>
  <si>
    <t>Luxury Travelling</t>
  </si>
  <si>
    <t>Fundraising $3M</t>
  </si>
  <si>
    <t>Smart Nepal</t>
  </si>
  <si>
    <t>Nepal</t>
  </si>
  <si>
    <t>TMT</t>
  </si>
  <si>
    <t>Mobile operator</t>
  </si>
  <si>
    <t>Fundraising $50M</t>
  </si>
  <si>
    <t>Morning</t>
  </si>
  <si>
    <t>Smart Sensors</t>
  </si>
  <si>
    <t>Fundraising $5M</t>
  </si>
  <si>
    <t>Global Bugs</t>
  </si>
  <si>
    <t>Alternative Protein</t>
  </si>
  <si>
    <t>Saint Gobain</t>
  </si>
  <si>
    <t>Costruction Materiales in ASEAN</t>
  </si>
  <si>
    <t>Project CBRE</t>
  </si>
  <si>
    <t>Ricerca di hard facility mngt; data center facility management; healthcare FM in asean + japan)</t>
  </si>
  <si>
    <t>Target Size: €10M-€200M</t>
  </si>
  <si>
    <t>Shopadvizor</t>
  </si>
  <si>
    <t>App per la review di prodotti confezionati</t>
  </si>
  <si>
    <t>Series A fundraising</t>
  </si>
  <si>
    <t>Project Carnaval</t>
  </si>
  <si>
    <t>Patrimonio Boschivo</t>
  </si>
  <si>
    <t>Acquisto di due società proprietarie di un patrimonio boschivo</t>
  </si>
  <si>
    <t>Project Dairy</t>
  </si>
  <si>
    <t>Produttore di latte, yogurt, burro e latticini</t>
  </si>
  <si>
    <t>Rev: $777M; EBITDA: 65M; JP Morgan mandato sell, cercano un buyer</t>
  </si>
  <si>
    <t>Project Food ti Go/Convenience</t>
  </si>
  <si>
    <t>Catena di supermercati</t>
  </si>
  <si>
    <t xml:space="preserve">Rev: $8,5M; EBITDA: $1,1M </t>
  </si>
  <si>
    <t>Project Generic drugs</t>
  </si>
  <si>
    <t>Pharmaceutical</t>
  </si>
  <si>
    <t>Farmaci generici</t>
  </si>
  <si>
    <t>Rev: €25M EBITDA: €0.7M</t>
  </si>
  <si>
    <t>Payot (Pj Paris)</t>
  </si>
  <si>
    <t>GCA Altium</t>
  </si>
  <si>
    <t>Produzione creme e centri spa</t>
  </si>
  <si>
    <t>Project BioTech</t>
  </si>
  <si>
    <t>Macchine ad alta precisione per il settore medicale</t>
  </si>
  <si>
    <t>subcontracting di</t>
  </si>
  <si>
    <t>GBA</t>
  </si>
  <si>
    <t>TCI</t>
  </si>
  <si>
    <t>Project Space</t>
  </si>
  <si>
    <t>Interesse generale in aerospace, nessun obiettivo specifico</t>
  </si>
  <si>
    <t>Avéze - Caffo</t>
  </si>
  <si>
    <t>Project Fast Lane</t>
  </si>
  <si>
    <t>Crosbie - GMAP</t>
  </si>
  <si>
    <t>Produzione di segnaletica led</t>
  </si>
  <si>
    <t>First Finance (Project Premium)</t>
  </si>
  <si>
    <t>Società di corsi aziendali e certificati online</t>
  </si>
  <si>
    <t>Suze - Caffo</t>
  </si>
  <si>
    <t>Picon - Caffo</t>
  </si>
  <si>
    <t>Tool Form. Cond.</t>
  </si>
  <si>
    <t>In Touch - Positive</t>
  </si>
  <si>
    <t>Negative</t>
  </si>
  <si>
    <t>Ongoing</t>
  </si>
  <si>
    <t>No Answer</t>
  </si>
  <si>
    <t>Stream</t>
  </si>
  <si>
    <t>Contact @BCA</t>
  </si>
  <si>
    <t>2° 
Re-call</t>
  </si>
  <si>
    <t>Outcome</t>
  </si>
  <si>
    <t>Expoferroviaria</t>
  </si>
  <si>
    <t>Margaritelli Ferroviaria SpA</t>
  </si>
  <si>
    <t>Pending</t>
  </si>
  <si>
    <t>MW Fep SpA</t>
  </si>
  <si>
    <t>Officine Mario Dorin SpA</t>
  </si>
  <si>
    <t>MB Elettronica Srl</t>
  </si>
  <si>
    <t>Prima Electro SpA</t>
  </si>
  <si>
    <t>Eredi Giuseppe Mercuri SpA</t>
  </si>
  <si>
    <t>Sitav SpA</t>
  </si>
  <si>
    <t>Intercable tools Srl</t>
  </si>
  <si>
    <t>Euromecc Srl</t>
  </si>
  <si>
    <t>Jampel Srl</t>
  </si>
  <si>
    <t>Gally SpA</t>
  </si>
  <si>
    <t>M. Pavani Segnalamento Ferroviario Srl</t>
  </si>
  <si>
    <t>Elettromeccanica L.A. Srl</t>
  </si>
  <si>
    <t>CPA Elettronica</t>
  </si>
  <si>
    <t>A.M.R.A, SpA</t>
  </si>
  <si>
    <t>Soliani EMC Srl</t>
  </si>
  <si>
    <t>ALPI S.p.A.</t>
  </si>
  <si>
    <t>00139520407</t>
  </si>
  <si>
    <t>Prodotti in legno</t>
  </si>
  <si>
    <t>Vittorio Alpi</t>
  </si>
  <si>
    <t>Idrogeno</t>
  </si>
  <si>
    <t>Sofinter Spa</t>
  </si>
  <si>
    <t>NMO</t>
  </si>
  <si>
    <t>F.I.P. Formatura Iniezione Polimeri - S.P.A.</t>
  </si>
  <si>
    <t>Pietro Fiorentini SpA</t>
  </si>
  <si>
    <t>Nordmeccanica S.P.A.</t>
  </si>
  <si>
    <t>Safe S.P.A.</t>
  </si>
  <si>
    <t>Tecnogen S.P.A.</t>
  </si>
  <si>
    <t>Telema S.P.A.</t>
  </si>
  <si>
    <t>Fluorten S.R.L.</t>
  </si>
  <si>
    <t>Precision Fluid Controls Srl</t>
  </si>
  <si>
    <t>Sra Instruments S.P.A.</t>
  </si>
  <si>
    <t>Theonilde S.R.L.</t>
  </si>
  <si>
    <t>Idrotecnica - S.R.L.</t>
  </si>
  <si>
    <t>Erredue S.P.A.</t>
  </si>
  <si>
    <t>LI</t>
  </si>
  <si>
    <t>Af Systems Societa' Per Azioni</t>
  </si>
  <si>
    <t>Danetech S.R.L.</t>
  </si>
  <si>
    <t>Wegh Group</t>
  </si>
  <si>
    <t>Produzione componenti ferroviari</t>
  </si>
  <si>
    <t>Marco Ranzieri</t>
  </si>
  <si>
    <t>Regnoli</t>
  </si>
  <si>
    <t>Produzione di sughi, zuppe e antipasti di mare (marchio Medusa)</t>
  </si>
  <si>
    <t>Mauro Regnoli</t>
  </si>
  <si>
    <t>Molino Nicoli</t>
  </si>
  <si>
    <t>Produzione di cereali e polente</t>
  </si>
  <si>
    <t>Stefano Nicoli</t>
  </si>
  <si>
    <t>Servizi</t>
  </si>
  <si>
    <t>In touch - Positive</t>
  </si>
  <si>
    <t xml:space="preserve">Paack </t>
  </si>
  <si>
    <t>Barcellona</t>
  </si>
  <si>
    <t>Logistica</t>
  </si>
  <si>
    <t>Logistica e trasporti</t>
  </si>
  <si>
    <t>Vector S.p.A.</t>
  </si>
  <si>
    <t>Roberto Buttà</t>
  </si>
  <si>
    <t>Family office - Brembo</t>
  </si>
  <si>
    <t>Family office</t>
  </si>
  <si>
    <t>Family office famiglia Bombassei</t>
  </si>
  <si>
    <t>Cembre Spa</t>
  </si>
  <si>
    <t>A.L.A. SpA</t>
  </si>
  <si>
    <t>Fibre Net SpA</t>
  </si>
  <si>
    <t>Packaging e Machinary</t>
  </si>
  <si>
    <t>Produzione di camere bianche</t>
  </si>
  <si>
    <t>FARMACEUTICI DAMOR SPA</t>
  </si>
  <si>
    <t>IGEA SpA</t>
  </si>
  <si>
    <t>Medical Devices</t>
  </si>
  <si>
    <t>ICI Caldaie</t>
  </si>
  <si>
    <t>Arco spedizioni</t>
  </si>
  <si>
    <t>Samag Holding Logistics</t>
  </si>
  <si>
    <t>Holding di investimeto</t>
  </si>
  <si>
    <t xml:space="preserve">Holding di investimento con focus logistica </t>
  </si>
  <si>
    <t>Search fund di Simone Botti e Marco Polato</t>
  </si>
  <si>
    <t>Ceva Logistics</t>
  </si>
  <si>
    <t>Trasporto e logistica</t>
  </si>
  <si>
    <t>Società attiva nella logistica e soluzioni per e-commerce</t>
  </si>
  <si>
    <t>Arvato - Italia</t>
  </si>
  <si>
    <t>Fulfillment logistics</t>
  </si>
  <si>
    <t>ID Logistics</t>
  </si>
  <si>
    <t>Società attiva nel trasporto e logistica</t>
  </si>
  <si>
    <t>PLAST</t>
  </si>
  <si>
    <t>ITMA</t>
  </si>
  <si>
    <t>00216410126</t>
  </si>
  <si>
    <t>Avvolgitori e macchine per filati</t>
  </si>
  <si>
    <t>01960870242</t>
  </si>
  <si>
    <t>Macchine per finissaggio, termostampa, asciugatura dei tessuti</t>
  </si>
  <si>
    <t>01696910155</t>
  </si>
  <si>
    <t>Macchine e sistemi per il maneggiamento di bobine</t>
  </si>
  <si>
    <t xml:space="preserve">02277320970 </t>
  </si>
  <si>
    <t>01792820241</t>
  </si>
  <si>
    <t>Colorants</t>
  </si>
  <si>
    <t>Additivi</t>
  </si>
  <si>
    <t>De Martini Bayart &amp; Textbibra</t>
  </si>
  <si>
    <t>02112120023</t>
  </si>
  <si>
    <t>Produzione di fibre tessili</t>
  </si>
  <si>
    <t>Higher Education</t>
  </si>
  <si>
    <t>Secondo Martino</t>
  </si>
  <si>
    <t>Myes School</t>
  </si>
  <si>
    <t>06163310482</t>
  </si>
  <si>
    <t>Corsi di lingua inglese</t>
  </si>
  <si>
    <t>10537470014</t>
  </si>
  <si>
    <t>Scuola internazionale 0-14</t>
  </si>
  <si>
    <t>Scuola internazionale 11-19</t>
  </si>
  <si>
    <t>International School in Genoa</t>
  </si>
  <si>
    <t>03766040103</t>
  </si>
  <si>
    <t>Agenzia formativa Dante Alighieri</t>
  </si>
  <si>
    <t>Corsi di informatica, grafica e web</t>
  </si>
  <si>
    <t>Skill assesment e upskilling</t>
  </si>
  <si>
    <t>Vendita di cover</t>
  </si>
  <si>
    <t>Andrea Bernabi</t>
  </si>
  <si>
    <t xml:space="preserve">Talentform </t>
  </si>
  <si>
    <t>Corsi professionalizzanti</t>
  </si>
  <si>
    <t xml:space="preserve">Upskilling </t>
  </si>
  <si>
    <t>Isfom</t>
  </si>
  <si>
    <t>Corsi per personale marittimo</t>
  </si>
  <si>
    <t>Florence University of the Arts</t>
  </si>
  <si>
    <t>Formazione ICT e Digital</t>
  </si>
  <si>
    <t>Mediazione Linguistica Perugia</t>
  </si>
  <si>
    <t>Laurea mediazione linguistica</t>
  </si>
  <si>
    <t>Tuttoambiente</t>
  </si>
  <si>
    <t>Corsi ambientali</t>
  </si>
  <si>
    <t>Beta formazione</t>
  </si>
  <si>
    <t>Sau (Skills4U)</t>
  </si>
  <si>
    <t xml:space="preserve">Formel </t>
  </si>
  <si>
    <t>Metrika</t>
  </si>
  <si>
    <t>Intra S.r.l.</t>
  </si>
  <si>
    <t>01568290173</t>
  </si>
  <si>
    <t>Luca Turelli</t>
  </si>
  <si>
    <t>Pj Natta</t>
  </si>
  <si>
    <t>Geberit</t>
  </si>
  <si>
    <t>Christian Buhl</t>
  </si>
  <si>
    <t>Watts Water Technologies</t>
  </si>
  <si>
    <t>Fabrizio Fedrizzi</t>
  </si>
  <si>
    <t>Sunino</t>
  </si>
  <si>
    <t>Laura Sunino</t>
  </si>
  <si>
    <t>Purmo Group (F.I.V. in Italia)</t>
  </si>
  <si>
    <t>Finlandia</t>
  </si>
  <si>
    <t>Erik Hedin</t>
  </si>
  <si>
    <t>Caleffi</t>
  </si>
  <si>
    <t>Marco Caleffi</t>
  </si>
  <si>
    <t>Carlo Poletti</t>
  </si>
  <si>
    <t xml:space="preserve">Stefano Poletti </t>
  </si>
  <si>
    <t>Italia</t>
  </si>
  <si>
    <t>Michael Postinghel</t>
  </si>
  <si>
    <t>H2 Equity Partners</t>
  </si>
  <si>
    <t>Gert Jan van der Hoeven</t>
  </si>
  <si>
    <t>Mediaworld (Cekonomy)</t>
  </si>
  <si>
    <t>Luca Bradaschia, CEO
Emanuele Cosimelli, CFO</t>
  </si>
  <si>
    <t xml:space="preserve">Massimo Dell'Acqua </t>
  </si>
  <si>
    <t>Pj Darsena</t>
  </si>
  <si>
    <t>Vistar</t>
  </si>
  <si>
    <t>Caramelle</t>
  </si>
  <si>
    <t>Piemonte 2</t>
  </si>
  <si>
    <t>L.A.R.C. - S.P.A.</t>
  </si>
  <si>
    <t>02226050017</t>
  </si>
  <si>
    <t>Pj Hydra</t>
  </si>
  <si>
    <t>Laminazione sottile Spa</t>
  </si>
  <si>
    <t xml:space="preserve"> 00289760639</t>
  </si>
  <si>
    <t>Steel</t>
  </si>
  <si>
    <t>Lavorazione dell'alluminio</t>
  </si>
  <si>
    <t>I.C.A.S. - INDUSTRIA CANAVESANA ATTREZZATURE SPECIALI S.P.A .</t>
  </si>
  <si>
    <t>Food &amp; Beverage</t>
  </si>
  <si>
    <t>SUNINO S.P.A.</t>
  </si>
  <si>
    <t>Scuola internazionale 0-19 anni</t>
  </si>
  <si>
    <t>NUO - Healthy Food</t>
  </si>
  <si>
    <t>CA.DI.GROUP S.P.A.,</t>
  </si>
  <si>
    <t>ricerca e sviluppo di prodotti nutraceutici</t>
  </si>
  <si>
    <t>TECNOLOGIE AVANZATE T.A. - S.R.L.</t>
  </si>
  <si>
    <t>02008340016</t>
  </si>
  <si>
    <t>SIRELMA GROUP S.R.L.</t>
  </si>
  <si>
    <t>03715670018</t>
  </si>
  <si>
    <t>Piemonte</t>
  </si>
  <si>
    <t>Molino Peila</t>
  </si>
  <si>
    <t>00476350012</t>
  </si>
  <si>
    <t>Farine gluten-free</t>
  </si>
  <si>
    <t>EUROFORK S.P.A.</t>
  </si>
  <si>
    <t>07953860017</t>
  </si>
  <si>
    <t>ERRECINQUE S.R.L.</t>
  </si>
  <si>
    <t>Angelo Domini</t>
  </si>
  <si>
    <t>YIES School (sell side)</t>
  </si>
  <si>
    <t>Abruzzo</t>
  </si>
  <si>
    <t>Eurofil S.r.l.</t>
  </si>
  <si>
    <t>Miscellaneous</t>
  </si>
  <si>
    <t>Cleca</t>
  </si>
  <si>
    <t>WBI - Healthcare</t>
  </si>
  <si>
    <t>Umbria</t>
  </si>
  <si>
    <t>Urbani Tartufi</t>
  </si>
  <si>
    <t>02554550547</t>
  </si>
  <si>
    <t>Commercio di tartufi</t>
  </si>
  <si>
    <t>Lazio</t>
  </si>
  <si>
    <t>Fiera HOST</t>
  </si>
  <si>
    <t>Moretti Forni S.P.A.</t>
  </si>
  <si>
    <t>PU</t>
  </si>
  <si>
    <t>Forni professionali</t>
  </si>
  <si>
    <t>In touch - Negative</t>
  </si>
  <si>
    <t>Wise</t>
  </si>
  <si>
    <t>SIR Safety System S.P.A.</t>
  </si>
  <si>
    <t>Produzione abbigliamento da lavoro</t>
  </si>
  <si>
    <t>PRODECO PHARMA SRL</t>
  </si>
  <si>
    <t>DASIT SPA</t>
  </si>
  <si>
    <t>FARMIGEA SPA</t>
  </si>
  <si>
    <t>Gemels S.P.A.</t>
  </si>
  <si>
    <t>Ritmo Spa</t>
  </si>
  <si>
    <t>Fimic Srl</t>
  </si>
  <si>
    <t>PJ TIFAANI</t>
  </si>
  <si>
    <t>Bucci Industries</t>
  </si>
  <si>
    <t>IT02040400398</t>
  </si>
  <si>
    <t>Automazione e robotica industriale</t>
  </si>
  <si>
    <t>Tomaso Tarozzi</t>
  </si>
  <si>
    <t>Gruppo Biesse</t>
  </si>
  <si>
    <t>00113220412</t>
  </si>
  <si>
    <t>Produzione di macchine per lavorazioehn vetro, legno, pietra, materie plastiche e conmposite</t>
  </si>
  <si>
    <t>Giancarlo Selci</t>
  </si>
  <si>
    <t>Nord Italia</t>
  </si>
  <si>
    <t>Lampa</t>
  </si>
  <si>
    <t>accessori per auto</t>
  </si>
  <si>
    <t>Transfer Oil</t>
  </si>
  <si>
    <t>Tubi termoplastici</t>
  </si>
  <si>
    <t>Bocon</t>
  </si>
  <si>
    <t>Produzione di zuppe e sughi freschi</t>
  </si>
  <si>
    <t>Luca Ricci</t>
  </si>
  <si>
    <t>Irinox S.P.A.</t>
  </si>
  <si>
    <t>Quadri elettrici acciaio inox
Frigoriferi professionali inox
Refrigeratori domestici (abbattitori)</t>
  </si>
  <si>
    <t>Tierre Group S.P.A.</t>
  </si>
  <si>
    <t>Valvole per liquidi, gas, aria compressa, per automazione e alimentari</t>
  </si>
  <si>
    <t>Ing. Polin E C. S.P.A.</t>
  </si>
  <si>
    <t>Macchinari per biscottifici</t>
  </si>
  <si>
    <t>R.P.E. S.R.L.</t>
  </si>
  <si>
    <t>Elettrovalvole per diverse applicazioni, perlopiù macchinari ed elettrodomestici</t>
  </si>
  <si>
    <t>Cold Line S.R.L.</t>
  </si>
  <si>
    <t>Abbattitori, frigoriferi e simili</t>
  </si>
  <si>
    <t>Giorik S.P.A.</t>
  </si>
  <si>
    <t>Forni e fornelli professionali</t>
  </si>
  <si>
    <t>Delfin S.R.L.</t>
  </si>
  <si>
    <t>Aspiratori industriali</t>
  </si>
  <si>
    <t>Tecnoinox S.R.L.</t>
  </si>
  <si>
    <t>Cucine acciaio professionali</t>
  </si>
  <si>
    <t>Tagliavini S.P.A.</t>
  </si>
  <si>
    <t>Forni industriali e sistemi raffreddamento professionali</t>
  </si>
  <si>
    <t>Studio 54 Srl</t>
  </si>
  <si>
    <t>Frigoriferi professionali</t>
  </si>
  <si>
    <t>Sirman S.P.A.</t>
  </si>
  <si>
    <t>Affettatrici e simili</t>
  </si>
  <si>
    <t>Aristarco S.P.A.</t>
  </si>
  <si>
    <t>Lavstoviglie professionali e macchine per il ghiaccio</t>
  </si>
  <si>
    <t>Produzione di pizze precotte</t>
  </si>
  <si>
    <t>Roberto Galati</t>
  </si>
  <si>
    <t>J.I. Forma</t>
  </si>
  <si>
    <t>03339980546</t>
  </si>
  <si>
    <t>Corsi formazione professionale</t>
  </si>
  <si>
    <t>Co.P.A.T</t>
  </si>
  <si>
    <t>01921340012</t>
  </si>
  <si>
    <t>Tecnoss</t>
  </si>
  <si>
    <t>07524260010</t>
  </si>
  <si>
    <t>Punto Pack Srl</t>
  </si>
  <si>
    <t>Stampaggio materie plastiche</t>
  </si>
  <si>
    <t>Roberto Nisica</t>
  </si>
  <si>
    <t>Aliaxis (Redi Spa)</t>
  </si>
  <si>
    <t>Belgio</t>
  </si>
  <si>
    <t>Daniel Di Tullio</t>
  </si>
  <si>
    <t>Arcelik</t>
  </si>
  <si>
    <t>Turchia</t>
  </si>
  <si>
    <t>Özkan Çimen</t>
  </si>
  <si>
    <t>Opontia</t>
  </si>
  <si>
    <t>UAE</t>
  </si>
  <si>
    <t>Orhan Burak Erdinc</t>
  </si>
  <si>
    <t>Rewe (Penny Market)</t>
  </si>
  <si>
    <t>Nicola Pierdomenico</t>
  </si>
  <si>
    <t>MD</t>
  </si>
  <si>
    <t>Carlo Liberti</t>
  </si>
  <si>
    <t>Gruppo Percassi</t>
  </si>
  <si>
    <t>Matteo Morandi</t>
  </si>
  <si>
    <t>Next14</t>
  </si>
  <si>
    <t>Marco Brandstetter</t>
  </si>
  <si>
    <t>Mediamond</t>
  </si>
  <si>
    <t>Davide Mondo</t>
  </si>
  <si>
    <t>Toscana</t>
  </si>
  <si>
    <t>Edra Spa</t>
  </si>
  <si>
    <t>Se.Fi. Ambiente</t>
  </si>
  <si>
    <t xml:space="preserve">02405830270 </t>
  </si>
  <si>
    <t>Smaltimento di rifiuti pericolosi</t>
  </si>
  <si>
    <t>CDZ VINI S.R.L. LA SOCIETA' PER IL CONFEZIONAMENTO E LA COMMERCIALIZZAZIONE DEI PROPRI PRODOTTI, POTRA' ANCHE UTILIZZARE I SEGUENTI MARCHI E DENOMINAZIONI: CANDONI WINES, CARLETTO, TERRACOTTA, TENUTA POLVARO, POLVARO, DECA, CB, DZ, CD, MP, SORELLE DE ZAN</t>
  </si>
  <si>
    <t>01566130058</t>
  </si>
  <si>
    <t>PHARMALIFE RESEARCH S.R.L.</t>
  </si>
  <si>
    <t>02650800168</t>
  </si>
  <si>
    <t>produzione e distribuzione di integratori alimentari, dermocosmetici e dispositivi medici,</t>
  </si>
  <si>
    <t>PHARMA LINE S.R.L.</t>
  </si>
  <si>
    <t>01492260201</t>
  </si>
  <si>
    <t>Produzione di integratori alimentari, dermocosmetici e dispositivi medici</t>
  </si>
  <si>
    <t>Texol S.r.l.</t>
  </si>
  <si>
    <t>01768520684</t>
  </si>
  <si>
    <t>Progettazione e produzione di film forati elastici</t>
  </si>
  <si>
    <t xml:space="preserve">Goma Elettronica </t>
  </si>
  <si>
    <t>Sterne International S.p.A. (Lorena Antoniazzi)</t>
  </si>
  <si>
    <t>01913370548</t>
  </si>
  <si>
    <t>Claudia Pasqualini</t>
  </si>
  <si>
    <t>Brunello Cucinelli S.p.A.</t>
  </si>
  <si>
    <t>01886120540</t>
  </si>
  <si>
    <t>Produzione di maglieria pregiata in cashmere</t>
  </si>
  <si>
    <t>Fabio Rondini</t>
  </si>
  <si>
    <t>AEG Group</t>
  </si>
  <si>
    <t>Produzione di sistemi di illuminazione</t>
  </si>
  <si>
    <t>Aristide Stucchi</t>
  </si>
  <si>
    <t>Autec S.r.l.</t>
  </si>
  <si>
    <t>Telecomandi per macchinari</t>
  </si>
  <si>
    <t>ALA Officine S.p.A.</t>
  </si>
  <si>
    <t xml:space="preserve">Componenti per macchinari industriali e da cantiere </t>
  </si>
  <si>
    <t>AV</t>
  </si>
  <si>
    <t>Della Casa Reti Srl</t>
  </si>
  <si>
    <t>Colmec Spa</t>
  </si>
  <si>
    <t>Zambello Riduttori Srl</t>
  </si>
  <si>
    <t>Orp Stampi Srl</t>
  </si>
  <si>
    <t>Caldara Plast Srl</t>
  </si>
  <si>
    <t>Gefit Spa</t>
  </si>
  <si>
    <t xml:space="preserve">Ital Trans Spa </t>
  </si>
  <si>
    <t>CAL Srl Servizi Logistici</t>
  </si>
  <si>
    <t xml:space="preserve">Gruppo Tiesse </t>
  </si>
  <si>
    <t>Logistica Uno Europe</t>
  </si>
  <si>
    <t>Susa Spa</t>
  </si>
  <si>
    <t>CMA CGM Ventures</t>
  </si>
  <si>
    <t xml:space="preserve">Fondo di Venture capital di CMA CGM </t>
  </si>
  <si>
    <t>Torello Trasporti</t>
  </si>
  <si>
    <t>Renato Lusa</t>
  </si>
  <si>
    <t>Produzione packaging flessibile in carta e materiali riciclabili</t>
  </si>
  <si>
    <t>Pilot Italia</t>
  </si>
  <si>
    <t>Produzione di etichette autoadesive e soluzioni packaging tailor made</t>
  </si>
  <si>
    <t>Siparex</t>
  </si>
  <si>
    <t>Fondo di private equity</t>
  </si>
  <si>
    <t>GXO Logistics</t>
  </si>
  <si>
    <t>Trasporto, logistica e supply chain management</t>
  </si>
  <si>
    <t>GRUPPO BIOIMPIANTI S.R.L.</t>
  </si>
  <si>
    <t>Monforte Capital</t>
  </si>
  <si>
    <t xml:space="preserve">Search fund di Konrad Jakubowski </t>
  </si>
  <si>
    <t>Inter Globo</t>
  </si>
  <si>
    <t>Nota:relazione avv. Rio</t>
  </si>
  <si>
    <t>ALFA INTES INDUSTRIA TERAPEUTICA SPLENDORE S.R.L.</t>
  </si>
  <si>
    <t>GENERAL MEDICAL MERATE - S.P.A.</t>
  </si>
  <si>
    <t>OROFINO PHARMA GROUP SPA</t>
  </si>
  <si>
    <t>VALPHARMA SPA</t>
  </si>
  <si>
    <t>ZETA FARMACEUTICI SPA</t>
  </si>
  <si>
    <t>MONICO SPA</t>
  </si>
  <si>
    <t>PHARMACEUTICAL DEVELOPMENT AND SERVICES S.R.L. - PHARMA D&amp;S S.R.L.</t>
  </si>
  <si>
    <t>Bonino Carding Machines Srl</t>
  </si>
  <si>
    <t>00151490026</t>
  </si>
  <si>
    <t>Macchinari per la preparazione della fibra e per la cardatura</t>
  </si>
  <si>
    <t>Sapio</t>
  </si>
  <si>
    <t xml:space="preserve">Officine Meccaniche Rezzatesi </t>
  </si>
  <si>
    <t>00293420170</t>
  </si>
  <si>
    <t>Componenti e soluzioni meccaniche per l'automotive</t>
  </si>
  <si>
    <t xml:space="preserve">Detersivi </t>
  </si>
  <si>
    <t>Nuncas Italia S.p.A.</t>
  </si>
  <si>
    <t>04064170154</t>
  </si>
  <si>
    <t>Produzione di detersivi</t>
  </si>
  <si>
    <t xml:space="preserve">Università della Farina - Petra </t>
  </si>
  <si>
    <t>Università della farina</t>
  </si>
  <si>
    <t>Lucio Quaglia</t>
  </si>
  <si>
    <t>Caseificio Longo S.r.l.</t>
  </si>
  <si>
    <t>Dairy</t>
  </si>
  <si>
    <t>Busti Formaggi S.p.A</t>
  </si>
  <si>
    <t>Valgrana S.p.A</t>
  </si>
  <si>
    <t>CU</t>
  </si>
  <si>
    <t>Agenzia formativa</t>
  </si>
  <si>
    <t>Corsi di formazione e master</t>
  </si>
  <si>
    <t>Guirreri Vito</t>
  </si>
  <si>
    <t xml:space="preserve">Orienta Campus </t>
  </si>
  <si>
    <t>Alessandro Galantuomo</t>
  </si>
  <si>
    <t>Secco Sistemi</t>
  </si>
  <si>
    <t>Serramenti in alluminio</t>
  </si>
  <si>
    <t>Universal Pack</t>
  </si>
  <si>
    <t>Macchine imbustatrici verticali</t>
  </si>
  <si>
    <t>DNP Industriale</t>
  </si>
  <si>
    <t>Innesti rapidi e valvole</t>
  </si>
  <si>
    <t>Gallazzini</t>
  </si>
  <si>
    <t>Rubinetteria e accessori</t>
  </si>
  <si>
    <t>Mecal</t>
  </si>
  <si>
    <t>Cablaggio</t>
  </si>
  <si>
    <t>Evoluzione Academy</t>
  </si>
  <si>
    <t>02021470972</t>
  </si>
  <si>
    <t>Corsi per energy broker</t>
  </si>
  <si>
    <t>Aviomar</t>
  </si>
  <si>
    <t>05888830584</t>
  </si>
  <si>
    <t>Brevetto pilota di linea</t>
  </si>
  <si>
    <t>Ursus</t>
  </si>
  <si>
    <t>Produzione di componenti per biciclette</t>
  </si>
  <si>
    <t>Mirko Ferronato</t>
  </si>
  <si>
    <t>Naturello</t>
  </si>
  <si>
    <t>Leonardo Buratti</t>
  </si>
  <si>
    <t>Fumagalli</t>
  </si>
  <si>
    <t>Chiara Fumagalli</t>
  </si>
  <si>
    <t>Gally</t>
  </si>
  <si>
    <t>02576100016</t>
  </si>
  <si>
    <t>Olivari B</t>
  </si>
  <si>
    <t>00124540030</t>
  </si>
  <si>
    <t>Specialinsert</t>
  </si>
  <si>
    <t>01037430012</t>
  </si>
  <si>
    <t>Turmond</t>
  </si>
  <si>
    <t>00962440012</t>
  </si>
  <si>
    <t>Abea</t>
  </si>
  <si>
    <t>05102840963</t>
  </si>
  <si>
    <t>Corsi di formazione e riqualificazione professionale</t>
  </si>
  <si>
    <t>Iscuola</t>
  </si>
  <si>
    <t>03753700982</t>
  </si>
  <si>
    <t>Diploma di maturità online</t>
  </si>
  <si>
    <t>Accademia Liliana Paduano</t>
  </si>
  <si>
    <t>NP</t>
  </si>
  <si>
    <t>06980361213</t>
  </si>
  <si>
    <t>IRFID</t>
  </si>
  <si>
    <t>08149911219</t>
  </si>
  <si>
    <t>Corsi per le professioni dell'infanzia</t>
  </si>
  <si>
    <t>Mentora</t>
  </si>
  <si>
    <t>13875861000</t>
  </si>
  <si>
    <t>Italian Image Institute</t>
  </si>
  <si>
    <t>09931590963</t>
  </si>
  <si>
    <t>Corsi di image</t>
  </si>
  <si>
    <t>Open Source Management</t>
  </si>
  <si>
    <t>03818030409</t>
  </si>
  <si>
    <t>Smart skills center</t>
  </si>
  <si>
    <t>01767910431</t>
  </si>
  <si>
    <t>Consulenza HR e formazione personale</t>
  </si>
  <si>
    <t>Eurointerim Servizi</t>
  </si>
  <si>
    <t>03843250287</t>
  </si>
  <si>
    <t>Corsi formazione obbligatoria</t>
  </si>
  <si>
    <t xml:space="preserve">Scuola Radio Elettra </t>
  </si>
  <si>
    <t>00207260548</t>
  </si>
  <si>
    <t>Agorà Network</t>
  </si>
  <si>
    <t>03866690286</t>
  </si>
  <si>
    <t>Corsi Terna / Enel / Openfiber</t>
  </si>
  <si>
    <t>Anbeca</t>
  </si>
  <si>
    <t>CH</t>
  </si>
  <si>
    <t>02457450696</t>
  </si>
  <si>
    <t>Centro Studi Socrate</t>
  </si>
  <si>
    <t>LT</t>
  </si>
  <si>
    <t>02528310598</t>
  </si>
  <si>
    <t>Forma Mentis</t>
  </si>
  <si>
    <t>02352160994</t>
  </si>
  <si>
    <t>Consulenza e formazione professionale</t>
  </si>
  <si>
    <t>I.T.A.</t>
  </si>
  <si>
    <t>01593590605</t>
  </si>
  <si>
    <t>Liberior S.r.l.</t>
  </si>
  <si>
    <t>04314970965</t>
  </si>
  <si>
    <t>Corsi di formazione</t>
  </si>
  <si>
    <t xml:space="preserve">Tax and Legal Advisor </t>
  </si>
  <si>
    <t>14433461002</t>
  </si>
  <si>
    <t>Formazione Giuridica</t>
  </si>
  <si>
    <t>03266791205</t>
  </si>
  <si>
    <t>Corsi di giurisprudenza</t>
  </si>
  <si>
    <t>Accademia Italiana di Alta Formazione Ferroviaria</t>
  </si>
  <si>
    <t>14877841008</t>
  </si>
  <si>
    <t>Corsi macchinisti treni</t>
  </si>
  <si>
    <t>Accademia Britannica</t>
  </si>
  <si>
    <t>CB</t>
  </si>
  <si>
    <t>01567210701</t>
  </si>
  <si>
    <t>Corsi d'inglese</t>
  </si>
  <si>
    <t>Fondo Proserpina</t>
  </si>
  <si>
    <t>91045090866</t>
  </si>
  <si>
    <t>Corsi medicina in lingua rumena</t>
  </si>
  <si>
    <t>Adiuva</t>
  </si>
  <si>
    <t>06279150962</t>
  </si>
  <si>
    <t>Scuole e università</t>
  </si>
  <si>
    <t>Intelliform</t>
  </si>
  <si>
    <t>04139360962</t>
  </si>
  <si>
    <t>Agenzia per il lavoro e servizi di formazione</t>
  </si>
  <si>
    <t>Vega Formazione</t>
  </si>
  <si>
    <t>03929800278</t>
  </si>
  <si>
    <t xml:space="preserve">Omniavis </t>
  </si>
  <si>
    <t>05661600485</t>
  </si>
  <si>
    <t>A.B. Formazione</t>
  </si>
  <si>
    <t>01755600622</t>
  </si>
  <si>
    <t>Laurea e master</t>
  </si>
  <si>
    <t>Florence Design Academy</t>
  </si>
  <si>
    <t>06249460483</t>
  </si>
  <si>
    <t>Università e master</t>
  </si>
  <si>
    <t>Iervolino Scuole</t>
  </si>
  <si>
    <t>06322991214</t>
  </si>
  <si>
    <t>Recupero anni scolastici</t>
  </si>
  <si>
    <t xml:space="preserve">Icom Educational </t>
  </si>
  <si>
    <t>08275160961</t>
  </si>
  <si>
    <t>Laurea in fisioterapia</t>
  </si>
  <si>
    <t>C.A.S.T. Alimenti</t>
  </si>
  <si>
    <t>03377040179</t>
  </si>
  <si>
    <t>Corsi di alta cucina</t>
  </si>
  <si>
    <t>BYG Training Company</t>
  </si>
  <si>
    <t>11043760963</t>
  </si>
  <si>
    <t>Corsi educazione finanziaria</t>
  </si>
  <si>
    <t xml:space="preserve">Istituto Modartech </t>
  </si>
  <si>
    <t>01846640504</t>
  </si>
  <si>
    <t>Master e Corsi fashion</t>
  </si>
  <si>
    <t>Lex Iuris</t>
  </si>
  <si>
    <t>03918631205</t>
  </si>
  <si>
    <t>Corsi giurisprudenza</t>
  </si>
  <si>
    <t>Scuola Leonardo Da Vinci Roma</t>
  </si>
  <si>
    <t>06372420585</t>
  </si>
  <si>
    <t>Corsi di italiano e formazione professionale</t>
  </si>
  <si>
    <t>Fornara</t>
  </si>
  <si>
    <t>Mario Fornara</t>
  </si>
  <si>
    <t>Danfoss</t>
  </si>
  <si>
    <t>Danimarca</t>
  </si>
  <si>
    <t>Kim Fausing</t>
  </si>
  <si>
    <t>Uponor</t>
  </si>
  <si>
    <t>Michael Rauterkus</t>
  </si>
  <si>
    <t>Giacomini</t>
  </si>
  <si>
    <t>Stefano Lazzari</t>
  </si>
  <si>
    <t>IBP Group (Conex Banninger e MasterFlow)</t>
  </si>
  <si>
    <t>Mano Bakhtiari</t>
  </si>
  <si>
    <t>Finazzi Dolciaria</t>
  </si>
  <si>
    <t>02804150163</t>
  </si>
  <si>
    <t>Produzione di caramelle</t>
  </si>
  <si>
    <t>Pietro Fnazzi</t>
  </si>
  <si>
    <t>Emilio Finazzi</t>
  </si>
  <si>
    <t>Bulgari Agostino</t>
  </si>
  <si>
    <t>00629190984</t>
  </si>
  <si>
    <t>Produzione di marshmallow</t>
  </si>
  <si>
    <t>Riccardo Bulgari</t>
  </si>
  <si>
    <t>Roberto Bulgari</t>
  </si>
  <si>
    <t>AM Gest</t>
  </si>
  <si>
    <t>Massimo Vecchio
Andrea Schinetti</t>
  </si>
  <si>
    <t>Tedi</t>
  </si>
  <si>
    <t>Stefan Heinig</t>
  </si>
  <si>
    <t>Wehkamp Group</t>
  </si>
  <si>
    <t>Olanda</t>
  </si>
  <si>
    <t>Bruno Candelier</t>
  </si>
  <si>
    <t>AO.Com</t>
  </si>
  <si>
    <t>Alistair Clarke</t>
  </si>
  <si>
    <t>Arena.pl</t>
  </si>
  <si>
    <t>Łukasz Parafianowicz</t>
  </si>
  <si>
    <t>Carrefour</t>
  </si>
  <si>
    <t>Christophe Rabatel</t>
  </si>
  <si>
    <t>Comet</t>
  </si>
  <si>
    <t>Davide Cervellati
Marco Cervellati</t>
  </si>
  <si>
    <t>Dixon Carphone</t>
  </si>
  <si>
    <t>Chris Hillman</t>
  </si>
  <si>
    <t>Massimo Ebelli</t>
  </si>
  <si>
    <t>Eurospin</t>
  </si>
  <si>
    <t>Marco Pozzi</t>
  </si>
  <si>
    <t>Lidl</t>
  </si>
  <si>
    <t>Massimiliano Silvestri</t>
  </si>
  <si>
    <t xml:space="preserve">D.a.t.e. </t>
  </si>
  <si>
    <t>05584150485</t>
  </si>
  <si>
    <t>Brand di sneakers</t>
  </si>
  <si>
    <t>Cartiere Modesto Cardella S.p.A.</t>
  </si>
  <si>
    <t>00258770460</t>
  </si>
  <si>
    <t>Produttore di cartone ondulato</t>
  </si>
  <si>
    <t>Liguria</t>
  </si>
  <si>
    <t>F.lli Merano S.p.A.</t>
  </si>
  <si>
    <t>IM</t>
  </si>
  <si>
    <t>01213880089</t>
  </si>
  <si>
    <t>Produttori di olio d'oliva</t>
  </si>
  <si>
    <t xml:space="preserve">Benefis Srl </t>
  </si>
  <si>
    <t>02790240101</t>
  </si>
  <si>
    <t>Rossini's S.r.l.</t>
  </si>
  <si>
    <t>00952030195</t>
  </si>
  <si>
    <t>I.N.C.A.P. S.R.L.</t>
  </si>
  <si>
    <t>02775690247</t>
  </si>
  <si>
    <t>Produzione di caramelle per farmacie e private label</t>
  </si>
  <si>
    <t>GAI MACCHINE S.P.A. SIGLABILE GAI S.P.A. O GAI MACCHINE IMBOTTIGLIATRICI S.P.A.</t>
  </si>
  <si>
    <t>08270700019 </t>
  </si>
  <si>
    <t>FABBRICAZIONE ARTICOLI CASALINGHI E METALLURGICI - F.A.C.E.M. SOCIETA' PER AZIONI O BREVEMENTE FACEM S.P.A.</t>
  </si>
  <si>
    <t>00517250015</t>
  </si>
  <si>
    <t>FUCINE ROSTAGNO - SOCIETA' PER AZIONI</t>
  </si>
  <si>
    <t>00503610016</t>
  </si>
  <si>
    <t>IPAS - S.P.A.</t>
  </si>
  <si>
    <t xml:space="preserve">02495130011 </t>
  </si>
  <si>
    <t>AVIP ITALIA S.R.L.</t>
  </si>
  <si>
    <t>10419630016</t>
  </si>
  <si>
    <t>Comunicazione</t>
  </si>
  <si>
    <t>MARIM S.R.L.</t>
  </si>
  <si>
    <t>07724140012</t>
  </si>
  <si>
    <t>MARIO LEVI S.P.A.</t>
  </si>
  <si>
    <t>05285410014</t>
  </si>
  <si>
    <t xml:space="preserve">Fashion - Conceria </t>
  </si>
  <si>
    <t>GUNA SPA</t>
  </si>
  <si>
    <t>06891420157</t>
  </si>
  <si>
    <t>produzione e distribuzione di medicinali omeopatici</t>
  </si>
  <si>
    <t>Bodega G.&amp;C. Spa</t>
  </si>
  <si>
    <t xml:space="preserve"> 00212760169</t>
  </si>
  <si>
    <t>Trafilatura a freddo</t>
  </si>
  <si>
    <t>Indinvest</t>
  </si>
  <si>
    <t>01420630590</t>
  </si>
  <si>
    <t xml:space="preserve">Britannia International school srl </t>
  </si>
  <si>
    <t>08076451007</t>
  </si>
  <si>
    <t>Scuola internazionale asilo ed elementari (3-11 anni)</t>
  </si>
  <si>
    <t>Alba International School S.r.l.</t>
  </si>
  <si>
    <t>Scuola internazionale elementari e medie</t>
  </si>
  <si>
    <t>The English international school of Padua</t>
  </si>
  <si>
    <t>00217240282</t>
  </si>
  <si>
    <t xml:space="preserve">Minimondo Srl di Berengo Fabiana </t>
  </si>
  <si>
    <t>03416690273</t>
  </si>
  <si>
    <t>Scuola bilignue 0-6 anni</t>
  </si>
  <si>
    <t>L.A.A.S. Lonati Anglo-American School S.r.l.</t>
  </si>
  <si>
    <t>03523720989</t>
  </si>
  <si>
    <t>Scuola  internazionale 6 - 14 anni</t>
  </si>
  <si>
    <t>Umanesimo cristiano Srl - impresa sociale</t>
  </si>
  <si>
    <t>12015411007</t>
  </si>
  <si>
    <t xml:space="preserve">Scuola bilingue asilo nido - medie (1-14 anni) </t>
  </si>
  <si>
    <t>Castelli international school</t>
  </si>
  <si>
    <t>04349041006</t>
  </si>
  <si>
    <t>Scuola internazionale elementari e medie (5-14 anni)</t>
  </si>
  <si>
    <t xml:space="preserve">St. Francis International school srl </t>
  </si>
  <si>
    <t>07100930580</t>
  </si>
  <si>
    <t>Scuola internazionale asilo - medie (3-14 anni)</t>
  </si>
  <si>
    <t>BBE SRL</t>
  </si>
  <si>
    <t>09383750966</t>
  </si>
  <si>
    <t>Scuola bilingue 0-11 anni</t>
  </si>
  <si>
    <t>Educationest S.r.l.</t>
  </si>
  <si>
    <t xml:space="preserve">Peter Pan Bilingual School </t>
  </si>
  <si>
    <t>03909680369</t>
  </si>
  <si>
    <t>Scuola bilingue 3-14</t>
  </si>
  <si>
    <t>Kendale Primary International Schhol Srl</t>
  </si>
  <si>
    <t>14802321001</t>
  </si>
  <si>
    <t>Scuola elementare internazionale 5-11 anni</t>
  </si>
  <si>
    <t>FEBAMETAL S.P.A.</t>
  </si>
  <si>
    <t>06909080019</t>
  </si>
  <si>
    <t>SERIS S.R.L.</t>
  </si>
  <si>
    <t>03479900106</t>
  </si>
  <si>
    <t>raccolta, lavorazione e vendita di erbe spontanee</t>
  </si>
  <si>
    <t>MOVINCAR S.P.A.</t>
  </si>
  <si>
    <t>03616710012</t>
  </si>
  <si>
    <t>TECNOALARM SRL</t>
  </si>
  <si>
    <t xml:space="preserve">01792190017 </t>
  </si>
  <si>
    <t>VAL GIOVANNI E FIGLI S.R.L.</t>
  </si>
  <si>
    <t>00500870019</t>
  </si>
  <si>
    <t>O M P OFFICINE MECCANICHE PIEMONTESI S.R.L.</t>
  </si>
  <si>
    <t>05570370014</t>
  </si>
  <si>
    <t>ALPLAST S.R.L.</t>
  </si>
  <si>
    <t>00983810052</t>
  </si>
  <si>
    <t>SIMPRO S.P.A. SISTEMI E MACCHINE DI PRODUZIONE SIGLABILE SIMPRO S.P.A.</t>
  </si>
  <si>
    <t>08038580018</t>
  </si>
  <si>
    <t>SAN GRATO - SOCIETA' PER AZIONI</t>
  </si>
  <si>
    <t>00511650012</t>
  </si>
  <si>
    <t>ARCOPLASTICA - S.R.L.</t>
  </si>
  <si>
    <t>04690780012</t>
  </si>
  <si>
    <t>M.E.A.T. &amp; D.O.RI.A. S.R.L.</t>
  </si>
  <si>
    <t>04950040016</t>
  </si>
  <si>
    <t>KIOENE S.P.A.</t>
  </si>
  <si>
    <t>01359600283</t>
  </si>
  <si>
    <t>Produzione di prodotti freschi e surgelati a base di proteine vegetali</t>
  </si>
  <si>
    <t>RODA FORGE S.P.A.</t>
  </si>
  <si>
    <t xml:space="preserve">01766610016 </t>
  </si>
  <si>
    <t>ERGOTECH S.R.L.</t>
  </si>
  <si>
    <t xml:space="preserve">06724880015 </t>
  </si>
  <si>
    <t>Plastica</t>
  </si>
  <si>
    <t>CASEIFICIO LONGO S.R.L.</t>
  </si>
  <si>
    <t>06357760013</t>
  </si>
  <si>
    <t>REER - S.P.A.</t>
  </si>
  <si>
    <t>05997110019</t>
  </si>
  <si>
    <t>FARA INDUSTRIALE S.R.L.</t>
  </si>
  <si>
    <t>06864410011</t>
  </si>
  <si>
    <t xml:space="preserve">01633760937 </t>
  </si>
  <si>
    <t>Profili alari per turbine e motori</t>
  </si>
  <si>
    <t>Società Industriale materie plastiche (Simplast) S.r.l.</t>
  </si>
  <si>
    <t>00072000672</t>
  </si>
  <si>
    <t>Stampaggio rotazionale avanzato di materie plastiche</t>
  </si>
  <si>
    <t>Ponzio S.r.l.</t>
  </si>
  <si>
    <t>00061490678</t>
  </si>
  <si>
    <t>Commercializzazione di accessori per l'industria del serramento</t>
  </si>
  <si>
    <t>R.J.</t>
  </si>
  <si>
    <t>02504190014</t>
  </si>
  <si>
    <t>Componenti meccanici di precisione</t>
  </si>
  <si>
    <t>ARMANDO TESTA S.P.A.</t>
  </si>
  <si>
    <t>DAMILANO GRUPPO S.P.A.</t>
  </si>
  <si>
    <t>02097590042</t>
  </si>
  <si>
    <t>HDF  S.P.A.</t>
  </si>
  <si>
    <t>09405150013</t>
  </si>
  <si>
    <t>MATTIOLI S.P.A.</t>
  </si>
  <si>
    <t>10832030018</t>
  </si>
  <si>
    <t>Fashion - Gioielli</t>
  </si>
  <si>
    <t>Cordua Srl</t>
  </si>
  <si>
    <t>02597400999</t>
  </si>
  <si>
    <t>Corsi di preparazione ai test di ammissione di medicina</t>
  </si>
  <si>
    <t>WBI - Acc. Moda</t>
  </si>
  <si>
    <t>Meoni e Ciampalini S.p.a.</t>
  </si>
  <si>
    <t>03066330485</t>
  </si>
  <si>
    <t>Acessori per l'industria dell'abbigliamento e calzatura</t>
  </si>
  <si>
    <t>Isatex S.r.l.</t>
  </si>
  <si>
    <t>00707180675</t>
  </si>
  <si>
    <t>Produzione di etichette e nastri per tessuti</t>
  </si>
  <si>
    <t>Vibert Italia S.r.l.</t>
  </si>
  <si>
    <t>01676120486</t>
  </si>
  <si>
    <t>Accessori per calzature e pelletteria</t>
  </si>
  <si>
    <t>Bottonificio La Perla S.r.l.</t>
  </si>
  <si>
    <t>00382090488</t>
  </si>
  <si>
    <t xml:space="preserve">Produzione di bottoni </t>
  </si>
  <si>
    <t>Castelplast S.r.l.</t>
  </si>
  <si>
    <t>01473080172</t>
  </si>
  <si>
    <t>Produzione di bottoni, fibbie e accessori per abbigliamento</t>
  </si>
  <si>
    <t xml:space="preserve">Bottonificio Lariano </t>
  </si>
  <si>
    <t>00340250133</t>
  </si>
  <si>
    <t>Produzione di bottoni</t>
  </si>
  <si>
    <t>Accademia del Lusso</t>
  </si>
  <si>
    <t>09387011001</t>
  </si>
  <si>
    <t>Istituto di moda e design</t>
  </si>
  <si>
    <t>Accademia Italiana Chef</t>
  </si>
  <si>
    <t>06394580481</t>
  </si>
  <si>
    <t>Scuola di cucina</t>
  </si>
  <si>
    <t>Dolce&amp;Salato</t>
  </si>
  <si>
    <t>02735840619</t>
  </si>
  <si>
    <t>La Tecnomeccanica Sud S.r.l.</t>
  </si>
  <si>
    <t>00350860698</t>
  </si>
  <si>
    <t xml:space="preserve">Fabbricazione di componentistica per moto </t>
  </si>
  <si>
    <t>Cubo Design S.r.l.</t>
  </si>
  <si>
    <t>01579900679</t>
  </si>
  <si>
    <t>Centro produttivo di mobili e cucine</t>
  </si>
  <si>
    <t>Teoresi</t>
  </si>
  <si>
    <t>03037960014</t>
  </si>
  <si>
    <t>Consulenza nel settore AI</t>
  </si>
  <si>
    <t>Elenka</t>
  </si>
  <si>
    <t>Prodotti e semilavorati per gelateria e pasticceria</t>
  </si>
  <si>
    <t>Sistemi UNO</t>
  </si>
  <si>
    <t>05098700015</t>
  </si>
  <si>
    <t>System Integrator</t>
  </si>
  <si>
    <t>Sniff Italia (Sterling)</t>
  </si>
  <si>
    <t>00457580546</t>
  </si>
  <si>
    <t>Azienda chimico-farmaceutica</t>
  </si>
  <si>
    <t>Diva International</t>
  </si>
  <si>
    <t>01706220546</t>
  </si>
  <si>
    <t>Care</t>
  </si>
  <si>
    <t>Detersivi a marchio Fria, Thermoterapy, Brawn, ecc</t>
  </si>
  <si>
    <t>Antonio Ruggiero</t>
  </si>
  <si>
    <t>01722280599</t>
  </si>
  <si>
    <t>Commercio di patate</t>
  </si>
  <si>
    <t>Moroni Amato</t>
  </si>
  <si>
    <t>02733650580</t>
  </si>
  <si>
    <t>Produzione di detersivi a marchio Lindor, Nonna Papea, Dermis</t>
  </si>
  <si>
    <t>CNP Energia</t>
  </si>
  <si>
    <t>01103180582</t>
  </si>
  <si>
    <t>Facility &amp; Energy Management</t>
  </si>
  <si>
    <t>SF Group</t>
  </si>
  <si>
    <t>07599831000</t>
  </si>
  <si>
    <t>Ricerca e sviluppo per società farmaceutiche</t>
  </si>
  <si>
    <t>Servizi Diagnostici</t>
  </si>
  <si>
    <t>07246691005</t>
  </si>
  <si>
    <t>Distribuzione prodotti laboratorio</t>
  </si>
  <si>
    <t>IRBM</t>
  </si>
  <si>
    <t>10482601001</t>
  </si>
  <si>
    <t xml:space="preserve">Biotech </t>
  </si>
  <si>
    <t>Olimac</t>
  </si>
  <si>
    <t>00777380049</t>
  </si>
  <si>
    <t xml:space="preserve">Attrezzature per trattori </t>
  </si>
  <si>
    <t>O.M.T. Officine Meccaniche Torino</t>
  </si>
  <si>
    <t>00463580019</t>
  </si>
  <si>
    <t>Valvole di iniezione per propulsione marina e ferroviaria</t>
  </si>
  <si>
    <t>Toso</t>
  </si>
  <si>
    <t>02462360047</t>
  </si>
  <si>
    <t>Vini</t>
  </si>
  <si>
    <t>Sansimone</t>
  </si>
  <si>
    <t>Electro-Parts</t>
  </si>
  <si>
    <t>03135320046</t>
  </si>
  <si>
    <t>Parti elettriche per automotive</t>
  </si>
  <si>
    <t xml:space="preserve">Famar </t>
  </si>
  <si>
    <t>05173840017</t>
  </si>
  <si>
    <t>Produzione macchine per lavorazioni meccaniche</t>
  </si>
  <si>
    <t>British College</t>
  </si>
  <si>
    <t>Social &amp; Impact</t>
  </si>
  <si>
    <t>Ekalab</t>
  </si>
  <si>
    <t>Nutraceutica</t>
  </si>
  <si>
    <t>Mediberg</t>
  </si>
  <si>
    <t>Redax</t>
  </si>
  <si>
    <t xml:space="preserve">Labservice Analytica Srl </t>
  </si>
  <si>
    <t xml:space="preserve">3Bee Srl </t>
  </si>
  <si>
    <t>Iride Acque SB Srl</t>
  </si>
  <si>
    <t>Tecno Group Srl</t>
  </si>
  <si>
    <t>Almawave Spa</t>
  </si>
  <si>
    <t>2F Water Venture SB Srl</t>
  </si>
  <si>
    <t>Finapp Srl</t>
  </si>
  <si>
    <t>Adriatica Acque Srl</t>
  </si>
  <si>
    <t>Bianchi Industrial Spa</t>
  </si>
  <si>
    <t>GKN Hydrogen Italy Srl</t>
  </si>
  <si>
    <t>Holzhof Srl</t>
  </si>
  <si>
    <t>9-Tech Srl</t>
  </si>
  <si>
    <t>Ganiga innovation Srl</t>
  </si>
  <si>
    <t>Ecomondo</t>
  </si>
  <si>
    <t>BT</t>
  </si>
  <si>
    <t>Campionamento automatico remotizzato delle emissioni odorigene industriali</t>
  </si>
  <si>
    <t>Climate tech focalizzata sullo sviluppo di sistemi IoT di monitoraggio della biodiversità</t>
  </si>
  <si>
    <t>Depurazione e il riutilizzo delle acque reflue industriali</t>
  </si>
  <si>
    <t>Sistemi integrati Hi-Tech nei settori idrici e nel settore trasporti di telecontrollo e automazione</t>
  </si>
  <si>
    <t>Vagliatura di inerti, compost e rifiuti</t>
  </si>
  <si>
    <t>Soluzioni di DSS, Geo spatial analytics e Big Data per Utilities e Government</t>
  </si>
  <si>
    <t>Ricerca perdite negli acquedotti utilizzando le tecnologie più innovative fra cui immagini satellitari</t>
  </si>
  <si>
    <t>Recupera scarti industriali di plastica, trasformandoli in materia prima di alta qualità</t>
  </si>
  <si>
    <t>Mappatura rapida della rete idrica pre-localizzando le perdite</t>
  </si>
  <si>
    <t>Cuscinetti e trasmissioni di potenza, lineare ed automazione, sistemi di tenuta, pneumatica, lubrificazione e manutenzione</t>
  </si>
  <si>
    <t>Sistemi per Abbattere le Emissioni Nocive/Inquinanti in atmosfera</t>
  </si>
  <si>
    <t>Stoccaggio sicuro e privo di emissioni di idrogeno verde</t>
  </si>
  <si>
    <t>Riciclo dei moduli fotovoltaici e dei prodotti da tabacco, recupero del vetro, l’acetato di cellulosa, materiali derivanti dal settore della moda e batterie al litio</t>
  </si>
  <si>
    <t>Attrezzature ludiche sostenibili e dell’arredo urbano</t>
  </si>
  <si>
    <t>Recupero di metalli strategici da rifiuti elettronici</t>
  </si>
  <si>
    <t>Cestini intelligenti basati sull'IA per il riciclaggio e separazione autonoma dei rifiuti</t>
  </si>
  <si>
    <t>02710100344</t>
  </si>
  <si>
    <t>09711590969</t>
  </si>
  <si>
    <t>01512281203</t>
  </si>
  <si>
    <t>01649280227</t>
  </si>
  <si>
    <t>08963110013</t>
  </si>
  <si>
    <t>05481840964</t>
  </si>
  <si>
    <t>04638880288</t>
  </si>
  <si>
    <t>04224870727</t>
  </si>
  <si>
    <t>04600140232</t>
  </si>
  <si>
    <t xml:space="preserve">03128080409 </t>
  </si>
  <si>
    <t>06516430961</t>
  </si>
  <si>
    <t>08010180159</t>
  </si>
  <si>
    <t xml:space="preserve">03170790210 </t>
  </si>
  <si>
    <t>Re Open Srl</t>
  </si>
  <si>
    <t xml:space="preserve">11917350966 </t>
  </si>
  <si>
    <t>01762120226</t>
  </si>
  <si>
    <t>04592490272</t>
  </si>
  <si>
    <t>02420420503</t>
  </si>
  <si>
    <t>Plastic injection moulded parts for automotive</t>
  </si>
  <si>
    <t>Ricavi: €70M, EBITDA €12M</t>
  </si>
  <si>
    <t>Garda</t>
  </si>
  <si>
    <t>Nobis</t>
  </si>
  <si>
    <t>Fashion &amp; Luxury</t>
  </si>
  <si>
    <t>Rev: $25M</t>
  </si>
  <si>
    <t>Luxury apparel brand</t>
  </si>
  <si>
    <t>Produzione di componenti plastici stampati ad iniezione per settore automotive</t>
  </si>
  <si>
    <t>Michele Gianelli</t>
  </si>
  <si>
    <t>Niccolò Calandri</t>
  </si>
  <si>
    <t>Monica Casadei</t>
  </si>
  <si>
    <t>Paolo Villa</t>
  </si>
  <si>
    <t>Euroautomations Srl</t>
  </si>
  <si>
    <t>Angelo Gallucci</t>
  </si>
  <si>
    <t>Luca Stevanato</t>
  </si>
  <si>
    <t>Raniero Romagnoli</t>
  </si>
  <si>
    <t>Franco Masenello</t>
  </si>
  <si>
    <t>SMP Srl (Sfregola Materie Plastiche)</t>
  </si>
  <si>
    <t>Gianluca Sfrecola</t>
  </si>
  <si>
    <t>Progettazione delle Case dell’Acqua, erogatori allacciati alla rete idrica per la valorizzazione dell’Acqua del Sindaco</t>
  </si>
  <si>
    <t>Alberto Sebastiani</t>
  </si>
  <si>
    <t>Alberto Bianchi</t>
  </si>
  <si>
    <t>Miretti Srl</t>
  </si>
  <si>
    <t>Andrea Civalleri</t>
  </si>
  <si>
    <t>Guido Degen</t>
  </si>
  <si>
    <t>Vincenzo Patarino</t>
  </si>
  <si>
    <t>Martin Malleier</t>
  </si>
  <si>
    <t>Pietrogiovanni Cerchier</t>
  </si>
  <si>
    <t>Nicholas Zeoli</t>
  </si>
  <si>
    <t>Laser Srl</t>
  </si>
  <si>
    <t>02640680233</t>
  </si>
  <si>
    <t>283900</t>
  </si>
  <si>
    <t>Fabbricazione di macchine per l'industria alimentare, delle bevande e del tabacco.</t>
  </si>
  <si>
    <t>Simone Baldo</t>
  </si>
  <si>
    <t>Bando transizione industriale</t>
  </si>
  <si>
    <t>Findynamic</t>
  </si>
  <si>
    <t>Avv. Rampinelli</t>
  </si>
  <si>
    <t>Agostino Lanzani</t>
  </si>
  <si>
    <t>CDN</t>
  </si>
  <si>
    <t>L.C. S.R.L.</t>
  </si>
  <si>
    <t>Arezzo</t>
  </si>
  <si>
    <t>Vicenza</t>
  </si>
  <si>
    <t>Napoli</t>
  </si>
  <si>
    <t>Caserta</t>
  </si>
  <si>
    <t>Firenze</t>
  </si>
  <si>
    <t>Sassari</t>
  </si>
  <si>
    <t>Alessandria</t>
  </si>
  <si>
    <t>Produzione e distribuzione di gioielli</t>
  </si>
  <si>
    <t>Jewelry</t>
  </si>
  <si>
    <t>09505650961</t>
  </si>
  <si>
    <t>Piattaforma tech per la gestione della tesoreria aziendale</t>
  </si>
  <si>
    <t>San Marino</t>
  </si>
  <si>
    <t>Arredamento da interni</t>
  </si>
  <si>
    <t>Leading Nordic serviced apartment company</t>
  </si>
  <si>
    <t>Aventum - GMAP</t>
  </si>
  <si>
    <t>Finland</t>
  </si>
  <si>
    <t>Housing</t>
  </si>
  <si>
    <t>B2B corporate housing</t>
  </si>
  <si>
    <t>Ricavi: €160M</t>
  </si>
  <si>
    <t>Alessandro Morando</t>
  </si>
  <si>
    <t>John Elkann</t>
  </si>
  <si>
    <t>Italwatt Srl (Iveco Defence Vehicles)</t>
  </si>
  <si>
    <t>08890680013</t>
  </si>
  <si>
    <t>Gruppo Iveco</t>
  </si>
  <si>
    <t>Distribuzione di gioielli</t>
  </si>
  <si>
    <t>La Coque de Nacre (target)</t>
  </si>
  <si>
    <t>Levor Srl</t>
  </si>
  <si>
    <t>Fair Line S.R.L.</t>
  </si>
  <si>
    <t>Oro Verde E Figli S.R.L.</t>
  </si>
  <si>
    <t>Aura S.R.L.</t>
  </si>
  <si>
    <t>Firenze Shankara S.R.L.</t>
  </si>
  <si>
    <t>Tala Trading S.R.L.</t>
  </si>
  <si>
    <t>Antonio Arcamone S.R.L.</t>
  </si>
  <si>
    <t>Insolito S.R.L.</t>
  </si>
  <si>
    <t>Acme Export Srl</t>
  </si>
  <si>
    <t>Angry S.R.L.</t>
  </si>
  <si>
    <t>Migliorini Gioielli S.R.L.</t>
  </si>
  <si>
    <t xml:space="preserve">Studio 99 Srl </t>
  </si>
  <si>
    <t>Taitu' S.R.L.</t>
  </si>
  <si>
    <t>Fancy S.R.L.</t>
  </si>
  <si>
    <t>Silvex S.P.A.</t>
  </si>
  <si>
    <t>AR</t>
  </si>
  <si>
    <t>Premium asset in Food retail</t>
  </si>
  <si>
    <t>Food retail (high-end brioche)</t>
  </si>
  <si>
    <t>Rev: €25M</t>
  </si>
  <si>
    <t>Metallurgica Pessina</t>
  </si>
  <si>
    <t>Produzione nastri in acciaio</t>
  </si>
  <si>
    <t>Giovannantonio Greppi</t>
  </si>
  <si>
    <t>Distribution</t>
  </si>
  <si>
    <t>Vendita e installazione prodotti IT</t>
  </si>
  <si>
    <t>SolarEdge</t>
  </si>
  <si>
    <t>Produzione macchine per taglio, saldatura e cucitura tessuti tecnici</t>
  </si>
  <si>
    <t>Lukas Plattner</t>
  </si>
  <si>
    <t>Polieco</t>
  </si>
  <si>
    <t>Produzione tubi in plastica</t>
  </si>
  <si>
    <t>Oplog</t>
  </si>
  <si>
    <t>Zen fulfillment</t>
  </si>
  <si>
    <t>Agevolato</t>
  </si>
  <si>
    <t>ICI Caldaie SpA</t>
  </si>
  <si>
    <t>Produzione di caldaie a gas industriali o per condomini</t>
  </si>
  <si>
    <t>Emanuela Lucchini</t>
  </si>
  <si>
    <t>Contatti fiera Hydrogen</t>
  </si>
  <si>
    <t>SENG Srl</t>
  </si>
  <si>
    <t>Stefano Giovanzani</t>
  </si>
  <si>
    <t>SS</t>
  </si>
  <si>
    <t xml:space="preserve">e-commerce fulfillment </t>
  </si>
  <si>
    <t>Cosmoproject</t>
  </si>
  <si>
    <t>Ingredienti per cosmetica</t>
  </si>
  <si>
    <t>Primo Tortini</t>
  </si>
  <si>
    <t>Fam. Tortini</t>
  </si>
  <si>
    <t>PIAM Farmaceutici</t>
  </si>
  <si>
    <t>Produzione medicinali</t>
  </si>
  <si>
    <t>Augusto Bruschettini</t>
  </si>
  <si>
    <t>Fam. Bruschettini</t>
  </si>
  <si>
    <t>AUGENS Capital</t>
  </si>
  <si>
    <t>FONDO_PE</t>
  </si>
  <si>
    <t>Fondo_PE</t>
  </si>
  <si>
    <t>Massimo Puccio</t>
  </si>
  <si>
    <t>Marco Bortot</t>
  </si>
  <si>
    <t>Alcedo</t>
  </si>
  <si>
    <t>Filippo Nalon</t>
  </si>
  <si>
    <t>Cometa</t>
  </si>
  <si>
    <t>04843140825</t>
  </si>
  <si>
    <t>TP</t>
  </si>
  <si>
    <t>Distributore B2B di elettronica</t>
  </si>
  <si>
    <t>Loris Ippaso</t>
  </si>
  <si>
    <t>MVN S.r.l.</t>
  </si>
  <si>
    <t>05480500965</t>
  </si>
  <si>
    <t>Supply Chain Management</t>
  </si>
  <si>
    <t>Claudio Gervasoni</t>
  </si>
  <si>
    <t>Policlinico Triestino</t>
  </si>
  <si>
    <t>Gestione clinica privata</t>
  </si>
  <si>
    <t>A.M.S.A. ANONIMA MATERIE SINTETICHE E AFFINI S.P.A.</t>
  </si>
  <si>
    <t>00795320159</t>
  </si>
  <si>
    <t>211000</t>
  </si>
  <si>
    <t>FABBRICAZIONE DI PRODOTTI FARMACEUTICI DI BASE</t>
  </si>
  <si>
    <t>Simona Rebuzzini</t>
  </si>
  <si>
    <t>Alifax Holding</t>
  </si>
  <si>
    <t>04048610283</t>
  </si>
  <si>
    <t>Pharmaceuticals</t>
  </si>
  <si>
    <t xml:space="preserve">Produzione di macchinari per diagnostica clinica </t>
  </si>
  <si>
    <t>Camillo Galiano</t>
  </si>
  <si>
    <t>Fam Galiano</t>
  </si>
  <si>
    <t>Bondioli &amp; Pavesi</t>
  </si>
  <si>
    <t>01940930207</t>
  </si>
  <si>
    <t>Carlo Bondioli</t>
  </si>
  <si>
    <t>ProA Capital</t>
  </si>
  <si>
    <t>PM Partners</t>
  </si>
  <si>
    <t>Entangled Capital</t>
  </si>
  <si>
    <t>Generalista</t>
  </si>
  <si>
    <t>Fondo</t>
  </si>
  <si>
    <t>Buy Alto Partners</t>
  </si>
  <si>
    <t>Comero Group</t>
  </si>
  <si>
    <t>Groupe LT</t>
  </si>
  <si>
    <t>Worksite equipment rental and service provider</t>
  </si>
  <si>
    <t>Target ProA (Pergole/Tende)</t>
  </si>
  <si>
    <t>Target ProA (HR)</t>
  </si>
  <si>
    <t>Target Riverside (BioDue)</t>
  </si>
  <si>
    <t>Produzione di schermature solari</t>
  </si>
  <si>
    <t>Personale interinale e HR</t>
  </si>
  <si>
    <t>EBITDA &gt;€3M</t>
  </si>
  <si>
    <t>EBITDA &gt;€5M</t>
  </si>
  <si>
    <t>Don Milani Bilingual School</t>
  </si>
  <si>
    <t>Scuola bilingue 0-14</t>
  </si>
  <si>
    <t>Damiano Tommasi</t>
  </si>
  <si>
    <t>Gabriele Brighenti</t>
  </si>
  <si>
    <t>The Riverside Company</t>
  </si>
  <si>
    <t>Esedra</t>
  </si>
  <si>
    <t>Gruppo di scuole</t>
  </si>
  <si>
    <t>Famiglia Casali</t>
  </si>
  <si>
    <t>AI &amp; Robotics</t>
  </si>
  <si>
    <t>INDUSTRY AUTOMATION MANUFACTURING AND SERVICE S.R.L IN BREVE INDUSTRY A.M.S. S.R.L</t>
  </si>
  <si>
    <t>CAMA 1 SPA</t>
  </si>
  <si>
    <t>ATOM S.P.A.</t>
  </si>
  <si>
    <t>GRAF S.P.A.</t>
  </si>
  <si>
    <t>PAOLINO BACCI S.R.L.</t>
  </si>
  <si>
    <t>ROBOTECO S.P.A.</t>
  </si>
  <si>
    <t>QS GROUP S.P.A.</t>
  </si>
  <si>
    <t>SPERONI S.P.A.</t>
  </si>
  <si>
    <t>EVOTECH S.R.L..</t>
  </si>
  <si>
    <t>GRUPPO TECNOFERRARI SPA</t>
  </si>
  <si>
    <t>CONCETTI S.P.A.</t>
  </si>
  <si>
    <t>BROVEDANI S.P.A.</t>
  </si>
  <si>
    <t>OSAI AUTOMATION SYSTEM S.P.A.</t>
  </si>
  <si>
    <t>TIESSE ROBOT S.P.A.</t>
  </si>
  <si>
    <t>GS INDUSTRY SPA</t>
  </si>
  <si>
    <t>MASMEC - S.P.A.</t>
  </si>
  <si>
    <t>SERVOMECH S.P.A.</t>
  </si>
  <si>
    <t>ALUTEC SRL</t>
  </si>
  <si>
    <t>GRASSELLI SPA</t>
  </si>
  <si>
    <t>GALDI SRL</t>
  </si>
  <si>
    <t>SACCO Srl</t>
  </si>
  <si>
    <t>RM SPA</t>
  </si>
  <si>
    <t>MILLTEX SPA</t>
  </si>
  <si>
    <t>Machinery</t>
  </si>
  <si>
    <t>Irrigation</t>
  </si>
  <si>
    <t>Martino Verga</t>
  </si>
  <si>
    <t>Robotica</t>
  </si>
  <si>
    <t>Daniele Bellante</t>
  </si>
  <si>
    <t>Giovanni  Gaia</t>
  </si>
  <si>
    <t>Alberto Guerra</t>
  </si>
  <si>
    <t>Agostino Bacci</t>
  </si>
  <si>
    <t>Sandro Santamaria</t>
  </si>
  <si>
    <t>Michele Porcarelli</t>
  </si>
  <si>
    <t>Andrea Speroni</t>
  </si>
  <si>
    <t>Gianni De Paoli</t>
  </si>
  <si>
    <t>Donatella Ferrari</t>
  </si>
  <si>
    <t>Francesco Concetti</t>
  </si>
  <si>
    <t>Sergio  Barel</t>
  </si>
  <si>
    <t>Andrea Gavazzi</t>
  </si>
  <si>
    <t>ing. Dario Masat</t>
  </si>
  <si>
    <t>Daniela Vinci</t>
  </si>
  <si>
    <t>Vito Cataldo</t>
  </si>
  <si>
    <t>Giancarlo Maioli</t>
  </si>
  <si>
    <t>Francesca Grasselli</t>
  </si>
  <si>
    <t>Antonella Candiotto</t>
  </si>
  <si>
    <t>Walter Bardelotto</t>
  </si>
  <si>
    <t>Roberto Impero</t>
  </si>
  <si>
    <t>Oreste Ramenzoni</t>
  </si>
  <si>
    <t>Vincenzo Uccellini</t>
  </si>
  <si>
    <t>Laziale Distribuzione</t>
  </si>
  <si>
    <t>Operatore logistico</t>
  </si>
  <si>
    <t>Giuseppe Bursese</t>
  </si>
  <si>
    <t>Bioindustria L.I.M. spa</t>
  </si>
  <si>
    <t>01679130060</t>
  </si>
  <si>
    <t>PMI Innovative</t>
  </si>
  <si>
    <t>MyAppFree SPA</t>
  </si>
  <si>
    <t>03470131206</t>
  </si>
  <si>
    <t>Riccardo Fuzzi</t>
  </si>
  <si>
    <t>Steroid Spa</t>
  </si>
  <si>
    <t>00779220151</t>
  </si>
  <si>
    <t xml:space="preserve">Produttori API </t>
  </si>
  <si>
    <t>Pietro Kluzer</t>
  </si>
  <si>
    <t>Cyberoo</t>
  </si>
  <si>
    <t>Project Automation Spa</t>
  </si>
  <si>
    <t>Booncy</t>
  </si>
  <si>
    <t>DPTLAV</t>
  </si>
  <si>
    <t>Webgenesys spa</t>
  </si>
  <si>
    <t>Irion Srl</t>
  </si>
  <si>
    <t>Blue Pillow Spa</t>
  </si>
  <si>
    <t>Deas</t>
  </si>
  <si>
    <t>Reevo Spa</t>
  </si>
  <si>
    <t>Gn Technomy Srl</t>
  </si>
  <si>
    <t>Eustema Spa</t>
  </si>
  <si>
    <t>Elidata Spa</t>
  </si>
  <si>
    <t>True Screen</t>
  </si>
  <si>
    <t>Blue Tensor</t>
  </si>
  <si>
    <t>Arza Med</t>
  </si>
  <si>
    <t>Agronit</t>
  </si>
  <si>
    <t>04318950286 </t>
  </si>
  <si>
    <t>03483920173</t>
  </si>
  <si>
    <t>06534300485</t>
  </si>
  <si>
    <t>02607260805</t>
  </si>
  <si>
    <t>09733590013</t>
  </si>
  <si>
    <t>09929610963</t>
  </si>
  <si>
    <t>14961281004</t>
  </si>
  <si>
    <t>03888200965</t>
  </si>
  <si>
    <t>02391090160</t>
  </si>
  <si>
    <t>05982771007</t>
  </si>
  <si>
    <t>12707430158</t>
  </si>
  <si>
    <t>03920081209 </t>
  </si>
  <si>
    <t>02525420226</t>
  </si>
  <si>
    <t>CyberSecurity</t>
  </si>
  <si>
    <t>FinTech</t>
  </si>
  <si>
    <t>AI</t>
  </si>
  <si>
    <t>Software Healthcare</t>
  </si>
  <si>
    <t>Software Agriculture</t>
  </si>
  <si>
    <t>Software e soluzioni per la protezione dei dati e applicativi delle aziende</t>
  </si>
  <si>
    <t>Monitoraggio ambientale</t>
  </si>
  <si>
    <t>Comparatore per migliorare performance di vendita online</t>
  </si>
  <si>
    <t>Software per disegni 3D</t>
  </si>
  <si>
    <t>Software di marketing per miglioramento rendimento delle app</t>
  </si>
  <si>
    <t>Sviluppo software specifici su esigenze del cliente</t>
  </si>
  <si>
    <t>Enterprise Data Management</t>
  </si>
  <si>
    <t xml:space="preserve">Motore di ricerca per alloggi </t>
  </si>
  <si>
    <t>Cloud &amp; CyberSecurity</t>
  </si>
  <si>
    <t>Soluzioni in cloud per aziende e servizi di cybersecurity</t>
  </si>
  <si>
    <t>Gestione e analisi dei dati per ottimizzazione dei processi</t>
  </si>
  <si>
    <t>Soluzioni AI e Big Data per aziende</t>
  </si>
  <si>
    <t>Sviluppo soluzioni all’avanguardia per l’industria finanziaria: applicativi di trading e order routing, sistemi di transaction reporting e soluzioni di scambio dati tra sistemi di Front e Back Office.</t>
  </si>
  <si>
    <t>Software per certificazione dei dati</t>
  </si>
  <si>
    <t>Prodotti AI per ottimizzazione processi aziendali</t>
  </si>
  <si>
    <t>Gestionale in cloud per cliniche</t>
  </si>
  <si>
    <t>Software per agricoltura di precisione, raccolta e analisi dati</t>
  </si>
  <si>
    <t>Stefano Daviddi</t>
  </si>
  <si>
    <t>Fabrizio Felippone</t>
  </si>
  <si>
    <t>Alberto Baggio</t>
  </si>
  <si>
    <t>Monica Gravina</t>
  </si>
  <si>
    <t>Irene Cefalà</t>
  </si>
  <si>
    <t>Giovanni Scavino</t>
  </si>
  <si>
    <t>Manuel Mandelli</t>
  </si>
  <si>
    <t>Stefania Ranzato</t>
  </si>
  <si>
    <t>Fabio Ugolini</t>
  </si>
  <si>
    <t>Jonni Malacarne</t>
  </si>
  <si>
    <t>Andrea Pari</t>
  </si>
  <si>
    <t>Davide Bolognesi</t>
  </si>
  <si>
    <t>04392080406</t>
  </si>
  <si>
    <t>Antonio Giannetto</t>
  </si>
  <si>
    <t>Nives Borroni</t>
  </si>
  <si>
    <t>Enrico Luciani</t>
  </si>
  <si>
    <t>Marco Connizzoli</t>
  </si>
  <si>
    <t>BioDue</t>
  </si>
  <si>
    <t>Restaurant chain</t>
  </si>
  <si>
    <t>Catena di ristoranti</t>
  </si>
  <si>
    <t>MIM</t>
  </si>
  <si>
    <t>Produzione farmaci e nutraceutici</t>
  </si>
  <si>
    <t>Tomasz Głowacki</t>
  </si>
  <si>
    <t>W Group</t>
  </si>
  <si>
    <t>Interinali, headhunting, siti web, altri servizi HR</t>
  </si>
  <si>
    <t>White Bridge Investment III</t>
  </si>
  <si>
    <t>IN.FIN.IT HOLDING SRL</t>
  </si>
  <si>
    <t>Fabio Leonardi</t>
  </si>
  <si>
    <t>Project automation Spa</t>
  </si>
  <si>
    <t>Genesy Group Srl</t>
  </si>
  <si>
    <t>Hesa Srl</t>
  </si>
  <si>
    <t>Carlo Pesenti</t>
  </si>
  <si>
    <t>Stichting Bewaarder Gilde Buy-Out Fund VI</t>
  </si>
  <si>
    <t>The International School in Genoa</t>
  </si>
  <si>
    <t>Scuola internazionale 3-18</t>
  </si>
  <si>
    <t>Stefania Meloni</t>
  </si>
  <si>
    <t>Gilberto Facco</t>
  </si>
  <si>
    <t>Facco gioielli</t>
  </si>
  <si>
    <t>Fabrizio Randazzo</t>
  </si>
  <si>
    <t>Rolando Francini</t>
  </si>
  <si>
    <t>Fabrizio Verdi</t>
  </si>
  <si>
    <t>Nicoletta Giannelli</t>
  </si>
  <si>
    <t>Fiera</t>
  </si>
  <si>
    <t>Produzione macchinari per macellazione</t>
  </si>
  <si>
    <t>Marco Fumagalli</t>
  </si>
  <si>
    <t>ATPI per Tours Travel</t>
  </si>
  <si>
    <t>Ian Sinderson</t>
  </si>
  <si>
    <t>C&amp;P Group</t>
  </si>
  <si>
    <t>Fabrizio Torchio</t>
  </si>
  <si>
    <t>Attività di pulizia specializzata per il settore alimentare e manutenzione impianti industriali</t>
  </si>
  <si>
    <t>Ettore Franco</t>
  </si>
  <si>
    <t>Progettazione e produzione di apparecchiature elettroniche per veicoli militari</t>
  </si>
  <si>
    <t>06955340010</t>
  </si>
  <si>
    <t>Giandomenico Demartini</t>
  </si>
  <si>
    <t>Toddlers Primary School</t>
  </si>
  <si>
    <t xml:space="preserve">Scuola bilingue </t>
  </si>
  <si>
    <t>Alessandra Niemann</t>
  </si>
  <si>
    <t>Giovanni Guglielmi</t>
  </si>
  <si>
    <t>Azimut RE</t>
  </si>
  <si>
    <t>Fondo_RE</t>
  </si>
  <si>
    <t>Andrea Cornetti</t>
  </si>
  <si>
    <t>White Bridge</t>
  </si>
  <si>
    <t>FONDO_RE</t>
  </si>
  <si>
    <t>Riccardo Catalano</t>
  </si>
  <si>
    <t>John Cockerill</t>
  </si>
  <si>
    <t>Belgium</t>
  </si>
  <si>
    <t>Produzione impianti e machinari per settore siderurgico</t>
  </si>
  <si>
    <t>Unifret</t>
  </si>
  <si>
    <t>Ezio Chiappe</t>
  </si>
  <si>
    <t>Sat Cargo</t>
  </si>
  <si>
    <t>09015020150</t>
  </si>
  <si>
    <t>01265710499</t>
  </si>
  <si>
    <t>12885910153</t>
  </si>
  <si>
    <t>Marco Novellati</t>
  </si>
  <si>
    <t>Francesca Chiappe</t>
  </si>
  <si>
    <t>Francesco Bernasconi</t>
  </si>
  <si>
    <t>Groupe H4</t>
  </si>
  <si>
    <t>Brand (Jaym) di cover e accessori smartphone</t>
  </si>
  <si>
    <t>Rev: c. €10M</t>
  </si>
  <si>
    <t>Dott. Vinci</t>
  </si>
  <si>
    <t>fam. Vinci</t>
  </si>
  <si>
    <t xml:space="preserve"> na</t>
  </si>
  <si>
    <t>Produzione componenti per autoomotive</t>
  </si>
  <si>
    <t>Alessandro Ielo</t>
  </si>
  <si>
    <t>Progetto Vertus</t>
  </si>
  <si>
    <t>Produzione/assemblaggio schede elettroniche per elettrodomestici</t>
  </si>
  <si>
    <t>Pj. Nichelino (NIT-23)</t>
  </si>
  <si>
    <t>Pj. Boards (COT-23)</t>
  </si>
  <si>
    <t>Miroglio Group</t>
  </si>
  <si>
    <t>Apparel brands</t>
  </si>
  <si>
    <t>Giuseppe Miroglio</t>
  </si>
  <si>
    <t>Produzione semilavorati per caffetteria e affini</t>
  </si>
  <si>
    <t>Gruppo di scuole internazionali</t>
  </si>
  <si>
    <t>International School Partnership</t>
  </si>
  <si>
    <t>Victor Lundsten</t>
  </si>
  <si>
    <t>Controparte Pj. Garda</t>
  </si>
  <si>
    <t xml:space="preserve">Anna Devi Bandi </t>
  </si>
  <si>
    <t>Globeducate</t>
  </si>
  <si>
    <t>Hector Flores Garcia</t>
  </si>
  <si>
    <t>Cognita Schools Limited</t>
  </si>
  <si>
    <t xml:space="preserve">Jason Kasler </t>
  </si>
  <si>
    <t>Dukes Education</t>
  </si>
  <si>
    <t>Gianluca Polidori</t>
  </si>
  <si>
    <t>Forfar Education Ltd</t>
  </si>
  <si>
    <t>John Forsyth</t>
  </si>
  <si>
    <t xml:space="preserve">GET Investment Partner </t>
  </si>
  <si>
    <t>Michele Fontana</t>
  </si>
  <si>
    <t>Affinitas Education</t>
  </si>
  <si>
    <t>Piattaforma Education</t>
  </si>
  <si>
    <t>Spica</t>
  </si>
  <si>
    <t xml:space="preserve">07115690963 </t>
  </si>
  <si>
    <t>Produzione di materiali per carte di credito e affini</t>
  </si>
  <si>
    <t>Emanuel Cattaneo</t>
  </si>
  <si>
    <t>DUBAG</t>
  </si>
  <si>
    <t>Dubag</t>
  </si>
  <si>
    <t>Special situations</t>
  </si>
  <si>
    <t>FairCap (buy SolarEdge)</t>
  </si>
  <si>
    <t>Niccolò Azzarini</t>
  </si>
  <si>
    <t>+FCA</t>
  </si>
  <si>
    <t>Montefiore Investment</t>
  </si>
  <si>
    <t>Marie Londero</t>
  </si>
  <si>
    <t>Clessidra PE</t>
  </si>
  <si>
    <t>Giulio Torregrossa</t>
  </si>
  <si>
    <t>Produzione di farmaci e API</t>
  </si>
  <si>
    <t>Strufaldi Sarah</t>
  </si>
  <si>
    <t>Guglielmo S.p.A.</t>
  </si>
  <si>
    <t>00050720796</t>
  </si>
  <si>
    <t>Produzione e commercializzazione di caffè</t>
  </si>
  <si>
    <t>Montello</t>
  </si>
  <si>
    <t>Renner Italia Spa</t>
  </si>
  <si>
    <t>Ecoservim Srl</t>
  </si>
  <si>
    <t>Revet</t>
  </si>
  <si>
    <t>Shedir Pharma Srl</t>
  </si>
  <si>
    <t>Aizoon Technology consulting</t>
  </si>
  <si>
    <t>Mare Engineering Group Spa</t>
  </si>
  <si>
    <t>Comat Servizi Energetici Spa</t>
  </si>
  <si>
    <t>Magicmotorsport Srl</t>
  </si>
  <si>
    <t>Ledworks Srl</t>
  </si>
  <si>
    <t>Newatt Srl</t>
  </si>
  <si>
    <t>Goretti Srl</t>
  </si>
  <si>
    <t>Termo Spa</t>
  </si>
  <si>
    <t>LA</t>
  </si>
  <si>
    <t>01078620166</t>
  </si>
  <si>
    <t>02455001209</t>
  </si>
  <si>
    <t>03759560489 </t>
  </si>
  <si>
    <t>05986021219</t>
  </si>
  <si>
    <t>07784980638</t>
  </si>
  <si>
    <t>06830930829</t>
  </si>
  <si>
    <t>09521280967</t>
  </si>
  <si>
    <t>03591360049</t>
  </si>
  <si>
    <t>02783180421</t>
  </si>
  <si>
    <t>02788420590</t>
  </si>
  <si>
    <t>Waste Management</t>
  </si>
  <si>
    <t>Technology Consultant</t>
  </si>
  <si>
    <t>Heating</t>
  </si>
  <si>
    <t>Building products</t>
  </si>
  <si>
    <t>Engineering Services</t>
  </si>
  <si>
    <t>Energy, Sustainability</t>
  </si>
  <si>
    <t>Barbara Barbarisi</t>
  </si>
  <si>
    <t>Lindo Aldrovandi</t>
  </si>
  <si>
    <t>Gianluca Bonini</t>
  </si>
  <si>
    <t>Nicola Ciolini</t>
  </si>
  <si>
    <t>Giuseppe Somma</t>
  </si>
  <si>
    <t>Silvana Candeloro</t>
  </si>
  <si>
    <t>Vincenzo Grosso</t>
  </si>
  <si>
    <t>Matteo Rea</t>
  </si>
  <si>
    <t>Bogdan Skutkiewicz</t>
  </si>
  <si>
    <t>Stefano Grasselli</t>
  </si>
  <si>
    <t>Daniele Bianchini</t>
  </si>
  <si>
    <t>Gianmarco Papi</t>
  </si>
  <si>
    <t>Giulio Giannini</t>
  </si>
  <si>
    <t>Casa di Cura Villa Montallegro</t>
  </si>
  <si>
    <t>H.I.G.</t>
  </si>
  <si>
    <t>Visual Elements Manufacturing</t>
  </si>
  <si>
    <t>Designer and manufacturer of custom store fixtures and visual merchandising displays largely for the luxury retail market</t>
  </si>
  <si>
    <t>Rev: c. C$42M, EBITDA: C$7M</t>
  </si>
  <si>
    <t>Orienta Partners</t>
  </si>
  <si>
    <t>Augusto Balestra</t>
  </si>
  <si>
    <t>Archimed</t>
  </si>
  <si>
    <t>Igor Petricca</t>
  </si>
  <si>
    <t>Ethica Investments</t>
  </si>
  <si>
    <t>Nicola De Biase</t>
  </si>
  <si>
    <t>Per LEVICO</t>
  </si>
  <si>
    <t>Cnt</t>
  </si>
  <si>
    <t>SGR / Società di investimento</t>
  </si>
  <si>
    <t>Sito WEB</t>
  </si>
  <si>
    <t>Tipologia</t>
  </si>
  <si>
    <t>Nome Fondo</t>
  </si>
  <si>
    <t>Raccolta</t>
  </si>
  <si>
    <t>Anno Raccolta</t>
  </si>
  <si>
    <t>Sweet Spot Ticket</t>
  </si>
  <si>
    <t>Sweet Spot EBITDA</t>
  </si>
  <si>
    <t>Focus settori</t>
  </si>
  <si>
    <t>Partner ns riferimento</t>
  </si>
  <si>
    <t>#Eventi</t>
  </si>
  <si>
    <t>Latest Event</t>
  </si>
  <si>
    <t>Days since</t>
  </si>
  <si>
    <t>Riverside</t>
  </si>
  <si>
    <t>www.riversidecompany.com</t>
  </si>
  <si>
    <t>Fondo PE</t>
  </si>
  <si>
    <t>Riverside Europe Fund VI </t>
  </si>
  <si>
    <t>Tomasz Glowacki</t>
  </si>
  <si>
    <t>Augens</t>
  </si>
  <si>
    <t>Inv Holding</t>
  </si>
  <si>
    <t>&gt;20M€</t>
  </si>
  <si>
    <t>Massimo Puccio - Marco Mantica</t>
  </si>
  <si>
    <t>Cercano cluster come HOFI</t>
  </si>
  <si>
    <t>Call</t>
  </si>
  <si>
    <t>Wise Equity</t>
  </si>
  <si>
    <t>www.wisesgr.com</t>
  </si>
  <si>
    <t>Wisequity V</t>
  </si>
  <si>
    <t>10 - 15M€</t>
  </si>
  <si>
    <t>Stefano Ghetti;
Fabrizio Medea</t>
  </si>
  <si>
    <t>https://argos.wityu.fund/it/</t>
  </si>
  <si>
    <t>Euroknights VII</t>
  </si>
  <si>
    <t>Lucio Ranaudo</t>
  </si>
  <si>
    <t>xx</t>
  </si>
  <si>
    <t>SILFA</t>
  </si>
  <si>
    <t>SPICA</t>
  </si>
  <si>
    <t xml:space="preserve">Montefiore </t>
  </si>
  <si>
    <t>https://montefiore.fr/en/</t>
  </si>
  <si>
    <t>Montefiore Investment IV</t>
  </si>
  <si>
    <t>Generalista (no manifatturiero)</t>
  </si>
  <si>
    <t>6 settori di specializzazione: tech; B2C; B2B; Turismo &amp; hospitality; Healthcare; immobiliare</t>
  </si>
  <si>
    <t>Panel_PE</t>
  </si>
  <si>
    <t>Algebris</t>
  </si>
  <si>
    <t>10 - 20M€</t>
  </si>
  <si>
    <t>Stefano Sostero</t>
  </si>
  <si>
    <t>Gradiente</t>
  </si>
  <si>
    <t>Fabrizio Grasso</t>
  </si>
  <si>
    <t>Fondo Italiano di Investimento</t>
  </si>
  <si>
    <t>Filippo Monti</t>
  </si>
  <si>
    <t>21 Invest</t>
  </si>
  <si>
    <t>Andrea Mazzuccato</t>
  </si>
  <si>
    <t>Club Deal</t>
  </si>
  <si>
    <t>4 - 8M€</t>
  </si>
  <si>
    <t>Nicola Di Biase</t>
  </si>
  <si>
    <t>Mariani Aromi</t>
  </si>
  <si>
    <t>KPS Capital Partners</t>
  </si>
  <si>
    <t>Ryan Harrison</t>
  </si>
  <si>
    <t>Vito Torciano</t>
  </si>
  <si>
    <t>Alto Partners</t>
  </si>
  <si>
    <t>Gianmarco Gandolfi</t>
  </si>
  <si>
    <t>NUO Capital</t>
  </si>
  <si>
    <t>Angolo Cina</t>
  </si>
  <si>
    <t>Luca Bossi</t>
  </si>
  <si>
    <t>Investindustrial</t>
  </si>
  <si>
    <t>Investindustrial Growth</t>
  </si>
  <si>
    <t>Martino Gobbi</t>
  </si>
  <si>
    <t xml:space="preserve">Orienta </t>
  </si>
  <si>
    <t>Dea Capital - Taste of Italy 2</t>
  </si>
  <si>
    <t>Stefano Caspani</t>
  </si>
  <si>
    <t>Dea Capital - XXX</t>
  </si>
  <si>
    <t>DeA Capital Alternative Funds</t>
  </si>
  <si>
    <t>Giuliano Palazzo</t>
  </si>
  <si>
    <t>Mindful</t>
  </si>
  <si>
    <t>Lorenzo Stanca</t>
  </si>
  <si>
    <t>Xenon</t>
  </si>
  <si>
    <t>Sergio Saibene - Davide Adorni</t>
  </si>
  <si>
    <t>Quadrivio</t>
  </si>
  <si>
    <t>Consilium</t>
  </si>
  <si>
    <t>Roberto De Rossi</t>
  </si>
  <si>
    <t>Orio Pontiggia</t>
  </si>
  <si>
    <t>Clessidra_Private_Debt</t>
  </si>
  <si>
    <t>Roberto Ippolito</t>
  </si>
  <si>
    <t>Progressio</t>
  </si>
  <si>
    <t>Alessandro Petraccia</t>
  </si>
  <si>
    <t>Auctus</t>
  </si>
  <si>
    <t>A-Green</t>
  </si>
  <si>
    <t>Andrea Rossi</t>
  </si>
  <si>
    <t>Star Capital</t>
  </si>
  <si>
    <t>Carlo Arteria</t>
  </si>
  <si>
    <t>Ambienta</t>
  </si>
  <si>
    <t>https://ambientasgr.com/</t>
  </si>
  <si>
    <t>  Ambienta  SGR</t>
  </si>
  <si>
    <t>Sostenibilità</t>
  </si>
  <si>
    <t>Gianfranco Beraudo
Francesco Lodrini</t>
  </si>
  <si>
    <t>Equilybra Capital Partners</t>
  </si>
  <si>
    <t>www.equilybrapartners.it</t>
  </si>
  <si>
    <t>n/a</t>
  </si>
  <si>
    <t>5 - 10M€</t>
  </si>
  <si>
    <t>Matteo Gatti</t>
  </si>
  <si>
    <t>Aksìa</t>
  </si>
  <si>
    <t>www.aksiagroup.com/it</t>
  </si>
  <si>
    <t>Aksia Capital V</t>
  </si>
  <si>
    <t>Marco Rayneri</t>
  </si>
  <si>
    <t>ICG</t>
  </si>
  <si>
    <t>https://www.icgam.com/</t>
  </si>
  <si>
    <t>Hyle Capital Partners (FFF)</t>
  </si>
  <si>
    <t>www.financeforfood.it</t>
  </si>
  <si>
    <t>Finance for Food One</t>
  </si>
  <si>
    <t>Matteo Chieregato</t>
  </si>
  <si>
    <t>SPACE</t>
  </si>
  <si>
    <t>Colonna1</t>
  </si>
  <si>
    <t>??</t>
  </si>
  <si>
    <t>Family Office</t>
  </si>
  <si>
    <t>&lt;2M€</t>
  </si>
  <si>
    <t>&lt;1M€</t>
  </si>
  <si>
    <t>Fondo VC</t>
  </si>
  <si>
    <t>2 - 5M€</t>
  </si>
  <si>
    <t>1 - 2M€</t>
  </si>
  <si>
    <t>5 - 20M€</t>
  </si>
  <si>
    <t>15 - 20M€</t>
  </si>
  <si>
    <t>20-50M€</t>
  </si>
  <si>
    <t>&gt;50M€</t>
  </si>
  <si>
    <t>+ASC (Simonini)</t>
  </si>
  <si>
    <t>Xanitalia</t>
  </si>
  <si>
    <t>SiderforgeRossi</t>
  </si>
  <si>
    <t>Siman per Princess</t>
  </si>
  <si>
    <t>Autajon</t>
  </si>
  <si>
    <t>Packaging (astucci, scatole, etichette) per food, vino, cosmetica, profumi</t>
  </si>
  <si>
    <t>Logistic</t>
  </si>
  <si>
    <t>Servizi di logistica internazionale</t>
  </si>
  <si>
    <t>Sud Africa</t>
  </si>
  <si>
    <t>South Korea</t>
  </si>
  <si>
    <t>Holding di investimento nel fashion</t>
  </si>
  <si>
    <t>LF</t>
  </si>
  <si>
    <t>Buy side Bally</t>
  </si>
  <si>
    <t>Olma</t>
  </si>
  <si>
    <t>00674770151</t>
  </si>
  <si>
    <t>Vittorio Lazzati</t>
  </si>
  <si>
    <t>H.I.G. Europe</t>
  </si>
  <si>
    <t>Intersistemi</t>
  </si>
  <si>
    <t>Pergole
W Group</t>
  </si>
  <si>
    <t>CGS Swiss</t>
  </si>
  <si>
    <t>Thierry Biggoer</t>
  </si>
  <si>
    <t>Next HS
Spica
Silfa</t>
  </si>
  <si>
    <t>Finestre</t>
  </si>
  <si>
    <t>Finestre
Next HS</t>
  </si>
  <si>
    <t>800M</t>
  </si>
  <si>
    <t>Giuseppe Gestri
Riccardo Catalano</t>
  </si>
  <si>
    <t>Evercore</t>
  </si>
  <si>
    <t>Rino Mastrotto Group Spa</t>
  </si>
  <si>
    <t>Project Informatica Srl</t>
  </si>
  <si>
    <t>Marval Srl</t>
  </si>
  <si>
    <t>K-Way (Basic Net)</t>
  </si>
  <si>
    <t>Tecnica Group</t>
  </si>
  <si>
    <t>Zafferano (Poldina)</t>
  </si>
  <si>
    <t>Gelit Srl</t>
  </si>
  <si>
    <t>Valpizza Srl</t>
  </si>
  <si>
    <t>Colombini Spa</t>
  </si>
  <si>
    <t>Gattinoni Travel Network Srl</t>
  </si>
  <si>
    <t>Sirca</t>
  </si>
  <si>
    <t>Casalasco</t>
  </si>
  <si>
    <t>Sestrieres Spa</t>
  </si>
  <si>
    <t>Garmont International</t>
  </si>
  <si>
    <t>Fantic Motor Spa</t>
  </si>
  <si>
    <t>Consumer &amp; Retail</t>
  </si>
  <si>
    <t>Technology</t>
  </si>
  <si>
    <t>Consumer (Lighting)</t>
  </si>
  <si>
    <t>Furniture</t>
  </si>
  <si>
    <t>Travel</t>
  </si>
  <si>
    <t>Leather tanning company</t>
  </si>
  <si>
    <t>Hardware and software technological solutions</t>
  </si>
  <si>
    <t>Producer of engine, transmission, suspension and mechanical parts</t>
  </si>
  <si>
    <t>Apparel brand</t>
  </si>
  <si>
    <t>Sportswear company (focus ski)</t>
  </si>
  <si>
    <t>Manufacturer of lighting and tableware</t>
  </si>
  <si>
    <t>Manufacturer of snack and frozen food</t>
  </si>
  <si>
    <t>Manufacturer of frozen pizzas</t>
  </si>
  <si>
    <t>Furniture and design group</t>
  </si>
  <si>
    <t>Travel agency network</t>
  </si>
  <si>
    <t>Producer of wood coatings and polymers</t>
  </si>
  <si>
    <t>Tomato producer</t>
  </si>
  <si>
    <t>Ski resort in Piedmont</t>
  </si>
  <si>
    <t>Producer of ski and outdoor footwear</t>
  </si>
  <si>
    <t>Motorcycle manufacturer</t>
  </si>
  <si>
    <t>Ricavi: €345M, EBITDA €52M</t>
  </si>
  <si>
    <t>Ricavi: €383M, EBITDA €28M</t>
  </si>
  <si>
    <t>Ricavi: €151M, EBITDA €30M</t>
  </si>
  <si>
    <t>Ricavi: €385M, EBITDA €61M</t>
  </si>
  <si>
    <t>Ricavi: €561M, EBITDA €93M</t>
  </si>
  <si>
    <t>Ricavi: €51M, EBITDA €17M</t>
  </si>
  <si>
    <t>Ricavi: €63M, EBITDA €11M</t>
  </si>
  <si>
    <t>Ricavi: €83M, EBITDA €10M</t>
  </si>
  <si>
    <t>Ricavi: €300M</t>
  </si>
  <si>
    <t>Ricavi: €730M</t>
  </si>
  <si>
    <t>Ricavi: €138M, EBITDA €16M</t>
  </si>
  <si>
    <t>Ricavi: €375M, EBITDA €36M</t>
  </si>
  <si>
    <t>Ricavi: €25M, EBITDA €12M</t>
  </si>
  <si>
    <t>Ricavi: €28M, EBITDA €5M</t>
  </si>
  <si>
    <t>Ricavi: €160M, EBITDA €19M</t>
  </si>
  <si>
    <t>KPS</t>
  </si>
  <si>
    <t>Lilly Green</t>
  </si>
  <si>
    <t>JAB Holding</t>
  </si>
  <si>
    <t>Food, Fashion</t>
  </si>
  <si>
    <t>Meta System</t>
  </si>
  <si>
    <t>00271730350</t>
  </si>
  <si>
    <t>Produzione disistemi di ricarica e altro per EV</t>
  </si>
  <si>
    <t>Finelga</t>
  </si>
  <si>
    <t>01094170030</t>
  </si>
  <si>
    <t>Produzione di cosmetici</t>
  </si>
  <si>
    <t>Mattia Patti</t>
  </si>
  <si>
    <t>PVC films manufacturer</t>
  </si>
  <si>
    <t>Spica (Pj. Card)</t>
  </si>
  <si>
    <t>Side Asset Management</t>
  </si>
  <si>
    <t>15515591004</t>
  </si>
  <si>
    <t>Education RE</t>
  </si>
  <si>
    <t>Piattaforma di investimento nel settore RE Education</t>
  </si>
  <si>
    <t>Alessandro Masi</t>
  </si>
  <si>
    <t>LF Corp</t>
  </si>
  <si>
    <t>Add-on per Princess + Special Flanges</t>
  </si>
  <si>
    <t>Gemarmed</t>
  </si>
  <si>
    <t>Consulenza nella certificazione di medical devices</t>
  </si>
  <si>
    <t>Mario Gennari</t>
  </si>
  <si>
    <t>Stoll Trucks</t>
  </si>
  <si>
    <t>One-stop-services for commercial vehicles, Heavy trucks
and Bus</t>
  </si>
  <si>
    <t>Close proximity to management and the investment fund. We need to work on the buy side</t>
  </si>
  <si>
    <t>Revenue: € 70M, EBITDA: € 9-10M</t>
  </si>
  <si>
    <t>Luxembourg</t>
  </si>
  <si>
    <t xml:space="preserve">Diatech Pharmacogenetics </t>
  </si>
  <si>
    <t xml:space="preserve">Cobo </t>
  </si>
  <si>
    <t>Shopfully Spa</t>
  </si>
  <si>
    <t>Tecno Logica Srl</t>
  </si>
  <si>
    <t>Bit4id Srl</t>
  </si>
  <si>
    <t>Faresin Formwork Spa</t>
  </si>
  <si>
    <t>Onetag Srl</t>
  </si>
  <si>
    <t>02483840423</t>
  </si>
  <si>
    <t>08976960156</t>
  </si>
  <si>
    <t>03156531208</t>
  </si>
  <si>
    <t>03503350260</t>
  </si>
  <si>
    <t>04741241212</t>
  </si>
  <si>
    <t>02470320249</t>
  </si>
  <si>
    <t>10571160968</t>
  </si>
  <si>
    <t>Mecathronics</t>
  </si>
  <si>
    <t>Digital</t>
  </si>
  <si>
    <t>Vincenzo Ciccone</t>
  </si>
  <si>
    <t>Federico Procaccini</t>
  </si>
  <si>
    <t>Maria Foti</t>
  </si>
  <si>
    <t>Mirko Piasentin</t>
  </si>
  <si>
    <t>Antonio Chello</t>
  </si>
  <si>
    <t>Lucia Faresin</t>
  </si>
  <si>
    <t>Arnaldo Resega</t>
  </si>
  <si>
    <t>Servizi Marketing</t>
  </si>
  <si>
    <t>Macchinari</t>
  </si>
  <si>
    <t>Servizi Digitalizzazione</t>
  </si>
  <si>
    <t>Materiali in acciaio per costruzioni</t>
  </si>
  <si>
    <t>Call
Fanin</t>
  </si>
  <si>
    <t>DBAG</t>
  </si>
  <si>
    <t>Bally</t>
  </si>
  <si>
    <t>Fashion luxury brand</t>
  </si>
  <si>
    <t>Manuel Martinez</t>
  </si>
  <si>
    <t>Joachim Creus</t>
  </si>
  <si>
    <t>Holding di investimento</t>
  </si>
  <si>
    <t>Holding di investimento proprietaria di numerosi brand nel food&amp;beverage e fashion</t>
  </si>
  <si>
    <t xml:space="preserve">Joachim Creus (CEO) </t>
  </si>
  <si>
    <t xml:space="preserve">Brand di lusso </t>
  </si>
  <si>
    <t>Manuel Martinez (CEO)</t>
  </si>
  <si>
    <t>Target per LF Corp</t>
  </si>
  <si>
    <t>Healthcare, Industry, Made in Italy</t>
  </si>
  <si>
    <t>Dario Di Iorio</t>
  </si>
  <si>
    <t>Silver Economy</t>
  </si>
  <si>
    <t>Dario di Iorio</t>
  </si>
  <si>
    <t>Meeting</t>
  </si>
  <si>
    <t>04918930969</t>
  </si>
  <si>
    <t>Produzione di adesivi e tessuti per automotive e calzature</t>
  </si>
  <si>
    <t>Guido Cami</t>
  </si>
  <si>
    <t>Call Medea</t>
  </si>
  <si>
    <t>Haier Smart Home</t>
  </si>
  <si>
    <t>Soluzioni IoT per la casa</t>
  </si>
  <si>
    <t>St. Stephen's School (buy side)</t>
  </si>
  <si>
    <t>Scuola internazionale 14-18</t>
  </si>
  <si>
    <t>Jill Muti</t>
  </si>
  <si>
    <t xml:space="preserve">01921910152 </t>
  </si>
  <si>
    <t>Spedizioni internazionali via mare e aereo</t>
  </si>
  <si>
    <t>Biagio Bruni</t>
  </si>
  <si>
    <t xml:space="preserve">J.A.S. JET AIR Service </t>
  </si>
  <si>
    <t>Buy su STAM</t>
  </si>
  <si>
    <t>Ldue Capital</t>
  </si>
  <si>
    <t>Andrea Taurelli Salimbeni</t>
  </si>
  <si>
    <t>Sapori Veri</t>
  </si>
  <si>
    <t>FONDO_Debt</t>
  </si>
  <si>
    <t>Generalista - Ticket 10M€</t>
  </si>
  <si>
    <t>Eleonora Astori</t>
  </si>
  <si>
    <t>Tages Credit Fund</t>
  </si>
  <si>
    <t>xxx</t>
  </si>
  <si>
    <t>Private Debt</t>
  </si>
  <si>
    <t>Giovanni Revoltella</t>
  </si>
  <si>
    <t>Chiaperotti srl</t>
  </si>
  <si>
    <t>Chiaravalli Linear Center srl</t>
  </si>
  <si>
    <t>Colombo Filippetti Spa</t>
  </si>
  <si>
    <t>Cosberg Spa</t>
  </si>
  <si>
    <t>Dav Tech srl</t>
  </si>
  <si>
    <t>Dielle srl</t>
  </si>
  <si>
    <t>Elesa Spa</t>
  </si>
  <si>
    <t>First Solutions srl</t>
  </si>
  <si>
    <t>Fortek srl</t>
  </si>
  <si>
    <t xml:space="preserve">G-Engineering </t>
  </si>
  <si>
    <t>I.L.M.E. Spa</t>
  </si>
  <si>
    <t>Kolver srl</t>
  </si>
  <si>
    <t>Leanproducts srl</t>
  </si>
  <si>
    <t>Metal work Spa</t>
  </si>
  <si>
    <t>Satech - Modular Machine Guards</t>
  </si>
  <si>
    <t>Scaglia Indeva Spa</t>
  </si>
  <si>
    <t>Security Trust srl</t>
  </si>
  <si>
    <t>Simecon srl</t>
  </si>
  <si>
    <t>Sinta srl</t>
  </si>
  <si>
    <t>Sisma Spa</t>
  </si>
  <si>
    <t>Sisthema Spa</t>
  </si>
  <si>
    <t>Smartcolor srl</t>
  </si>
  <si>
    <t>Speedy Block srl</t>
  </si>
  <si>
    <t>Stima Spa</t>
  </si>
  <si>
    <t>Sytec srl</t>
  </si>
  <si>
    <t>Tech-Value srl</t>
  </si>
  <si>
    <t>Thron Spa</t>
  </si>
  <si>
    <t>03586990289 </t>
  </si>
  <si>
    <t>10504780155 </t>
  </si>
  <si>
    <t>03053310268</t>
  </si>
  <si>
    <t>00517031209 </t>
  </si>
  <si>
    <t>01156830158</t>
  </si>
  <si>
    <t>00851250944 </t>
  </si>
  <si>
    <t>04879210963 </t>
  </si>
  <si>
    <t>01272440247</t>
  </si>
  <si>
    <t>11116380152</t>
  </si>
  <si>
    <t>01634730137</t>
  </si>
  <si>
    <t>02149770980</t>
  </si>
  <si>
    <t>03146130160</t>
  </si>
  <si>
    <t>02554340139</t>
  </si>
  <si>
    <t>03472820178</t>
  </si>
  <si>
    <t>01640790935</t>
  </si>
  <si>
    <t>02103900243 </t>
  </si>
  <si>
    <t>00886300151</t>
  </si>
  <si>
    <t>10701940016</t>
  </si>
  <si>
    <t>01470990449</t>
  </si>
  <si>
    <t>03994510968 </t>
  </si>
  <si>
    <t>01686450154</t>
  </si>
  <si>
    <t>01523381216</t>
  </si>
  <si>
    <t>03157870241</t>
  </si>
  <si>
    <t>01998790164</t>
  </si>
  <si>
    <t>00214720161 </t>
  </si>
  <si>
    <t>03206490124 </t>
  </si>
  <si>
    <t>05575150015</t>
  </si>
  <si>
    <t>Nicola Meneghello</t>
  </si>
  <si>
    <t>Elio Radice</t>
  </si>
  <si>
    <t>Dario Lazzaro</t>
  </si>
  <si>
    <t>Alessandro Mazzanti</t>
  </si>
  <si>
    <t>Alberto Grisendi</t>
  </si>
  <si>
    <t>Davide Catalano</t>
  </si>
  <si>
    <t>Massimo Bassan</t>
  </si>
  <si>
    <t>Giulio Zunino</t>
  </si>
  <si>
    <t>Domenico Todeschini</t>
  </si>
  <si>
    <t>Rudy Zucca</t>
  </si>
  <si>
    <t>Stefano Scaglia</t>
  </si>
  <si>
    <t>Valentino Pellenghi</t>
  </si>
  <si>
    <t>Matteo Correzzola</t>
  </si>
  <si>
    <t>Giovanni Colasante</t>
  </si>
  <si>
    <t>Matteo Casagrande</t>
  </si>
  <si>
    <t>Fabio Sarale</t>
  </si>
  <si>
    <t>Gianni Fulgenzi</t>
  </si>
  <si>
    <t>Andrea Zoppi</t>
  </si>
  <si>
    <t>Angelo Fogliaresi</t>
  </si>
  <si>
    <t>Andrea De Lillo</t>
  </si>
  <si>
    <t>Giancarlo Grazioli</t>
  </si>
  <si>
    <t>Michele Viscardi</t>
  </si>
  <si>
    <t>Katia Marrocco</t>
  </si>
  <si>
    <t>Andrea Chiaravalli</t>
  </si>
  <si>
    <t>Indeco Ind. SpA</t>
  </si>
  <si>
    <t>Fiera MECSPE</t>
  </si>
  <si>
    <t>Produzione di componenti per macchine demolizione e movimento terra</t>
  </si>
  <si>
    <t>Diego Rufini</t>
  </si>
  <si>
    <t>Vitulano Susanna</t>
  </si>
  <si>
    <t>Vitulano</t>
  </si>
  <si>
    <t>OF.RA. Officine Ravenna Srl</t>
  </si>
  <si>
    <t>Costruzione e manutenzione impianti oil &amp; gas</t>
  </si>
  <si>
    <t>Davide Brusa</t>
  </si>
  <si>
    <t>Software per asset digitali</t>
  </si>
  <si>
    <t>Software CAD/CAM/CAE per le aziende</t>
  </si>
  <si>
    <t>Linee di assemblaggio</t>
  </si>
  <si>
    <t xml:space="preserve">Componenti per macchinari industriali  </t>
  </si>
  <si>
    <t>Stampanti Industriali</t>
  </si>
  <si>
    <t>Software ottimizzazione industriale</t>
  </si>
  <si>
    <t xml:space="preserve">Macchinari e sistemi laser </t>
  </si>
  <si>
    <t>Robot e altri prodotti per linee di produzione</t>
  </si>
  <si>
    <t>Produzione componenti per industria manifatturiera</t>
  </si>
  <si>
    <t>Televigilanza, cybersecurity, digitalizzazione dei processi</t>
  </si>
  <si>
    <t>Manipolatori industriali e soluzioni di logistica interna</t>
  </si>
  <si>
    <t>Protezione perimetrale per operatori e macchinari</t>
  </si>
  <si>
    <t>Componenti pneumatici per l'automazione dei sistemi</t>
  </si>
  <si>
    <t>Prodotti fisici per l'ottimizzazione dei processi aziendali</t>
  </si>
  <si>
    <t xml:space="preserve">Avvitatori elettrici </t>
  </si>
  <si>
    <t>Software aziendali di gestione e ottimizzazione di produzione</t>
  </si>
  <si>
    <t>Componenti fisici per le aziende, connettori</t>
  </si>
  <si>
    <t>Servizi di consulenza ed ingegnerizzazione</t>
  </si>
  <si>
    <t>Produzione di robot industriali e componenti</t>
  </si>
  <si>
    <t>Componenti industriali per robotica e macchinari</t>
  </si>
  <si>
    <t xml:space="preserve">Ricambi industriali </t>
  </si>
  <si>
    <t>Dispensazione, alimentazione e valvole per fluidi</t>
  </si>
  <si>
    <t>Produzione di componenti settori quali elettromeccanica, elettronica, automotive</t>
  </si>
  <si>
    <t>Macchinari a camme e per l'automazione industriale</t>
  </si>
  <si>
    <t>Componentistica per la trasmissione di potenza</t>
  </si>
  <si>
    <t>Sitti Spa</t>
  </si>
  <si>
    <t>Hardware and software services to airports, aimed at managing the airport–aircraft voice communication link</t>
  </si>
  <si>
    <t>Ricavi: €20,8M, EBITDA €2,9M</t>
  </si>
  <si>
    <t>C.O.I.M.</t>
  </si>
  <si>
    <t>00798810156</t>
  </si>
  <si>
    <t>Chimica organica</t>
  </si>
  <si>
    <t>Federico Buzzella</t>
  </si>
  <si>
    <t>Silvio Migliorini</t>
  </si>
  <si>
    <t>Siman</t>
  </si>
  <si>
    <t>SEB</t>
  </si>
  <si>
    <t>00864680111</t>
  </si>
  <si>
    <t>Produzione di scafi su commessa, produzione di yachts, Refit</t>
  </si>
  <si>
    <t>Mastelli</t>
  </si>
  <si>
    <t>Uniderm</t>
  </si>
  <si>
    <t>Labdeca</t>
  </si>
  <si>
    <t>00069630085</t>
  </si>
  <si>
    <t>212009</t>
  </si>
  <si>
    <t>Produzione di creme e prodotti dermocosmetici</t>
  </si>
  <si>
    <t>Fabio Fiscaletti (CEO)</t>
  </si>
  <si>
    <t>Giorgio Chiozza</t>
  </si>
  <si>
    <t>00738370154</t>
  </si>
  <si>
    <t>Gianluca Angelo Capuani</t>
  </si>
  <si>
    <t>Terapie per la cura di patologie riguardanti l’apparato respiratorio</t>
  </si>
  <si>
    <t>464610</t>
  </si>
  <si>
    <t>Simone Bonacchi</t>
  </si>
  <si>
    <t>Fiera MCE</t>
  </si>
  <si>
    <t>TECNOSYSTEMI S.P.A. SOCIETA' BENEFIT</t>
  </si>
  <si>
    <t>02535780247</t>
  </si>
  <si>
    <t>Componenti per HVAC</t>
  </si>
  <si>
    <t>Anna Munari</t>
  </si>
  <si>
    <t>EUROCLIMA SPA</t>
  </si>
  <si>
    <t>00628930216</t>
  </si>
  <si>
    <t>Ventilatori, sistemi ricambio aria</t>
  </si>
  <si>
    <t>Karin Schmidhammer</t>
  </si>
  <si>
    <t>JODO ITALIA S.R.L.</t>
  </si>
  <si>
    <t>00261340046</t>
  </si>
  <si>
    <t>Sistemi ibridi, pompe di calore, caldaie</t>
  </si>
  <si>
    <t>Cristiano Bistoletti</t>
  </si>
  <si>
    <t>ENERBLUE S.R.L.</t>
  </si>
  <si>
    <t>04246370284</t>
  </si>
  <si>
    <t>Pompe di calore e condizionamento</t>
  </si>
  <si>
    <t>Simonluca Tessarin</t>
  </si>
  <si>
    <t>APEN GROUP S.P.A.</t>
  </si>
  <si>
    <t>08767740155</t>
  </si>
  <si>
    <t>Manuela Rigamonti</t>
  </si>
  <si>
    <t>Roccheggiani</t>
  </si>
  <si>
    <t>Pompe di calore</t>
  </si>
  <si>
    <t>Marco Roccheggiani</t>
  </si>
  <si>
    <t>Speroni Water Pumps</t>
  </si>
  <si>
    <t>Pompe acqua</t>
  </si>
  <si>
    <t>Giuseppe Speroni</t>
  </si>
  <si>
    <t>Armira</t>
  </si>
  <si>
    <t>Leopold Walde</t>
  </si>
  <si>
    <t>Healthcare&amp;Technology</t>
  </si>
  <si>
    <t>https://www.armira.de/en/</t>
  </si>
  <si>
    <t>Apollo</t>
  </si>
  <si>
    <t>Wave</t>
  </si>
  <si>
    <t>Unigrains</t>
  </si>
  <si>
    <t>Agrifood</t>
  </si>
  <si>
    <t>Pitch egg &amp; yogurt US business</t>
  </si>
  <si>
    <t>https://www.unigrains.fr/en/</t>
  </si>
  <si>
    <t>Branded and private label eggs + branded yogurt</t>
  </si>
  <si>
    <t>Ricavi: €80M, EBITDA €8M</t>
  </si>
  <si>
    <t>Galletti</t>
  </si>
  <si>
    <t>Luca Galletti</t>
  </si>
  <si>
    <t>Fonderie SIME S.p.A.</t>
  </si>
  <si>
    <t xml:space="preserve">01275930236  </t>
  </si>
  <si>
    <t>Pompe di calore, caldaie e condizionamento</t>
  </si>
  <si>
    <t>Maria Cristina Menini</t>
  </si>
  <si>
    <t>Special Situations</t>
  </si>
  <si>
    <t>Emanuel Cattanei</t>
  </si>
  <si>
    <t>Tecnosytemi</t>
  </si>
  <si>
    <t>Euroclima</t>
  </si>
  <si>
    <t>Jodo Italia</t>
  </si>
  <si>
    <t>Enerblue</t>
  </si>
  <si>
    <t>Apen Group</t>
  </si>
  <si>
    <t>Days since progress</t>
  </si>
  <si>
    <t>FCA conosce l'AD</t>
  </si>
  <si>
    <t>Sell-side Pitch - French HR SaaS company / buyers ideas</t>
  </si>
  <si>
    <t xml:space="preserve">HR SaaS company offering solutions for measuring and improving employee engagement. </t>
  </si>
  <si>
    <t>Project Showcase</t>
  </si>
  <si>
    <t xml:space="preserve">Designer and manufacturer of custom store fixtures and visual merchandising displays largely for the luxury retail market </t>
  </si>
  <si>
    <t>Ricavi: C$42M, EBITDA C$7M</t>
  </si>
  <si>
    <t>Schweitzer Project S.p.A.</t>
  </si>
  <si>
    <t>01352250219</t>
  </si>
  <si>
    <t xml:space="preserve">Sviluppo e realizzazione shop in shop e concept store per rivenditori e brand </t>
  </si>
  <si>
    <t>Progettazione, produzione e installazione di attrezzature complete per il settore del retail</t>
  </si>
  <si>
    <t>Pj. Showcase</t>
  </si>
  <si>
    <t>Arneg S.p.A.</t>
  </si>
  <si>
    <t>00220200281</t>
  </si>
  <si>
    <t>Contractors</t>
  </si>
  <si>
    <t xml:space="preserve">Bernhard Schweitzer </t>
  </si>
  <si>
    <t>Filippo Marzaro</t>
  </si>
  <si>
    <t>Daniele Marzaro</t>
  </si>
  <si>
    <t>Stefano Marzaro</t>
  </si>
  <si>
    <t>Paragon</t>
  </si>
  <si>
    <t>Cavanna
Spica</t>
  </si>
  <si>
    <t>Spica
Fusto</t>
  </si>
  <si>
    <t>Stefano Tatarella</t>
  </si>
  <si>
    <t>Biostimolanti</t>
  </si>
  <si>
    <t>Agriges</t>
  </si>
  <si>
    <t>02471930616</t>
  </si>
  <si>
    <t>Produzione di biostimolanti per agricoltura</t>
  </si>
  <si>
    <t>Giovanni Tancredi</t>
  </si>
  <si>
    <t>Pasqualina Franco</t>
  </si>
  <si>
    <t>Domenico Masotta</t>
  </si>
  <si>
    <t>Giuseppini</t>
  </si>
  <si>
    <t>elogy</t>
  </si>
  <si>
    <t>SPICA (buy-side)</t>
  </si>
  <si>
    <t>Sabastiano Caffo</t>
  </si>
  <si>
    <t>Paragon Partners</t>
  </si>
  <si>
    <t xml:space="preserve">Agricola Imballaggi </t>
  </si>
  <si>
    <t>02211350653</t>
  </si>
  <si>
    <t>Produzione pallet in plastica per frutta</t>
  </si>
  <si>
    <t>CGS</t>
  </si>
  <si>
    <t>Yeppon reloaded</t>
  </si>
  <si>
    <t>Aurelius</t>
  </si>
  <si>
    <t>https://www.aurelius-group.com/</t>
  </si>
  <si>
    <t>Andrea Motori</t>
  </si>
  <si>
    <t>2.000 M€</t>
  </si>
  <si>
    <t>Investimenti in aziende o assets non performanti</t>
  </si>
  <si>
    <t>Diploma</t>
  </si>
  <si>
    <t>Distributore a valore aggiunto di cavi, fasteners, altri componenti meccanici. Attivo anche nel settore healthcare</t>
  </si>
  <si>
    <t>Steve Sargeant</t>
  </si>
  <si>
    <t>Atlas Partners</t>
  </si>
  <si>
    <t>Stefano Carpano</t>
  </si>
  <si>
    <t>Mold maker</t>
  </si>
  <si>
    <t>Rev: c. $8M</t>
  </si>
  <si>
    <t>Bernhard Schweitzer</t>
  </si>
  <si>
    <t>Progettazione e allestimento di negozi</t>
  </si>
  <si>
    <t>Oltre Capital</t>
  </si>
  <si>
    <t>Siman (Buy-side da DUBAG)</t>
  </si>
  <si>
    <t>Calibrium</t>
  </si>
  <si>
    <t>Edilkamin</t>
  </si>
  <si>
    <t>00192220192</t>
  </si>
  <si>
    <t>Fam. Borsatti</t>
  </si>
  <si>
    <t xml:space="preserve">Produzione caminetti e stufe a pellet e legna </t>
  </si>
  <si>
    <t>MTS</t>
  </si>
  <si>
    <t xml:space="preserve">11054190969 </t>
  </si>
  <si>
    <t>Progettazione e costruzione di facciate continue</t>
  </si>
  <si>
    <t>Francesco Ferraris</t>
  </si>
  <si>
    <t>Vismederi + Theras</t>
  </si>
  <si>
    <t>Italtherm</t>
  </si>
  <si>
    <t>Darryl Lea Chocolate</t>
  </si>
  <si>
    <t>aborted</t>
  </si>
  <si>
    <t>Nash Advisory</t>
  </si>
  <si>
    <t>Australia</t>
  </si>
  <si>
    <t>Chocolate/confectionary snacking business</t>
  </si>
  <si>
    <t>Rev: c. AUD500M</t>
  </si>
  <si>
    <t>ROS</t>
  </si>
  <si>
    <t>Solbian spa</t>
  </si>
  <si>
    <t>Produzione di panelli solari per nautica</t>
  </si>
  <si>
    <t>Energia</t>
  </si>
  <si>
    <t>Enrique Garcia</t>
  </si>
  <si>
    <t>Tersan</t>
  </si>
  <si>
    <t>Energia / Smaltimento rifiuti</t>
  </si>
  <si>
    <t>10201500013</t>
  </si>
  <si>
    <t>Arneg Spa</t>
  </si>
  <si>
    <t xml:space="preserve">00475590725 </t>
  </si>
  <si>
    <t>Banchi frigo</t>
  </si>
  <si>
    <t>Pj DELIGHT</t>
  </si>
  <si>
    <t xml:space="preserve">Distributor of confectionaries, snacks, and beverages </t>
  </si>
  <si>
    <t>Ricavi: €93.6M, EBITDA €9.1M</t>
  </si>
  <si>
    <t>Camst</t>
  </si>
  <si>
    <t>00311310379</t>
  </si>
  <si>
    <t>Ristorazione collettiva</t>
  </si>
  <si>
    <t>DIAM (Gruppo OENEO)</t>
  </si>
  <si>
    <t>Produzione tappi in sughero</t>
  </si>
  <si>
    <t>Dori Gaspare</t>
  </si>
  <si>
    <t>Giancarlo Garatti</t>
  </si>
  <si>
    <t>Lavorazioni Meccaniche</t>
  </si>
  <si>
    <t>Sapori Veri e Fusto</t>
  </si>
  <si>
    <t>Portobello</t>
  </si>
  <si>
    <t>Antonio Todisco</t>
  </si>
  <si>
    <t>Brustor</t>
  </si>
  <si>
    <t>Trifarma S.p.A.</t>
  </si>
  <si>
    <t>06887600150</t>
  </si>
  <si>
    <t>Produzione di Active Pharmaceutical Ingredients</t>
  </si>
  <si>
    <t>Multi-brand consumer group leading the industry in the BMX, Lifestyle, Gravel &amp; Allroad, bikepacking and protection gear</t>
  </si>
  <si>
    <t>Gruppo Pellegrini</t>
  </si>
  <si>
    <t>05066690156</t>
  </si>
  <si>
    <t>Catering, welfare, vending e servizi di pulizia collettiva</t>
  </si>
  <si>
    <t>Pj ROOFTOP (We Make Things)</t>
  </si>
  <si>
    <t>Rev: €14M, Ebitda Margin Adj 4%</t>
  </si>
  <si>
    <t>Anthilia</t>
  </si>
  <si>
    <t>Pricoa</t>
  </si>
  <si>
    <t>Giacomo Barone</t>
  </si>
  <si>
    <t>Tobia Dian</t>
  </si>
  <si>
    <t>Fusto + Sapori Veri</t>
  </si>
  <si>
    <t>FONDO_PD</t>
  </si>
  <si>
    <t>Azimut Libera Impresa</t>
  </si>
  <si>
    <t>Giacomo Nava</t>
  </si>
  <si>
    <t>Clessidra PD</t>
  </si>
  <si>
    <t>Nissolino Academy</t>
  </si>
  <si>
    <t>Corsi di formazione per militari</t>
  </si>
  <si>
    <t>COld Call</t>
  </si>
  <si>
    <t>15503921007</t>
  </si>
  <si>
    <t>Gruppo Bedeschi</t>
  </si>
  <si>
    <t>CDZ Vini Srl</t>
  </si>
  <si>
    <t>Food: Wine</t>
  </si>
  <si>
    <t>Agro</t>
  </si>
  <si>
    <t>Pj Face</t>
  </si>
  <si>
    <t>Antonio Cussino</t>
  </si>
  <si>
    <t xml:space="preserve">00539530048 </t>
  </si>
  <si>
    <t xml:space="preserve">Commercio all'iingrosso di impianti idrici </t>
  </si>
  <si>
    <t>Idrocentro Spa</t>
  </si>
  <si>
    <t xml:space="preserve">CR </t>
  </si>
  <si>
    <t>ILTOM S.p.a.</t>
  </si>
  <si>
    <t>00815260195</t>
  </si>
  <si>
    <t>Fabbricazione di articoli metallici</t>
  </si>
  <si>
    <t>Francesco Venturelli</t>
  </si>
  <si>
    <t>Quattro R</t>
  </si>
  <si>
    <t>Target Armira</t>
  </si>
  <si>
    <t>Opocrin Spa</t>
  </si>
  <si>
    <t>Indena</t>
  </si>
  <si>
    <t>Istituto Gentili</t>
  </si>
  <si>
    <t>Sanmarco Informatica</t>
  </si>
  <si>
    <t>00156140360</t>
  </si>
  <si>
    <t>Ricerca e produzione principi attivi farmaceutici</t>
  </si>
  <si>
    <t>00712180165</t>
  </si>
  <si>
    <t>07921350968</t>
  </si>
  <si>
    <t>01712150240</t>
  </si>
  <si>
    <t>Produzione farmaceutica e nutraceutica da fonti vegetali</t>
  </si>
  <si>
    <t>Ricerca e cura in ambito oncologico, ematologico e delle malattie rare</t>
  </si>
  <si>
    <t>Sviluppo software e consulenza digitale per le aziende</t>
  </si>
  <si>
    <t>Francesco Mazzoli</t>
  </si>
  <si>
    <t>Matteo Bonfatti</t>
  </si>
  <si>
    <t>Renato Bardin</t>
  </si>
  <si>
    <t>Pj PORPORA (CDZ Vini)</t>
  </si>
  <si>
    <t>Casa vinicola</t>
  </si>
  <si>
    <t>Rev: €28M, Ebitda: €4M</t>
  </si>
  <si>
    <t>Parisot (impianti di produzione truciolato)</t>
  </si>
  <si>
    <t>Impianti di produzione truciolato</t>
  </si>
  <si>
    <t>Rev: c. €130M</t>
  </si>
  <si>
    <t xml:space="preserve">00696460989 </t>
  </si>
  <si>
    <t>Demolizione</t>
  </si>
  <si>
    <t>Giuseppe Lupi</t>
  </si>
  <si>
    <t>Gruppo Pollini</t>
  </si>
  <si>
    <t>Myes</t>
  </si>
  <si>
    <t>Pj Anfield</t>
  </si>
  <si>
    <t>GRUPPO BEDESCHI</t>
  </si>
  <si>
    <t xml:space="preserve">Impianti Logistica e Portuali </t>
  </si>
  <si>
    <t>Produzione impianti per movimentazione materiali sfusi e logistica portuale</t>
  </si>
  <si>
    <t>Potenziale target per Aurelius</t>
  </si>
  <si>
    <t>Elmec Informatica spa</t>
  </si>
  <si>
    <t>01490000120</t>
  </si>
  <si>
    <t>Valerio Corti</t>
  </si>
  <si>
    <t>Rinaldo Ballerio</t>
  </si>
  <si>
    <t>Nome Società</t>
  </si>
  <si>
    <t>Distribution List</t>
  </si>
  <si>
    <t>Ind. Machinery &amp; Robotics</t>
  </si>
  <si>
    <t>M&amp;A ITA - GER</t>
  </si>
  <si>
    <t>AB MEDICA SPA</t>
  </si>
  <si>
    <t>ABIOGEN PHARMA S.P.A.</t>
  </si>
  <si>
    <t>ABOCA SPA SOC. AGRICOLA</t>
  </si>
  <si>
    <t>AFERETICA Srl</t>
  </si>
  <si>
    <t>ALIFAX S.R.L.</t>
  </si>
  <si>
    <t>AZIENDA CHIMICA E FARMACEUTICA SPA</t>
  </si>
  <si>
    <t>B. &amp; B. DENTAL SRL</t>
  </si>
  <si>
    <t>BETATEX S.P.A.</t>
  </si>
  <si>
    <t>BIOMAX SPA</t>
  </si>
  <si>
    <t>BIOS LINE SPA</t>
  </si>
  <si>
    <t>BIOTECK SPA</t>
  </si>
  <si>
    <t>BRENTA S.R.L.</t>
  </si>
  <si>
    <t>CHEMIFARMA SPA</t>
  </si>
  <si>
    <t>CIZETA MEDICALI S.P.A.</t>
  </si>
  <si>
    <t>CLINI-LAB S.R.L.</t>
  </si>
  <si>
    <t>COPAN GROUP</t>
  </si>
  <si>
    <t>CORMAN SPA</t>
  </si>
  <si>
    <t>COSMED SRL</t>
  </si>
  <si>
    <t>COSTRUZIONE STRUMENTI OFTALMICI SPA</t>
  </si>
  <si>
    <t>CURASEPT SPA</t>
  </si>
  <si>
    <t>DASIT SpA</t>
  </si>
  <si>
    <t>DISPOTECH S.R.L.</t>
  </si>
  <si>
    <t>DIVEL ITALIA S.P.A.</t>
  </si>
  <si>
    <t>EB NEURO SPA</t>
  </si>
  <si>
    <t>ECS S.R.L.</t>
  </si>
  <si>
    <t>ELESA S.P.A.</t>
  </si>
  <si>
    <t>ELI-DENT GROUP SRL</t>
  </si>
  <si>
    <t xml:space="preserve">ERREKAPPA EUROTERAPICI S.P.A. </t>
  </si>
  <si>
    <t>ESAMED SRL</t>
  </si>
  <si>
    <t>ESTOR SPA</t>
  </si>
  <si>
    <t>EURONDA - S.P.A.</t>
  </si>
  <si>
    <t>EUROSETS SRL</t>
  </si>
  <si>
    <t>EUROSPITAL SRL</t>
  </si>
  <si>
    <t>EVEREX SRL</t>
  </si>
  <si>
    <t>F.A.R.O. - FABBRICA APPARECCHIATURE RAZIONALI ODONTOIATRICHE SPA</t>
  </si>
  <si>
    <t>F.L. MEDICAL S.R.L.</t>
  </si>
  <si>
    <t>FAVERO HEALTH PROJECTS SPA</t>
  </si>
  <si>
    <t>GALENICA SENESE SRL</t>
  </si>
  <si>
    <t xml:space="preserve">GEM </t>
  </si>
  <si>
    <t>GIMA -S.P.A.</t>
  </si>
  <si>
    <t>Giuliani Spa</t>
  </si>
  <si>
    <t>GRUPPO SODALIS</t>
  </si>
  <si>
    <t>GUARNIMED SRL</t>
  </si>
  <si>
    <t>GUNA S.P.A.</t>
  </si>
  <si>
    <t>GVS SPA</t>
  </si>
  <si>
    <t>HEMERA SRL</t>
  </si>
  <si>
    <t>HMC Group</t>
  </si>
  <si>
    <t>INTRAUMA SPA</t>
  </si>
  <si>
    <t>ITALFARMACO SPA</t>
  </si>
  <si>
    <t>J DENTAL CARE SRL</t>
  </si>
  <si>
    <t>KARDIA SRL</t>
  </si>
  <si>
    <t>KHYMEIA S.R.L.</t>
  </si>
  <si>
    <t>LAB. FARMACEUTICO SIT</t>
  </si>
  <si>
    <t>LACHIFARMA SPA</t>
  </si>
  <si>
    <t>LAMP SAN PROSPERO</t>
  </si>
  <si>
    <t>LIOFILCHEM S.R.L.</t>
  </si>
  <si>
    <t>LOFARMA S.P.A.</t>
  </si>
  <si>
    <t>MAGRIS</t>
  </si>
  <si>
    <t>MARFRAN SRL</t>
  </si>
  <si>
    <t>MEDICA  SpA</t>
  </si>
  <si>
    <t>MEDICAL SYSTEMS - SOCIETA' PER AZIONI</t>
  </si>
  <si>
    <t>MICERIUM SPA</t>
  </si>
  <si>
    <t>MODENPLAST MEDICAL SPA</t>
  </si>
  <si>
    <t>MOLTENI &amp; C. SPA</t>
  </si>
  <si>
    <t>movi Group</t>
  </si>
  <si>
    <t>PERMEDICA SPA</t>
  </si>
  <si>
    <t>PHARMAEXTRACTA SPA</t>
  </si>
  <si>
    <t>PHARMANUTRA SPA</t>
  </si>
  <si>
    <t>PIAM FARMACEUTICI SpA</t>
  </si>
  <si>
    <t>PIETRASANTA PHARMA SPA</t>
  </si>
  <si>
    <t>PLASTOD SPA</t>
  </si>
  <si>
    <t>PRES-BLOCK S.P.A.</t>
  </si>
  <si>
    <t>PROMED S.R.L.</t>
  </si>
  <si>
    <t>RAND SPA</t>
  </si>
  <si>
    <t>RAYS SPA</t>
  </si>
  <si>
    <t>REDAX SPA</t>
  </si>
  <si>
    <t>REVELLO SPA</t>
  </si>
  <si>
    <t>S.A.L.F. SPA</t>
  </si>
  <si>
    <t>S.I.I.T. Srl - SERVIZIO INTERNAZIONALE IMBALLAGGI TERMOSALDANTI</t>
  </si>
  <si>
    <t>SANTEX S.P.A.</t>
  </si>
  <si>
    <t>SENTINEL CH SpA</t>
  </si>
  <si>
    <t>Sodalis Group</t>
  </si>
  <si>
    <t>SVAS BIOSANA Spa</t>
  </si>
  <si>
    <t>SWEDEN &amp; MARTINA SPA</t>
  </si>
  <si>
    <t>TECHNIX SPA</t>
  </si>
  <si>
    <t>TECRES SPA</t>
  </si>
  <si>
    <t>Teofarma Srl</t>
  </si>
  <si>
    <t>THERAS LIFETECH S.R.L.</t>
  </si>
  <si>
    <t>TRUFFINI &amp; REGGE' FARMACEUTICI S.R.L.</t>
  </si>
  <si>
    <t>UNIFARCO SPA</t>
  </si>
  <si>
    <t>UNIVET SRL</t>
  </si>
  <si>
    <t>VALMED Srl</t>
  </si>
  <si>
    <t>VILLA SISTEMI MEDICALI S.P.A.</t>
  </si>
  <si>
    <t>Vismederi Srl</t>
  </si>
  <si>
    <t>WALDNER TECNOLOGIE MEDICALI SRL</t>
  </si>
  <si>
    <t xml:space="preserve">ECUPHARMA </t>
  </si>
  <si>
    <t>X</t>
  </si>
  <si>
    <t>Scuole di lingua</t>
  </si>
  <si>
    <t>GoFluent</t>
  </si>
  <si>
    <t>Christophe Ferrandou</t>
  </si>
  <si>
    <t>Pearson Plc</t>
  </si>
  <si>
    <t>Omar Abbosh</t>
  </si>
  <si>
    <t>Kaplan International Languages, Inc.</t>
  </si>
  <si>
    <t>Learnlight</t>
  </si>
  <si>
    <t>Lingoda</t>
  </si>
  <si>
    <t>Sunrise Capital</t>
  </si>
  <si>
    <t>Casa editrice</t>
  </si>
  <si>
    <t>Search fund</t>
  </si>
  <si>
    <t>Carlo Pajusco</t>
  </si>
  <si>
    <t>Kilometro Verde</t>
  </si>
  <si>
    <t>Stewart</t>
  </si>
  <si>
    <t>Vertical farms</t>
  </si>
  <si>
    <t>Prodotti ittici surgelati</t>
  </si>
  <si>
    <t>R&amp;D di farmaci per pediatria e ginecologia</t>
  </si>
  <si>
    <t>Battagliola</t>
  </si>
  <si>
    <t>Da Fortunata</t>
  </si>
  <si>
    <t>Ristoranti di cucina romana</t>
  </si>
  <si>
    <t>Fondo di Private Equity</t>
  </si>
  <si>
    <t>La Briantina</t>
  </si>
  <si>
    <t>Commercializzazione di prodotti per la pulizia, l’igiene e la cura della casa</t>
  </si>
  <si>
    <t>Marco Galvani</t>
  </si>
  <si>
    <t>00831050190</t>
  </si>
  <si>
    <t>Samhita Investments</t>
  </si>
  <si>
    <t>REACH</t>
  </si>
  <si>
    <t>Ricavi: €14M, EBITDA €0,6M</t>
  </si>
  <si>
    <t>Produzione di formaggi artigianali di alta qualità</t>
  </si>
  <si>
    <t>Distributore di prodotti ittici congelati</t>
  </si>
  <si>
    <t>Ricavi: €137M, EBITDA €7M</t>
  </si>
  <si>
    <t>Pj Apple (Comavicola)</t>
  </si>
  <si>
    <t>Pj Egg (Caseificio dell'Alta Langa)</t>
  </si>
  <si>
    <t>Inviato a JBR, Saga, Anquor, FDC, Zeus, Meridian, BGL</t>
  </si>
  <si>
    <t>Inviato a Anquor, FDC, Zeus, Meridian, BGL</t>
  </si>
  <si>
    <t>Novatech srl</t>
  </si>
  <si>
    <t>Investimenti in aziende media dimensione</t>
  </si>
  <si>
    <t>PBL Srl</t>
  </si>
  <si>
    <t>P.F.M. SpA</t>
  </si>
  <si>
    <t>SENZANI BREVETTI SPA</t>
  </si>
  <si>
    <t>Curti Industries SpA</t>
  </si>
  <si>
    <t>A2 di Squeri SpA</t>
  </si>
  <si>
    <t>Cariba Srl</t>
  </si>
  <si>
    <t>Marchesini Group SpA</t>
  </si>
  <si>
    <t>Brambati SpA</t>
  </si>
  <si>
    <t>GEAF Srl</t>
  </si>
  <si>
    <t>ICA SpA</t>
  </si>
  <si>
    <t>SMIGROUP S.P.A.</t>
  </si>
  <si>
    <t>STORCI SpA</t>
  </si>
  <si>
    <t>UNITEC S.P.A.</t>
  </si>
  <si>
    <t>Walter Tosto S.p.A.</t>
  </si>
  <si>
    <t>TONELLI GROUP S.P.A.</t>
  </si>
  <si>
    <t>SANCASSIANO S.P.A.</t>
  </si>
  <si>
    <t>PERSICO S.P.A.</t>
  </si>
  <si>
    <t>MASMEC SpA</t>
  </si>
  <si>
    <t>OVERMACH S.P.A.</t>
  </si>
  <si>
    <t>Novatec Srl</t>
  </si>
  <si>
    <t>BRETON S.P.A.</t>
  </si>
  <si>
    <t>BLM S.P.A.</t>
  </si>
  <si>
    <t>BiesSse Tape Solutions S.p.A.</t>
  </si>
  <si>
    <t>AETNA GROUP S.P.A.</t>
  </si>
  <si>
    <t>ALTECH S.R.L.</t>
  </si>
  <si>
    <t>ALTOPACK S.P.A.</t>
  </si>
  <si>
    <t>DROMONT S.P.A.</t>
  </si>
  <si>
    <t>MORC 2 S.R.L.</t>
  </si>
  <si>
    <t>ITALPACK S.r.l.</t>
  </si>
  <si>
    <t>OFFICINA MECCANICA SESTESE S.P.A.</t>
  </si>
  <si>
    <t>MAKRO LABELLING S.R.L.</t>
  </si>
  <si>
    <t>MARTINI S.R.L.</t>
  </si>
  <si>
    <t>MONTRADE S.P.A.</t>
  </si>
  <si>
    <t>OFFICINA BOCEDI SRL</t>
  </si>
  <si>
    <t>UNIFILL S.R.L.</t>
  </si>
  <si>
    <t>VETROMECCANICA - S.R.L. - SOCIETA' UNIPERSONALE</t>
  </si>
  <si>
    <t>GALDI S.R.L.</t>
  </si>
  <si>
    <t>UNITECH S.R.L.</t>
  </si>
  <si>
    <t>BORTOLIN KEMO S.P.A.</t>
  </si>
  <si>
    <t>M.C. AUTOMATIONS S.R.L.</t>
  </si>
  <si>
    <t>FIS IMPIANTI S.R.L.</t>
  </si>
  <si>
    <t>BORELLI GROUP S.R.L.</t>
  </si>
  <si>
    <t>SCALIGERA PACKAGING S.R.L.</t>
  </si>
  <si>
    <t>TEC.AL. S.R.L.</t>
  </si>
  <si>
    <t>TECNOMAX - DUE S.R.L.</t>
  </si>
  <si>
    <t>PAGLIERANI S.R.L.</t>
  </si>
  <si>
    <t>COLIGROUP S.P.A.</t>
  </si>
  <si>
    <t>BIGLIA SPA</t>
  </si>
  <si>
    <t>COLMEC</t>
  </si>
  <si>
    <t>CAMA GROUP</t>
  </si>
  <si>
    <t>CT PACK</t>
  </si>
  <si>
    <t>MANES MACCHINE</t>
  </si>
  <si>
    <t>OMAG PACK</t>
  </si>
  <si>
    <t>TWIN PACK SRL</t>
  </si>
  <si>
    <t>ITEMA GROUP SPA</t>
  </si>
  <si>
    <t>CAMEL SPA AUTOMAZIONI</t>
  </si>
  <si>
    <t>BEMA AUTOMAZIONI</t>
  </si>
  <si>
    <t>GRAF INDUSTRIES</t>
  </si>
  <si>
    <t>PAOLINO BACCI SRL</t>
  </si>
  <si>
    <t>B&amp;D ITALIA SRL</t>
  </si>
  <si>
    <t>MONOLAB SRL</t>
  </si>
  <si>
    <t>SIMECON SRL</t>
  </si>
  <si>
    <t>DAV TECH  SRL</t>
  </si>
  <si>
    <t>THRON S.P.A.</t>
  </si>
  <si>
    <t>LEANPRODUCTS SRL</t>
  </si>
  <si>
    <t>OROTIG SPA</t>
  </si>
  <si>
    <t>SECURITY TRUST.IT SRL</t>
  </si>
  <si>
    <t>FIRST SOLUTION SRL</t>
  </si>
  <si>
    <t>SINTA SRL</t>
  </si>
  <si>
    <t>ELESA SPA</t>
  </si>
  <si>
    <t>CHIARAVALLI LINEAR CENTER SRL - CHIARAVALLI GROUP</t>
  </si>
  <si>
    <t>Tech-Value S.r.l.</t>
  </si>
  <si>
    <t>METAL WORK SPA</t>
  </si>
  <si>
    <t>FORTEK SRL</t>
  </si>
  <si>
    <t>COSBERG SPA</t>
  </si>
  <si>
    <t>STIMA SPA</t>
  </si>
  <si>
    <t>SYTEC SRL</t>
  </si>
  <si>
    <t>OMAS SRL</t>
  </si>
  <si>
    <t>Pitch photonics optronics optics</t>
  </si>
  <si>
    <t>Matteo Maria Casarelli</t>
  </si>
  <si>
    <t>Alessandro Zanet</t>
  </si>
  <si>
    <t>Sapori Veri; Myes</t>
  </si>
  <si>
    <t>Antonello Mele</t>
  </si>
  <si>
    <t>00813270154</t>
  </si>
  <si>
    <t>Winery</t>
  </si>
  <si>
    <t>Ricavi: €28M, EBITDA €4M</t>
  </si>
  <si>
    <t>Pj SAFETY</t>
  </si>
  <si>
    <t>Safety shoes producer</t>
  </si>
  <si>
    <t>Ricavi: €20,4M, EBITDA €3,2M</t>
  </si>
  <si>
    <t>Pj COAST</t>
  </si>
  <si>
    <t>Pj EDGE</t>
  </si>
  <si>
    <t>Development and manufacturing of composite Resin Transfer Moulding (RTM) structures for aeronautics sector</t>
  </si>
  <si>
    <t>Rumiano Cheese (Branded and private label organic retail) cheese and contract processor</t>
  </si>
  <si>
    <t>Ricavi: €14M, EBITDA €1,7M</t>
  </si>
  <si>
    <t>Pj HELIOS</t>
  </si>
  <si>
    <t>Cooper Parry - REACH</t>
  </si>
  <si>
    <t>Warehouse – industrial racking</t>
  </si>
  <si>
    <t>Ricavi: £20M, EBITDA £3M</t>
  </si>
  <si>
    <t>Andrea Gay</t>
  </si>
  <si>
    <t>Sunderland Srl</t>
  </si>
  <si>
    <t>Barbara Filippini</t>
  </si>
  <si>
    <t>Inter Freight</t>
  </si>
  <si>
    <t>Luigi Frizzi</t>
  </si>
  <si>
    <t>Haier</t>
  </si>
  <si>
    <t>Neill Tunstall</t>
  </si>
  <si>
    <t>Neil Tunstall</t>
  </si>
  <si>
    <t>Ferrari N.V</t>
  </si>
  <si>
    <t>John Philip Elkann</t>
  </si>
  <si>
    <t>Benedetto Vigna</t>
  </si>
  <si>
    <t>Ignazio Carbone</t>
  </si>
  <si>
    <t>Mirco Maschio</t>
  </si>
  <si>
    <t>Luigi De Puppi</t>
  </si>
  <si>
    <t>Pietro Del Fabbro</t>
  </si>
  <si>
    <t>Maschio Holding Spa</t>
  </si>
  <si>
    <t>Self owned</t>
  </si>
  <si>
    <t>Giuseppe Giovanni Caffo</t>
  </si>
  <si>
    <t>Sebastiano Giovanni Caffo</t>
  </si>
  <si>
    <t>Lorenzo Pagliuca</t>
  </si>
  <si>
    <t>Myes Firenze Srl</t>
  </si>
  <si>
    <t>Luigi Sguerri</t>
  </si>
  <si>
    <t>Emanuele Strufaldi</t>
  </si>
  <si>
    <t>Sabrina De Filippis</t>
  </si>
  <si>
    <t>04267900985</t>
  </si>
  <si>
    <t>FACE</t>
  </si>
  <si>
    <t>Motion Private Equity</t>
  </si>
  <si>
    <t>https://www.motionequitypartners.com/it/</t>
  </si>
  <si>
    <t>Cedric Rays</t>
  </si>
  <si>
    <t>Oltre Impact</t>
  </si>
  <si>
    <t>Raffaele Fedele</t>
  </si>
  <si>
    <t>Società ad impatto</t>
  </si>
  <si>
    <t> Oltre III</t>
  </si>
  <si>
    <t>Vam Investments</t>
  </si>
  <si>
    <t>Equinox</t>
  </si>
  <si>
    <t>Bravo Capital</t>
  </si>
  <si>
    <t>Martina Di Gioia</t>
  </si>
  <si>
    <t>Eulero Capital</t>
  </si>
  <si>
    <t>Giovanni Saccaggi</t>
  </si>
  <si>
    <t>Andrea Bovone</t>
  </si>
  <si>
    <t>Amundi SGR</t>
  </si>
  <si>
    <t>Minoranze "growth" o in co-investimento su LBOs</t>
  </si>
  <si>
    <t>Viviana Gasparrini</t>
  </si>
  <si>
    <t>INSERIRE PRIMA DI QUESTA COLONNA</t>
  </si>
  <si>
    <t>Fra' Diavolo</t>
  </si>
  <si>
    <t>Evento</t>
  </si>
  <si>
    <t>Michelina Giovanni Vietti</t>
  </si>
  <si>
    <t>Michelina Anna Rina Vietti</t>
  </si>
  <si>
    <t>Giovanni Battista Vietti Michelina</t>
  </si>
  <si>
    <t>Pieffeuno Srl</t>
  </si>
  <si>
    <t>Riccardo Anzuini</t>
  </si>
  <si>
    <t>Lorenzo Antonio Frigerio</t>
  </si>
  <si>
    <t>Fingefran Srl</t>
  </si>
  <si>
    <t>Lazard Frères Banque Sa</t>
  </si>
  <si>
    <t>Maria Chiara Franceschetti</t>
  </si>
  <si>
    <t>Marcello Perini</t>
  </si>
  <si>
    <t>V.F. Adhesives Srl</t>
  </si>
  <si>
    <t>Amundi Sgr SpA</t>
  </si>
  <si>
    <t>Paolo Basile</t>
  </si>
  <si>
    <t>00227490232</t>
  </si>
  <si>
    <t>Yang Qiu</t>
  </si>
  <si>
    <t>Hermann Steiner</t>
  </si>
  <si>
    <t>Angel Legarda</t>
  </si>
  <si>
    <t>Sichuan Gangrong Investment</t>
  </si>
  <si>
    <t>07118810964</t>
  </si>
  <si>
    <t>Tages SpA</t>
  </si>
  <si>
    <t>Quarto Srl</t>
  </si>
  <si>
    <t>Elisabetta Gualandri</t>
  </si>
  <si>
    <t>Giuseppe Alessandro Galeano</t>
  </si>
  <si>
    <t>Tages Capital SGR</t>
  </si>
  <si>
    <t>Silvana Papaleo</t>
  </si>
  <si>
    <t>Gabriella Papaleo</t>
  </si>
  <si>
    <t>Roberto Volpi</t>
  </si>
  <si>
    <t>Mario Antonini</t>
  </si>
  <si>
    <t>Sbs Holding Srl</t>
  </si>
  <si>
    <t>Deren Investment Holding S.à.r.l</t>
  </si>
  <si>
    <t>Massimo Gaboardi</t>
  </si>
  <si>
    <t>Bioindustria LIM</t>
  </si>
  <si>
    <t>Biofin Farma Srl</t>
  </si>
  <si>
    <t>Fabrizio Caraccia</t>
  </si>
  <si>
    <t>Paolo Fasce</t>
  </si>
  <si>
    <t>08304650966</t>
  </si>
  <si>
    <t>Synergetic Srl</t>
  </si>
  <si>
    <t>White Bridge Investments</t>
  </si>
  <si>
    <t>Dolomiti 3 Sàrl</t>
  </si>
  <si>
    <t>Marco Pinciroli</t>
  </si>
  <si>
    <t>Ruggero Roberto Capone</t>
  </si>
  <si>
    <t>Stefano Devescovi</t>
  </si>
  <si>
    <t>Martelli e Figli Srl</t>
  </si>
  <si>
    <t>N.U.O. Partners Srl</t>
  </si>
  <si>
    <t>Stefania Martelli</t>
  </si>
  <si>
    <t>Carlo Delladio</t>
  </si>
  <si>
    <t>Giovanni Galeotti</t>
  </si>
  <si>
    <t>03867050969</t>
  </si>
  <si>
    <t>Clessidra Holding</t>
  </si>
  <si>
    <t>Rosario Bifulco</t>
  </si>
  <si>
    <t>Riccardo Andriolo</t>
  </si>
  <si>
    <t>Andrea Francesco Enrico Ottaviano</t>
  </si>
  <si>
    <t>Auctus Capital Partners Ag</t>
  </si>
  <si>
    <t>Alcedo Sgr</t>
  </si>
  <si>
    <t>03557340282</t>
  </si>
  <si>
    <t>MGM Srl</t>
  </si>
  <si>
    <t>Maurizio Tiveron</t>
  </si>
  <si>
    <t>Michele Gallo</t>
  </si>
  <si>
    <t>Giovanni Bandera</t>
  </si>
  <si>
    <t>02084930482</t>
  </si>
  <si>
    <t>Probiotic Midco Spa</t>
  </si>
  <si>
    <t>Damien Gaudin</t>
  </si>
  <si>
    <t>Enrico Russo</t>
  </si>
  <si>
    <t>Francesco Bonelli</t>
  </si>
  <si>
    <t>Irene Lucia Laura Piazza Roncoroni</t>
  </si>
  <si>
    <t>Marco Paschina</t>
  </si>
  <si>
    <t>Azimut Holding SpA</t>
  </si>
  <si>
    <t>Gabriele Roberto Blei</t>
  </si>
  <si>
    <t>Marco Lori</t>
  </si>
  <si>
    <t>Marco Fazi</t>
  </si>
  <si>
    <t>Zanetti Formaggi</t>
  </si>
  <si>
    <t>Mauro Fra Diavolo</t>
  </si>
  <si>
    <t>Ristorazione</t>
  </si>
  <si>
    <t>Morello Forni</t>
  </si>
  <si>
    <t>Marco Morello</t>
  </si>
  <si>
    <t> 01218020350 </t>
  </si>
  <si>
    <t>Ghg Holding Srl</t>
  </si>
  <si>
    <t>Giorgio Grasselli</t>
  </si>
  <si>
    <t>Alessandro Beltrami</t>
  </si>
  <si>
    <t>Most Srl</t>
  </si>
  <si>
    <t>Elmec Informatica</t>
  </si>
  <si>
    <t>Meeting in CARIBA</t>
  </si>
  <si>
    <t>Meeting con CURTI</t>
  </si>
  <si>
    <t> 03766040103</t>
  </si>
  <si>
    <t>Maurizio Miroglio</t>
  </si>
  <si>
    <t>Pier Giorgio Grigoli</t>
  </si>
  <si>
    <t>Riccardo Blandino</t>
  </si>
  <si>
    <t>Alessandro Cian</t>
  </si>
  <si>
    <t>Giuseppe Vidale</t>
  </si>
  <si>
    <t>Antonio Fabio Serino</t>
  </si>
  <si>
    <t>08814410968</t>
  </si>
  <si>
    <t>Vector SpA</t>
  </si>
  <si>
    <t>00698060126</t>
  </si>
  <si>
    <t>MCFB Factory Srl</t>
  </si>
  <si>
    <t>Tommaso Grossi</t>
  </si>
  <si>
    <t>THERAS Group ( T- Holding)</t>
  </si>
  <si>
    <t>Alessandro Grillenzoni</t>
  </si>
  <si>
    <t>Colombini SpA</t>
  </si>
  <si>
    <t>Bruno Colombini</t>
  </si>
  <si>
    <t>Christian Colombini</t>
  </si>
  <si>
    <t>Agristone Capital</t>
  </si>
  <si>
    <t>Unigrains Developpement</t>
  </si>
  <si>
    <t>Paolo Sassi</t>
  </si>
  <si>
    <t>Stefania Meschiari</t>
  </si>
  <si>
    <t>Luca Sassi</t>
  </si>
  <si>
    <t>Gualtiero Tumidei</t>
  </si>
  <si>
    <t>Lorena Tumidei</t>
  </si>
  <si>
    <t> 01935150365</t>
  </si>
  <si>
    <t>Lupo Holding Srl</t>
  </si>
  <si>
    <t>Florim Ceramiche</t>
  </si>
  <si>
    <t>Viliam Berselli</t>
  </si>
  <si>
    <t>Gian Luigi Fiacchi</t>
  </si>
  <si>
    <t>09284580967</t>
  </si>
  <si>
    <t>FT Invest Srl</t>
  </si>
  <si>
    <t>Pier Franco Combina</t>
  </si>
  <si>
    <t>Franco Grande</t>
  </si>
  <si>
    <t>Giovanna Carettoni</t>
  </si>
  <si>
    <t>Natcor Srl</t>
  </si>
  <si>
    <t>Naturavi Srl</t>
  </si>
  <si>
    <t>Andrea Fanin</t>
  </si>
  <si>
    <t>Bruno Benecchi</t>
  </si>
  <si>
    <t>Gianluca Sordato</t>
  </si>
  <si>
    <t>Benice holding Spa</t>
  </si>
  <si>
    <t>Fsi Sgr</t>
  </si>
  <si>
    <t>Lauro Buoro</t>
  </si>
  <si>
    <t>Ottavia Alfano</t>
  </si>
  <si>
    <t>Roberto Miguel Griffa</t>
  </si>
  <si>
    <t>Claudio Pevarello</t>
  </si>
  <si>
    <t>Eniko Havadtoi</t>
  </si>
  <si>
    <t>01937781001</t>
  </si>
  <si>
    <t>Il Monte Srl</t>
  </si>
  <si>
    <t>Paolo Ugo Tramontozzi</t>
  </si>
  <si>
    <t> 00474870375</t>
  </si>
  <si>
    <t>Stracciari Holding</t>
  </si>
  <si>
    <t>Raffaella Stracciari</t>
  </si>
  <si>
    <t> 10254810152 </t>
  </si>
  <si>
    <t>Emanuele Codazzi</t>
  </si>
  <si>
    <t>Fabio Canovi</t>
  </si>
  <si>
    <t>Angelo Di Leva</t>
  </si>
  <si>
    <t>01269140529</t>
  </si>
  <si>
    <t>Research &amp; Development</t>
  </si>
  <si>
    <t>Vismederi Holding Srl</t>
  </si>
  <si>
    <t>Carlo Candiani</t>
  </si>
  <si>
    <t>Stefano Candiani</t>
  </si>
  <si>
    <t>Gianbattista Franchini</t>
  </si>
  <si>
    <t>Antonio Minervini</t>
  </si>
  <si>
    <t>Moretti Acciai Spa</t>
  </si>
  <si>
    <t>Habart Srl</t>
  </si>
  <si>
    <t>Giuseppe Milli</t>
  </si>
  <si>
    <t>Claudio Anceschi</t>
  </si>
  <si>
    <t>Luciano Emilio Maria Anceschi</t>
  </si>
  <si>
    <t>Stefano Venturelli</t>
  </si>
  <si>
    <t>Paolo Iozzo</t>
  </si>
  <si>
    <t>Elena Triaca</t>
  </si>
  <si>
    <t>Paolo Lanzara</t>
  </si>
  <si>
    <t xml:space="preserve">Luca Leonardi </t>
  </si>
  <si>
    <t>Paolo Leonardi</t>
  </si>
  <si>
    <t>Marco Mazzieri</t>
  </si>
  <si>
    <t>Eugenio Margaritelli Spa</t>
  </si>
  <si>
    <t>Dario Margaritelli</t>
  </si>
  <si>
    <t>Alfonso Ugo Chiavacci</t>
  </si>
  <si>
    <t>02500880048</t>
  </si>
  <si>
    <t>Iren SpA</t>
  </si>
  <si>
    <t>Ireti Spa</t>
  </si>
  <si>
    <t>Piercarlo Pellegrino</t>
  </si>
  <si>
    <t>Barbara Pirero</t>
  </si>
  <si>
    <t>Lameri SpA</t>
  </si>
  <si>
    <t>Amaco Srl</t>
  </si>
  <si>
    <t>Mario Lameri</t>
  </si>
  <si>
    <t>Secondo Vergani SpA</t>
  </si>
  <si>
    <t>Piergiorgio Ruggeri</t>
  </si>
  <si>
    <t>Paola Scotti</t>
  </si>
  <si>
    <t>Franco Patercoli</t>
  </si>
  <si>
    <t>Mario Poggio</t>
  </si>
  <si>
    <t>02154000166</t>
  </si>
  <si>
    <t>Furio Annovazzi</t>
  </si>
  <si>
    <t>Edoardo Annovazzi</t>
  </si>
  <si>
    <t> 04272860372</t>
  </si>
  <si>
    <t>Alberto Nicoli</t>
  </si>
  <si>
    <t>Uturn Investments Srl</t>
  </si>
  <si>
    <t>Italian Pharma Manufacturers</t>
  </si>
  <si>
    <t>Polish company looking for italian pharma targets</t>
  </si>
  <si>
    <t>Ricavi €20-70M</t>
  </si>
  <si>
    <t>Montefarmaco</t>
  </si>
  <si>
    <t>NTC Pharma</t>
  </si>
  <si>
    <t>Alfa Intes</t>
  </si>
  <si>
    <t>VISU farma</t>
  </si>
  <si>
    <t>Farmigea</t>
  </si>
  <si>
    <t>DMG Italia</t>
  </si>
  <si>
    <t>Ferretto Group</t>
  </si>
  <si>
    <t>Modula Spa</t>
  </si>
  <si>
    <t>System Logistic</t>
  </si>
  <si>
    <t>Magazzini Automatizzati</t>
  </si>
  <si>
    <t>Sienna</t>
  </si>
  <si>
    <t>Pj POZUELO</t>
  </si>
  <si>
    <t>Production and marketing of animal health products</t>
  </si>
  <si>
    <t>Ricavi: €28M, EBITDA €1,5M</t>
  </si>
  <si>
    <t>Pitch in the bakery sector in Brazil</t>
  </si>
  <si>
    <t>Shelf stable breads, cakes, and other gluten free, lactose free, vegan products</t>
  </si>
  <si>
    <t>EBITDA $2M</t>
  </si>
  <si>
    <t>Manufacturers and distributors of high quality PVC-U building products (fascias, soffits, gutters and cladding to windows, composite doors, bi-folding doors and sliding doors)</t>
  </si>
  <si>
    <t>Pitch in the PVC/Building products in UK</t>
  </si>
  <si>
    <t>Ricavi: £150M, EBITDA £14M</t>
  </si>
  <si>
    <t>Pitch in the cure and care institute for sleeping disorders in Netherlands</t>
  </si>
  <si>
    <t>Netherlans</t>
  </si>
  <si>
    <t>Dutch cure and care institute for sleeping disorders</t>
  </si>
  <si>
    <t>EBITDA: €3/4M</t>
  </si>
  <si>
    <t>Learnship</t>
  </si>
  <si>
    <t>FM</t>
  </si>
  <si>
    <t>Millefiori</t>
  </si>
  <si>
    <t>Italian Petrol Company</t>
  </si>
  <si>
    <t>Martina Cozzoni</t>
  </si>
  <si>
    <t>Emiliano Tonelli</t>
  </si>
  <si>
    <t>Francesco Liistro</t>
  </si>
  <si>
    <t>Pj WORLDWIDE</t>
  </si>
  <si>
    <t>High-quality branded and private label food products</t>
  </si>
  <si>
    <t>Rev: $145M; Ebitda $12m</t>
  </si>
  <si>
    <t>Esperis</t>
  </si>
  <si>
    <t>Aromi</t>
  </si>
  <si>
    <t>Aromi e rpofumi</t>
  </si>
  <si>
    <t>Antonella Rossi</t>
  </si>
  <si>
    <t>Famiglia Fava</t>
  </si>
  <si>
    <t>Ferrino SpA</t>
  </si>
  <si>
    <t>Produzione di articoli sportivi</t>
  </si>
  <si>
    <t>Gema società semplice</t>
  </si>
  <si>
    <t>Anna Beatrice Ferrino</t>
  </si>
  <si>
    <t>Alberto Ferrino</t>
  </si>
  <si>
    <t>Giuseppe Ravotto</t>
  </si>
  <si>
    <t>Tecnoplan Srl</t>
  </si>
  <si>
    <t>Marchesini Srl</t>
  </si>
  <si>
    <t>Luigi Riolo</t>
  </si>
  <si>
    <t>Arosa Sas</t>
  </si>
  <si>
    <t>Roberto Rossetti</t>
  </si>
  <si>
    <t>Anna Rossetti</t>
  </si>
  <si>
    <t> 00503151201</t>
  </si>
  <si>
    <t>Filippo Zabban</t>
  </si>
  <si>
    <t>Francesco Serantoni</t>
  </si>
  <si>
    <t>Gino Zabban</t>
  </si>
  <si>
    <t>FAS SpA</t>
  </si>
  <si>
    <t>Ellezeta Srl</t>
  </si>
  <si>
    <t>Luca Adriani</t>
  </si>
  <si>
    <t>Antelao SpA</t>
  </si>
  <si>
    <t>Angelo Stimamiglio</t>
  </si>
  <si>
    <t>02042800249 </t>
  </si>
  <si>
    <t>Gabriella Centomo</t>
  </si>
  <si>
    <t>Giampietro Battocchio</t>
  </si>
  <si>
    <t>00216410126 </t>
  </si>
  <si>
    <t>Famiglia Carabelli</t>
  </si>
  <si>
    <t>Giuseppe Carabelli</t>
  </si>
  <si>
    <t>Anna Carnevali</t>
  </si>
  <si>
    <t>Griffin Global Group Ltd</t>
  </si>
  <si>
    <t>Ian Charles Sinderson</t>
  </si>
  <si>
    <t>Alberghi</t>
  </si>
  <si>
    <t>Fam. Reina (I.S . Holding SpA)</t>
  </si>
  <si>
    <t>Aldino Marzorati</t>
  </si>
  <si>
    <t>Eugenio Fermo Guglielmo Ascione</t>
  </si>
  <si>
    <t>Enetec SpA</t>
  </si>
  <si>
    <t>Richard Moser</t>
  </si>
  <si>
    <t>01200010195</t>
  </si>
  <si>
    <t>Serfin Srl</t>
  </si>
  <si>
    <t>Michela Guarneri</t>
  </si>
  <si>
    <t xml:space="preserve">Produzione lubrificanti </t>
  </si>
  <si>
    <t>05550740657</t>
  </si>
  <si>
    <t>Fam. Albano</t>
  </si>
  <si>
    <t>Francesco Conte</t>
  </si>
  <si>
    <t>01195440118</t>
  </si>
  <si>
    <t>Blastness Srl</t>
  </si>
  <si>
    <t>Euroveder (Borgna Glass)</t>
  </si>
  <si>
    <t>Vendita online di camere d'albergo</t>
  </si>
  <si>
    <t>Blastness Group Holding</t>
  </si>
  <si>
    <t>Lorenzo Pozza</t>
  </si>
  <si>
    <t>Franca Bramard</t>
  </si>
  <si>
    <t>Attilio Borgna</t>
  </si>
  <si>
    <t>Enzo Borgna</t>
  </si>
  <si>
    <t>Erregierre</t>
  </si>
  <si>
    <t>1° contatto</t>
  </si>
  <si>
    <t>Lorenzo Nardellotto</t>
  </si>
  <si>
    <t>Ghetti per Pj VITALIS (REACH)</t>
  </si>
  <si>
    <t>Cofra</t>
  </si>
  <si>
    <t>Sogedim (Project Calla)</t>
  </si>
  <si>
    <t>Lauretana (buy side su Cristallina)</t>
  </si>
  <si>
    <t>Olimpia</t>
  </si>
  <si>
    <t>Bregal</t>
  </si>
  <si>
    <t>KYM</t>
  </si>
  <si>
    <t>ROKO</t>
  </si>
  <si>
    <t>Mister Freed</t>
  </si>
  <si>
    <t>Healthy snacks</t>
  </si>
  <si>
    <t>Rev: $6M</t>
  </si>
  <si>
    <t>Marco Zincani</t>
  </si>
  <si>
    <t>Frassati (buy su Onenergy)</t>
  </si>
  <si>
    <t>Facility management</t>
  </si>
  <si>
    <t>Gioavanni Amodeo</t>
  </si>
  <si>
    <t>Ferroviario</t>
  </si>
  <si>
    <t>Athena</t>
  </si>
  <si>
    <t>Pj LABEL</t>
  </si>
  <si>
    <t>Total Finans - GMAP</t>
  </si>
  <si>
    <t>Turkey</t>
  </si>
  <si>
    <t>Self adhesive labels</t>
  </si>
  <si>
    <t>Mars</t>
  </si>
  <si>
    <t>Giellepi</t>
  </si>
  <si>
    <t>Lo.Li. Pharma</t>
  </si>
  <si>
    <t>FUA</t>
  </si>
  <si>
    <t>NB Aurora</t>
  </si>
  <si>
    <t>Allure</t>
  </si>
  <si>
    <t>Meeting (Natta, Siman, Maestro, Spica)</t>
  </si>
  <si>
    <t>CRÉDIT MUTUEL EQUITY</t>
  </si>
  <si>
    <t>CM-E</t>
  </si>
  <si>
    <t>02850580727</t>
  </si>
  <si>
    <t>Produzione e vendita di scarpe antinfortunistiche</t>
  </si>
  <si>
    <t>Vito Sernia</t>
  </si>
  <si>
    <t>BEP's</t>
  </si>
  <si>
    <t>03490830266</t>
  </si>
  <si>
    <t>Retail di accessori auto e moto</t>
  </si>
  <si>
    <t>Fam Battaglia</t>
  </si>
  <si>
    <t>Corsi di preparazione a esami di avvocatura, magistratura, notariato</t>
  </si>
  <si>
    <t>Fondo di PE specializzato in logistica e trasporti</t>
  </si>
  <si>
    <t>Argos Wityu</t>
  </si>
  <si>
    <t>Email a John Magliana</t>
  </si>
  <si>
    <t>Cristallina per Lauretana</t>
  </si>
  <si>
    <t>Riccardo Calì</t>
  </si>
  <si>
    <t>BIC</t>
  </si>
  <si>
    <t>Sapori Veri + Fusto</t>
  </si>
  <si>
    <t>Everwood Capital</t>
  </si>
  <si>
    <t>Sykes (buy-side Comavicola)</t>
  </si>
  <si>
    <t>Produzione farmaci</t>
  </si>
  <si>
    <t>Fabiano Maraglia</t>
  </si>
  <si>
    <t>06239191213</t>
  </si>
  <si>
    <t>Components for aerospace industry</t>
  </si>
  <si>
    <t>11878560157</t>
  </si>
  <si>
    <t>Emanuele Borgonovo</t>
  </si>
  <si>
    <t>08575640969</t>
  </si>
  <si>
    <t>Confart</t>
  </si>
  <si>
    <t>Produzione di abbigliamento per bambini e biancheria per la casa</t>
  </si>
  <si>
    <t>03120330489</t>
  </si>
  <si>
    <t>Paolo Finco</t>
  </si>
  <si>
    <t>07384370966</t>
  </si>
  <si>
    <t>00674300355</t>
  </si>
  <si>
    <t>02573970999</t>
  </si>
  <si>
    <t>03805970724 </t>
  </si>
  <si>
    <t>00133990358</t>
  </si>
  <si>
    <t>02014050393</t>
  </si>
  <si>
    <t>05949910722</t>
  </si>
  <si>
    <t>00877161000</t>
  </si>
  <si>
    <t>118 546 609 63</t>
  </si>
  <si>
    <t>DBAG Italia</t>
  </si>
  <si>
    <t>06706910962</t>
  </si>
  <si>
    <t>00164430043</t>
  </si>
  <si>
    <t>06566950967</t>
  </si>
  <si>
    <t>Econocom Italia SpA</t>
  </si>
  <si>
    <t>07933030152</t>
  </si>
  <si>
    <t>00540881208</t>
  </si>
  <si>
    <t>F&amp;P</t>
  </si>
  <si>
    <t>Cosaporto</t>
  </si>
  <si>
    <t>ecommerce</t>
  </si>
  <si>
    <t>Delivery di alto livello</t>
  </si>
  <si>
    <t>.</t>
  </si>
  <si>
    <t>Il Club degli Alveari</t>
  </si>
  <si>
    <t>IOM - FDC - TotalFinans</t>
  </si>
  <si>
    <t>IOM - FDC</t>
  </si>
  <si>
    <t>Asili nido 0-3</t>
  </si>
  <si>
    <t>Anfield</t>
  </si>
  <si>
    <t>Mr Freed</t>
  </si>
  <si>
    <t>Riso Scotti Spa</t>
  </si>
  <si>
    <t>05078040150</t>
  </si>
  <si>
    <t>Produzione prodotti a base di riso</t>
  </si>
  <si>
    <t>Roberto Ciceri</t>
  </si>
  <si>
    <t>Beta Utensili</t>
  </si>
  <si>
    <t>Produzione e vendita di utensili da lavoro</t>
  </si>
  <si>
    <t>09321470966 </t>
  </si>
  <si>
    <t>Pj MOLDANO</t>
  </si>
  <si>
    <t>Bonatti (pitch)</t>
  </si>
  <si>
    <t>Pj CHASE</t>
  </si>
  <si>
    <t>Termocamere ad uso privato (caccia) e militare</t>
  </si>
  <si>
    <t>Ricavi: €10M, EBITDA €1M</t>
  </si>
  <si>
    <t>Pj SUNRISE</t>
  </si>
  <si>
    <t>Pannelli solari</t>
  </si>
  <si>
    <t>Ricavi: €132M, EBITDA €18M</t>
  </si>
  <si>
    <t>General contractor Energy, Oli&amp;Gas</t>
  </si>
  <si>
    <t>Turistitico</t>
  </si>
  <si>
    <t>Gestione camping e villaggi vacanze</t>
  </si>
  <si>
    <t>Pj FUJI</t>
  </si>
  <si>
    <t>NEXUS</t>
  </si>
  <si>
    <t>Allevamento avicolo</t>
  </si>
  <si>
    <t>Ricavi: $96.4M, EBITDA: $5.4M</t>
  </si>
  <si>
    <t>LABEL</t>
  </si>
  <si>
    <t>Prodotti a base riso</t>
  </si>
  <si>
    <t>Advisor non REACH</t>
  </si>
  <si>
    <t>Elmec Informatica - visit</t>
  </si>
  <si>
    <t>Con ROS</t>
  </si>
  <si>
    <t>Bruno Sempio</t>
  </si>
  <si>
    <t>Euricom (Curtiriso)</t>
  </si>
  <si>
    <t>Club del Sole</t>
  </si>
  <si>
    <t>Marina di Venezia</t>
  </si>
  <si>
    <t>Campeggio Spiaggia d'Oro</t>
  </si>
  <si>
    <t>Parc Due</t>
  </si>
  <si>
    <t>Nature Invest</t>
  </si>
  <si>
    <t>Camping Villaggio Isolino</t>
  </si>
  <si>
    <t>La Rocca Camp</t>
  </si>
  <si>
    <t>Tahiti</t>
  </si>
  <si>
    <t>Icamp</t>
  </si>
  <si>
    <t>Camping Rubicone</t>
  </si>
  <si>
    <t>Baia Verde</t>
  </si>
  <si>
    <t>San Benedetto</t>
  </si>
  <si>
    <t>Compagnia dei Campeggi</t>
  </si>
  <si>
    <t>Le Palme</t>
  </si>
  <si>
    <t>00330810276</t>
  </si>
  <si>
    <t>02401660234</t>
  </si>
  <si>
    <t>02575460239</t>
  </si>
  <si>
    <t>02414310272</t>
  </si>
  <si>
    <t>00624990032</t>
  </si>
  <si>
    <t>02217230230</t>
  </si>
  <si>
    <t>00182250225</t>
  </si>
  <si>
    <t>02246030221</t>
  </si>
  <si>
    <t>02439790409</t>
  </si>
  <si>
    <t>12635291003</t>
  </si>
  <si>
    <t>01374580239</t>
  </si>
  <si>
    <t>02459950032</t>
  </si>
  <si>
    <t>03425600230</t>
  </si>
  <si>
    <t>Cristiano Aldrighetti</t>
  </si>
  <si>
    <t>Giovanni Bernini</t>
  </si>
  <si>
    <t>Cristian Piccinato</t>
  </si>
  <si>
    <t>Marco Manoni</t>
  </si>
  <si>
    <t>Olimpia Rizzardi</t>
  </si>
  <si>
    <t>Andrea Antoniolli</t>
  </si>
  <si>
    <t>Alessandro Grotti</t>
  </si>
  <si>
    <t>Marzia Barzellotti</t>
  </si>
  <si>
    <t>Anna Chieregato</t>
  </si>
  <si>
    <t>Maurizio Battaglia</t>
  </si>
  <si>
    <t>Enrico Olivieri</t>
  </si>
  <si>
    <t>Rizzardi Gianmaria Cappellano</t>
  </si>
  <si>
    <t>Paolo Bertolini</t>
  </si>
  <si>
    <t>Gianluca Caporaso</t>
  </si>
  <si>
    <t>FIEE</t>
  </si>
  <si>
    <t>Rivestimenti sedili automotive</t>
  </si>
  <si>
    <t>Green Has</t>
  </si>
  <si>
    <t>Agricoltura</t>
  </si>
  <si>
    <t>Produzione biostimolanti</t>
  </si>
  <si>
    <t>Claudio Franco</t>
  </si>
  <si>
    <t>First Capital</t>
  </si>
  <si>
    <t>Pre-IPO</t>
  </si>
  <si>
    <t>meeting</t>
  </si>
  <si>
    <t>Kilometro verde</t>
  </si>
  <si>
    <t>Gruppo di Ristoranti</t>
  </si>
  <si>
    <t>Bioesserì</t>
  </si>
  <si>
    <t>GIM</t>
  </si>
  <si>
    <t>Inviato a OMS Besser Group, non interessati</t>
  </si>
  <si>
    <t>Sunrise</t>
  </si>
  <si>
    <t>Pj Moldano</t>
  </si>
  <si>
    <t>OMS Besser Group</t>
  </si>
  <si>
    <t>Stampaggio plastico e produzione di stampi per estrusione</t>
  </si>
  <si>
    <t>Rudy Project SpA</t>
  </si>
  <si>
    <t>02043750260</t>
  </si>
  <si>
    <t>Outdoor / sports</t>
  </si>
  <si>
    <t>Produzione di cashi e occhiali sportivi</t>
  </si>
  <si>
    <t>Cristiano Barbazza</t>
  </si>
  <si>
    <t>Simone Barbazza</t>
  </si>
  <si>
    <t>Stefano Bianchi</t>
  </si>
  <si>
    <t>Cristiano Maina</t>
  </si>
  <si>
    <t>Antonio Enzo Maraglia</t>
  </si>
  <si>
    <t>AGEVOLATO</t>
  </si>
  <si>
    <t>Vencora</t>
  </si>
  <si>
    <t>Pj. Wave</t>
  </si>
  <si>
    <t>Ibla Capital</t>
  </si>
  <si>
    <t>Microelettrica Scientifica Spa</t>
  </si>
  <si>
    <t>00742200157</t>
  </si>
  <si>
    <t>270000</t>
  </si>
  <si>
    <t>Fabbricazione di apparecchiature elettriche ed apparecchiature per uso domestico non elettriche</t>
  </si>
  <si>
    <t>Camillo Vacca</t>
  </si>
  <si>
    <t>Harald Schneider</t>
  </si>
  <si>
    <t>Distribuzione e commercio al dettaglio di ricambi e accessori auto-moto</t>
  </si>
  <si>
    <t>Trio Srl (Bep's)</t>
  </si>
  <si>
    <t>Manuel Battaglia</t>
  </si>
  <si>
    <t>Terry Battaglia</t>
  </si>
  <si>
    <t>Lorenzo Pivetta</t>
  </si>
  <si>
    <t>Ferruccio Battaglia</t>
  </si>
  <si>
    <t>Leonardo Spa</t>
  </si>
  <si>
    <t>Benelli Armi</t>
  </si>
  <si>
    <t>Beretta Spa</t>
  </si>
  <si>
    <t>Metalgalante SpA (CARMIX)</t>
  </si>
  <si>
    <t>Ital Lenti Srl</t>
  </si>
  <si>
    <t xml:space="preserve">00626530273 </t>
  </si>
  <si>
    <t>Allestimento di veicoli speciali per la produzione di calcestruzzo</t>
  </si>
  <si>
    <t>Lorenzo de Medici</t>
  </si>
  <si>
    <t>Liborio Galante</t>
  </si>
  <si>
    <t>Salvatore Massimiliano Galante</t>
  </si>
  <si>
    <t>Stefano Pasquot</t>
  </si>
  <si>
    <t>Università americana che offre semestri in Italia</t>
  </si>
  <si>
    <t>Università internazionale che offre semestri in Italia</t>
  </si>
  <si>
    <t>Carla Guarducci</t>
  </si>
  <si>
    <t>02120070483</t>
  </si>
  <si>
    <t>Arcadia</t>
  </si>
  <si>
    <t>100M€</t>
  </si>
  <si>
    <t>Giovanni Barbujani</t>
  </si>
  <si>
    <t>Cavanna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</si>
  <si>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</si>
  <si>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</si>
  <si>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</si>
  <si>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</si>
  <si>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</si>
  <si>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</si>
  <si>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</si>
  <si>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</si>
  <si>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</si>
  <si>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</si>
  <si>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M</t>
  </si>
  <si>
    <t>N</t>
  </si>
  <si>
    <t>O</t>
  </si>
  <si>
    <t>P</t>
  </si>
  <si>
    <t>Q</t>
  </si>
  <si>
    <t>QuattroR (Small-Mid)</t>
  </si>
  <si>
    <t>Paolo Cavagnino</t>
  </si>
  <si>
    <t>Fagioli PFW</t>
  </si>
  <si>
    <t>Lunch</t>
  </si>
  <si>
    <t>R</t>
  </si>
  <si>
    <t>S</t>
  </si>
  <si>
    <t>T</t>
  </si>
  <si>
    <t>U</t>
  </si>
  <si>
    <t>V</t>
  </si>
  <si>
    <t>W</t>
  </si>
  <si>
    <t>Pj Bitta</t>
  </si>
  <si>
    <t>Camping Bergamini</t>
  </si>
  <si>
    <t>01812700233</t>
  </si>
  <si>
    <t>Giovanna Gregori</t>
  </si>
  <si>
    <t>La Quercia</t>
  </si>
  <si>
    <t>00443600234</t>
  </si>
  <si>
    <t>Stefano Russo</t>
  </si>
  <si>
    <t>Fornella</t>
  </si>
  <si>
    <t>01725540981</t>
  </si>
  <si>
    <t>Sigmar Cavazza</t>
  </si>
  <si>
    <t>Campeggio del Garda</t>
  </si>
  <si>
    <t>04279220232</t>
  </si>
  <si>
    <t>Stefano Cesari</t>
  </si>
  <si>
    <t>Camping San Francesco</t>
  </si>
  <si>
    <t>00645770983</t>
  </si>
  <si>
    <t>Margherita Facchini</t>
  </si>
  <si>
    <t>Camping Ville degli Ulivi</t>
  </si>
  <si>
    <t>02463720546</t>
  </si>
  <si>
    <t>Antonio Posta</t>
  </si>
  <si>
    <t>Rivaverde</t>
  </si>
  <si>
    <t>00421490442</t>
  </si>
  <si>
    <t>Rita Grilli</t>
  </si>
  <si>
    <t>Camping Girasole</t>
  </si>
  <si>
    <t>00509520441</t>
  </si>
  <si>
    <t>Maria Montevidoni</t>
  </si>
  <si>
    <t>Camping Belvedere</t>
  </si>
  <si>
    <t>00624010237</t>
  </si>
  <si>
    <t>Franco Aldrighetti</t>
  </si>
  <si>
    <t>02711400271</t>
  </si>
  <si>
    <t>Joker Camping</t>
  </si>
  <si>
    <t>Stefania Vedovato</t>
  </si>
  <si>
    <t>Spiaggia Lunga</t>
  </si>
  <si>
    <t>00344600713</t>
  </si>
  <si>
    <t>Luigi Manzionna</t>
  </si>
  <si>
    <t>Le Diomedee</t>
  </si>
  <si>
    <t>00355850710</t>
  </si>
  <si>
    <t>Baia di Gallipoli</t>
  </si>
  <si>
    <t>LE</t>
  </si>
  <si>
    <t>02424390751</t>
  </si>
  <si>
    <t>Francesco Di Mattina</t>
  </si>
  <si>
    <t>Torre Catiglione Camping</t>
  </si>
  <si>
    <t>02351320755</t>
  </si>
  <si>
    <t>Anna Montefranceco</t>
  </si>
  <si>
    <t>Target per Club del Sole</t>
  </si>
  <si>
    <t>81 Family Office</t>
  </si>
  <si>
    <t>CIV Milano</t>
  </si>
  <si>
    <t>Euforia Family Office</t>
  </si>
  <si>
    <t>Kosmo Family Office</t>
  </si>
  <si>
    <t>Stival Multi Family Office</t>
  </si>
  <si>
    <t>Tosetti Value</t>
  </si>
  <si>
    <t>Norfin</t>
  </si>
  <si>
    <t>Multi Family Office</t>
  </si>
  <si>
    <t>Finanziario</t>
  </si>
  <si>
    <t>Holding di investimento della famiglia Di Amato</t>
  </si>
  <si>
    <t>Maire investments</t>
  </si>
  <si>
    <t>Holding di investimento del gruppo De Nora</t>
  </si>
  <si>
    <t>Beston Global Foods</t>
  </si>
  <si>
    <t>Lactoferrin plant acquisition opportunity</t>
  </si>
  <si>
    <t>Lone Rider</t>
  </si>
  <si>
    <t>Premium Adventure Motorbike accessories</t>
  </si>
  <si>
    <t>Korloff</t>
  </si>
  <si>
    <t>Luxury</t>
  </si>
  <si>
    <t>Jewelry brand</t>
  </si>
  <si>
    <t>Sistemi di refrigerazione e ventilazione per trasformatori elettrici</t>
  </si>
  <si>
    <t>Corrado Bonadeo</t>
  </si>
  <si>
    <t>Fam. Veller</t>
  </si>
  <si>
    <t>Tucano</t>
  </si>
  <si>
    <t>07742390151</t>
  </si>
  <si>
    <t>Accessori e borse per dispositivi elettronici</t>
  </si>
  <si>
    <t>Franco Luini</t>
  </si>
  <si>
    <t>Aequilibrium</t>
  </si>
  <si>
    <t>Produzione Yacht (Noverim)</t>
  </si>
  <si>
    <t>Bitta</t>
  </si>
  <si>
    <t>Navale</t>
  </si>
  <si>
    <t>Produzione yacht in vetroresina</t>
  </si>
  <si>
    <t>Crich</t>
  </si>
  <si>
    <t>Armamenti</t>
  </si>
  <si>
    <t>Friulia</t>
  </si>
  <si>
    <t>Imprinto</t>
  </si>
  <si>
    <t xml:space="preserve">02055200428 </t>
  </si>
  <si>
    <t>Fabbricazione di stampi</t>
  </si>
  <si>
    <t>GSC-Rigeto</t>
  </si>
  <si>
    <t>Wave, Mars, ILC Lube</t>
  </si>
  <si>
    <t>Wave, Maestro, Pixel (meeting)</t>
  </si>
  <si>
    <t>ILC Lube</t>
  </si>
  <si>
    <t>Sistemi di lubrificazione</t>
  </si>
  <si>
    <t>Corpo Vigili Giurati SpA</t>
  </si>
  <si>
    <t>Polistamp Infissi Srl</t>
  </si>
  <si>
    <t>Del Morino Srl</t>
  </si>
  <si>
    <t>Visualplex Srl</t>
  </si>
  <si>
    <t>03182700488</t>
  </si>
  <si>
    <t>02078060510</t>
  </si>
  <si>
    <t>01041010511</t>
  </si>
  <si>
    <t>01700080516</t>
  </si>
  <si>
    <t>Allestimenti vetrine, pop-up, display e complementi d’arredo per top brand</t>
  </si>
  <si>
    <t>Servizi di vigilanza e sicurezza integrata</t>
  </si>
  <si>
    <t>Produzione di infissi (porte, finestre, persiane) domestici e industriali</t>
  </si>
  <si>
    <t>Produzione di attrezzature agricole professionali</t>
  </si>
  <si>
    <t>Gabriella Gamberini</t>
  </si>
  <si>
    <t>Raffaella Berni</t>
  </si>
  <si>
    <t>Irene Dalle Macchie</t>
  </si>
  <si>
    <t>Lucia Dalle Macchie</t>
  </si>
  <si>
    <t>Daniele Del Morino</t>
  </si>
  <si>
    <t>Paola Bartoli</t>
  </si>
  <si>
    <t>Silvia Moretti</t>
  </si>
  <si>
    <t>Alberto Amerighi</t>
  </si>
  <si>
    <t>BNP Equity Investments</t>
  </si>
  <si>
    <t>Langella Lorenzo</t>
  </si>
  <si>
    <t>Pj Lux</t>
  </si>
  <si>
    <t>Produzione di luci per esterno</t>
  </si>
  <si>
    <t>Simone Pazzaglia</t>
  </si>
  <si>
    <t>Arcano &amp; Partners</t>
  </si>
  <si>
    <t>Madrid</t>
  </si>
  <si>
    <t>Istituzionale spagnolo</t>
  </si>
  <si>
    <t>Project Impeller (Noverim)</t>
  </si>
  <si>
    <t>Equita Smart Capital</t>
  </si>
  <si>
    <t>Matteo Morelli</t>
  </si>
  <si>
    <t>Outdoor equipement</t>
  </si>
  <si>
    <t>Orlay</t>
  </si>
  <si>
    <t>United Kingdom</t>
  </si>
  <si>
    <t xml:space="preserve">Female clothing brand </t>
  </si>
  <si>
    <t>Rev: €35M</t>
  </si>
  <si>
    <t>Dainese</t>
  </si>
  <si>
    <t>Alpinestars</t>
  </si>
  <si>
    <t>Accessori e abbigliamento outdoor sport</t>
  </si>
  <si>
    <t>Calzature motorbike</t>
  </si>
  <si>
    <t>Pezzutti (Buy Imprinto)</t>
  </si>
  <si>
    <t>Rev: $25M; Ebitda $3M</t>
  </si>
  <si>
    <t>Rev: $120M; Ebitda $7M</t>
  </si>
  <si>
    <t>Rev: $11M; Ebitda $3M</t>
  </si>
  <si>
    <t>Manuela e massimiliano Galante</t>
  </si>
  <si>
    <t>Ebitda&gt;7M da ultimo bilancio</t>
  </si>
  <si>
    <t>Raise</t>
  </si>
  <si>
    <t>Impact Investing</t>
  </si>
  <si>
    <t>Moritz Schumann</t>
  </si>
  <si>
    <t>Edera</t>
  </si>
  <si>
    <t>EMME antincendio Srl</t>
  </si>
  <si>
    <t>Leone SpA</t>
  </si>
  <si>
    <t>Rubinetterie Treemme Srl</t>
  </si>
  <si>
    <t xml:space="preserve">11208251006 </t>
  </si>
  <si>
    <t xml:space="preserve">01686960483  </t>
  </si>
  <si>
    <t>00109100529</t>
  </si>
  <si>
    <t>Antincendio</t>
  </si>
  <si>
    <t>Produzione di estintori</t>
  </si>
  <si>
    <t>Odontoiatria</t>
  </si>
  <si>
    <t>Produzione di impianti e strumentazione odontoiatrica</t>
  </si>
  <si>
    <t>Alberto Milli</t>
  </si>
  <si>
    <t>Marco Milli</t>
  </si>
  <si>
    <t>Clara Dumini</t>
  </si>
  <si>
    <t>Elena Pozzi</t>
  </si>
  <si>
    <t>Michelangioli Riccardo</t>
  </si>
  <si>
    <t>Michelangioli Laura</t>
  </si>
  <si>
    <t xml:space="preserve">EliData </t>
  </si>
  <si>
    <t>N&amp;TS Group</t>
  </si>
  <si>
    <t>Pegaso 2000</t>
  </si>
  <si>
    <t>Rad Informatica Srl</t>
  </si>
  <si>
    <t>Fire Group SpA</t>
  </si>
  <si>
    <t>Auriga SpA</t>
  </si>
  <si>
    <t>AllCore SpA</t>
  </si>
  <si>
    <t>Trebi General Consult</t>
  </si>
  <si>
    <t>05566820725</t>
  </si>
  <si>
    <t>05472110963</t>
  </si>
  <si>
    <t>02192970131</t>
  </si>
  <si>
    <t>02402750547</t>
  </si>
  <si>
    <t>11308390969</t>
  </si>
  <si>
    <t>09762420157</t>
  </si>
  <si>
    <t>Vincenzo Fiore</t>
  </si>
  <si>
    <t>Marco Cavalieri</t>
  </si>
  <si>
    <t>Sergio Bommarito</t>
  </si>
  <si>
    <t>Enrico Fabelli</t>
  </si>
  <si>
    <t>Franco Cicogna</t>
  </si>
  <si>
    <t>Alberto Boerci</t>
  </si>
  <si>
    <t>GPS, Zaini</t>
  </si>
  <si>
    <t>Groupe BEL</t>
  </si>
  <si>
    <t>Dairy and healthy products</t>
  </si>
  <si>
    <t>Pj DAWN</t>
  </si>
  <si>
    <t>SaaS technology and equipment supplier</t>
  </si>
  <si>
    <t>Andrea Fioravanti</t>
  </si>
  <si>
    <t>Regionale solo FVG</t>
  </si>
  <si>
    <t>ANDERA Capital</t>
  </si>
  <si>
    <t>V Fondo Mid-cap</t>
  </si>
  <si>
    <t>Francesco Gonzaga</t>
  </si>
  <si>
    <t>Sia Min sia Magg</t>
  </si>
  <si>
    <t>B.group</t>
  </si>
  <si>
    <t>TOT</t>
  </si>
  <si>
    <t>TOTALE</t>
  </si>
  <si>
    <t>XXXXXXX</t>
  </si>
  <si>
    <t>Maurizio Perroni</t>
  </si>
  <si>
    <t>Bartoli SpA</t>
  </si>
  <si>
    <t>Italprogetti SpA</t>
  </si>
  <si>
    <t>Graziani Srl</t>
  </si>
  <si>
    <t>Pj AROMA</t>
  </si>
  <si>
    <t xml:space="preserve">01753090461 </t>
  </si>
  <si>
    <t>00344980503</t>
  </si>
  <si>
    <t>01468550494</t>
  </si>
  <si>
    <t>Private label dessert products</t>
  </si>
  <si>
    <t>Rev: $31M; Ebitda $4M</t>
  </si>
  <si>
    <t>Prodotti fibrati per la calzatura e i packaging</t>
  </si>
  <si>
    <t>Macchinari e impianti industriali per la concia e altre applicazioni</t>
  </si>
  <si>
    <t>Produzione di articoli in cera e candele</t>
  </si>
  <si>
    <t>Francesca Ricci</t>
  </si>
  <si>
    <t>Giorgio Bartoli</t>
  </si>
  <si>
    <t>Leonardo Serrini</t>
  </si>
  <si>
    <t>Giorgio Giovanni Bartoli</t>
  </si>
  <si>
    <t>Maria Letizia Bartoli</t>
  </si>
  <si>
    <t>Sergio Dani</t>
  </si>
  <si>
    <t>Mario Graziani</t>
  </si>
  <si>
    <t>Roberto Buccalosi</t>
  </si>
  <si>
    <t>01139600538</t>
  </si>
  <si>
    <t>Europa Silvella</t>
  </si>
  <si>
    <t>01565210984</t>
  </si>
  <si>
    <t>Andrea Giustacchini</t>
  </si>
  <si>
    <t>Village Flaminio</t>
  </si>
  <si>
    <t>09133171000</t>
  </si>
  <si>
    <t>Vittorio Cantella</t>
  </si>
  <si>
    <t>Camping Cielo Verde</t>
  </si>
  <si>
    <t>Enzo Stella Maris</t>
  </si>
  <si>
    <t>00787710276</t>
  </si>
  <si>
    <t>Marcello Enzo</t>
  </si>
  <si>
    <t>Baia Domizia</t>
  </si>
  <si>
    <t>00160910618</t>
  </si>
  <si>
    <t>Enrico Toffano</t>
  </si>
  <si>
    <t>Tetis Pharma</t>
  </si>
  <si>
    <t>11350620966</t>
  </si>
  <si>
    <t>Guglielmo Cipriano</t>
  </si>
  <si>
    <t>Santa Fortunata</t>
  </si>
  <si>
    <t>02927671210</t>
  </si>
  <si>
    <t>Camping Mugello Verde</t>
  </si>
  <si>
    <t>Isola Dei Gabbiani</t>
  </si>
  <si>
    <t>06080710483</t>
  </si>
  <si>
    <t>00921150900</t>
  </si>
  <si>
    <t>Villaggio Dei Fiori</t>
  </si>
  <si>
    <t>04420780019</t>
  </si>
  <si>
    <t>Le Dune</t>
  </si>
  <si>
    <t>02854370596</t>
  </si>
  <si>
    <t>Camping Park Delle Rose</t>
  </si>
  <si>
    <t>03323730238</t>
  </si>
  <si>
    <t>Camping Mare Blu</t>
  </si>
  <si>
    <t>00889290490</t>
  </si>
  <si>
    <t>Camping La Medusa</t>
  </si>
  <si>
    <t>00939100426</t>
  </si>
  <si>
    <t>03038450270</t>
  </si>
  <si>
    <t>Venezia Village</t>
  </si>
  <si>
    <t>Camping Ultima Spiaggia</t>
  </si>
  <si>
    <t>01561570910</t>
  </si>
  <si>
    <t>NU</t>
  </si>
  <si>
    <t>Camping Fossalta</t>
  </si>
  <si>
    <t>04683190237</t>
  </si>
  <si>
    <t>00662670231</t>
  </si>
  <si>
    <t>Camping Garda (Europa e Continental)</t>
  </si>
  <si>
    <t>Campeggio Italia</t>
  </si>
  <si>
    <t>00364590455</t>
  </si>
  <si>
    <t>MS</t>
  </si>
  <si>
    <t xml:space="preserve">Vacanze Spinnaker </t>
  </si>
  <si>
    <t>02188160440</t>
  </si>
  <si>
    <t>Camping Adria</t>
  </si>
  <si>
    <t>01693730408</t>
  </si>
  <si>
    <t>Camping Brione</t>
  </si>
  <si>
    <t>01744260223</t>
  </si>
  <si>
    <t xml:space="preserve">Baia Del Marinaio </t>
  </si>
  <si>
    <t>00440030492</t>
  </si>
  <si>
    <t>Pineto Beach</t>
  </si>
  <si>
    <t>00705920676</t>
  </si>
  <si>
    <t>Riva dei Tarquini</t>
  </si>
  <si>
    <t>01602370593</t>
  </si>
  <si>
    <t>Le Tamerici</t>
  </si>
  <si>
    <t>01615710496</t>
  </si>
  <si>
    <t>Camping Mario</t>
  </si>
  <si>
    <t>02153130220</t>
  </si>
  <si>
    <t>Camping San Biagio</t>
  </si>
  <si>
    <t>02147950980</t>
  </si>
  <si>
    <t>Camping Solcio</t>
  </si>
  <si>
    <t>00902560036</t>
  </si>
  <si>
    <t>Bosco Verde Camping</t>
  </si>
  <si>
    <t>02190360467</t>
  </si>
  <si>
    <t>Camping Milano</t>
  </si>
  <si>
    <t>05501150964</t>
  </si>
  <si>
    <t>Camping Bella Mare</t>
  </si>
  <si>
    <t>00885320432</t>
  </si>
  <si>
    <t>Camping Misano</t>
  </si>
  <si>
    <t>03650930401</t>
  </si>
  <si>
    <t>Camping Piomboni</t>
  </si>
  <si>
    <t>00350390399</t>
  </si>
  <si>
    <t>Baia Saraceno</t>
  </si>
  <si>
    <t>00326710902</t>
  </si>
  <si>
    <t>Campeggio Partaccia</t>
  </si>
  <si>
    <t>01019300456</t>
  </si>
  <si>
    <t>Camping Tripesce</t>
  </si>
  <si>
    <t>00156180499</t>
  </si>
  <si>
    <t>Camping San Teodoro</t>
  </si>
  <si>
    <t>00601440910</t>
  </si>
  <si>
    <t>Camping Le Palme</t>
  </si>
  <si>
    <t>01960860490</t>
  </si>
  <si>
    <t>Camping Summerland</t>
  </si>
  <si>
    <t>00207190422</t>
  </si>
  <si>
    <t>02001410998</t>
  </si>
  <si>
    <t>Camping Arquin</t>
  </si>
  <si>
    <t>01297610212</t>
  </si>
  <si>
    <t>Camping Riviera</t>
  </si>
  <si>
    <t>02375720428</t>
  </si>
  <si>
    <t>Camping International</t>
  </si>
  <si>
    <t>00438460396</t>
  </si>
  <si>
    <t>Camping Lido Verbano</t>
  </si>
  <si>
    <t>02503970036</t>
  </si>
  <si>
    <t>Camping Tavolara</t>
  </si>
  <si>
    <t>02840960906</t>
  </si>
  <si>
    <t>Camping Dei Fiori</t>
  </si>
  <si>
    <t>01711990091</t>
  </si>
  <si>
    <t>SV</t>
  </si>
  <si>
    <t>Caravan Arquin</t>
  </si>
  <si>
    <t>02485680215</t>
  </si>
  <si>
    <t>Camping Mirage</t>
  </si>
  <si>
    <t>00428650444</t>
  </si>
  <si>
    <t>Camping Mare e Sole</t>
  </si>
  <si>
    <t>01031690504</t>
  </si>
  <si>
    <t>Villaggi Turistici Roma</t>
  </si>
  <si>
    <t>12651741006</t>
  </si>
  <si>
    <t>Camping Punta Navaccia</t>
  </si>
  <si>
    <t>International Camping Ispra</t>
  </si>
  <si>
    <t>10389480152</t>
  </si>
  <si>
    <t>Camping Acqua Dolce</t>
  </si>
  <si>
    <t>01296740119</t>
  </si>
  <si>
    <t>Camping Class</t>
  </si>
  <si>
    <t>03865870962</t>
  </si>
  <si>
    <t xml:space="preserve">Camping Falconera </t>
  </si>
  <si>
    <t>00319520276</t>
  </si>
  <si>
    <t>Dailalama Village</t>
  </si>
  <si>
    <t>01152270078</t>
  </si>
  <si>
    <t>Camping Olympia</t>
  </si>
  <si>
    <t>01087990253</t>
  </si>
  <si>
    <t>Porto Salinos</t>
  </si>
  <si>
    <t>01143640918</t>
  </si>
  <si>
    <t>Camping Norina</t>
  </si>
  <si>
    <t>02292260417</t>
  </si>
  <si>
    <t>Torre Canneto</t>
  </si>
  <si>
    <t>00949260590</t>
  </si>
  <si>
    <t>Ecomondo 2024</t>
  </si>
  <si>
    <t>Produzione carta</t>
  </si>
  <si>
    <t xml:space="preserve">Massimo Pasquini </t>
  </si>
  <si>
    <t>00145780466</t>
  </si>
  <si>
    <t>17.12</t>
  </si>
  <si>
    <t>00846000255</t>
  </si>
  <si>
    <t>Equiter</t>
  </si>
  <si>
    <t>Primo contatto</t>
  </si>
  <si>
    <t>Metrika SGR</t>
  </si>
  <si>
    <t>Meccanica, detergenza</t>
  </si>
  <si>
    <t>Green Arrow</t>
  </si>
  <si>
    <t>Marco Meda</t>
  </si>
  <si>
    <t>Swiss Food Group</t>
  </si>
  <si>
    <t>Nicolas Boucault</t>
  </si>
  <si>
    <t>Intro call</t>
  </si>
  <si>
    <t>Fondo Italiano di Investimento FIAF</t>
  </si>
  <si>
    <t>Andrea Reale</t>
  </si>
  <si>
    <t>Impact Partners</t>
  </si>
  <si>
    <t>Riccardo Allegra</t>
  </si>
  <si>
    <t>https://www.impact-partners.com/it/</t>
  </si>
  <si>
    <t>Eurocert SpA - Reloaded</t>
  </si>
  <si>
    <t>https://samhitainvestments.com/about-us-anemos/</t>
  </si>
  <si>
    <t>Anemos Private Investments (Gruppo Samhita)</t>
  </si>
  <si>
    <t>Incontro</t>
  </si>
  <si>
    <t>Call conoscitiva - Project Mars</t>
  </si>
  <si>
    <t>FASS SpA</t>
  </si>
  <si>
    <t>Officine Gullo Srl</t>
  </si>
  <si>
    <t>Imballaggi Alimentari Srl</t>
  </si>
  <si>
    <t>Celestino Nicolai</t>
  </si>
  <si>
    <t>Andrea Gullo</t>
  </si>
  <si>
    <t>Moreno Gambini</t>
  </si>
  <si>
    <t>Simone Nicolai</t>
  </si>
  <si>
    <t>Packaging alimentare</t>
  </si>
  <si>
    <t>Produzione cucine</t>
  </si>
  <si>
    <t>vendita prodotti per pulizia domestica</t>
  </si>
  <si>
    <t>01321490474</t>
  </si>
  <si>
    <t>06179730483</t>
  </si>
  <si>
    <t xml:space="preserve">00844870527 </t>
  </si>
  <si>
    <t>Vieme Porte</t>
  </si>
  <si>
    <t>Gicar</t>
  </si>
  <si>
    <t>OMP</t>
  </si>
  <si>
    <t>Luciano Sorlini</t>
  </si>
  <si>
    <t>In touch - positive</t>
  </si>
  <si>
    <t>Produttore di motori a pistoni e accessori per velivoli</t>
  </si>
  <si>
    <t>Produttore di complementi d’arredo – sedie, sgabelli, tavoli, divani</t>
  </si>
  <si>
    <t>Produttore di sistemi elettronici per automazione delle macchine per caffè</t>
  </si>
  <si>
    <t>Produttore di porte e arredi indoor</t>
  </si>
  <si>
    <t>In touch - negative</t>
  </si>
  <si>
    <t>Camping Tigullio</t>
  </si>
  <si>
    <t>Produzione calandre, presse e altre macchine per lavorazione metalli</t>
  </si>
  <si>
    <t>Consilium SGR</t>
  </si>
  <si>
    <t>00586330987</t>
  </si>
  <si>
    <t>Luca Annibaletti</t>
  </si>
  <si>
    <t>Andrea Ceretti</t>
  </si>
  <si>
    <t>Antonio Paglia</t>
  </si>
  <si>
    <t>Fam. Faccin</t>
  </si>
  <si>
    <t>Pj JACKHAMMER</t>
  </si>
  <si>
    <t>Demolition and building material recycling business</t>
  </si>
  <si>
    <t>Ricavi: €55M, EBITDA €7.5M</t>
  </si>
  <si>
    <t>Forum Mergermarket</t>
  </si>
  <si>
    <t>ASC con Nalon</t>
  </si>
  <si>
    <t>ASC con Rainone</t>
  </si>
  <si>
    <t>(Draft EL)
Meet_4</t>
  </si>
  <si>
    <t>Maggioli Editore</t>
  </si>
  <si>
    <t>Giorgio Tugnoli</t>
  </si>
  <si>
    <t>CLINICA VETERINARIA GRAN SASSO S.R.L.</t>
  </si>
  <si>
    <t>ABIVET Srl</t>
  </si>
  <si>
    <t>CLINICA VETERINARIA PRIVATA S. MARCO Srl</t>
  </si>
  <si>
    <t>CLINICA VETERINARIA VEZZONI Srl</t>
  </si>
  <si>
    <t>CLINICA VETERINARIA VALDINIEVOLE Srl</t>
  </si>
  <si>
    <t>I-VET Srl</t>
  </si>
  <si>
    <t>CLINICA VETERINARIA CITTA' DI MONZA Srl</t>
  </si>
  <si>
    <t>CLINICA VETERINARIA NERVIANESE Srl</t>
  </si>
  <si>
    <t>Pet</t>
  </si>
  <si>
    <t>Clinica veterinaria</t>
  </si>
  <si>
    <t>03313150280</t>
  </si>
  <si>
    <t>04424041004</t>
  </si>
  <si>
    <t>12422130158</t>
  </si>
  <si>
    <t>01397900190</t>
  </si>
  <si>
    <t>01666610470</t>
  </si>
  <si>
    <t>03005430982</t>
  </si>
  <si>
    <t>11646540960</t>
  </si>
  <si>
    <t>09356660960</t>
  </si>
  <si>
    <t>BR</t>
  </si>
  <si>
    <t>Giovanna Bertolini</t>
  </si>
  <si>
    <t>Maurizio Albano</t>
  </si>
  <si>
    <t>Maria Grazia Iorino</t>
  </si>
  <si>
    <t>Claudio Maria Giovanni Bussadori</t>
  </si>
  <si>
    <t>Maria Cristina Crosta</t>
  </si>
  <si>
    <t>Luca Vezzoni</t>
  </si>
  <si>
    <t>Aldo Vezzoni</t>
  </si>
  <si>
    <t>Massimo Baroni</t>
  </si>
  <si>
    <t>Ugo Lotti</t>
  </si>
  <si>
    <t>Daniele Franzini</t>
  </si>
  <si>
    <t>elisabetta Barion</t>
  </si>
  <si>
    <t>Luca Doniselli</t>
  </si>
  <si>
    <t>Simona Radaelli</t>
  </si>
  <si>
    <t>Paolo Sommaruga</t>
  </si>
  <si>
    <t>Federico Massari</t>
  </si>
  <si>
    <t>Ferdinando Ricardo Pallares D'Ocon</t>
  </si>
  <si>
    <t>Sorgente Orticaia Srl</t>
  </si>
  <si>
    <t>Sorgente Valcimoliana Srl</t>
  </si>
  <si>
    <t>Nerea SpA</t>
  </si>
  <si>
    <t>Tulli Acque Minerali Srl</t>
  </si>
  <si>
    <t xml:space="preserve">01439060466 </t>
  </si>
  <si>
    <t>01438980938</t>
  </si>
  <si>
    <t>00927460436</t>
  </si>
  <si>
    <t>00250130549</t>
  </si>
  <si>
    <t>Produzione acqua minerale in bottiglia</t>
  </si>
  <si>
    <t>Puccetti Holding</t>
  </si>
  <si>
    <t>Andrea Puccetti</t>
  </si>
  <si>
    <t>Vittorio Rossi Luciani</t>
  </si>
  <si>
    <t>Carlotta Rossi Luciani</t>
  </si>
  <si>
    <t>Fam. Rossi</t>
  </si>
  <si>
    <t>Fam. Resparambia</t>
  </si>
  <si>
    <t>Emanuela Tulli</t>
  </si>
  <si>
    <t>Laura Tulli</t>
  </si>
  <si>
    <t>Danieli Group</t>
  </si>
  <si>
    <t>Itelyum</t>
  </si>
  <si>
    <t>Alci Srl</t>
  </si>
  <si>
    <t>Lucart Spa</t>
  </si>
  <si>
    <t>Aquaprox Italia</t>
  </si>
  <si>
    <t>Comav Srl</t>
  </si>
  <si>
    <t>Depur Padana Acque Srl</t>
  </si>
  <si>
    <t>Eco Service Spa</t>
  </si>
  <si>
    <t>Eco.ra.v. Spa</t>
  </si>
  <si>
    <t>Ecoacciai Spa</t>
  </si>
  <si>
    <t>Emec Srl</t>
  </si>
  <si>
    <t>Furia Srl</t>
  </si>
  <si>
    <t>Il Truciolo Srl</t>
  </si>
  <si>
    <t>Kemira Italy Spa</t>
  </si>
  <si>
    <t>Mille Srl</t>
  </si>
  <si>
    <t>Pieralisi</t>
  </si>
  <si>
    <t>Saib Spa</t>
  </si>
  <si>
    <t>Scai Spa</t>
  </si>
  <si>
    <t>Solmec Spa</t>
  </si>
  <si>
    <t>T.C.A. Spa Trattamento ceneri auroargentifere</t>
  </si>
  <si>
    <t>Tecnofer Ecoimpianti Srl</t>
  </si>
  <si>
    <t>Tecnokar Trailers Srl</t>
  </si>
  <si>
    <t>TMT Tanks &amp; Trailers</t>
  </si>
  <si>
    <t>00167460302</t>
  </si>
  <si>
    <t>28.91</t>
  </si>
  <si>
    <t>Fabbricazione di macchine per la metallurgia</t>
  </si>
  <si>
    <t>Giacomo Mareschi</t>
  </si>
  <si>
    <t>02317890206</t>
  </si>
  <si>
    <t>Alessandro Saviola</t>
  </si>
  <si>
    <t>Gruppo Mauro Saviola Srl</t>
  </si>
  <si>
    <t>16.21</t>
  </si>
  <si>
    <t>Marco Codognola</t>
  </si>
  <si>
    <t>19.20.20</t>
  </si>
  <si>
    <t>00818740151</t>
  </si>
  <si>
    <t>Rigenerazione di oli minerali usati, produzione di solventi puri e la purificazione di reflui chimici</t>
  </si>
  <si>
    <t>Valerio Alessi</t>
  </si>
  <si>
    <t>02062390444</t>
  </si>
  <si>
    <t>28.99.99</t>
  </si>
  <si>
    <t>Centrifughe ed impianti per la disidratazione dei fanghi di processo</t>
  </si>
  <si>
    <t>Produzione di Pannelli Ecologic</t>
  </si>
  <si>
    <t xml:space="preserve"> 02315840609 </t>
  </si>
  <si>
    <t>20.14.09</t>
  </si>
  <si>
    <t>Trattamento delle acque di processo, le acque reflue industriali e civili</t>
  </si>
  <si>
    <t>Pierluigi Raponi</t>
  </si>
  <si>
    <t>Bartoli Spa</t>
  </si>
  <si>
    <t>Marco Cornaglia</t>
  </si>
  <si>
    <t>Macchine svuotasacchi, sistemi di carico e scarico, trasporto materiali</t>
  </si>
  <si>
    <t>28.96</t>
  </si>
  <si>
    <t>11333150966</t>
  </si>
  <si>
    <t>Rodrigo Padoan</t>
  </si>
  <si>
    <t>01012950299</t>
  </si>
  <si>
    <t>28.29.91</t>
  </si>
  <si>
    <t>Depurazione di acque reflue per il settore industriale e agroalimentare</t>
  </si>
  <si>
    <t>Giuseppe Petrucci</t>
  </si>
  <si>
    <t>Produzione di automezzi ed attrezzature per la raccolta, trasporto, compattazione rifiuti.</t>
  </si>
  <si>
    <t>02153560590</t>
  </si>
  <si>
    <t>29.2</t>
  </si>
  <si>
    <t>38.22</t>
  </si>
  <si>
    <t xml:space="preserve">Produzione solvente rigenerato dagli scarti solventati </t>
  </si>
  <si>
    <t>Andrea Laffranchi</t>
  </si>
  <si>
    <t xml:space="preserve">03819960984 </t>
  </si>
  <si>
    <t>46.77.1</t>
  </si>
  <si>
    <t>Recupero e fornitura di rottami metallici ferrosi e non ferrosi alle acciaierie e fonderie</t>
  </si>
  <si>
    <t>Claudio Ciogli</t>
  </si>
  <si>
    <t>RI</t>
  </si>
  <si>
    <t>Trattamento delle acque e il dosaggio di prodotti chimici</t>
  </si>
  <si>
    <t>00620840579</t>
  </si>
  <si>
    <t>26.51.29</t>
  </si>
  <si>
    <t>Luigi Zuffetti</t>
  </si>
  <si>
    <t>01697830345</t>
  </si>
  <si>
    <t>Bonifica siti, gestione materiali pericolosi</t>
  </si>
  <si>
    <t>Nicoletta Pigozzo</t>
  </si>
  <si>
    <t>Recupero, trasformazione e smaltimento dei rifiuti industriali</t>
  </si>
  <si>
    <t>01823400138</t>
  </si>
  <si>
    <t>32.32.3</t>
  </si>
  <si>
    <t>Paolo Carena</t>
  </si>
  <si>
    <t>Prodotti chimici sicuri e sostenibili</t>
  </si>
  <si>
    <t>02044670301</t>
  </si>
  <si>
    <t>20.59.4</t>
  </si>
  <si>
    <t>Laura Borghi</t>
  </si>
  <si>
    <t>Impianti e macchine complete per il trasporto del materiale sfuso</t>
  </si>
  <si>
    <t>00686740291</t>
  </si>
  <si>
    <t>25.5</t>
  </si>
  <si>
    <t>Aldino Zeppelli</t>
  </si>
  <si>
    <t>Estrattori centrifughi e separatori verticali per trattamento emulsioni oleose</t>
  </si>
  <si>
    <t>00696010420</t>
  </si>
  <si>
    <t>28.3</t>
  </si>
  <si>
    <t>Clara Conti</t>
  </si>
  <si>
    <t xml:space="preserve">Produzione di pannelli truciolari e nobilitati </t>
  </si>
  <si>
    <t>00111150330</t>
  </si>
  <si>
    <t>Emanuela Cesaretti</t>
  </si>
  <si>
    <t>Macchine Movimento Terra</t>
  </si>
  <si>
    <t>01283260543</t>
  </si>
  <si>
    <t>46.6</t>
  </si>
  <si>
    <t>Riccardo Casarotti</t>
  </si>
  <si>
    <t>Caricatori gommati, cingolati e su postazione fissa per la movimentazione di materiali solidi sfusi</t>
  </si>
  <si>
    <t xml:space="preserve">00042010298 </t>
  </si>
  <si>
    <t>28.22.09</t>
  </si>
  <si>
    <t>Pietro Guarino</t>
  </si>
  <si>
    <t>Gestione materiali pericolosi</t>
  </si>
  <si>
    <t>01380140465</t>
  </si>
  <si>
    <t>38.21</t>
  </si>
  <si>
    <t>Tommaso Chiarini</t>
  </si>
  <si>
    <t>Recupero metalli preziosi da scarti di lavorazione</t>
  </si>
  <si>
    <t>00279290514</t>
  </si>
  <si>
    <t>24.41</t>
  </si>
  <si>
    <t>Vito Garbellini</t>
  </si>
  <si>
    <t>Riciclo e valorizzazione scarti</t>
  </si>
  <si>
    <t xml:space="preserve">00859890295 </t>
  </si>
  <si>
    <t>Graziano Luzzi</t>
  </si>
  <si>
    <t>Produzione semirimorchi</t>
  </si>
  <si>
    <t>02506720545</t>
  </si>
  <si>
    <t>29.1</t>
  </si>
  <si>
    <t>Alfredo Spinozzi</t>
  </si>
  <si>
    <t>02204110445</t>
  </si>
  <si>
    <t>Acque</t>
  </si>
  <si>
    <t>Cliniche Veterinarie</t>
  </si>
  <si>
    <t>KYIP</t>
  </si>
  <si>
    <t>Gianluca Losi</t>
  </si>
  <si>
    <t>Capza</t>
  </si>
  <si>
    <t>Thibault Chatagnon</t>
  </si>
  <si>
    <t>L</t>
  </si>
  <si>
    <t>LDUE</t>
  </si>
  <si>
    <t>Niccolo Cavallaro</t>
  </si>
  <si>
    <t>https://www.monfortecp.com/</t>
  </si>
  <si>
    <t>Monforte Capital Partners</t>
  </si>
  <si>
    <t>Massimo Puccetti</t>
  </si>
  <si>
    <t>ba</t>
  </si>
  <si>
    <t>Ottica</t>
  </si>
  <si>
    <t>Paolo Polzotto</t>
  </si>
  <si>
    <t>pending</t>
  </si>
  <si>
    <t>GE AVIO S.R.L</t>
  </si>
  <si>
    <t>DIASORIN ITALIA S.P.A.</t>
  </si>
  <si>
    <t>SISTEMI - SOLUZIONI INFORMATICHE E TELEMATICHE - SOCIETA' PER AZIONI ABBREVIABILE SISTEMI S.P.A.</t>
  </si>
  <si>
    <t>OLIVETTI S.P.A. (Telecom)</t>
  </si>
  <si>
    <t>SEWS - CABIND S.P.A.</t>
  </si>
  <si>
    <t>MARELLI AUTOMOTIVE LIGHTING ITALY S.P.A</t>
  </si>
  <si>
    <t>DANA GRAZIANO S.R.L.</t>
  </si>
  <si>
    <t xml:space="preserve">IN.CO - INDUSTRIA CONFEZIONI S.P.A (GRUPPO ZEGNA) </t>
  </si>
  <si>
    <t>PRIMA INDUSTRIE - S.P.A.</t>
  </si>
  <si>
    <t>SUEDWOLLE GROUP ITALIA SPA</t>
  </si>
  <si>
    <t>OFFICINE METALLURGICHE G. CORNAGLIA S.P.A. SIGLABILE*CORNAGLIA S.P.A.</t>
  </si>
  <si>
    <t>ABAC ARIA COMPRESSA S.R.L. O PIU' BREVEMENTE "A.ARIA C. S.R.L."</t>
  </si>
  <si>
    <t>ADVANCED ACCELERATOR APPLICATIONS (ITALY) - S.R.L.</t>
  </si>
  <si>
    <t>IVECO ORECCHIA S.P.A.</t>
  </si>
  <si>
    <t>INDUSTRIE*BORLA S.P.A.</t>
  </si>
  <si>
    <t>303009 - FABBRICAZIONE DI AEROMOBILI, DI VEICOLI SPAZIALI E DEI RELATIVI DISPOSITIVI NCA</t>
  </si>
  <si>
    <t>212009 - FABBRICAZIONE DI MEDICINALI ED ALTRI PREPARATI FARMACEUTICI</t>
  </si>
  <si>
    <t>6201 - PRODUZIONE DI SOFTWARE NON CONNESSO ALL'EDIZIONE</t>
  </si>
  <si>
    <t>262 - FABBRICAZIONE DI COMPUTER E UNITA' PERIFERICHE</t>
  </si>
  <si>
    <t>2931 - FABBRICAZIONE DI APPARECCHIATURE ELETTRICHE ED ELETTRONICHE PER AUTOVEICOLI E LORO MOTORI</t>
  </si>
  <si>
    <t>28151 - FABBRICAZIONE DI ORGANI DI TRASMISSIONE (ESCLUSI QUELLI IDRAULICI E
QUELLI PER AUTOVEICOLI, AEROMOBILI E MOTOCICLI)</t>
  </si>
  <si>
    <t>325011 - FABBRICAZIONE DI MATERIALE MEDICO-CHIRURGICO E VETERINARI</t>
  </si>
  <si>
    <t xml:space="preserve"> 451901 - COMMERCIO ALL'INGROSSO E AL DETTAGLIO DI ALTRI AUTOVEICOLI</t>
  </si>
  <si>
    <t xml:space="preserve"> 2812 - FABBRICAZIONE DI APPARECCHIATURE FLUIDODINAMICHE</t>
  </si>
  <si>
    <t>131 - PREPARAZIONE E FILATURA DI FIBRE TESSILI</t>
  </si>
  <si>
    <t xml:space="preserve"> 293209 - FABBRICAZIONE DI ALTRE PARTI ED ACCESSORI PER AUTOVEICOLI E LORO
MOTORI NCA</t>
  </si>
  <si>
    <t>2841 - FABBRICAZIONE DI MACCHINE UTENSILI PER LA FORMATURA DEI METALLI (INCLUSE PARTI E ACCESSORI ED ESCLUSE LE PARTI INTERCAMBIABILI)</t>
  </si>
  <si>
    <t xml:space="preserve"> 141 - CONFEZIONE DI ARTICOLI DI ABBIGLIAMENTO (ESCLUSO ABBIGLIAMENTO IN PELLICCIA)</t>
  </si>
  <si>
    <t xml:space="preserve"> 274001 - FABBRICAZIONE DI APPARECCHIATURE DI ILLUMINAZIONE E SEGNALAZIONE PER MEZZI DI TRASPORTO</t>
  </si>
  <si>
    <t>02484120429</t>
  </si>
  <si>
    <t>00657120549</t>
  </si>
  <si>
    <t>00610230450</t>
  </si>
  <si>
    <t>01206050542</t>
  </si>
  <si>
    <t>01583650203</t>
  </si>
  <si>
    <t>01558880546</t>
  </si>
  <si>
    <t>02936400429</t>
  </si>
  <si>
    <t xml:space="preserve">00950370387 </t>
  </si>
  <si>
    <t>01427010697</t>
  </si>
  <si>
    <t xml:space="preserve">01661630507 </t>
  </si>
  <si>
    <t xml:space="preserve">00828540153 </t>
  </si>
  <si>
    <t>00632300935</t>
  </si>
  <si>
    <t>01869920205</t>
  </si>
  <si>
    <t>EIMA 2024</t>
  </si>
  <si>
    <t>Piemonte Aree 107.3 C)</t>
  </si>
  <si>
    <t>Aries srl</t>
  </si>
  <si>
    <t>Avmap srl</t>
  </si>
  <si>
    <t>Agriway Srl</t>
  </si>
  <si>
    <t>Enoagricola Rossi Srl</t>
  </si>
  <si>
    <t>Faroil Srl</t>
  </si>
  <si>
    <t>Giunti Srl</t>
  </si>
  <si>
    <t>Grim Srl</t>
  </si>
  <si>
    <t>Guaresi Spa</t>
  </si>
  <si>
    <t>I.M.M. Hydraulics Spa</t>
  </si>
  <si>
    <t>Intergomma Spa</t>
  </si>
  <si>
    <t>Mta Spa</t>
  </si>
  <si>
    <t>Oesse Srl</t>
  </si>
  <si>
    <t>Piusi Spa</t>
  </si>
  <si>
    <t>Fabbricazione di macchine per l'agricoltura e la silvicoltura</t>
  </si>
  <si>
    <t>28.30.00</t>
  </si>
  <si>
    <t>Fabbricazione di macchine per la formatura dei metalli e di altre macchine utensili</t>
  </si>
  <si>
    <t>28.40.00</t>
  </si>
  <si>
    <t>Fabbricazione di strumenti per navigazione, idrologia, geofisica, eterologia</t>
  </si>
  <si>
    <t>26.51.10</t>
  </si>
  <si>
    <t>Fabbricazione di organi di trasmissione</t>
  </si>
  <si>
    <t>28.15.10</t>
  </si>
  <si>
    <t>Fabbricazione di altre macchine per l'agricoltura, silvicoltura, zootecnica</t>
  </si>
  <si>
    <t>28.30.90</t>
  </si>
  <si>
    <t>Fabbricazione di altre macchine e apparecchi di sollevamento e movimentazione</t>
  </si>
  <si>
    <t>24.20.20</t>
  </si>
  <si>
    <t>Fabbricazione di tubi e condotti saldati</t>
  </si>
  <si>
    <t>Fabbricazione di altri prodotti in gomma</t>
  </si>
  <si>
    <t>22.19.09</t>
  </si>
  <si>
    <t>Fabbricazione di altre parti ed accessori per veicoli</t>
  </si>
  <si>
    <t xml:space="preserve">29.32.09 </t>
  </si>
  <si>
    <t>Fabbricazione di apparecchiature elettriche d elettroniche per veicoli e loro motori</t>
  </si>
  <si>
    <t>29.31.00</t>
  </si>
  <si>
    <t>Fabbricazione di attrezzature di uso non domestico per la refrigerazione e ventilazione</t>
  </si>
  <si>
    <t>28.25.00</t>
  </si>
  <si>
    <t>Fabbricazione di altre pompe e accessori</t>
  </si>
  <si>
    <t>28.13.00</t>
  </si>
  <si>
    <t>Rubber</t>
  </si>
  <si>
    <t>Michele Bifani</t>
  </si>
  <si>
    <t>Orlando Caldari</t>
  </si>
  <si>
    <t>Paola Bogazzi</t>
  </si>
  <si>
    <t>Gabriele Venturini</t>
  </si>
  <si>
    <t>Adelmo Giovannini</t>
  </si>
  <si>
    <t>Elio Bondioli</t>
  </si>
  <si>
    <t>Gian Carlo Scarabelli</t>
  </si>
  <si>
    <t>Livio Marchiori</t>
  </si>
  <si>
    <t>Marcello Di Campli</t>
  </si>
  <si>
    <t>Fabio Falorni</t>
  </si>
  <si>
    <t>Antonio Falchetti</t>
  </si>
  <si>
    <t>Francesco Scandolo</t>
  </si>
  <si>
    <t>Otto Varini</t>
  </si>
  <si>
    <t>Bondioli &amp; Pavesi Spa</t>
  </si>
  <si>
    <t>Rossi Macchine Utensili SpA</t>
  </si>
  <si>
    <t>Arnocanali Srl</t>
  </si>
  <si>
    <t>Commercio e produzione macchine utensili e soluzioni per l'automazione</t>
  </si>
  <si>
    <t>Produzione di componenti elettrici e meccaniche (elettrotecnica principalmente)</t>
  </si>
  <si>
    <t>Componenti elettrici</t>
  </si>
  <si>
    <t>04485190484</t>
  </si>
  <si>
    <t>05278390488</t>
  </si>
  <si>
    <t>Giuseppe Rossi</t>
  </si>
  <si>
    <t>Nicola Rossi</t>
  </si>
  <si>
    <t>Alberto Tassi</t>
  </si>
  <si>
    <t>Stefano Tassi</t>
  </si>
  <si>
    <t>Project Forwarding</t>
  </si>
  <si>
    <t>Target Fra Diavolo Polonia</t>
  </si>
  <si>
    <t>Red Fish Kapital</t>
  </si>
  <si>
    <t>Fidelium</t>
  </si>
  <si>
    <t>Riccardo Wagner</t>
  </si>
  <si>
    <t>Giappichelli Editore</t>
  </si>
  <si>
    <t>Giulia Giappichelli</t>
  </si>
  <si>
    <t>Pj Edera</t>
  </si>
  <si>
    <t>Omegro</t>
  </si>
  <si>
    <t>Atlantic Technologies</t>
  </si>
  <si>
    <t>LCS Group</t>
  </si>
  <si>
    <t>Nubtec</t>
  </si>
  <si>
    <t xml:space="preserve">Projest </t>
  </si>
  <si>
    <t>12327220153 </t>
  </si>
  <si>
    <t>12215610150 </t>
  </si>
  <si>
    <t>04923180485</t>
  </si>
  <si>
    <t>Software CRM, ERP</t>
  </si>
  <si>
    <t>Fam. Tulli</t>
  </si>
  <si>
    <t>Gianfranco Silpigni</t>
  </si>
  <si>
    <t>Ezio Alboni</t>
  </si>
  <si>
    <t>Camilla Silipigni</t>
  </si>
  <si>
    <t>Danilo Ripamonti</t>
  </si>
  <si>
    <t>Nicola Bernardelli</t>
  </si>
  <si>
    <t>Basis Group</t>
  </si>
  <si>
    <t>Alpi Real Estate</t>
  </si>
  <si>
    <t>Rocco Alboni</t>
  </si>
  <si>
    <t>Simone Uggetti</t>
  </si>
  <si>
    <t>Giuffrè Francis Lefebvre</t>
  </si>
  <si>
    <t>00829840156</t>
  </si>
  <si>
    <t>Editoria</t>
  </si>
  <si>
    <t>Stefano Garisto</t>
  </si>
  <si>
    <t>Faccin SpA (Project Roar)</t>
  </si>
  <si>
    <t>High performance</t>
  </si>
  <si>
    <t>AREA IMPIANTI SPA</t>
  </si>
  <si>
    <t>MICROTEST SPA</t>
  </si>
  <si>
    <t>TECNOMECCANICA SRL</t>
  </si>
  <si>
    <t>STEFANPLAST SPA</t>
  </si>
  <si>
    <t>BCF ITALIA SRL</t>
  </si>
  <si>
    <t>OFFICINA MECCANICA ROSELLI O.M.R. SRL</t>
  </si>
  <si>
    <t>SAPISELCO SRL</t>
  </si>
  <si>
    <t>Outdoor</t>
  </si>
  <si>
    <t>EIMA</t>
  </si>
  <si>
    <t>AMA</t>
  </si>
  <si>
    <t>SABART</t>
  </si>
  <si>
    <t>GRILLO</t>
  </si>
  <si>
    <t>BCS</t>
  </si>
  <si>
    <t>RIMA</t>
  </si>
  <si>
    <t>DOMINONI</t>
  </si>
  <si>
    <t>ANTOLINI</t>
  </si>
  <si>
    <t>BARBIERI</t>
  </si>
  <si>
    <t>FORT</t>
  </si>
  <si>
    <t>03182100234</t>
  </si>
  <si>
    <t>02402130245</t>
  </si>
  <si>
    <t>02565660244</t>
  </si>
  <si>
    <t>00639260355</t>
  </si>
  <si>
    <t>02493410357</t>
  </si>
  <si>
    <t>00814230405</t>
  </si>
  <si>
    <t>00889380150</t>
  </si>
  <si>
    <t>00698260981</t>
  </si>
  <si>
    <t>00749460192</t>
  </si>
  <si>
    <t>Macchinari Agricoli</t>
  </si>
  <si>
    <t>Distribuzione e rivendita componenti agricoli</t>
  </si>
  <si>
    <t>Produzione macchine per lavorazioni agricole</t>
  </si>
  <si>
    <t>Produzione motofalciatrici</t>
  </si>
  <si>
    <t>Produzione testate da taglio</t>
  </si>
  <si>
    <t>Produzione mezzi cingolati agricoli</t>
  </si>
  <si>
    <t>Produzione mezzi per taglio erba</t>
  </si>
  <si>
    <t>Produzione macchine agricole</t>
  </si>
  <si>
    <t>Produzione e distribuzione componenti agricoli</t>
  </si>
  <si>
    <t>Produzione componenti per macchine agricole</t>
  </si>
  <si>
    <t>Allestimento di veicoli commerciali e furgoni speciali / consegna ultimo miglio</t>
  </si>
  <si>
    <t>GEMA Srl</t>
  </si>
  <si>
    <t xml:space="preserve">03007631207 </t>
  </si>
  <si>
    <t>Alessandro Lulli</t>
  </si>
  <si>
    <t>Produzione accessori metallici per pelletteria</t>
  </si>
  <si>
    <t>06594780485</t>
  </si>
  <si>
    <t>Marco Taddei</t>
  </si>
  <si>
    <t>Massimo Taddei</t>
  </si>
  <si>
    <t>Taddei e Calcinai SpA</t>
  </si>
  <si>
    <t>Meeting LOM</t>
  </si>
  <si>
    <t>Ivas Industria Vernici SpA</t>
  </si>
  <si>
    <t xml:space="preserve">00124120403 </t>
  </si>
  <si>
    <t>Vernici e altri materiali a base chimica per l'edilizia</t>
  </si>
  <si>
    <t>Filippo Colonna</t>
  </si>
  <si>
    <t>Federico Colonna</t>
  </si>
  <si>
    <t>Medical Equipment</t>
  </si>
  <si>
    <t>Meet MEDICA 2024</t>
  </si>
  <si>
    <t>SO</t>
  </si>
  <si>
    <t>Medical Disposables</t>
  </si>
  <si>
    <t>EUROSPITAL SpA</t>
  </si>
  <si>
    <t>Produzione equipment e consumables per laboratori analisi</t>
  </si>
  <si>
    <t xml:space="preserve">00047510326 </t>
  </si>
  <si>
    <t>Massimiliano Kropf</t>
  </si>
  <si>
    <t>Michele Kropf</t>
  </si>
  <si>
    <t>BORGHI SpA</t>
  </si>
  <si>
    <t>03575150366</t>
  </si>
  <si>
    <t>Produzione di macchine per l'industria delle spazzole</t>
  </si>
  <si>
    <t>Marco Solato</t>
  </si>
  <si>
    <t>Fabrizio Biagi</t>
  </si>
  <si>
    <t>Andrea Del Carlo</t>
  </si>
  <si>
    <t>Giampaolo Roversi</t>
  </si>
  <si>
    <t>M.D.L. Srl</t>
  </si>
  <si>
    <t>00656810140</t>
  </si>
  <si>
    <t>Produzione aghi speciali per biopsie e chirurgia</t>
  </si>
  <si>
    <t>Simone Dell'Oca</t>
  </si>
  <si>
    <t>Marcello Dell'Oca</t>
  </si>
  <si>
    <t>APTACA SpA</t>
  </si>
  <si>
    <t>AS</t>
  </si>
  <si>
    <t>00862050960</t>
  </si>
  <si>
    <t>Dispositivi monouso e riutilizzabili per Laboratori Analisi, Ospedali, Istituti di Ricerca e per l’Industria Chimica e Farmaceutica.</t>
  </si>
  <si>
    <t>Duilio Buono</t>
  </si>
  <si>
    <t>Simone Buono</t>
  </si>
  <si>
    <t>Ring Capital</t>
  </si>
  <si>
    <t>Sara De Benedetti</t>
  </si>
  <si>
    <t>Call intro</t>
  </si>
  <si>
    <t>Palazzani Industrie SpA</t>
  </si>
  <si>
    <t>Piattaforme aeree per sollevamento in quota di persone e merci</t>
  </si>
  <si>
    <t>Davide Palazzani</t>
  </si>
  <si>
    <t>Paola Palazzani</t>
  </si>
  <si>
    <t>02350430985</t>
  </si>
  <si>
    <t>Project Cargo - freight forwarding</t>
  </si>
  <si>
    <t>Alpha Generator Capital</t>
  </si>
  <si>
    <t>Federico Di Benedetto</t>
  </si>
  <si>
    <t>Add-on Wise</t>
  </si>
  <si>
    <t>Pj Despatch</t>
  </si>
  <si>
    <t>Trans Isole</t>
  </si>
  <si>
    <t>Michele Spighetto</t>
  </si>
  <si>
    <t>Brivio &amp; Viganò</t>
  </si>
  <si>
    <t>Mauro Brivio</t>
  </si>
  <si>
    <t>Eufoton Srl</t>
  </si>
  <si>
    <t>00970570321</t>
  </si>
  <si>
    <t>Produzione di laser medicale a diodo</t>
  </si>
  <si>
    <t>Francesco Marangoni</t>
  </si>
  <si>
    <t>Anna Maria Lupetin</t>
  </si>
  <si>
    <t>Meccatronica, Turismo (HNH), Filiera moda BSB</t>
  </si>
  <si>
    <t>Guaresi per BSF</t>
  </si>
  <si>
    <t>Waterland</t>
  </si>
  <si>
    <t>Ahmed Benkirane</t>
  </si>
  <si>
    <t>Eolo Capital</t>
  </si>
  <si>
    <t>Antonio Garufi</t>
  </si>
  <si>
    <t>Intro</t>
  </si>
  <si>
    <t>Peak35</t>
  </si>
  <si>
    <t>Mattia Ambrosini</t>
  </si>
  <si>
    <t>Scouting buy-side</t>
  </si>
  <si>
    <t>VEM SISTEMI S.P.A.</t>
  </si>
  <si>
    <t>03071260362</t>
  </si>
  <si>
    <t>01803850401</t>
  </si>
  <si>
    <t>Impiantistica dentale</t>
  </si>
  <si>
    <t>Software per aziende</t>
  </si>
  <si>
    <t>Giacomo Grandi</t>
  </si>
  <si>
    <t>Tommaso Grandi</t>
  </si>
  <si>
    <t>Gabriella Attanasio</t>
  </si>
  <si>
    <t>Stefano Bossi</t>
  </si>
  <si>
    <t>Fitness Retail</t>
  </si>
  <si>
    <t>Web Fit Srl</t>
  </si>
  <si>
    <t>Fitness</t>
  </si>
  <si>
    <t>Gestione di palestre</t>
  </si>
  <si>
    <t>GO</t>
  </si>
  <si>
    <t>Mauro Salvador</t>
  </si>
  <si>
    <t>Davide Stefanelli</t>
  </si>
  <si>
    <t>Aride Missiroli</t>
  </si>
  <si>
    <t>EASY FIT PALESTRE S.S.D.</t>
  </si>
  <si>
    <t>Daniele Pavan</t>
  </si>
  <si>
    <t>ALUBERG S.P.A.</t>
  </si>
  <si>
    <t>Riccardo Lorenzo Nicolo Spolaor</t>
  </si>
  <si>
    <t>Lavorazione di alluminio in fogli per applicazioni / packaging alimnetare e pharma</t>
  </si>
  <si>
    <t>13475690155</t>
  </si>
  <si>
    <t>Pj Jackhammer</t>
  </si>
  <si>
    <t>Brianza Demolizioni</t>
  </si>
  <si>
    <t>Oscar Cittadini</t>
  </si>
  <si>
    <t>Francesco Zito - Hyle Capital Partners SGR S.p.a.</t>
  </si>
  <si>
    <t>Add-on Almac (Wise)</t>
  </si>
  <si>
    <t>Lift platforms</t>
  </si>
  <si>
    <t>Add-on Greenexta (Wise)</t>
  </si>
  <si>
    <t>Anquor - GMAP</t>
  </si>
  <si>
    <t>EASYFIT SOCIETA' SPORTIVA DILETTANTISTICA A RESPONSABILITA' LIMITATA ABBREVIATO EASYFIT S.S.D. A R.L.</t>
  </si>
  <si>
    <t>Marco Sammartino</t>
  </si>
  <si>
    <t>Koinos</t>
  </si>
  <si>
    <t>Marco Morgese</t>
  </si>
  <si>
    <t>Style Capital</t>
  </si>
  <si>
    <t>Fashion &amp; Lifestyle</t>
  </si>
  <si>
    <t>Filippo Cavalli</t>
  </si>
  <si>
    <t>Call per Target Francia</t>
  </si>
  <si>
    <t>TIN Capital</t>
  </si>
  <si>
    <t>European Cyber Tech Fund</t>
  </si>
  <si>
    <t>PMC</t>
  </si>
  <si>
    <t>Futura SGR</t>
  </si>
  <si>
    <t>Gabriele Benedetto</t>
  </si>
  <si>
    <t>Seaya Ventures</t>
  </si>
  <si>
    <t>Roberto Riesgo Gimeno</t>
  </si>
  <si>
    <t>Seaya Andromeda</t>
  </si>
  <si>
    <t>165M€</t>
  </si>
  <si>
    <t>Disruptive Tech</t>
  </si>
  <si>
    <t>300M€</t>
  </si>
  <si>
    <t>Sustainability</t>
  </si>
  <si>
    <t>Maarten Derks</t>
  </si>
  <si>
    <t>Accel</t>
  </si>
  <si>
    <t>Luca Bocchio</t>
  </si>
  <si>
    <t>Frau Pharma</t>
  </si>
  <si>
    <t>03758850162</t>
  </si>
  <si>
    <t>Produzione di APIs</t>
  </si>
  <si>
    <t>Francesco Autuori</t>
  </si>
  <si>
    <t>Panarello</t>
  </si>
  <si>
    <t>Giovanni Bindella</t>
  </si>
  <si>
    <t>giuseppefranzese88@gmail.com</t>
  </si>
  <si>
    <t>Matteo Nulli (Director)</t>
  </si>
  <si>
    <t>Fondo III</t>
  </si>
  <si>
    <t>Pitch - Fagioli PFW</t>
  </si>
  <si>
    <t>Fine foods (pitch)</t>
  </si>
  <si>
    <t>Financière de Courcelles - REACH</t>
  </si>
  <si>
    <t>Branded sea foods products</t>
  </si>
  <si>
    <t>EBITDA €5M</t>
  </si>
  <si>
    <t>Zeus Capital - REACH</t>
  </si>
  <si>
    <t>Pj Fleming (pitch)</t>
  </si>
  <si>
    <t>Cleaning products</t>
  </si>
  <si>
    <t>Ricavi: £60M, EBITDA £16M</t>
  </si>
  <si>
    <t>Pj Roar (Consilium)</t>
  </si>
  <si>
    <t>Zeus Capital, IOM, Anquor - REACH</t>
  </si>
  <si>
    <t>USA, Germany, Spain</t>
  </si>
  <si>
    <t>Macchnari per lavorazione metalli</t>
  </si>
  <si>
    <t>Lian Group</t>
  </si>
  <si>
    <t>Matteo Cardarelli</t>
  </si>
  <si>
    <t>Siman (buy)</t>
  </si>
  <si>
    <t>Three Hills Impact</t>
  </si>
  <si>
    <t>Impact</t>
  </si>
  <si>
    <t>Barbara Roversi</t>
  </si>
  <si>
    <t>Demolizioni e bonifiche</t>
  </si>
  <si>
    <t>Brembo</t>
  </si>
  <si>
    <t>Meridian Capital, Brown/Gibbson/Lang,  Crosbie - REACH</t>
  </si>
  <si>
    <t>Braking and suspension systems</t>
  </si>
  <si>
    <t>Vendita online-in store di accessori e ricambi moto</t>
  </si>
  <si>
    <t>Marco Biollo</t>
  </si>
  <si>
    <t>Claudio Biollo</t>
  </si>
  <si>
    <t>Gruppo Mandelli (BimanSrl)</t>
  </si>
  <si>
    <t>Primo Ventures</t>
  </si>
  <si>
    <t>\</t>
  </si>
  <si>
    <t>Holger Schmidt - Giuseppe Grizzo</t>
  </si>
  <si>
    <t>Certina Group</t>
  </si>
  <si>
    <t>DELTA SYSTEM</t>
  </si>
  <si>
    <t>E-TIME</t>
  </si>
  <si>
    <t>MADE IN BIT</t>
  </si>
  <si>
    <t>02260420266</t>
  </si>
  <si>
    <t>03256040233</t>
  </si>
  <si>
    <t>05358190485</t>
  </si>
  <si>
    <t>System integrators, CRM, ERP</t>
  </si>
  <si>
    <t>Enio Berton</t>
  </si>
  <si>
    <t>Matteo Gelmetti</t>
  </si>
  <si>
    <t>Leonardo Balestri</t>
  </si>
  <si>
    <t>21 Invest - Healthcare</t>
  </si>
  <si>
    <t>Fabio Parisi</t>
  </si>
  <si>
    <t>Wimed</t>
  </si>
  <si>
    <t>Tartuflanghe</t>
  </si>
  <si>
    <t>03062420041</t>
  </si>
  <si>
    <t>Produzione di prodotti gastronomici a base di tartufo</t>
  </si>
  <si>
    <t>Paolo Montanaro</t>
  </si>
  <si>
    <t>Stefania Montanaro</t>
  </si>
  <si>
    <t>Produzione di prodotti di pasticceria fresca e secca</t>
  </si>
  <si>
    <t>Cronos Capital Partners</t>
  </si>
  <si>
    <t>COMACCHIO S.P.A.</t>
  </si>
  <si>
    <t>Produzioni di macchine industriali per perforazioni ed esplorazioni minerarie</t>
  </si>
  <si>
    <t>02019450267</t>
  </si>
  <si>
    <t>OLEARIA DESANTIS S.P.A.</t>
  </si>
  <si>
    <t>RUBINETTERIA PAFFONI S.P.A.</t>
  </si>
  <si>
    <t>KASK S.P.A.</t>
  </si>
  <si>
    <t>03671870727</t>
  </si>
  <si>
    <t>00250430030</t>
  </si>
  <si>
    <t>03116700166</t>
  </si>
  <si>
    <t>Produzione di rubinetteria e altri accessori</t>
  </si>
  <si>
    <t>Produzione di olio d'oliva</t>
  </si>
  <si>
    <t>Vincenzo Desantis</t>
  </si>
  <si>
    <t>Daniela Paffoni (50% tramite Mepa Finanziaria SpA)</t>
  </si>
  <si>
    <t>Angelo Gotti</t>
  </si>
  <si>
    <t>Fam Comacchio</t>
  </si>
  <si>
    <t>Vito Desantis</t>
  </si>
  <si>
    <t>Francesca Paffoni (50% tramite Mepa Finanziaria SpA)</t>
  </si>
  <si>
    <t>Patrizio Comacchio
Renzo Comacchio</t>
  </si>
  <si>
    <t>Nicola Desantis
Vincenzo Desantis
Vito Desantis</t>
  </si>
  <si>
    <t>Francesca Paffoni
Daniela Paffoni</t>
  </si>
  <si>
    <t>Riccardo Spolaor</t>
  </si>
  <si>
    <t>Pj Moon
Pj Nero</t>
  </si>
  <si>
    <t>FEDEGARI AUTOCLAVI - S.P.A</t>
  </si>
  <si>
    <t>IBSA FARMACEUTICI ITALIA S.R.L. (CH)</t>
  </si>
  <si>
    <t>CONTER S.R.L. (SODALIS GROUP)</t>
  </si>
  <si>
    <t>POLIGOF SPA (Portobello Capital Fondo)</t>
  </si>
  <si>
    <t>BOLTON FOOD S.P.A.</t>
  </si>
  <si>
    <t>ELDOR CORPORATION - S.P.A.</t>
  </si>
  <si>
    <t>COSMINT - SOCIETA' PER AZIONI (INTERCOS)</t>
  </si>
  <si>
    <t>GALBUSERA S.P.A.</t>
  </si>
  <si>
    <t>RIGAMONTI SALUMIFICIO S.P.A.</t>
  </si>
  <si>
    <t>GHELFI ONDULATI S.P.A.</t>
  </si>
  <si>
    <t>GHINZELLI S.R.L.</t>
  </si>
  <si>
    <t>GARDANI S.R.L.</t>
  </si>
  <si>
    <t>COPERNIT SOCIETA' PER AZIONI (Soprema group)</t>
  </si>
  <si>
    <t>CCI COLATACONTINUAITALIANA S.P.A. O IN BREVE CCI S.P.A.</t>
  </si>
  <si>
    <t>LATTERIA SORESINA SOCIETA' COOPERATIVA AGRICOLA</t>
  </si>
  <si>
    <t>INDORAMA VENTURES MOBILITY CREMONA S.P.A.</t>
  </si>
  <si>
    <t>LUMSON S.P.A.</t>
  </si>
  <si>
    <t>ANCOROTTI COSMETICS S.P.A.</t>
  </si>
  <si>
    <t>LAMERI S.P.A.</t>
  </si>
  <si>
    <t>MARSILLI S.P.A.</t>
  </si>
  <si>
    <t>CEME S.P.A. (Investindustrial)</t>
  </si>
  <si>
    <t>ARTSANA - SOCIETA' PER AZIONI (Investindustrial)</t>
  </si>
  <si>
    <t>C 2812 - FABBRICAZIONE DI APPARECCHIATURE FLUIDODINAMICHE</t>
  </si>
  <si>
    <t>C 325011 - FABBRICAZIONE DI MATERIALE MEDICO-CHIRURGICO E VETERINARIO</t>
  </si>
  <si>
    <t>C 325012 - FABBRICAZIONE DI APPARECCHI E STRUMENTI PER ODONTOIATRIA E DI APPARECCHI MEDICALI (INCLUSE PARTI STACCATE E ACCESSORI)</t>
  </si>
  <si>
    <t>C 212009 - FABBRICAZIONE DI MEDICINALI ED ALTRI PREPARATI FARMACEUTICI</t>
  </si>
  <si>
    <t>C 2042 - FABBRICAZIONE DI PRODOTTI PER TOLETTA: PROFUMI, COSMETICI, SAPONI E SIMILI</t>
  </si>
  <si>
    <t>C 222 - FABBRICAZIONE DI ARTICOLI IN MATERIE PLASTICHE</t>
  </si>
  <si>
    <t>C 102 - LAVORAZIONE E CONSERVAZIONE DI PESCE, CROSTACEI E MOLLUSCHI MEDIANTE SURGELAMENTO, SALATURA ECCETERA</t>
  </si>
  <si>
    <t>C 2931 - FABBRICAZIONE DI APPARECCHIATURE ELETTRICHE ED ELETTRONICHE PER AUTOVEICOLI E LORO MOTORI</t>
  </si>
  <si>
    <t>C 1072 - PRODUZIONE DI FETTE BISCOTTATE E DI BISCOTTI; PRODUZIONE DI PRODOTTI DI PASTICCERIA CONSERVATI</t>
  </si>
  <si>
    <t>C 1013 - PRODUZIONE DI PRODOTTI A BASE DI CARNE (INCLUSA LA CARNE DI VOLATILI)</t>
  </si>
  <si>
    <t>C 1721 - FABBRICAZIONE DI CARTA E CARTONE ONDULATO E DI IMBALLAGGI DI CARTA E CARTONE (ESCLUSI QUELLI IN CARTA PRESSATA)</t>
  </si>
  <si>
    <t>C 1011 - PRODUZIONE DI CARNE NON DI VOLATILI E DI PRODOTTI DELLA MACELLAZIONE (ATTIVITA' DEI MATTATOI)</t>
  </si>
  <si>
    <t>C 2399 - FABBRICAZIONE DI ALTRI PRODOTTI IN MINERALI NON METALLIFERI NCA</t>
  </si>
  <si>
    <t>C 2444 - PRODUZIONE DI RAME E SEMILAVORATI</t>
  </si>
  <si>
    <t>A 0141 - ALLEVAMENTO DI BOVINI E BUFALE DA LATTE, PRODUZIONE DI LATTE CRUDO</t>
  </si>
  <si>
    <t>C 13962 - FABBRICAZIONE DI ALTRI ARTICOLI TESSILI TECNICI ED INDUSTRIALI</t>
  </si>
  <si>
    <t>C 2222 - FABBRICAZIONE DI IMBALLAGGI IN MATERIE PLASTICHE</t>
  </si>
  <si>
    <t>C 1061 - LAVORAZIONE DELLE GRANAGLIE</t>
  </si>
  <si>
    <t>C 289999 - FABBRICAZIONE DI ALTRE MACCHINE ED ATTREZZATURE PER IMPIEGHI SPECIALI NCA (INCLUSE PARTI E ACCESSORI)</t>
  </si>
  <si>
    <t xml:space="preserve"> LO</t>
  </si>
  <si>
    <t xml:space="preserve"> CO</t>
  </si>
  <si>
    <t xml:space="preserve"> MN</t>
  </si>
  <si>
    <t>TECOMEC S.R.L.</t>
  </si>
  <si>
    <t>RICCINI S.R.L.</t>
  </si>
  <si>
    <t>01219320353</t>
  </si>
  <si>
    <t>00644190548</t>
  </si>
  <si>
    <t>Francesco Crotti</t>
  </si>
  <si>
    <t>Fabio Riccini</t>
  </si>
  <si>
    <t>GUARNIFLON S.P.A.</t>
  </si>
  <si>
    <t>GREEN POWER SYSTEMS S.R.L.</t>
  </si>
  <si>
    <t>CASELLA MACCHINE AGRICOLE S.R.L.</t>
  </si>
  <si>
    <t>ROVATTI A.&amp; FIGLI POMPE SOCIETA' PER AZIONI O IN FORMA ABBREVIATA ROVATTI A.&amp; FIGLI POMPE S.P.A.</t>
  </si>
  <si>
    <t>SAB S.P.A.</t>
  </si>
  <si>
    <t>STONEX S.R.L.</t>
  </si>
  <si>
    <t>LA.RE.TER. LAVORAZIONE RESINE TERMOPLASTICHE - S.P.A.</t>
  </si>
  <si>
    <t>BRAGLIA S.R.L.</t>
  </si>
  <si>
    <t>SATI GROUP S.P.A.</t>
  </si>
  <si>
    <t>FB BALZANELLI S.P.A.</t>
  </si>
  <si>
    <t>DINAMICA GENERALE S.P.A.</t>
  </si>
  <si>
    <t>RM S.P.A.</t>
  </si>
  <si>
    <t>SCARABELLI IRRIGAZIONE S.R.L.</t>
  </si>
  <si>
    <t>TECO - S.R.L.</t>
  </si>
  <si>
    <t>VERZELLESI S.R.L.</t>
  </si>
  <si>
    <t>01406020162</t>
  </si>
  <si>
    <t>02018810412</t>
  </si>
  <si>
    <t>00103940334</t>
  </si>
  <si>
    <t>00146150354</t>
  </si>
  <si>
    <t>02138950411</t>
  </si>
  <si>
    <t>06830030968</t>
  </si>
  <si>
    <t>01079200299</t>
  </si>
  <si>
    <t>00443530357</t>
  </si>
  <si>
    <t>02303440131</t>
  </si>
  <si>
    <t>03882680378</t>
  </si>
  <si>
    <t>10803330157</t>
  </si>
  <si>
    <t>01599500202</t>
  </si>
  <si>
    <t>00153210349</t>
  </si>
  <si>
    <t>01128570379</t>
  </si>
  <si>
    <t>01075610392</t>
  </si>
  <si>
    <t>00253540355</t>
  </si>
  <si>
    <t>Luca Mazza</t>
  </si>
  <si>
    <t>Fam Brugnettini</t>
  </si>
  <si>
    <t>Fam Casella</t>
  </si>
  <si>
    <t>Andrea Rovatti</t>
  </si>
  <si>
    <t>Emiliano Boscarini</t>
  </si>
  <si>
    <t>Andrea Bianchi</t>
  </si>
  <si>
    <t>Francesca Libanori</t>
  </si>
  <si>
    <t>Fam. Braglia</t>
  </si>
  <si>
    <t>Fam. Ravazzani</t>
  </si>
  <si>
    <t>Riccardo Tonelli</t>
  </si>
  <si>
    <t>Fam. Balzanelli</t>
  </si>
  <si>
    <t>Andrea Ghirlandi</t>
  </si>
  <si>
    <t>Andrea Scarabelli</t>
  </si>
  <si>
    <t>Massimo Turci</t>
  </si>
  <si>
    <t>Sauro Verzellesi</t>
  </si>
  <si>
    <t>Digital e Idrotech (EIMA)</t>
  </si>
  <si>
    <t>ISTITUTO IMAGE S.R.L.</t>
  </si>
  <si>
    <t>06564590963</t>
  </si>
  <si>
    <t>Clinica estetica</t>
  </si>
  <si>
    <t>Carlo Tremolada</t>
  </si>
  <si>
    <t>Injection molding (automotive supplier)</t>
  </si>
  <si>
    <t>Romania</t>
  </si>
  <si>
    <t>Plastic injection molding supplier in Romania</t>
  </si>
  <si>
    <t>Ricavi: €27M, EBITDA €5.4M</t>
  </si>
  <si>
    <t>Payment app (pitch)</t>
  </si>
  <si>
    <t>Payment app group (for bus ticketing, boat docking payments, doctor appointments etc)</t>
  </si>
  <si>
    <t>Food packaging (pitch)</t>
  </si>
  <si>
    <t>Packaging (food and tobacco)</t>
  </si>
  <si>
    <t>Providence</t>
  </si>
  <si>
    <t>Borja Cabrera</t>
  </si>
  <si>
    <t>Add-on Berardi Group e Polygon</t>
  </si>
  <si>
    <t>Pj Nero - Call</t>
  </si>
  <si>
    <t>Distilleria F.lli Caffo (Buy-side_2025)</t>
  </si>
  <si>
    <t>LAURETANA</t>
  </si>
  <si>
    <t>Sviluppo e gestione di immobili logistici di alto livello in Europa</t>
  </si>
  <si>
    <t>Othmane Sabere</t>
  </si>
  <si>
    <t>Christophe Weerts</t>
  </si>
  <si>
    <t>Ivano Pelassa</t>
  </si>
  <si>
    <t>ZES unica Sud-Bari</t>
  </si>
  <si>
    <t>PRIMA  A R.L.</t>
  </si>
  <si>
    <t>Emanuele Mancinelli</t>
  </si>
  <si>
    <t>Cliniche Estetiche</t>
  </si>
  <si>
    <t>Clinica estetica di medicina rigenerativa</t>
  </si>
  <si>
    <t xml:space="preserve">MANUELA PILI S.R.L. </t>
  </si>
  <si>
    <t>Manuela Pili</t>
  </si>
  <si>
    <t>MY PLASTIC SURGERY S.R.L.</t>
  </si>
  <si>
    <t>Mauro Valente</t>
  </si>
  <si>
    <t>LONDEICLINIC S.R.L.</t>
  </si>
  <si>
    <t>Giorgio Londei</t>
  </si>
  <si>
    <t>MATTEOTTI MEDICAL GROUP</t>
  </si>
  <si>
    <t>Alessandro Innocenti</t>
  </si>
  <si>
    <t>MCB MEDICA STP SRL</t>
  </si>
  <si>
    <t>Alessandro Giovanni Morelli Coghi</t>
  </si>
  <si>
    <t>RF CLINICS S.R.L.</t>
  </si>
  <si>
    <t>Riccardo Forte</t>
  </si>
  <si>
    <t>BE YOU SRL</t>
  </si>
  <si>
    <t>Daniele Volpe</t>
  </si>
  <si>
    <t>GESTIMED S.R.L.</t>
  </si>
  <si>
    <t>Giovanni Luigi Rizzi</t>
  </si>
  <si>
    <t>RICERFARMA SRL</t>
  </si>
  <si>
    <t>PONZIO S.R.L.</t>
  </si>
  <si>
    <t>MESSERSI' PACKAGING S.R.L.</t>
  </si>
  <si>
    <t>CAPELLO S.R.L.</t>
  </si>
  <si>
    <t>SIFA S.P.A.</t>
  </si>
  <si>
    <t xml:space="preserve">STUDIO MB S.R.L. </t>
  </si>
  <si>
    <t>HANUNA S.R.L.S.</t>
  </si>
  <si>
    <t>12603470159</t>
  </si>
  <si>
    <t>01267390423</t>
  </si>
  <si>
    <t>03247430048</t>
  </si>
  <si>
    <t>01242720447</t>
  </si>
  <si>
    <t>Michele Buratto</t>
  </si>
  <si>
    <t>Prodotti farmaceutici e chimica farmaceutica</t>
  </si>
  <si>
    <t>Infissi in alluminio</t>
  </si>
  <si>
    <t>Soluzioni per il packaging / macchinari fine linea</t>
  </si>
  <si>
    <t>Attrezzature agricole per la raccolta dei cereali</t>
  </si>
  <si>
    <t>Produzione di scatole e altri lavorati in cartone</t>
  </si>
  <si>
    <t>Hen Ifrach</t>
  </si>
  <si>
    <t>Matteo Rinaldo Macchi</t>
  </si>
  <si>
    <t>Andrea Antonio Macchi</t>
  </si>
  <si>
    <t>Emilio Ponzio</t>
  </si>
  <si>
    <t>Edoardo Ponzio</t>
  </si>
  <si>
    <t>Maurizio Messersi</t>
  </si>
  <si>
    <t>Mariola Villani</t>
  </si>
  <si>
    <t>Elio Luigi Capello</t>
  </si>
  <si>
    <t>Alberto Capello</t>
  </si>
  <si>
    <t>Roberto Trasarti</t>
  </si>
  <si>
    <t>Alessia Trasarti</t>
  </si>
  <si>
    <t>VALET srl</t>
  </si>
  <si>
    <t>Formazione professionale (medicina estetica)</t>
  </si>
  <si>
    <t>Federico Monti</t>
  </si>
  <si>
    <t>AGORA SERVIZI Srl</t>
  </si>
  <si>
    <t>Alessandra Zanelli</t>
  </si>
  <si>
    <t>IGI</t>
  </si>
  <si>
    <t>01014340085</t>
  </si>
  <si>
    <t>Weerts Logistics Parks (WLP)</t>
  </si>
  <si>
    <t>360 Capital</t>
  </si>
  <si>
    <t>Cesare Maifredi</t>
  </si>
  <si>
    <t>Tramite Davide Corrias (Allianz)</t>
  </si>
  <si>
    <t>EIMA 2024 - Aree 107.3.c.</t>
  </si>
  <si>
    <t>Grim Srl - Gruppo Guaresi Spa</t>
  </si>
  <si>
    <t>PROA</t>
  </si>
  <si>
    <t>ITALSEMPIONE - SPEDIZIONI INTERNAZIONALI S.P.A.</t>
  </si>
  <si>
    <t>B. PACORINI S.P.A.</t>
  </si>
  <si>
    <t>SUSA-S.P.A.</t>
  </si>
  <si>
    <t>ITALTRANS S.P.A.</t>
  </si>
  <si>
    <t>LOGISTICA UNO EUROPE S.R.L.</t>
  </si>
  <si>
    <t>ARCO SPEDIZIONI S.P.A.</t>
  </si>
  <si>
    <t>ALBERTI GERMANO E SANTI ROMANO S.R.L.</t>
  </si>
  <si>
    <t>SAMER &amp; CO. SHIPPING S.P.A.</t>
  </si>
  <si>
    <t>CST LOGISTICA TRASPORTI S.R.L.</t>
  </si>
  <si>
    <t>BETA-TRANS S.P.A.</t>
  </si>
  <si>
    <t>GIANESINI ERMINIO - SOCIETA' A RESPONSABILITA' LIMITATA</t>
  </si>
  <si>
    <t>ORMESANI S.R.L.</t>
  </si>
  <si>
    <t>MATRAS S.R.L.</t>
  </si>
  <si>
    <t>SEAWAY S.R.L.</t>
  </si>
  <si>
    <t>CIGISPED S.R.L.</t>
  </si>
  <si>
    <t>TECNOFREIGHT S.R.L.</t>
  </si>
  <si>
    <t>MONAVA TRASPORTI INTERNAZIONALI - S.P.A.</t>
  </si>
  <si>
    <t>BASE SPEDIZIONI INTERNAZIONALI - SOCIETA' PER AZIONI</t>
  </si>
  <si>
    <t>O.T.E. SPEDIZIONI INTERNAZIONALI S.R.L.</t>
  </si>
  <si>
    <t>ZANINONI INTERNATIONAL FORWARDING AGENT S.P.A.</t>
  </si>
  <si>
    <t>TRIMAR - SOCIETA' A RESPONSABILITA' LIMITATA</t>
  </si>
  <si>
    <t>Add-on Almac-Wise</t>
  </si>
  <si>
    <t>Produzione di gru e piattaforme aeree</t>
  </si>
  <si>
    <t>Easy Lift Srl</t>
  </si>
  <si>
    <t>Gruniverpal Srl</t>
  </si>
  <si>
    <t>JMG Cranes SpA</t>
  </si>
  <si>
    <t xml:space="preserve">Benelli Crane e Platform S.r.l. </t>
  </si>
  <si>
    <t>02867920353</t>
  </si>
  <si>
    <t>05896090965</t>
  </si>
  <si>
    <t>02192530356</t>
  </si>
  <si>
    <t xml:space="preserve">00180660045 </t>
  </si>
  <si>
    <t xml:space="preserve">Michele Sorianini </t>
  </si>
  <si>
    <t xml:space="preserve">Emanuele Antonio Giovanni Tranchero </t>
  </si>
  <si>
    <t xml:space="preserve">Maurizio Manzini </t>
  </si>
  <si>
    <t xml:space="preserve">Claudio Fiorini </t>
  </si>
  <si>
    <t xml:space="preserve">Giovanni Luca Caltagirone </t>
  </si>
  <si>
    <t>Lombardia Aree 107.3 C (Allianz)</t>
  </si>
  <si>
    <t>Cosmetic</t>
  </si>
  <si>
    <t>Valli Estensi s.r.l.</t>
  </si>
  <si>
    <t>Dolomiti Fruits s.r.l.</t>
  </si>
  <si>
    <t>Alpenfrucht s.r.l.</t>
  </si>
  <si>
    <t>Italfrutta s.r.l.</t>
  </si>
  <si>
    <t>Cirillo Group S.p.A.</t>
  </si>
  <si>
    <t>Bio Organica Italia s.r.l.</t>
  </si>
  <si>
    <t>Gruppo Fini S.p.A.</t>
  </si>
  <si>
    <t>Naturello S.p.A.</t>
  </si>
  <si>
    <t>Citres S.p.A.</t>
  </si>
  <si>
    <t>Produzione conserve, sottoli, sughi e preparati</t>
  </si>
  <si>
    <t>Produzione preparati e succhi di frutta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</si>
</sst>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&quot;CW&quot;#,##0"/>
    <numFmt numFmtId="165" formatCode="#,##0.0"/>
    <numFmt numFmtId="166" formatCode="0.0%"/>
    <numFmt numFmtId="167" formatCode="[$-410]d\-mmm\-yy;@"/>
    <numFmt numFmtId="168" formatCode="[$-410]mmm\-yy;@"/>
    <numFmt numFmtId="169" formatCode="d/m/yy;@"/>
    <numFmt numFmtId="170" formatCode="#,##0.0%_);\(#,##0.0%\);\-"/>
    <numFmt numFmtId="171" formatCode="_-* #,##0_-;\-* #,##0_-;_-* &quot;-&quot;??_-;_-@_-"/>
    <numFmt numFmtId="172" formatCode="#,##0_);\(#,##0\);\-"/>
    <numFmt numFmtId="173" formatCode="#,##0&quot;M€&quot;"/>
    <numFmt numFmtId="174" formatCode="0_ ;\-0\ "/>
    <numFmt numFmtId="175" formatCode="[$-410]d\-mmm;@"/>
  </numFmts>
  <fonts count="238" x14ac:knownFonts="1">
    <font>
      <sz val="11"/>
      <color theme="1"/>
      <name val="Microsoft Sans Serif"/>
      <family val="2"/>
      <scheme val="minor"/>
    </font>
    <font>
      <sz val="11"/>
      <color theme="1"/>
      <name val="Microsoft Sans Serif"/>
      <family val="2"/>
      <scheme val="minor"/>
    </font>
    <font>
      <sz val="9"/>
      <color rgb="FF2D5A69"/>
      <name val="Microsoft Sans Serif"/>
      <family val="2"/>
    </font>
    <font>
      <sz val="8"/>
      <color rgb="FF2D5A69"/>
      <name val="Microsoft Sans Serif"/>
      <family val="2"/>
    </font>
    <font>
      <sz val="11"/>
      <color theme="1"/>
      <name val="Arial"/>
      <family val="2"/>
    </font>
    <font>
      <sz val="11"/>
      <name val="Times New Roman"/>
      <family val="1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b/>
      <sz val="8"/>
      <color rgb="FF2D5A69"/>
      <name val="Microsoft Sans Serif"/>
      <family val="2"/>
    </font>
    <font>
      <sz val="9"/>
      <color rgb="FFFF0000"/>
      <name val="Microsoft Sans Serif"/>
      <family val="2"/>
    </font>
    <font>
      <sz val="12"/>
      <color theme="1"/>
      <name val="Microsoft Sans Serif"/>
      <family val="2"/>
      <scheme val="minor"/>
    </font>
    <font>
      <u/>
      <sz val="12"/>
      <color theme="10"/>
      <name val="Microsoft Sans Serif"/>
      <family val="2"/>
      <scheme val="minor"/>
    </font>
    <font>
      <sz val="11"/>
      <color rgb="FF000000"/>
      <name val="Calibri"/>
      <family val="2"/>
    </font>
    <font>
      <sz val="9"/>
      <color theme="1"/>
      <name val="Microsoft Sans Serif"/>
      <family val="2"/>
    </font>
    <font>
      <sz val="9"/>
      <color theme="0"/>
      <name val="Microsoft Sans Serif"/>
      <family val="2"/>
    </font>
    <font>
      <sz val="8"/>
      <color theme="0"/>
      <name val="Microsoft Sans Serif"/>
      <family val="2"/>
    </font>
    <font>
      <sz val="8"/>
      <color rgb="FFFF0000"/>
      <name val="Microsoft Sans Serif"/>
      <family val="2"/>
    </font>
    <font>
      <sz val="8"/>
      <color theme="1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  <scheme val="minor"/>
    </font>
    <font>
      <sz val="8"/>
      <color theme="1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9"/>
      <color rgb="FF2E5B66"/>
      <name val="Microsoft Sans Serif"/>
      <family val="2"/>
    </font>
    <font>
      <sz val="8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theme="3"/>
      <name val="Microsoft Sans Serif"/>
      <family val="2"/>
    </font>
    <font>
      <sz val="9"/>
      <color rgb="FF2D5A69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9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9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9"/>
      <color rgb="FF2E5B66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9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8"/>
      <color theme="3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rgb="FF2E5B66"/>
      <name val="Microsoft Sans Serif"/>
      <family val="2"/>
    </font>
    <font>
      <sz val="8"/>
      <color theme="3"/>
      <name val="Microsoft Sans Serif"/>
      <family val="2"/>
    </font>
    <font>
      <b/>
      <sz val="11"/>
      <color rgb="FF2E5B66"/>
      <name val="Microsoft Sans Serif"/>
      <family val="2"/>
    </font>
    <font>
      <b/>
      <sz val="11"/>
      <color rgb="FF2E5B66"/>
      <name val="Microsoft Sans Serif"/>
      <family val="2"/>
    </font>
    <font>
      <sz val="8"/>
      <color rgb="FF2D5A69"/>
      <name val="Microsoft Sans Serif"/>
      <family val="2"/>
    </font>
    <font>
      <sz val="8"/>
      <color rgb="FF2E5B66"/>
      <name val="Microsoft Sans Serif"/>
      <family val="2"/>
    </font>
    <font>
      <sz val="8"/>
      <color theme="3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8"/>
      <color rgb="FF747678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E5B66"/>
      <name val="Microsoft Sans Serif"/>
      <family val="2"/>
    </font>
    <font>
      <sz val="9"/>
      <color rgb="FF2D5A69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747678"/>
      <name val="Microsoft Sans Serif"/>
      <family val="2"/>
    </font>
    <font>
      <sz val="9"/>
      <color rgb="FF2D5A69"/>
      <name val="Microsoft Sans Serif"/>
      <family val="2"/>
    </font>
    <font>
      <sz val="8"/>
      <color rgb="FF2E5B66"/>
      <name val="Microsoft Sans Serif"/>
      <family val="2"/>
    </font>
    <font>
      <sz val="8"/>
      <color theme="3"/>
      <name val="Microsoft Sans Serif"/>
      <family val="2"/>
    </font>
    <font>
      <sz val="9"/>
      <color rgb="FF2E5B66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9"/>
      <color rgb="FF2D5A69"/>
      <name val="Microsoft Sans Serif"/>
      <family val="2"/>
    </font>
    <font>
      <sz val="8"/>
      <color rgb="FF2E5B66"/>
      <name val="Microsoft Sans Serif"/>
      <family val="2"/>
    </font>
    <font>
      <sz val="9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1"/>
      <color theme="0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8"/>
      <color rgb="FF2D5A69"/>
      <name val="Microsoft Sans Serif"/>
      <family val="2"/>
    </font>
    <font>
      <sz val="8"/>
      <color theme="1"/>
      <name val="Microsoft Sans Serif"/>
      <family val="2"/>
    </font>
    <font>
      <sz val="9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8"/>
      <color rgb="FF2D5A69"/>
      <name val="Microsoft Sans Serif"/>
      <family val="2"/>
    </font>
    <font>
      <b/>
      <sz val="8"/>
      <color rgb="FFFCF6BC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E5B66"/>
      <name val="Microsoft Sans Serif"/>
      <family val="2"/>
    </font>
    <font>
      <sz val="8"/>
      <color rgb="FF2D5A69"/>
      <name val="Microsoft Sans Serif"/>
      <family val="2"/>
    </font>
    <font>
      <sz val="8"/>
      <color rgb="FF2E5B66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8"/>
      <color rgb="FF2E5B66"/>
      <name val="Microsoft Sans Serif"/>
      <family val="2"/>
    </font>
    <font>
      <sz val="9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10"/>
      <color rgb="FF2E5B66"/>
      <name val="Microsoft Sans Serif"/>
      <family val="2"/>
    </font>
    <font>
      <b/>
      <sz val="10"/>
      <color rgb="FF2E5B66"/>
      <name val="Microsoft Sans Serif"/>
      <family val="2"/>
    </font>
    <font>
      <b/>
      <sz val="9"/>
      <color rgb="FF2D5A69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8"/>
      <name val="Microsoft Sans Serif"/>
      <family val="2"/>
      <scheme val="minor"/>
    </font>
    <font>
      <sz val="8"/>
      <color rgb="FF2D5A69"/>
      <name val="Microsoft Sans Serif"/>
      <family val="2"/>
    </font>
    <font>
      <sz val="9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9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8"/>
      <color rgb="FF2D5A69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1"/>
      <color theme="0"/>
      <name val="Microsoft Sans Serif"/>
      <family val="2"/>
    </font>
    <font>
      <sz val="9"/>
      <color rgb="FF2D5A69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theme="1"/>
      <name val="Microsoft Sans Serif"/>
      <family val="2"/>
    </font>
    <font>
      <b/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8"/>
      <color rgb="FF2E5B66"/>
      <name val="Microsoft Sans Serif"/>
      <family val="2"/>
    </font>
    <font>
      <sz val="9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8"/>
      <color rgb="FF2E5B66"/>
      <name val="Microsoft Sans Serif"/>
      <family val="2"/>
    </font>
    <font>
      <sz val="8"/>
      <color rgb="FF2D5A69"/>
      <name val="Microsoft Sans Serif"/>
      <family val="2"/>
    </font>
    <font>
      <b/>
      <sz val="8"/>
      <color rgb="FF2E5B66"/>
      <name val="Microsoft Sans Serif"/>
      <family val="2"/>
    </font>
    <font>
      <sz val="8"/>
      <color theme="3"/>
      <name val="Microsoft Sans Serif"/>
      <family val="2"/>
    </font>
    <font>
      <sz val="9"/>
      <color rgb="FF2E5B66"/>
      <name val="Microsoft Sans Serif"/>
      <family val="2"/>
    </font>
    <font>
      <sz val="9"/>
      <color rgb="FF2D5A69"/>
      <name val="Microsoft Sans Serif"/>
      <family val="2"/>
    </font>
    <font>
      <sz val="8"/>
      <color rgb="FF2E5B66"/>
      <name val="Microsoft Sans Serif"/>
      <family val="2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2D5A69"/>
      <name val="Microsoft Sans Serif"/>
      <family val="2"/>
    </font>
    <font>
      <sz val="9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9"/>
      <color rgb="FF2D5A69"/>
      <name val="Microsoft Sans Serif"/>
      <family val="2"/>
    </font>
    <font>
      <b/>
      <sz val="8"/>
      <color rgb="FFFCF6BC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9"/>
      <color rgb="FF2D5A69"/>
      <name val="Microsoft Sans Serif"/>
      <family val="2"/>
    </font>
    <font>
      <sz val="8"/>
      <color rgb="FF2E5B66"/>
      <name val="Microsoft Sans Serif"/>
      <family val="2"/>
    </font>
    <font>
      <sz val="8"/>
      <color rgb="FF747678"/>
      <name val="Microsoft Sans Serif"/>
      <family val="2"/>
    </font>
    <font>
      <sz val="8"/>
      <color rgb="FF2D5A69"/>
      <name val="Microsoft Sans Serif"/>
      <family val="2"/>
    </font>
    <font>
      <b/>
      <sz val="8"/>
      <color rgb="FFFCF6BC"/>
      <name val="Microsoft Sans Serif"/>
      <family val="2"/>
    </font>
    <font>
      <sz val="8"/>
      <color rgb="FF2E5B66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8"/>
      <color rgb="FF2D5A69"/>
      <name val="Microsoft Sans Serif"/>
      <family val="2"/>
    </font>
    <font>
      <sz val="9"/>
      <color rgb="FF2D5A69"/>
      <name val="Microsoft Sans Serif"/>
      <family val="2"/>
    </font>
    <font>
      <sz val="9"/>
      <color rgb="FF2E5B66"/>
      <name val="Microsoft Sans Serif"/>
      <family val="2"/>
    </font>
    <font>
      <b/>
      <sz val="8"/>
      <color rgb="FF2E5B66"/>
      <name val="Microsoft Sans Serif"/>
      <family val="2"/>
    </font>
    <font>
      <sz val="8"/>
      <color rgb="FF2E5B66"/>
      <name val="Microsoft Sans Serif"/>
      <family val="2"/>
    </font>
    <font>
      <sz val="8"/>
      <color theme="0"/>
      <name val="Microsoft Sans Serif"/>
      <family val="2"/>
    </font>
    <font>
      <sz val="8"/>
      <color rgb="FF2D5A69"/>
      <name val="Microsoft Sans Serif"/>
      <family val="2"/>
    </font>
    <font>
      <sz val="8"/>
      <color rgb="FF747678"/>
      <name val="Microsoft Sans Serif"/>
      <family val="2"/>
    </font>
    <font>
      <sz val="8"/>
      <color theme="1"/>
      <name val="Microsoft Sans Serif"/>
      <family val="2"/>
    </font>
    <font>
      <sz val="8"/>
      <color rgb="FF2D5A69"/>
      <name val="Microsoft Sans Serif"/>
      <family val="2"/>
    </font>
    <font>
      <sz val="8"/>
      <color rgb="FF2E5B66"/>
      <name val="Microsoft Sans Serif"/>
      <family val="2"/>
    </font>
    <font>
      <sz val="8"/>
      <color rgb="FF2D5A69"/>
      <name val="Microsoft Sans Serif"/>
    </font>
    <font>
      <sz val="8"/>
      <color rgb="FF747678"/>
      <name val="Microsoft Sans Serif"/>
    </font>
  </fonts>
  <fills count="2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D9B6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4B96A5"/>
        <bgColor indexed="64"/>
      </patternFill>
    </fill>
    <fill>
      <patternFill patternType="solid">
        <fgColor rgb="FFCDC2F6"/>
        <bgColor indexed="64"/>
      </patternFill>
    </fill>
    <fill>
      <patternFill patternType="solid">
        <fgColor rgb="FFFDE9F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CF6BC"/>
        <bgColor indexed="64"/>
      </patternFill>
    </fill>
    <fill>
      <patternFill patternType="solid">
        <fgColor rgb="FF2E5B66"/>
        <bgColor indexed="64"/>
      </patternFill>
    </fill>
    <fill>
      <patternFill patternType="solid">
        <fgColor rgb="FF2D5A6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0" fontId="7" fillId="0" borderId="3" applyNumberFormat="0" applyFill="0" applyProtection="0">
      <alignment horizontal="center"/>
    </xf>
    <xf numFmtId="0" fontId="8" fillId="0" borderId="0"/>
    <xf numFmtId="0" fontId="6" fillId="0" borderId="4" applyNumberFormat="0" applyFill="0" applyAlignment="0" applyProtection="0"/>
    <xf numFmtId="0" fontId="1" fillId="0" borderId="0"/>
    <xf numFmtId="43" fontId="4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3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452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7" fontId="2" fillId="0" borderId="0" xfId="0" applyNumberFormat="1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2" applyNumberFormat="1" applyFont="1" applyFill="1" applyBorder="1" applyAlignment="1">
      <alignment horizontal="center" vertical="center"/>
    </xf>
    <xf numFmtId="3" fontId="3" fillId="0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5" fontId="3" fillId="0" borderId="1" xfId="0" quotePrefix="1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0" fontId="2" fillId="6" borderId="1" xfId="0" quotePrefix="1" applyFont="1" applyFill="1" applyBorder="1" applyAlignment="1">
      <alignment vertical="center"/>
    </xf>
    <xf numFmtId="0" fontId="2" fillId="3" borderId="1" xfId="0" quotePrefix="1" applyFont="1" applyFill="1" applyBorder="1" applyAlignment="1">
      <alignment vertical="center"/>
    </xf>
    <xf numFmtId="0" fontId="2" fillId="4" borderId="0" xfId="0" quotePrefix="1" applyFont="1" applyFill="1" applyAlignment="1">
      <alignment vertical="center"/>
    </xf>
    <xf numFmtId="0" fontId="2" fillId="5" borderId="0" xfId="0" quotePrefix="1" applyFont="1" applyFill="1" applyAlignment="1">
      <alignment vertical="center"/>
    </xf>
    <xf numFmtId="0" fontId="3" fillId="0" borderId="1" xfId="2" applyNumberFormat="1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168" fontId="3" fillId="0" borderId="1" xfId="2" applyNumberFormat="1" applyFont="1" applyBorder="1" applyAlignment="1">
      <alignment horizontal="center" vertical="center"/>
    </xf>
    <xf numFmtId="169" fontId="3" fillId="0" borderId="1" xfId="2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0" borderId="1" xfId="0" quotePrefix="1" applyFont="1" applyBorder="1" applyAlignment="1">
      <alignment horizontal="right"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quotePrefix="1" applyNumberFormat="1" applyFont="1" applyBorder="1" applyAlignment="1">
      <alignment horizontal="center" vertical="center"/>
    </xf>
    <xf numFmtId="14" fontId="2" fillId="0" borderId="1" xfId="2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2" applyNumberFormat="1" applyFont="1" applyFill="1" applyBorder="1" applyAlignment="1">
      <alignment horizontal="center" vertical="center"/>
    </xf>
    <xf numFmtId="166" fontId="2" fillId="0" borderId="1" xfId="2" applyNumberFormat="1" applyFont="1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3" fontId="2" fillId="0" borderId="1" xfId="2" applyNumberFormat="1" applyFont="1" applyBorder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69" fontId="3" fillId="0" borderId="1" xfId="2" quotePrefix="1" applyNumberFormat="1" applyFont="1" applyBorder="1" applyAlignment="1">
      <alignment horizontal="center" vertical="center"/>
    </xf>
    <xf numFmtId="0" fontId="3" fillId="0" borderId="0" xfId="2" applyNumberFormat="1" applyFont="1" applyAlignment="1">
      <alignment horizontal="center" vertical="center"/>
    </xf>
    <xf numFmtId="166" fontId="3" fillId="0" borderId="0" xfId="2" applyNumberFormat="1" applyFont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4" fontId="2" fillId="0" borderId="1" xfId="2" applyNumberFormat="1" applyFont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166" fontId="3" fillId="0" borderId="1" xfId="2" applyNumberFormat="1" applyFont="1" applyFill="1" applyBorder="1" applyAlignment="1">
      <alignment horizontal="center" vertical="center" wrapText="1"/>
    </xf>
    <xf numFmtId="166" fontId="3" fillId="0" borderId="0" xfId="2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0" fontId="2" fillId="9" borderId="1" xfId="0" quotePrefix="1" applyFont="1" applyFill="1" applyBorder="1" applyAlignment="1">
      <alignment horizontal="right" vertical="center"/>
    </xf>
    <xf numFmtId="0" fontId="2" fillId="9" borderId="0" xfId="0" applyFont="1" applyFill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6" fontId="2" fillId="0" borderId="0" xfId="0" applyNumberFormat="1" applyFont="1" applyAlignment="1">
      <alignment vertical="center"/>
    </xf>
    <xf numFmtId="0" fontId="2" fillId="13" borderId="0" xfId="0" applyFont="1" applyFill="1" applyAlignment="1">
      <alignment horizontal="left" vertical="center"/>
    </xf>
    <xf numFmtId="14" fontId="2" fillId="0" borderId="1" xfId="0" quotePrefix="1" applyNumberFormat="1" applyFont="1" applyBorder="1" applyAlignment="1">
      <alignment vertical="center"/>
    </xf>
    <xf numFmtId="0" fontId="15" fillId="14" borderId="1" xfId="0" quotePrefix="1" applyFont="1" applyFill="1" applyBorder="1" applyAlignment="1">
      <alignment vertical="center"/>
    </xf>
    <xf numFmtId="168" fontId="3" fillId="0" borderId="0" xfId="2" applyNumberFormat="1" applyFont="1" applyBorder="1" applyAlignment="1">
      <alignment horizontal="center" vertical="center"/>
    </xf>
    <xf numFmtId="165" fontId="3" fillId="12" borderId="1" xfId="0" applyNumberFormat="1" applyFont="1" applyFill="1" applyBorder="1" applyAlignment="1">
      <alignment horizontal="center" vertical="center"/>
    </xf>
    <xf numFmtId="165" fontId="3" fillId="12" borderId="1" xfId="0" quotePrefix="1" applyNumberFormat="1" applyFont="1" applyFill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71" fontId="3" fillId="0" borderId="0" xfId="1" applyNumberFormat="1" applyFont="1" applyAlignment="1">
      <alignment vertical="center"/>
    </xf>
    <xf numFmtId="171" fontId="3" fillId="0" borderId="0" xfId="1" applyNumberFormat="1" applyFont="1" applyBorder="1" applyAlignment="1">
      <alignment vertical="center"/>
    </xf>
    <xf numFmtId="171" fontId="17" fillId="12" borderId="0" xfId="1" applyNumberFormat="1" applyFont="1" applyFill="1" applyBorder="1" applyAlignment="1">
      <alignment vertical="center"/>
    </xf>
    <xf numFmtId="171" fontId="3" fillId="12" borderId="0" xfId="1" applyNumberFormat="1" applyFont="1" applyFill="1" applyBorder="1" applyAlignment="1">
      <alignment horizontal="center" vertical="center"/>
    </xf>
    <xf numFmtId="171" fontId="3" fillId="12" borderId="0" xfId="1" applyNumberFormat="1" applyFont="1" applyFill="1" applyBorder="1" applyAlignment="1">
      <alignment horizontal="left" vertical="center"/>
    </xf>
    <xf numFmtId="171" fontId="3" fillId="0" borderId="0" xfId="1" applyNumberFormat="1" applyFont="1" applyBorder="1" applyAlignment="1">
      <alignment horizontal="left" vertical="center"/>
    </xf>
    <xf numFmtId="171" fontId="3" fillId="0" borderId="0" xfId="1" applyNumberFormat="1" applyFont="1" applyBorder="1" applyAlignment="1">
      <alignment horizontal="center" vertical="center"/>
    </xf>
    <xf numFmtId="171" fontId="3" fillId="8" borderId="1" xfId="1" quotePrefix="1" applyNumberFormat="1" applyFont="1" applyFill="1" applyBorder="1" applyAlignment="1">
      <alignment vertical="center"/>
    </xf>
    <xf numFmtId="171" fontId="3" fillId="8" borderId="0" xfId="1" applyNumberFormat="1" applyFont="1" applyFill="1" applyBorder="1" applyAlignment="1">
      <alignment horizontal="left"/>
    </xf>
    <xf numFmtId="171" fontId="16" fillId="5" borderId="0" xfId="1" applyNumberFormat="1" applyFont="1" applyFill="1" applyBorder="1"/>
    <xf numFmtId="171" fontId="16" fillId="5" borderId="0" xfId="1" applyNumberFormat="1" applyFont="1" applyFill="1" applyBorder="1" applyAlignment="1">
      <alignment horizontal="left"/>
    </xf>
    <xf numFmtId="171" fontId="18" fillId="0" borderId="0" xfId="1" applyNumberFormat="1" applyFont="1" applyBorder="1"/>
    <xf numFmtId="171" fontId="3" fillId="9" borderId="1" xfId="1" quotePrefix="1" applyNumberFormat="1" applyFont="1" applyFill="1" applyBorder="1" applyAlignment="1">
      <alignment horizontal="right" vertical="center"/>
    </xf>
    <xf numFmtId="171" fontId="3" fillId="9" borderId="0" xfId="1" applyNumberFormat="1" applyFont="1" applyFill="1" applyBorder="1" applyAlignment="1">
      <alignment horizontal="left" vertical="center"/>
    </xf>
    <xf numFmtId="171" fontId="3" fillId="4" borderId="0" xfId="1" applyNumberFormat="1" applyFont="1" applyFill="1" applyBorder="1" applyAlignment="1">
      <alignment horizontal="center" vertical="center"/>
    </xf>
    <xf numFmtId="171" fontId="3" fillId="4" borderId="1" xfId="1" applyNumberFormat="1" applyFont="1" applyFill="1" applyBorder="1" applyAlignment="1">
      <alignment horizontal="left" vertical="center"/>
    </xf>
    <xf numFmtId="171" fontId="18" fillId="0" borderId="0" xfId="1" applyNumberFormat="1" applyFont="1"/>
    <xf numFmtId="0" fontId="3" fillId="0" borderId="0" xfId="0" applyFont="1" applyAlignment="1">
      <alignment vertical="center" wrapText="1"/>
    </xf>
    <xf numFmtId="0" fontId="18" fillId="0" borderId="0" xfId="0" applyFont="1"/>
    <xf numFmtId="168" fontId="3" fillId="0" borderId="1" xfId="0" applyNumberFormat="1" applyFont="1" applyBorder="1" applyAlignment="1">
      <alignment vertical="center"/>
    </xf>
    <xf numFmtId="0" fontId="3" fillId="0" borderId="1" xfId="16" quotePrefix="1" applyFont="1" applyBorder="1" applyAlignment="1">
      <alignment vertical="center"/>
    </xf>
    <xf numFmtId="168" fontId="19" fillId="0" borderId="1" xfId="2" applyNumberFormat="1" applyFont="1" applyBorder="1" applyAlignment="1">
      <alignment horizontal="center" vertical="center"/>
    </xf>
    <xf numFmtId="0" fontId="3" fillId="17" borderId="0" xfId="0" applyFont="1" applyFill="1" applyAlignment="1">
      <alignment vertical="center"/>
    </xf>
    <xf numFmtId="0" fontId="3" fillId="0" borderId="0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8" fillId="0" borderId="1" xfId="0" applyFont="1" applyBorder="1"/>
    <xf numFmtId="167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0" borderId="0" xfId="0" quotePrefix="1" applyNumberFormat="1" applyFont="1" applyAlignment="1">
      <alignment horizontal="center" vertical="center"/>
    </xf>
    <xf numFmtId="0" fontId="20" fillId="0" borderId="0" xfId="0" applyFont="1"/>
    <xf numFmtId="14" fontId="20" fillId="0" borderId="0" xfId="0" applyNumberFormat="1" applyFont="1"/>
    <xf numFmtId="164" fontId="3" fillId="0" borderId="1" xfId="0" applyNumberFormat="1" applyFont="1" applyBorder="1" applyAlignment="1">
      <alignment horizontal="center" vertical="center"/>
    </xf>
    <xf numFmtId="0" fontId="3" fillId="2" borderId="1" xfId="0" quotePrefix="1" applyFont="1" applyFill="1" applyBorder="1" applyAlignment="1">
      <alignment vertical="center"/>
    </xf>
    <xf numFmtId="0" fontId="3" fillId="6" borderId="1" xfId="0" quotePrefix="1" applyFont="1" applyFill="1" applyBorder="1" applyAlignment="1">
      <alignment vertical="center"/>
    </xf>
    <xf numFmtId="0" fontId="3" fillId="3" borderId="1" xfId="0" quotePrefix="1" applyFont="1" applyFill="1" applyBorder="1" applyAlignment="1">
      <alignment vertical="center"/>
    </xf>
    <xf numFmtId="0" fontId="3" fillId="4" borderId="0" xfId="0" quotePrefix="1" applyFont="1" applyFill="1" applyAlignment="1">
      <alignment vertical="center"/>
    </xf>
    <xf numFmtId="0" fontId="3" fillId="5" borderId="0" xfId="0" quotePrefix="1" applyFont="1" applyFill="1" applyAlignment="1">
      <alignment vertical="center"/>
    </xf>
    <xf numFmtId="0" fontId="3" fillId="0" borderId="0" xfId="2" applyNumberFormat="1" applyFont="1" applyFill="1" applyAlignment="1">
      <alignment horizontal="center" vertical="center"/>
    </xf>
    <xf numFmtId="166" fontId="3" fillId="0" borderId="0" xfId="2" applyNumberFormat="1" applyFont="1" applyFill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5" fontId="2" fillId="12" borderId="1" xfId="0" applyNumberFormat="1" applyFont="1" applyFill="1" applyBorder="1" applyAlignment="1">
      <alignment horizontal="center" vertical="center"/>
    </xf>
    <xf numFmtId="169" fontId="3" fillId="0" borderId="0" xfId="2" applyNumberFormat="1" applyFont="1" applyBorder="1" applyAlignment="1">
      <alignment horizontal="center" vertical="center"/>
    </xf>
    <xf numFmtId="168" fontId="3" fillId="18" borderId="1" xfId="0" applyNumberFormat="1" applyFont="1" applyFill="1" applyBorder="1" applyAlignment="1">
      <alignment vertical="center"/>
    </xf>
    <xf numFmtId="169" fontId="3" fillId="0" borderId="1" xfId="2" applyNumberFormat="1" applyFont="1" applyFill="1" applyBorder="1" applyAlignment="1">
      <alignment horizontal="center" vertical="center"/>
    </xf>
    <xf numFmtId="169" fontId="2" fillId="0" borderId="1" xfId="2" applyNumberFormat="1" applyFont="1" applyBorder="1" applyAlignment="1">
      <alignment horizontal="center" vertical="center"/>
    </xf>
    <xf numFmtId="169" fontId="2" fillId="0" borderId="1" xfId="2" applyNumberFormat="1" applyFont="1" applyFill="1" applyBorder="1" applyAlignment="1">
      <alignment horizontal="center" vertical="center"/>
    </xf>
    <xf numFmtId="0" fontId="21" fillId="0" borderId="0" xfId="0" applyFont="1"/>
    <xf numFmtId="0" fontId="3" fillId="0" borderId="1" xfId="16" applyFont="1" applyBorder="1" applyAlignment="1">
      <alignment vertical="center"/>
    </xf>
    <xf numFmtId="166" fontId="3" fillId="0" borderId="0" xfId="2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9" fontId="3" fillId="0" borderId="1" xfId="2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0" fillId="0" borderId="0" xfId="0" applyFont="1" applyAlignment="1">
      <alignment horizontal="left"/>
    </xf>
    <xf numFmtId="0" fontId="3" fillId="0" borderId="0" xfId="0" quotePrefix="1" applyFont="1" applyAlignment="1">
      <alignment vertical="center"/>
    </xf>
    <xf numFmtId="165" fontId="3" fillId="0" borderId="0" xfId="0" quotePrefix="1" applyNumberFormat="1" applyFont="1" applyAlignment="1">
      <alignment horizontal="center" vertical="center"/>
    </xf>
    <xf numFmtId="0" fontId="18" fillId="16" borderId="0" xfId="0" applyFont="1" applyFill="1" applyAlignment="1">
      <alignment vertical="center"/>
    </xf>
    <xf numFmtId="9" fontId="3" fillId="0" borderId="0" xfId="2" applyFont="1" applyBorder="1" applyAlignment="1">
      <alignment horizontal="center" vertical="center"/>
    </xf>
    <xf numFmtId="0" fontId="3" fillId="8" borderId="0" xfId="0" applyFont="1" applyFill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1" xfId="0" quotePrefix="1" applyFont="1" applyBorder="1" applyAlignment="1">
      <alignment vertical="center"/>
    </xf>
    <xf numFmtId="165" fontId="23" fillId="0" borderId="1" xfId="0" quotePrefix="1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quotePrefix="1" applyFont="1" applyBorder="1" applyAlignment="1">
      <alignment vertical="center"/>
    </xf>
    <xf numFmtId="0" fontId="24" fillId="0" borderId="1" xfId="0" quotePrefix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quotePrefix="1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7" fillId="0" borderId="1" xfId="2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5" fontId="27" fillId="0" borderId="1" xfId="0" quotePrefix="1" applyNumberFormat="1" applyFont="1" applyBorder="1" applyAlignment="1">
      <alignment horizontal="center" vertical="center"/>
    </xf>
    <xf numFmtId="169" fontId="27" fillId="0" borderId="1" xfId="2" applyNumberFormat="1" applyFont="1" applyBorder="1" applyAlignment="1">
      <alignment horizontal="center" vertical="center"/>
    </xf>
    <xf numFmtId="9" fontId="27" fillId="0" borderId="1" xfId="2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quotePrefix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1" xfId="0" quotePrefix="1" applyNumberFormat="1" applyFont="1" applyBorder="1" applyAlignment="1">
      <alignment horizontal="center" vertical="center"/>
    </xf>
    <xf numFmtId="3" fontId="28" fillId="0" borderId="1" xfId="2" applyNumberFormat="1" applyFont="1" applyBorder="1" applyAlignment="1">
      <alignment horizontal="center" vertical="center"/>
    </xf>
    <xf numFmtId="166" fontId="28" fillId="0" borderId="1" xfId="2" applyNumberFormat="1" applyFont="1" applyBorder="1" applyAlignment="1">
      <alignment horizontal="center" vertical="center"/>
    </xf>
    <xf numFmtId="168" fontId="28" fillId="0" borderId="1" xfId="2" applyNumberFormat="1" applyFont="1" applyBorder="1" applyAlignment="1">
      <alignment horizontal="center" vertical="center"/>
    </xf>
    <xf numFmtId="169" fontId="28" fillId="0" borderId="1" xfId="2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165" fontId="29" fillId="0" borderId="1" xfId="0" quotePrefix="1" applyNumberFormat="1" applyFont="1" applyBorder="1" applyAlignment="1">
      <alignment horizontal="center" vertical="center"/>
    </xf>
    <xf numFmtId="168" fontId="30" fillId="0" borderId="1" xfId="2" applyNumberFormat="1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0" fillId="0" borderId="1" xfId="2" applyNumberFormat="1" applyFont="1" applyBorder="1" applyAlignment="1">
      <alignment horizontal="center" vertical="center"/>
    </xf>
    <xf numFmtId="165" fontId="30" fillId="0" borderId="1" xfId="0" applyNumberFormat="1" applyFont="1" applyBorder="1" applyAlignment="1">
      <alignment horizontal="center" vertical="center"/>
    </xf>
    <xf numFmtId="165" fontId="30" fillId="0" borderId="1" xfId="0" quotePrefix="1" applyNumberFormat="1" applyFont="1" applyBorder="1" applyAlignment="1">
      <alignment horizontal="center" vertical="center"/>
    </xf>
    <xf numFmtId="3" fontId="30" fillId="0" borderId="1" xfId="2" applyNumberFormat="1" applyFont="1" applyBorder="1" applyAlignment="1">
      <alignment horizontal="center" vertical="center"/>
    </xf>
    <xf numFmtId="169" fontId="30" fillId="0" borderId="1" xfId="2" applyNumberFormat="1" applyFont="1" applyBorder="1" applyAlignment="1">
      <alignment horizontal="center" vertical="center"/>
    </xf>
    <xf numFmtId="0" fontId="30" fillId="0" borderId="0" xfId="0" quotePrefix="1" applyFont="1" applyAlignment="1">
      <alignment horizontal="center" vertical="center"/>
    </xf>
    <xf numFmtId="9" fontId="30" fillId="0" borderId="1" xfId="2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68" fontId="31" fillId="0" borderId="1" xfId="0" applyNumberFormat="1" applyFont="1" applyBorder="1" applyAlignment="1">
      <alignment vertical="center"/>
    </xf>
    <xf numFmtId="0" fontId="31" fillId="0" borderId="1" xfId="0" quotePrefix="1" applyFont="1" applyBorder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quotePrefix="1" applyFont="1" applyBorder="1" applyAlignment="1">
      <alignment horizontal="center" vertical="center"/>
    </xf>
    <xf numFmtId="0" fontId="31" fillId="0" borderId="1" xfId="16" quotePrefix="1" applyFont="1" applyBorder="1" applyAlignment="1">
      <alignment vertical="center"/>
    </xf>
    <xf numFmtId="0" fontId="31" fillId="0" borderId="1" xfId="0" applyFont="1" applyBorder="1" applyAlignment="1">
      <alignment horizontal="left" vertical="center"/>
    </xf>
    <xf numFmtId="0" fontId="31" fillId="0" borderId="1" xfId="2" applyNumberFormat="1" applyFont="1" applyBorder="1" applyAlignment="1">
      <alignment horizontal="center" vertical="center"/>
    </xf>
    <xf numFmtId="165" fontId="31" fillId="0" borderId="1" xfId="0" applyNumberFormat="1" applyFont="1" applyBorder="1" applyAlignment="1">
      <alignment horizontal="center" vertical="center"/>
    </xf>
    <xf numFmtId="166" fontId="31" fillId="0" borderId="1" xfId="2" applyNumberFormat="1" applyFont="1" applyBorder="1" applyAlignment="1">
      <alignment horizontal="center" vertical="center" wrapText="1"/>
    </xf>
    <xf numFmtId="165" fontId="31" fillId="0" borderId="1" xfId="0" quotePrefix="1" applyNumberFormat="1" applyFont="1" applyBorder="1" applyAlignment="1">
      <alignment horizontal="center" vertical="center"/>
    </xf>
    <xf numFmtId="165" fontId="31" fillId="0" borderId="1" xfId="0" quotePrefix="1" applyNumberFormat="1" applyFont="1" applyBorder="1" applyAlignment="1">
      <alignment horizontal="center" vertical="center" wrapText="1"/>
    </xf>
    <xf numFmtId="3" fontId="31" fillId="0" borderId="1" xfId="2" applyNumberFormat="1" applyFont="1" applyBorder="1" applyAlignment="1">
      <alignment horizontal="center" vertical="center"/>
    </xf>
    <xf numFmtId="9" fontId="31" fillId="0" borderId="1" xfId="2" applyFont="1" applyBorder="1" applyAlignment="1">
      <alignment horizontal="left" vertical="center"/>
    </xf>
    <xf numFmtId="168" fontId="31" fillId="0" borderId="1" xfId="2" applyNumberFormat="1" applyFont="1" applyBorder="1" applyAlignment="1">
      <alignment horizontal="center" vertical="center"/>
    </xf>
    <xf numFmtId="169" fontId="31" fillId="0" borderId="1" xfId="2" applyNumberFormat="1" applyFont="1" applyBorder="1" applyAlignment="1">
      <alignment horizontal="center" vertical="center"/>
    </xf>
    <xf numFmtId="0" fontId="31" fillId="0" borderId="0" xfId="0" quotePrefix="1" applyFont="1" applyAlignment="1">
      <alignment horizontal="center" vertical="center"/>
    </xf>
    <xf numFmtId="165" fontId="31" fillId="0" borderId="1" xfId="0" applyNumberFormat="1" applyFont="1" applyBorder="1" applyAlignment="1">
      <alignment horizontal="center" vertical="center" wrapText="1"/>
    </xf>
    <xf numFmtId="166" fontId="31" fillId="0" borderId="1" xfId="2" applyNumberFormat="1" applyFont="1" applyBorder="1" applyAlignment="1">
      <alignment horizontal="center" vertical="center"/>
    </xf>
    <xf numFmtId="9" fontId="31" fillId="0" borderId="1" xfId="2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14" fontId="32" fillId="0" borderId="1" xfId="0" applyNumberFormat="1" applyFont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165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3" fontId="32" fillId="0" borderId="1" xfId="2" applyNumberFormat="1" applyFont="1" applyBorder="1" applyAlignment="1">
      <alignment horizontal="center" vertical="center"/>
    </xf>
    <xf numFmtId="170" fontId="32" fillId="0" borderId="0" xfId="0" applyNumberFormat="1" applyFont="1" applyAlignment="1">
      <alignment horizontal="center" vertical="center"/>
    </xf>
    <xf numFmtId="169" fontId="32" fillId="0" borderId="1" xfId="2" applyNumberFormat="1" applyFont="1" applyBorder="1" applyAlignment="1">
      <alignment horizontal="center" vertical="center"/>
    </xf>
    <xf numFmtId="14" fontId="32" fillId="0" borderId="1" xfId="2" applyNumberFormat="1" applyFont="1" applyBorder="1" applyAlignment="1">
      <alignment horizontal="center" vertical="center"/>
    </xf>
    <xf numFmtId="0" fontId="32" fillId="0" borderId="0" xfId="0" quotePrefix="1" applyFont="1" applyAlignment="1">
      <alignment horizontal="center" vertical="center"/>
    </xf>
    <xf numFmtId="16" fontId="32" fillId="0" borderId="0" xfId="0" applyNumberFormat="1" applyFont="1" applyAlignment="1">
      <alignment vertical="center"/>
    </xf>
    <xf numFmtId="165" fontId="32" fillId="0" borderId="1" xfId="0" quotePrefix="1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69" fontId="33" fillId="0" borderId="1" xfId="2" applyNumberFormat="1" applyFont="1" applyBorder="1" applyAlignment="1">
      <alignment horizontal="center" vertical="center"/>
    </xf>
    <xf numFmtId="168" fontId="33" fillId="0" borderId="1" xfId="2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1" xfId="0" quotePrefix="1" applyFont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3" fillId="0" borderId="1" xfId="2" applyNumberFormat="1" applyFont="1" applyBorder="1" applyAlignment="1">
      <alignment horizontal="center" vertical="center"/>
    </xf>
    <xf numFmtId="165" fontId="33" fillId="0" borderId="1" xfId="0" applyNumberFormat="1" applyFont="1" applyBorder="1" applyAlignment="1">
      <alignment horizontal="center" vertical="center"/>
    </xf>
    <xf numFmtId="165" fontId="33" fillId="0" borderId="1" xfId="0" quotePrefix="1" applyNumberFormat="1" applyFont="1" applyBorder="1" applyAlignment="1">
      <alignment horizontal="center" vertical="center"/>
    </xf>
    <xf numFmtId="165" fontId="33" fillId="0" borderId="1" xfId="0" applyNumberFormat="1" applyFont="1" applyBorder="1" applyAlignment="1">
      <alignment horizontal="center" vertical="center" wrapText="1"/>
    </xf>
    <xf numFmtId="3" fontId="33" fillId="0" borderId="1" xfId="2" applyNumberFormat="1" applyFont="1" applyBorder="1" applyAlignment="1">
      <alignment horizontal="center" vertical="center"/>
    </xf>
    <xf numFmtId="166" fontId="33" fillId="0" borderId="1" xfId="2" applyNumberFormat="1" applyFont="1" applyBorder="1" applyAlignment="1">
      <alignment horizontal="center" vertical="center"/>
    </xf>
    <xf numFmtId="9" fontId="33" fillId="0" borderId="1" xfId="2" applyFont="1" applyBorder="1" applyAlignment="1">
      <alignment horizontal="center" vertical="center"/>
    </xf>
    <xf numFmtId="165" fontId="3" fillId="0" borderId="1" xfId="0" quotePrefix="1" applyNumberFormat="1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168" fontId="34" fillId="0" borderId="1" xfId="0" applyNumberFormat="1" applyFont="1" applyBorder="1" applyAlignment="1">
      <alignment vertical="center"/>
    </xf>
    <xf numFmtId="0" fontId="34" fillId="0" borderId="1" xfId="0" quotePrefix="1" applyFont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quotePrefix="1" applyFont="1" applyBorder="1" applyAlignment="1">
      <alignment horizontal="center" vertical="center"/>
    </xf>
    <xf numFmtId="0" fontId="34" fillId="0" borderId="1" xfId="16" quotePrefix="1" applyFont="1" applyBorder="1" applyAlignment="1">
      <alignment vertical="center"/>
    </xf>
    <xf numFmtId="0" fontId="34" fillId="0" borderId="1" xfId="0" applyFont="1" applyBorder="1" applyAlignment="1">
      <alignment horizontal="left" vertical="center"/>
    </xf>
    <xf numFmtId="0" fontId="34" fillId="0" borderId="1" xfId="2" applyNumberFormat="1" applyFont="1" applyBorder="1" applyAlignment="1">
      <alignment horizontal="center" vertical="center"/>
    </xf>
    <xf numFmtId="165" fontId="34" fillId="0" borderId="1" xfId="0" applyNumberFormat="1" applyFont="1" applyBorder="1" applyAlignment="1">
      <alignment horizontal="center" vertical="center"/>
    </xf>
    <xf numFmtId="166" fontId="34" fillId="0" borderId="1" xfId="2" applyNumberFormat="1" applyFont="1" applyBorder="1" applyAlignment="1">
      <alignment horizontal="center" vertical="center" wrapText="1"/>
    </xf>
    <xf numFmtId="165" fontId="34" fillId="0" borderId="1" xfId="0" quotePrefix="1" applyNumberFormat="1" applyFont="1" applyBorder="1" applyAlignment="1">
      <alignment horizontal="center" vertical="center"/>
    </xf>
    <xf numFmtId="3" fontId="34" fillId="0" borderId="1" xfId="2" applyNumberFormat="1" applyFont="1" applyBorder="1" applyAlignment="1">
      <alignment horizontal="center" vertical="center"/>
    </xf>
    <xf numFmtId="9" fontId="34" fillId="0" borderId="1" xfId="2" applyFont="1" applyBorder="1" applyAlignment="1">
      <alignment horizontal="left" vertical="center"/>
    </xf>
    <xf numFmtId="168" fontId="34" fillId="0" borderId="1" xfId="2" applyNumberFormat="1" applyFont="1" applyBorder="1" applyAlignment="1">
      <alignment horizontal="center" vertical="center"/>
    </xf>
    <xf numFmtId="169" fontId="34" fillId="0" borderId="1" xfId="2" applyNumberFormat="1" applyFont="1" applyBorder="1" applyAlignment="1">
      <alignment horizontal="center" vertical="center"/>
    </xf>
    <xf numFmtId="168" fontId="35" fillId="0" borderId="1" xfId="2" applyNumberFormat="1" applyFont="1" applyBorder="1" applyAlignment="1">
      <alignment horizontal="center" vertical="center"/>
    </xf>
    <xf numFmtId="0" fontId="34" fillId="0" borderId="0" xfId="0" quotePrefix="1" applyFont="1" applyAlignment="1">
      <alignment horizontal="center" vertical="center"/>
    </xf>
    <xf numFmtId="9" fontId="3" fillId="0" borderId="1" xfId="2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vertical="center"/>
    </xf>
    <xf numFmtId="165" fontId="34" fillId="0" borderId="1" xfId="0" quotePrefix="1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vertical="center"/>
    </xf>
    <xf numFmtId="0" fontId="36" fillId="0" borderId="1" xfId="0" quotePrefix="1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6" fillId="0" borderId="0" xfId="0" applyFont="1" applyAlignment="1">
      <alignment vertical="center"/>
    </xf>
    <xf numFmtId="0" fontId="36" fillId="0" borderId="1" xfId="2" applyNumberFormat="1" applyFont="1" applyBorder="1" applyAlignment="1">
      <alignment horizontal="center" vertical="center"/>
    </xf>
    <xf numFmtId="165" fontId="36" fillId="0" borderId="1" xfId="0" applyNumberFormat="1" applyFont="1" applyBorder="1" applyAlignment="1">
      <alignment horizontal="center" vertical="center"/>
    </xf>
    <xf numFmtId="165" fontId="36" fillId="0" borderId="1" xfId="0" quotePrefix="1" applyNumberFormat="1" applyFont="1" applyBorder="1" applyAlignment="1">
      <alignment horizontal="center" vertical="center"/>
    </xf>
    <xf numFmtId="9" fontId="36" fillId="0" borderId="1" xfId="2" applyFont="1" applyBorder="1" applyAlignment="1">
      <alignment horizontal="center" vertical="center" wrapText="1"/>
    </xf>
    <xf numFmtId="0" fontId="36" fillId="0" borderId="1" xfId="0" quotePrefix="1" applyFont="1" applyBorder="1" applyAlignment="1">
      <alignment vertical="center"/>
    </xf>
    <xf numFmtId="168" fontId="36" fillId="0" borderId="1" xfId="0" applyNumberFormat="1" applyFont="1" applyBorder="1" applyAlignment="1">
      <alignment vertical="center"/>
    </xf>
    <xf numFmtId="0" fontId="36" fillId="0" borderId="1" xfId="16" quotePrefix="1" applyFont="1" applyBorder="1" applyAlignment="1">
      <alignment vertical="center"/>
    </xf>
    <xf numFmtId="169" fontId="36" fillId="0" borderId="1" xfId="2" applyNumberFormat="1" applyFont="1" applyBorder="1" applyAlignment="1">
      <alignment horizontal="center" vertical="center"/>
    </xf>
    <xf numFmtId="3" fontId="36" fillId="0" borderId="1" xfId="2" applyNumberFormat="1" applyFont="1" applyBorder="1" applyAlignment="1">
      <alignment horizontal="center" vertical="center"/>
    </xf>
    <xf numFmtId="168" fontId="36" fillId="0" borderId="1" xfId="2" applyNumberFormat="1" applyFont="1" applyBorder="1" applyAlignment="1">
      <alignment horizontal="center" vertical="center"/>
    </xf>
    <xf numFmtId="9" fontId="36" fillId="0" borderId="1" xfId="2" applyFont="1" applyBorder="1" applyAlignment="1">
      <alignment horizontal="center" vertical="center"/>
    </xf>
    <xf numFmtId="0" fontId="36" fillId="0" borderId="1" xfId="16" quotePrefix="1" applyFont="1" applyBorder="1" applyAlignment="1">
      <alignment horizontal="center" vertical="center"/>
    </xf>
    <xf numFmtId="0" fontId="3" fillId="0" borderId="1" xfId="16" quotePrefix="1" applyFont="1" applyBorder="1" applyAlignment="1">
      <alignment horizontal="center" vertical="center"/>
    </xf>
    <xf numFmtId="0" fontId="30" fillId="0" borderId="1" xfId="16" quotePrefix="1" applyFont="1" applyBorder="1" applyAlignment="1">
      <alignment horizontal="center" vertical="center"/>
    </xf>
    <xf numFmtId="0" fontId="31" fillId="0" borderId="1" xfId="16" quotePrefix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0" fontId="10" fillId="12" borderId="0" xfId="0" applyFont="1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left"/>
    </xf>
    <xf numFmtId="0" fontId="14" fillId="0" borderId="0" xfId="0" applyFont="1"/>
    <xf numFmtId="0" fontId="37" fillId="0" borderId="0" xfId="0" applyFont="1" applyAlignment="1">
      <alignment vertical="center"/>
    </xf>
    <xf numFmtId="0" fontId="37" fillId="0" borderId="1" xfId="0" applyFont="1" applyBorder="1" applyAlignment="1">
      <alignment vertical="center"/>
    </xf>
    <xf numFmtId="0" fontId="37" fillId="0" borderId="1" xfId="0" quotePrefix="1" applyFont="1" applyBorder="1" applyAlignment="1">
      <alignment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quotePrefix="1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37" fillId="0" borderId="1" xfId="2" applyNumberFormat="1" applyFont="1" applyBorder="1" applyAlignment="1">
      <alignment horizontal="center" vertical="center"/>
    </xf>
    <xf numFmtId="165" fontId="37" fillId="0" borderId="1" xfId="0" applyNumberFormat="1" applyFont="1" applyBorder="1" applyAlignment="1">
      <alignment horizontal="center" vertical="center"/>
    </xf>
    <xf numFmtId="165" fontId="37" fillId="0" borderId="1" xfId="0" quotePrefix="1" applyNumberFormat="1" applyFont="1" applyBorder="1" applyAlignment="1">
      <alignment horizontal="center" vertical="center"/>
    </xf>
    <xf numFmtId="165" fontId="37" fillId="0" borderId="1" xfId="0" applyNumberFormat="1" applyFont="1" applyBorder="1" applyAlignment="1">
      <alignment horizontal="center" vertical="center" wrapText="1"/>
    </xf>
    <xf numFmtId="3" fontId="37" fillId="0" borderId="1" xfId="2" applyNumberFormat="1" applyFont="1" applyBorder="1" applyAlignment="1">
      <alignment horizontal="center" vertical="center"/>
    </xf>
    <xf numFmtId="166" fontId="37" fillId="0" borderId="1" xfId="2" applyNumberFormat="1" applyFont="1" applyBorder="1" applyAlignment="1">
      <alignment horizontal="center" vertical="center"/>
    </xf>
    <xf numFmtId="168" fontId="37" fillId="0" borderId="1" xfId="2" applyNumberFormat="1" applyFont="1" applyBorder="1" applyAlignment="1">
      <alignment horizontal="center" vertical="center"/>
    </xf>
    <xf numFmtId="169" fontId="37" fillId="0" borderId="1" xfId="2" applyNumberFormat="1" applyFont="1" applyBorder="1" applyAlignment="1">
      <alignment horizontal="center" vertical="center"/>
    </xf>
    <xf numFmtId="9" fontId="37" fillId="0" borderId="1" xfId="2" applyFont="1" applyBorder="1" applyAlignment="1">
      <alignment horizontal="center" vertical="center"/>
    </xf>
    <xf numFmtId="0" fontId="37" fillId="0" borderId="1" xfId="16" quotePrefix="1" applyFont="1" applyBorder="1" applyAlignment="1">
      <alignment horizontal="center" vertical="center"/>
    </xf>
    <xf numFmtId="0" fontId="33" fillId="0" borderId="1" xfId="16" quotePrefix="1" applyFont="1" applyBorder="1" applyAlignment="1">
      <alignment horizontal="center" vertical="center"/>
    </xf>
    <xf numFmtId="0" fontId="30" fillId="0" borderId="1" xfId="0" quotePrefix="1" applyFont="1" applyBorder="1" applyAlignment="1">
      <alignment horizontal="left" vertical="center"/>
    </xf>
    <xf numFmtId="0" fontId="30" fillId="0" borderId="1" xfId="0" quotePrefix="1" applyFont="1" applyBorder="1" applyAlignment="1">
      <alignment horizontal="center" vertical="center"/>
    </xf>
    <xf numFmtId="165" fontId="38" fillId="0" borderId="1" xfId="0" quotePrefix="1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vertical="center"/>
    </xf>
    <xf numFmtId="165" fontId="39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3" fontId="39" fillId="0" borderId="1" xfId="2" applyNumberFormat="1" applyFont="1" applyBorder="1" applyAlignment="1">
      <alignment horizontal="center" vertical="center"/>
    </xf>
    <xf numFmtId="170" fontId="39" fillId="0" borderId="0" xfId="0" applyNumberFormat="1" applyFont="1" applyAlignment="1">
      <alignment horizontal="center" vertical="center"/>
    </xf>
    <xf numFmtId="169" fontId="39" fillId="0" borderId="1" xfId="2" applyNumberFormat="1" applyFont="1" applyBorder="1" applyAlignment="1">
      <alignment horizontal="center" vertical="center"/>
    </xf>
    <xf numFmtId="14" fontId="39" fillId="0" borderId="1" xfId="2" applyNumberFormat="1" applyFont="1" applyBorder="1" applyAlignment="1">
      <alignment horizontal="center" vertical="center"/>
    </xf>
    <xf numFmtId="0" fontId="39" fillId="0" borderId="0" xfId="0" quotePrefix="1" applyFont="1" applyAlignment="1">
      <alignment horizontal="center" vertical="center"/>
    </xf>
    <xf numFmtId="16" fontId="39" fillId="0" borderId="0" xfId="0" applyNumberFormat="1" applyFont="1" applyAlignment="1">
      <alignment vertical="center"/>
    </xf>
    <xf numFmtId="165" fontId="39" fillId="0" borderId="1" xfId="0" quotePrefix="1" applyNumberFormat="1" applyFont="1" applyBorder="1" applyAlignment="1">
      <alignment horizontal="center" vertical="center"/>
    </xf>
    <xf numFmtId="172" fontId="40" fillId="0" borderId="0" xfId="0" applyNumberFormat="1" applyFont="1" applyAlignment="1">
      <alignment vertical="center"/>
    </xf>
    <xf numFmtId="172" fontId="41" fillId="11" borderId="0" xfId="0" applyNumberFormat="1" applyFont="1" applyFill="1" applyAlignment="1">
      <alignment vertical="center"/>
    </xf>
    <xf numFmtId="172" fontId="42" fillId="0" borderId="0" xfId="0" applyNumberFormat="1" applyFont="1" applyAlignment="1">
      <alignment horizontal="center" vertical="center"/>
    </xf>
    <xf numFmtId="172" fontId="41" fillId="0" borderId="0" xfId="0" applyNumberFormat="1" applyFont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172" fontId="41" fillId="0" borderId="0" xfId="0" applyNumberFormat="1" applyFont="1" applyAlignment="1">
      <alignment vertical="center"/>
    </xf>
    <xf numFmtId="0" fontId="40" fillId="0" borderId="0" xfId="0" applyFont="1" applyAlignment="1">
      <alignment vertical="center" wrapText="1"/>
    </xf>
    <xf numFmtId="0" fontId="42" fillId="0" borderId="2" xfId="0" applyFont="1" applyBorder="1" applyAlignment="1">
      <alignment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5" fontId="41" fillId="0" borderId="2" xfId="0" applyNumberFormat="1" applyFont="1" applyBorder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167" fontId="41" fillId="0" borderId="2" xfId="0" applyNumberFormat="1" applyFont="1" applyBorder="1" applyAlignment="1">
      <alignment horizontal="center" vertical="center" wrapText="1"/>
    </xf>
    <xf numFmtId="16" fontId="43" fillId="0" borderId="2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41" fillId="11" borderId="0" xfId="0" applyFont="1" applyFill="1" applyAlignment="1">
      <alignment vertical="center"/>
    </xf>
    <xf numFmtId="0" fontId="42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167" fontId="41" fillId="0" borderId="0" xfId="0" applyNumberFormat="1" applyFont="1" applyAlignment="1">
      <alignment horizontal="center" vertical="center"/>
    </xf>
    <xf numFmtId="0" fontId="42" fillId="0" borderId="1" xfId="0" quotePrefix="1" applyFont="1" applyBorder="1" applyAlignment="1">
      <alignment vertical="center"/>
    </xf>
    <xf numFmtId="0" fontId="41" fillId="0" borderId="1" xfId="0" applyFont="1" applyBorder="1" applyAlignment="1">
      <alignment horizontal="center" vertical="center"/>
    </xf>
    <xf numFmtId="173" fontId="41" fillId="0" borderId="1" xfId="0" applyNumberFormat="1" applyFont="1" applyBorder="1" applyAlignment="1">
      <alignment horizontal="center" vertical="center"/>
    </xf>
    <xf numFmtId="165" fontId="41" fillId="0" borderId="1" xfId="0" quotePrefix="1" applyNumberFormat="1" applyFont="1" applyBorder="1" applyAlignment="1">
      <alignment horizontal="center" vertical="center"/>
    </xf>
    <xf numFmtId="165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174" fontId="41" fillId="0" borderId="1" xfId="1" applyNumberFormat="1" applyFont="1" applyFill="1" applyBorder="1" applyAlignment="1">
      <alignment horizontal="center" vertical="center"/>
    </xf>
    <xf numFmtId="3" fontId="41" fillId="0" borderId="1" xfId="2" applyNumberFormat="1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165" fontId="41" fillId="0" borderId="1" xfId="0" quotePrefix="1" applyNumberFormat="1" applyFont="1" applyBorder="1" applyAlignment="1">
      <alignment horizontal="center" vertical="center" wrapText="1"/>
    </xf>
    <xf numFmtId="0" fontId="41" fillId="0" borderId="9" xfId="0" quotePrefix="1" applyFont="1" applyBorder="1" applyAlignment="1">
      <alignment horizontal="center" vertical="center"/>
    </xf>
    <xf numFmtId="0" fontId="41" fillId="0" borderId="10" xfId="0" quotePrefix="1" applyFont="1" applyBorder="1" applyAlignment="1">
      <alignment horizontal="center" vertical="center"/>
    </xf>
    <xf numFmtId="0" fontId="41" fillId="0" borderId="11" xfId="0" quotePrefix="1" applyFont="1" applyBorder="1" applyAlignment="1">
      <alignment horizontal="center" vertical="center"/>
    </xf>
    <xf numFmtId="0" fontId="28" fillId="0" borderId="1" xfId="0" quotePrefix="1" applyFont="1" applyBorder="1" applyAlignment="1">
      <alignment horizontal="left" vertical="center"/>
    </xf>
    <xf numFmtId="0" fontId="44" fillId="0" borderId="0" xfId="0" applyFont="1" applyAlignment="1">
      <alignment vertical="center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165" fontId="44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/>
    </xf>
    <xf numFmtId="3" fontId="44" fillId="0" borderId="1" xfId="2" applyNumberFormat="1" applyFont="1" applyBorder="1" applyAlignment="1">
      <alignment horizontal="center" vertical="center"/>
    </xf>
    <xf numFmtId="170" fontId="44" fillId="0" borderId="0" xfId="0" applyNumberFormat="1" applyFont="1" applyAlignment="1">
      <alignment horizontal="center" vertical="center"/>
    </xf>
    <xf numFmtId="169" fontId="44" fillId="0" borderId="1" xfId="2" applyNumberFormat="1" applyFont="1" applyBorder="1" applyAlignment="1">
      <alignment horizontal="center" vertical="center"/>
    </xf>
    <xf numFmtId="14" fontId="44" fillId="0" borderId="1" xfId="2" applyNumberFormat="1" applyFont="1" applyBorder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16" fontId="44" fillId="0" borderId="0" xfId="0" applyNumberFormat="1" applyFont="1" applyAlignment="1">
      <alignment vertical="center"/>
    </xf>
    <xf numFmtId="165" fontId="44" fillId="0" borderId="1" xfId="0" quotePrefix="1" applyNumberFormat="1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5" fillId="0" borderId="1" xfId="0" applyFont="1" applyBorder="1" applyAlignment="1">
      <alignment vertical="center"/>
    </xf>
    <xf numFmtId="0" fontId="45" fillId="0" borderId="1" xfId="0" applyFont="1" applyBorder="1" applyAlignment="1">
      <alignment horizontal="center" vertical="center"/>
    </xf>
    <xf numFmtId="0" fontId="45" fillId="0" borderId="1" xfId="0" quotePrefix="1" applyFont="1" applyBorder="1" applyAlignment="1">
      <alignment horizontal="center" vertical="center"/>
    </xf>
    <xf numFmtId="0" fontId="45" fillId="0" borderId="1" xfId="16" quotePrefix="1" applyFont="1" applyBorder="1" applyAlignment="1">
      <alignment horizontal="center" vertical="center"/>
    </xf>
    <xf numFmtId="0" fontId="45" fillId="0" borderId="1" xfId="0" applyFont="1" applyBorder="1" applyAlignment="1">
      <alignment horizontal="left" vertical="center"/>
    </xf>
    <xf numFmtId="0" fontId="45" fillId="0" borderId="1" xfId="2" applyNumberFormat="1" applyFont="1" applyBorder="1" applyAlignment="1">
      <alignment horizontal="center" vertical="center"/>
    </xf>
    <xf numFmtId="165" fontId="45" fillId="0" borderId="1" xfId="0" applyNumberFormat="1" applyFont="1" applyBorder="1" applyAlignment="1">
      <alignment horizontal="center" vertical="center"/>
    </xf>
    <xf numFmtId="165" fontId="45" fillId="0" borderId="1" xfId="0" quotePrefix="1" applyNumberFormat="1" applyFont="1" applyBorder="1" applyAlignment="1">
      <alignment horizontal="center" vertical="center"/>
    </xf>
    <xf numFmtId="0" fontId="45" fillId="0" borderId="1" xfId="0" quotePrefix="1" applyFont="1" applyBorder="1" applyAlignment="1">
      <alignment horizontal="left" vertical="center"/>
    </xf>
    <xf numFmtId="3" fontId="45" fillId="0" borderId="1" xfId="2" applyNumberFormat="1" applyFont="1" applyBorder="1" applyAlignment="1">
      <alignment horizontal="center" vertical="center"/>
    </xf>
    <xf numFmtId="166" fontId="45" fillId="0" borderId="1" xfId="2" applyNumberFormat="1" applyFont="1" applyBorder="1" applyAlignment="1">
      <alignment horizontal="center" vertical="center"/>
    </xf>
    <xf numFmtId="168" fontId="45" fillId="0" borderId="1" xfId="2" applyNumberFormat="1" applyFont="1" applyBorder="1" applyAlignment="1">
      <alignment horizontal="center" vertical="center"/>
    </xf>
    <xf numFmtId="169" fontId="45" fillId="0" borderId="1" xfId="2" applyNumberFormat="1" applyFont="1" applyBorder="1" applyAlignment="1">
      <alignment horizontal="center" vertical="center"/>
    </xf>
    <xf numFmtId="9" fontId="45" fillId="0" borderId="1" xfId="2" applyFont="1" applyBorder="1" applyAlignment="1">
      <alignment horizontal="center" vertical="center"/>
    </xf>
    <xf numFmtId="168" fontId="41" fillId="0" borderId="1" xfId="2" applyNumberFormat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14" fontId="46" fillId="0" borderId="1" xfId="0" applyNumberFormat="1" applyFont="1" applyBorder="1" applyAlignment="1">
      <alignment vertic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vertical="center"/>
    </xf>
    <xf numFmtId="165" fontId="46" fillId="0" borderId="1" xfId="0" quotePrefix="1" applyNumberFormat="1" applyFont="1" applyBorder="1" applyAlignment="1">
      <alignment horizontal="center" vertical="center"/>
    </xf>
    <xf numFmtId="165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3" fontId="46" fillId="0" borderId="1" xfId="2" applyNumberFormat="1" applyFont="1" applyBorder="1" applyAlignment="1">
      <alignment horizontal="center" vertical="center"/>
    </xf>
    <xf numFmtId="170" fontId="46" fillId="0" borderId="0" xfId="0" applyNumberFormat="1" applyFont="1" applyAlignment="1">
      <alignment horizontal="center" vertical="center"/>
    </xf>
    <xf numFmtId="169" fontId="46" fillId="0" borderId="1" xfId="2" applyNumberFormat="1" applyFont="1" applyBorder="1" applyAlignment="1">
      <alignment horizontal="center" vertical="center"/>
    </xf>
    <xf numFmtId="14" fontId="46" fillId="0" borderId="1" xfId="2" applyNumberFormat="1" applyFont="1" applyBorder="1" applyAlignment="1">
      <alignment horizontal="center" vertical="center"/>
    </xf>
    <xf numFmtId="0" fontId="46" fillId="0" borderId="0" xfId="0" quotePrefix="1" applyFont="1" applyAlignment="1">
      <alignment horizontal="center" vertical="center"/>
    </xf>
    <xf numFmtId="16" fontId="46" fillId="0" borderId="0" xfId="0" applyNumberFormat="1" applyFont="1" applyAlignment="1">
      <alignment vertical="center"/>
    </xf>
    <xf numFmtId="0" fontId="47" fillId="0" borderId="0" xfId="0" applyFont="1" applyAlignment="1">
      <alignment vertical="center"/>
    </xf>
    <xf numFmtId="0" fontId="48" fillId="0" borderId="1" xfId="0" quotePrefix="1" applyFont="1" applyBorder="1" applyAlignment="1">
      <alignment vertical="center"/>
    </xf>
    <xf numFmtId="0" fontId="49" fillId="0" borderId="1" xfId="0" applyFont="1" applyBorder="1" applyAlignment="1">
      <alignment horizontal="center" vertical="center"/>
    </xf>
    <xf numFmtId="173" fontId="49" fillId="0" borderId="1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165" fontId="49" fillId="0" borderId="1" xfId="0" quotePrefix="1" applyNumberFormat="1" applyFont="1" applyBorder="1" applyAlignment="1">
      <alignment horizontal="center" vertical="center"/>
    </xf>
    <xf numFmtId="165" fontId="49" fillId="0" borderId="1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left" vertical="center"/>
    </xf>
    <xf numFmtId="0" fontId="49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168" fontId="51" fillId="0" borderId="1" xfId="0" applyNumberFormat="1" applyFont="1" applyBorder="1" applyAlignment="1">
      <alignment vertical="center"/>
    </xf>
    <xf numFmtId="0" fontId="51" fillId="0" borderId="1" xfId="0" quotePrefix="1" applyFont="1" applyBorder="1" applyAlignment="1">
      <alignment vertical="center"/>
    </xf>
    <xf numFmtId="0" fontId="51" fillId="0" borderId="1" xfId="0" applyFont="1" applyBorder="1" applyAlignment="1">
      <alignment horizontal="center" vertical="center"/>
    </xf>
    <xf numFmtId="0" fontId="51" fillId="0" borderId="1" xfId="0" quotePrefix="1" applyFont="1" applyBorder="1" applyAlignment="1">
      <alignment horizontal="center" vertical="center"/>
    </xf>
    <xf numFmtId="0" fontId="51" fillId="0" borderId="1" xfId="0" applyFont="1" applyBorder="1" applyAlignment="1">
      <alignment horizontal="left" vertical="center"/>
    </xf>
    <xf numFmtId="0" fontId="51" fillId="0" borderId="1" xfId="2" applyNumberFormat="1" applyFont="1" applyBorder="1" applyAlignment="1">
      <alignment horizontal="center" vertical="center"/>
    </xf>
    <xf numFmtId="165" fontId="51" fillId="0" borderId="1" xfId="0" applyNumberFormat="1" applyFont="1" applyBorder="1" applyAlignment="1">
      <alignment horizontal="center" vertical="center"/>
    </xf>
    <xf numFmtId="9" fontId="51" fillId="0" borderId="1" xfId="2" applyFont="1" applyBorder="1" applyAlignment="1">
      <alignment horizontal="center" vertical="center" wrapText="1"/>
    </xf>
    <xf numFmtId="165" fontId="51" fillId="0" borderId="1" xfId="0" quotePrefix="1" applyNumberFormat="1" applyFont="1" applyBorder="1" applyAlignment="1">
      <alignment horizontal="center" vertical="center"/>
    </xf>
    <xf numFmtId="3" fontId="51" fillId="0" borderId="1" xfId="2" applyNumberFormat="1" applyFont="1" applyBorder="1" applyAlignment="1">
      <alignment horizontal="center" vertical="center"/>
    </xf>
    <xf numFmtId="9" fontId="51" fillId="0" borderId="1" xfId="2" applyFont="1" applyBorder="1" applyAlignment="1">
      <alignment horizontal="left" vertical="center"/>
    </xf>
    <xf numFmtId="168" fontId="51" fillId="0" borderId="1" xfId="2" applyNumberFormat="1" applyFont="1" applyBorder="1" applyAlignment="1">
      <alignment horizontal="center" vertical="center"/>
    </xf>
    <xf numFmtId="169" fontId="51" fillId="0" borderId="1" xfId="2" applyNumberFormat="1" applyFont="1" applyBorder="1" applyAlignment="1">
      <alignment horizontal="center" vertical="center"/>
    </xf>
    <xf numFmtId="168" fontId="52" fillId="0" borderId="1" xfId="2" applyNumberFormat="1" applyFont="1" applyBorder="1" applyAlignment="1">
      <alignment horizontal="center" vertical="center"/>
    </xf>
    <xf numFmtId="0" fontId="51" fillId="0" borderId="0" xfId="0" quotePrefix="1" applyFont="1" applyAlignment="1">
      <alignment horizontal="center" vertical="center"/>
    </xf>
    <xf numFmtId="0" fontId="51" fillId="0" borderId="1" xfId="0" applyFont="1" applyBorder="1" applyAlignment="1">
      <alignment vertical="center"/>
    </xf>
    <xf numFmtId="0" fontId="51" fillId="0" borderId="1" xfId="16" quotePrefix="1" applyFont="1" applyBorder="1" applyAlignment="1">
      <alignment horizontal="center" vertical="center"/>
    </xf>
    <xf numFmtId="0" fontId="51" fillId="0" borderId="1" xfId="0" quotePrefix="1" applyFont="1" applyBorder="1" applyAlignment="1">
      <alignment horizontal="left" vertical="center"/>
    </xf>
    <xf numFmtId="166" fontId="51" fillId="0" borderId="1" xfId="2" applyNumberFormat="1" applyFont="1" applyBorder="1" applyAlignment="1">
      <alignment horizontal="center" vertical="center"/>
    </xf>
    <xf numFmtId="9" fontId="51" fillId="0" borderId="1" xfId="2" applyFont="1" applyBorder="1" applyAlignment="1">
      <alignment horizontal="center" vertical="center"/>
    </xf>
    <xf numFmtId="168" fontId="49" fillId="0" borderId="1" xfId="2" applyNumberFormat="1" applyFont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14" fontId="53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vertical="center"/>
    </xf>
    <xf numFmtId="165" fontId="53" fillId="0" borderId="1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left" vertical="center"/>
    </xf>
    <xf numFmtId="3" fontId="53" fillId="0" borderId="1" xfId="2" applyNumberFormat="1" applyFont="1" applyBorder="1" applyAlignment="1">
      <alignment horizontal="center" vertical="center"/>
    </xf>
    <xf numFmtId="170" fontId="53" fillId="0" borderId="0" xfId="0" applyNumberFormat="1" applyFont="1" applyAlignment="1">
      <alignment horizontal="center" vertical="center"/>
    </xf>
    <xf numFmtId="169" fontId="53" fillId="0" borderId="1" xfId="2" applyNumberFormat="1" applyFont="1" applyBorder="1" applyAlignment="1">
      <alignment horizontal="center" vertical="center"/>
    </xf>
    <xf numFmtId="14" fontId="53" fillId="0" borderId="1" xfId="2" applyNumberFormat="1" applyFont="1" applyBorder="1" applyAlignment="1">
      <alignment horizontal="center" vertical="center"/>
    </xf>
    <xf numFmtId="0" fontId="53" fillId="0" borderId="0" xfId="0" quotePrefix="1" applyFont="1" applyAlignment="1">
      <alignment horizontal="center" vertical="center"/>
    </xf>
    <xf numFmtId="165" fontId="53" fillId="0" borderId="1" xfId="0" quotePrefix="1" applyNumberFormat="1" applyFont="1" applyBorder="1" applyAlignment="1">
      <alignment horizontal="center" vertical="center"/>
    </xf>
    <xf numFmtId="165" fontId="54" fillId="0" borderId="1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/>
    </xf>
    <xf numFmtId="0" fontId="55" fillId="0" borderId="0" xfId="0" applyFont="1" applyAlignment="1">
      <alignment vertical="center"/>
    </xf>
    <xf numFmtId="0" fontId="55" fillId="0" borderId="1" xfId="0" applyFont="1" applyBorder="1" applyAlignment="1">
      <alignment horizontal="center" vertical="center"/>
    </xf>
    <xf numFmtId="0" fontId="55" fillId="0" borderId="1" xfId="16" quotePrefix="1" applyFont="1" applyBorder="1" applyAlignment="1">
      <alignment horizontal="center" vertical="center"/>
    </xf>
    <xf numFmtId="0" fontId="55" fillId="0" borderId="1" xfId="0" applyFont="1" applyBorder="1" applyAlignment="1">
      <alignment horizontal="left" vertical="center"/>
    </xf>
    <xf numFmtId="0" fontId="55" fillId="0" borderId="1" xfId="2" applyNumberFormat="1" applyFont="1" applyBorder="1" applyAlignment="1">
      <alignment horizontal="center" vertical="center"/>
    </xf>
    <xf numFmtId="165" fontId="55" fillId="0" borderId="1" xfId="0" applyNumberFormat="1" applyFont="1" applyBorder="1" applyAlignment="1">
      <alignment horizontal="center" vertical="center"/>
    </xf>
    <xf numFmtId="165" fontId="55" fillId="0" borderId="1" xfId="0" quotePrefix="1" applyNumberFormat="1" applyFont="1" applyBorder="1" applyAlignment="1">
      <alignment horizontal="center" vertical="center"/>
    </xf>
    <xf numFmtId="0" fontId="55" fillId="0" borderId="1" xfId="0" quotePrefix="1" applyFont="1" applyBorder="1" applyAlignment="1">
      <alignment horizontal="left" vertical="center"/>
    </xf>
    <xf numFmtId="3" fontId="55" fillId="0" borderId="1" xfId="2" applyNumberFormat="1" applyFont="1" applyBorder="1" applyAlignment="1">
      <alignment horizontal="center" vertical="center"/>
    </xf>
    <xf numFmtId="166" fontId="55" fillId="0" borderId="1" xfId="2" applyNumberFormat="1" applyFont="1" applyBorder="1" applyAlignment="1">
      <alignment horizontal="center" vertical="center"/>
    </xf>
    <xf numFmtId="168" fontId="55" fillId="0" borderId="1" xfId="2" applyNumberFormat="1" applyFont="1" applyBorder="1" applyAlignment="1">
      <alignment horizontal="center" vertical="center"/>
    </xf>
    <xf numFmtId="169" fontId="55" fillId="0" borderId="1" xfId="2" applyNumberFormat="1" applyFont="1" applyBorder="1" applyAlignment="1">
      <alignment horizontal="center" vertical="center"/>
    </xf>
    <xf numFmtId="9" fontId="55" fillId="0" borderId="1" xfId="2" applyFont="1" applyBorder="1" applyAlignment="1">
      <alignment horizontal="center" vertical="center"/>
    </xf>
    <xf numFmtId="0" fontId="56" fillId="0" borderId="0" xfId="0" applyFont="1" applyAlignment="1">
      <alignment vertical="center"/>
    </xf>
    <xf numFmtId="168" fontId="37" fillId="0" borderId="0" xfId="2" applyNumberFormat="1" applyFont="1" applyBorder="1" applyAlignment="1">
      <alignment horizontal="center" vertical="center"/>
    </xf>
    <xf numFmtId="169" fontId="57" fillId="0" borderId="1" xfId="2" applyNumberFormat="1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14" fontId="58" fillId="0" borderId="1" xfId="0" applyNumberFormat="1" applyFont="1" applyBorder="1" applyAlignment="1">
      <alignment vertical="center"/>
    </xf>
    <xf numFmtId="0" fontId="58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vertical="center"/>
    </xf>
    <xf numFmtId="165" fontId="58" fillId="0" borderId="1" xfId="0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left" vertical="center"/>
    </xf>
    <xf numFmtId="3" fontId="58" fillId="0" borderId="1" xfId="2" applyNumberFormat="1" applyFont="1" applyBorder="1" applyAlignment="1">
      <alignment horizontal="center" vertical="center"/>
    </xf>
    <xf numFmtId="170" fontId="58" fillId="0" borderId="0" xfId="0" applyNumberFormat="1" applyFont="1" applyAlignment="1">
      <alignment horizontal="center" vertical="center"/>
    </xf>
    <xf numFmtId="169" fontId="58" fillId="0" borderId="1" xfId="2" applyNumberFormat="1" applyFont="1" applyBorder="1" applyAlignment="1">
      <alignment horizontal="center" vertical="center"/>
    </xf>
    <xf numFmtId="14" fontId="58" fillId="0" borderId="1" xfId="2" applyNumberFormat="1" applyFont="1" applyBorder="1" applyAlignment="1">
      <alignment horizontal="center" vertical="center"/>
    </xf>
    <xf numFmtId="0" fontId="58" fillId="0" borderId="0" xfId="0" quotePrefix="1" applyFont="1" applyAlignment="1">
      <alignment horizontal="center" vertical="center"/>
    </xf>
    <xf numFmtId="16" fontId="58" fillId="0" borderId="0" xfId="0" applyNumberFormat="1" applyFont="1" applyAlignment="1">
      <alignment vertical="center"/>
    </xf>
    <xf numFmtId="165" fontId="58" fillId="0" borderId="1" xfId="0" quotePrefix="1" applyNumberFormat="1" applyFont="1" applyBorder="1" applyAlignment="1">
      <alignment horizontal="center" vertical="center"/>
    </xf>
    <xf numFmtId="0" fontId="57" fillId="0" borderId="0" xfId="0" applyFont="1" applyAlignment="1">
      <alignment vertical="center"/>
    </xf>
    <xf numFmtId="168" fontId="57" fillId="0" borderId="1" xfId="0" applyNumberFormat="1" applyFont="1" applyBorder="1" applyAlignment="1">
      <alignment vertical="center"/>
    </xf>
    <xf numFmtId="0" fontId="57" fillId="0" borderId="1" xfId="0" applyFont="1" applyBorder="1" applyAlignment="1">
      <alignment vertical="center"/>
    </xf>
    <xf numFmtId="0" fontId="57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57" fillId="0" borderId="1" xfId="2" applyNumberFormat="1" applyFont="1" applyBorder="1" applyAlignment="1">
      <alignment horizontal="center" vertical="center"/>
    </xf>
    <xf numFmtId="165" fontId="57" fillId="0" borderId="1" xfId="0" applyNumberFormat="1" applyFont="1" applyBorder="1" applyAlignment="1">
      <alignment horizontal="center" vertical="center"/>
    </xf>
    <xf numFmtId="9" fontId="57" fillId="0" borderId="1" xfId="2" applyFont="1" applyBorder="1" applyAlignment="1">
      <alignment horizontal="center" vertical="center" wrapText="1"/>
    </xf>
    <xf numFmtId="3" fontId="57" fillId="0" borderId="1" xfId="2" applyNumberFormat="1" applyFont="1" applyBorder="1" applyAlignment="1">
      <alignment horizontal="center" vertical="center"/>
    </xf>
    <xf numFmtId="9" fontId="57" fillId="0" borderId="1" xfId="2" applyFont="1" applyBorder="1" applyAlignment="1">
      <alignment horizontal="left" vertical="center"/>
    </xf>
    <xf numFmtId="168" fontId="57" fillId="0" borderId="1" xfId="2" applyNumberFormat="1" applyFont="1" applyBorder="1" applyAlignment="1">
      <alignment horizontal="center" vertical="center"/>
    </xf>
    <xf numFmtId="168" fontId="59" fillId="0" borderId="1" xfId="2" applyNumberFormat="1" applyFont="1" applyBorder="1" applyAlignment="1">
      <alignment horizontal="center" vertical="center"/>
    </xf>
    <xf numFmtId="0" fontId="57" fillId="0" borderId="0" xfId="0" quotePrefix="1" applyFont="1" applyAlignment="1">
      <alignment horizontal="center" vertical="center"/>
    </xf>
    <xf numFmtId="0" fontId="57" fillId="0" borderId="1" xfId="0" quotePrefix="1" applyFont="1" applyBorder="1" applyAlignment="1">
      <alignment vertical="center"/>
    </xf>
    <xf numFmtId="0" fontId="57" fillId="0" borderId="1" xfId="0" quotePrefix="1" applyFont="1" applyBorder="1" applyAlignment="1">
      <alignment horizontal="center" vertical="center"/>
    </xf>
    <xf numFmtId="165" fontId="57" fillId="0" borderId="1" xfId="0" quotePrefix="1" applyNumberFormat="1" applyFont="1" applyBorder="1" applyAlignment="1">
      <alignment horizontal="center" vertical="center"/>
    </xf>
    <xf numFmtId="0" fontId="57" fillId="0" borderId="0" xfId="0" applyFont="1" applyAlignment="1">
      <alignment vertical="center" wrapText="1"/>
    </xf>
    <xf numFmtId="166" fontId="57" fillId="0" borderId="1" xfId="2" applyNumberFormat="1" applyFont="1" applyBorder="1" applyAlignment="1">
      <alignment horizontal="center" vertical="center"/>
    </xf>
    <xf numFmtId="9" fontId="57" fillId="0" borderId="1" xfId="2" applyFont="1" applyBorder="1" applyAlignment="1">
      <alignment horizontal="center" vertical="center"/>
    </xf>
    <xf numFmtId="165" fontId="57" fillId="0" borderId="1" xfId="0" applyNumberFormat="1" applyFont="1" applyBorder="1" applyAlignment="1">
      <alignment horizontal="center" vertical="center" wrapText="1"/>
    </xf>
    <xf numFmtId="0" fontId="60" fillId="0" borderId="0" xfId="0" applyFont="1" applyAlignment="1">
      <alignment vertical="center"/>
    </xf>
    <xf numFmtId="0" fontId="60" fillId="0" borderId="1" xfId="0" applyFont="1" applyBorder="1" applyAlignment="1">
      <alignment vertical="center"/>
    </xf>
    <xf numFmtId="0" fontId="60" fillId="0" borderId="1" xfId="0" applyFont="1" applyBorder="1" applyAlignment="1">
      <alignment horizontal="center" vertical="center"/>
    </xf>
    <xf numFmtId="0" fontId="60" fillId="0" borderId="1" xfId="0" quotePrefix="1" applyFont="1" applyBorder="1" applyAlignment="1">
      <alignment horizontal="center" vertical="center"/>
    </xf>
    <xf numFmtId="0" fontId="60" fillId="0" borderId="1" xfId="0" applyFont="1" applyBorder="1" applyAlignment="1">
      <alignment horizontal="left" vertical="center"/>
    </xf>
    <xf numFmtId="0" fontId="60" fillId="0" borderId="1" xfId="2" applyNumberFormat="1" applyFont="1" applyBorder="1" applyAlignment="1">
      <alignment horizontal="center" vertical="center"/>
    </xf>
    <xf numFmtId="165" fontId="60" fillId="0" borderId="1" xfId="0" applyNumberFormat="1" applyFont="1" applyBorder="1" applyAlignment="1">
      <alignment horizontal="center" vertical="center"/>
    </xf>
    <xf numFmtId="166" fontId="60" fillId="0" borderId="1" xfId="2" applyNumberFormat="1" applyFont="1" applyBorder="1" applyAlignment="1">
      <alignment horizontal="center" vertical="center"/>
    </xf>
    <xf numFmtId="3" fontId="60" fillId="0" borderId="1" xfId="2" applyNumberFormat="1" applyFont="1" applyBorder="1" applyAlignment="1">
      <alignment horizontal="center" vertical="center"/>
    </xf>
    <xf numFmtId="168" fontId="60" fillId="0" borderId="1" xfId="2" applyNumberFormat="1" applyFont="1" applyBorder="1" applyAlignment="1">
      <alignment horizontal="center" vertical="center"/>
    </xf>
    <xf numFmtId="169" fontId="60" fillId="0" borderId="1" xfId="2" applyNumberFormat="1" applyFont="1" applyBorder="1" applyAlignment="1">
      <alignment horizontal="center" vertical="center"/>
    </xf>
    <xf numFmtId="9" fontId="60" fillId="0" borderId="1" xfId="2" applyFont="1" applyBorder="1" applyAlignment="1">
      <alignment horizontal="center" vertical="center"/>
    </xf>
    <xf numFmtId="165" fontId="61" fillId="0" borderId="1" xfId="0" applyNumberFormat="1" applyFont="1" applyBorder="1" applyAlignment="1">
      <alignment horizontal="center" vertical="center"/>
    </xf>
    <xf numFmtId="165" fontId="61" fillId="0" borderId="1" xfId="0" quotePrefix="1" applyNumberFormat="1" applyFont="1" applyBorder="1" applyAlignment="1">
      <alignment horizontal="center" vertical="center"/>
    </xf>
    <xf numFmtId="0" fontId="61" fillId="0" borderId="0" xfId="0" applyFont="1" applyAlignment="1">
      <alignment vertical="center"/>
    </xf>
    <xf numFmtId="168" fontId="61" fillId="0" borderId="1" xfId="2" applyNumberFormat="1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left" vertical="center"/>
    </xf>
    <xf numFmtId="0" fontId="61" fillId="0" borderId="1" xfId="0" quotePrefix="1" applyFont="1" applyBorder="1" applyAlignment="1">
      <alignment horizontal="center" vertical="center"/>
    </xf>
    <xf numFmtId="0" fontId="61" fillId="0" borderId="1" xfId="2" applyNumberFormat="1" applyFont="1" applyBorder="1" applyAlignment="1">
      <alignment horizontal="center" vertical="center"/>
    </xf>
    <xf numFmtId="166" fontId="61" fillId="0" borderId="1" xfId="2" applyNumberFormat="1" applyFont="1" applyBorder="1" applyAlignment="1">
      <alignment horizontal="center" vertical="center"/>
    </xf>
    <xf numFmtId="3" fontId="61" fillId="0" borderId="1" xfId="2" applyNumberFormat="1" applyFont="1" applyBorder="1" applyAlignment="1">
      <alignment horizontal="center" vertical="center"/>
    </xf>
    <xf numFmtId="169" fontId="61" fillId="0" borderId="1" xfId="2" applyNumberFormat="1" applyFont="1" applyBorder="1" applyAlignment="1">
      <alignment horizontal="center" vertical="center"/>
    </xf>
    <xf numFmtId="9" fontId="61" fillId="0" borderId="1" xfId="2" applyFont="1" applyBorder="1" applyAlignment="1">
      <alignment horizontal="center" vertical="center"/>
    </xf>
    <xf numFmtId="0" fontId="61" fillId="0" borderId="1" xfId="0" quotePrefix="1" applyFont="1" applyBorder="1" applyAlignment="1">
      <alignment vertical="center"/>
    </xf>
    <xf numFmtId="0" fontId="61" fillId="0" borderId="1" xfId="16" quotePrefix="1" applyFont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62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vertical="center"/>
    </xf>
    <xf numFmtId="165" fontId="62" fillId="0" borderId="1" xfId="0" applyNumberFormat="1" applyFont="1" applyBorder="1" applyAlignment="1">
      <alignment horizontal="center" vertical="center"/>
    </xf>
    <xf numFmtId="3" fontId="62" fillId="0" borderId="1" xfId="2" applyNumberFormat="1" applyFont="1" applyBorder="1" applyAlignment="1">
      <alignment horizontal="center" vertical="center"/>
    </xf>
    <xf numFmtId="170" fontId="62" fillId="0" borderId="0" xfId="0" applyNumberFormat="1" applyFont="1" applyAlignment="1">
      <alignment horizontal="center" vertical="center"/>
    </xf>
    <xf numFmtId="169" fontId="62" fillId="0" borderId="1" xfId="2" applyNumberFormat="1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62" fillId="0" borderId="0" xfId="0" applyNumberFormat="1" applyFont="1" applyAlignment="1">
      <alignment vertical="center"/>
    </xf>
    <xf numFmtId="165" fontId="62" fillId="0" borderId="1" xfId="0" quotePrefix="1" applyNumberFormat="1" applyFont="1" applyBorder="1" applyAlignment="1">
      <alignment horizontal="center" vertical="center"/>
    </xf>
    <xf numFmtId="169" fontId="63" fillId="0" borderId="1" xfId="2" applyNumberFormat="1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14" fontId="64" fillId="0" borderId="1" xfId="0" applyNumberFormat="1" applyFont="1" applyBorder="1" applyAlignment="1">
      <alignment vertical="center"/>
    </xf>
    <xf numFmtId="0" fontId="64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vertical="center"/>
    </xf>
    <xf numFmtId="165" fontId="64" fillId="0" borderId="1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left" vertical="center"/>
    </xf>
    <xf numFmtId="3" fontId="64" fillId="0" borderId="1" xfId="2" applyNumberFormat="1" applyFont="1" applyBorder="1" applyAlignment="1">
      <alignment horizontal="center" vertical="center"/>
    </xf>
    <xf numFmtId="170" fontId="64" fillId="0" borderId="0" xfId="0" applyNumberFormat="1" applyFont="1" applyAlignment="1">
      <alignment horizontal="center" vertical="center"/>
    </xf>
    <xf numFmtId="169" fontId="64" fillId="0" borderId="1" xfId="2" applyNumberFormat="1" applyFont="1" applyBorder="1" applyAlignment="1">
      <alignment horizontal="center" vertical="center"/>
    </xf>
    <xf numFmtId="14" fontId="64" fillId="0" borderId="1" xfId="2" applyNumberFormat="1" applyFont="1" applyBorder="1" applyAlignment="1">
      <alignment horizontal="center" vertical="center"/>
    </xf>
    <xf numFmtId="0" fontId="64" fillId="0" borderId="0" xfId="0" quotePrefix="1" applyFont="1" applyAlignment="1">
      <alignment horizontal="center" vertical="center"/>
    </xf>
    <xf numFmtId="16" fontId="64" fillId="0" borderId="0" xfId="0" applyNumberFormat="1" applyFont="1" applyAlignment="1">
      <alignment vertical="center"/>
    </xf>
    <xf numFmtId="165" fontId="64" fillId="0" borderId="1" xfId="0" quotePrefix="1" applyNumberFormat="1" applyFont="1" applyBorder="1" applyAlignment="1">
      <alignment horizontal="center" vertical="center"/>
    </xf>
    <xf numFmtId="0" fontId="65" fillId="0" borderId="0" xfId="0" applyFont="1" applyAlignment="1">
      <alignment vertical="center"/>
    </xf>
    <xf numFmtId="0" fontId="65" fillId="0" borderId="1" xfId="0" applyFont="1" applyBorder="1" applyAlignment="1">
      <alignment horizontal="center" vertical="center"/>
    </xf>
    <xf numFmtId="0" fontId="65" fillId="0" borderId="1" xfId="0" quotePrefix="1" applyFont="1" applyBorder="1" applyAlignment="1">
      <alignment horizontal="center" vertical="center"/>
    </xf>
    <xf numFmtId="0" fontId="65" fillId="0" borderId="1" xfId="0" applyFont="1" applyBorder="1" applyAlignment="1">
      <alignment horizontal="left" vertical="center"/>
    </xf>
    <xf numFmtId="165" fontId="65" fillId="0" borderId="1" xfId="0" applyNumberFormat="1" applyFont="1" applyBorder="1" applyAlignment="1">
      <alignment horizontal="center" vertical="center"/>
    </xf>
    <xf numFmtId="166" fontId="65" fillId="0" borderId="1" xfId="2" applyNumberFormat="1" applyFont="1" applyBorder="1" applyAlignment="1">
      <alignment horizontal="center" vertical="center"/>
    </xf>
    <xf numFmtId="3" fontId="65" fillId="0" borderId="1" xfId="2" applyNumberFormat="1" applyFont="1" applyBorder="1" applyAlignment="1">
      <alignment horizontal="center" vertical="center"/>
    </xf>
    <xf numFmtId="168" fontId="65" fillId="0" borderId="1" xfId="2" applyNumberFormat="1" applyFont="1" applyBorder="1" applyAlignment="1">
      <alignment horizontal="center" vertical="center"/>
    </xf>
    <xf numFmtId="169" fontId="65" fillId="0" borderId="1" xfId="2" applyNumberFormat="1" applyFont="1" applyBorder="1" applyAlignment="1">
      <alignment horizontal="center" vertical="center"/>
    </xf>
    <xf numFmtId="9" fontId="65" fillId="0" borderId="1" xfId="2" applyFont="1" applyBorder="1" applyAlignment="1">
      <alignment horizontal="center" vertical="center"/>
    </xf>
    <xf numFmtId="164" fontId="66" fillId="0" borderId="1" xfId="0" applyNumberFormat="1" applyFont="1" applyBorder="1" applyAlignment="1">
      <alignment horizontal="center" vertical="center"/>
    </xf>
    <xf numFmtId="0" fontId="67" fillId="0" borderId="0" xfId="0" applyFont="1" applyAlignment="1">
      <alignment vertical="center"/>
    </xf>
    <xf numFmtId="0" fontId="68" fillId="0" borderId="1" xfId="0" quotePrefix="1" applyFont="1" applyBorder="1" applyAlignment="1">
      <alignment vertical="center"/>
    </xf>
    <xf numFmtId="0" fontId="69" fillId="0" borderId="1" xfId="0" applyFont="1" applyBorder="1" applyAlignment="1">
      <alignment horizontal="center" vertical="center"/>
    </xf>
    <xf numFmtId="173" fontId="69" fillId="0" borderId="1" xfId="0" applyNumberFormat="1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165" fontId="69" fillId="0" borderId="1" xfId="0" quotePrefix="1" applyNumberFormat="1" applyFont="1" applyBorder="1" applyAlignment="1">
      <alignment horizontal="center" vertical="center"/>
    </xf>
    <xf numFmtId="165" fontId="69" fillId="0" borderId="1" xfId="0" applyNumberFormat="1" applyFont="1" applyBorder="1" applyAlignment="1">
      <alignment horizontal="center" vertical="center"/>
    </xf>
    <xf numFmtId="0" fontId="69" fillId="0" borderId="1" xfId="0" applyFont="1" applyBorder="1" applyAlignment="1">
      <alignment horizontal="left" vertical="center"/>
    </xf>
    <xf numFmtId="0" fontId="69" fillId="0" borderId="0" xfId="0" applyFont="1" applyAlignment="1">
      <alignment vertical="center"/>
    </xf>
    <xf numFmtId="168" fontId="69" fillId="0" borderId="1" xfId="2" applyNumberFormat="1" applyFont="1" applyBorder="1" applyAlignment="1">
      <alignment horizontal="center" vertical="center" wrapText="1"/>
    </xf>
    <xf numFmtId="16" fontId="71" fillId="0" borderId="2" xfId="0" applyNumberFormat="1" applyFont="1" applyBorder="1" applyAlignment="1">
      <alignment horizontal="center" vertical="center" wrapText="1"/>
    </xf>
    <xf numFmtId="0" fontId="69" fillId="0" borderId="0" xfId="0" applyFont="1" applyAlignment="1">
      <alignment vertical="center" wrapText="1"/>
    </xf>
    <xf numFmtId="168" fontId="30" fillId="0" borderId="0" xfId="2" applyNumberFormat="1" applyFont="1" applyBorder="1" applyAlignment="1">
      <alignment horizontal="center" vertical="center"/>
    </xf>
    <xf numFmtId="168" fontId="41" fillId="0" borderId="1" xfId="2" applyNumberFormat="1" applyFont="1" applyBorder="1" applyAlignment="1">
      <alignment horizontal="center" vertical="center" wrapText="1"/>
    </xf>
    <xf numFmtId="0" fontId="72" fillId="0" borderId="1" xfId="0" quotePrefix="1" applyFont="1" applyBorder="1" applyAlignment="1">
      <alignment vertical="center"/>
    </xf>
    <xf numFmtId="0" fontId="73" fillId="0" borderId="1" xfId="0" applyFont="1" applyBorder="1" applyAlignment="1">
      <alignment horizontal="center" vertical="center"/>
    </xf>
    <xf numFmtId="165" fontId="73" fillId="0" borderId="1" xfId="0" applyNumberFormat="1" applyFont="1" applyBorder="1" applyAlignment="1">
      <alignment horizontal="center" vertical="center"/>
    </xf>
    <xf numFmtId="168" fontId="73" fillId="0" borderId="1" xfId="2" applyNumberFormat="1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/>
    </xf>
    <xf numFmtId="169" fontId="74" fillId="0" borderId="1" xfId="2" applyNumberFormat="1" applyFont="1" applyBorder="1" applyAlignment="1">
      <alignment horizontal="center" vertical="center"/>
    </xf>
    <xf numFmtId="0" fontId="74" fillId="0" borderId="0" xfId="0" applyFont="1" applyAlignment="1">
      <alignment vertical="center"/>
    </xf>
    <xf numFmtId="168" fontId="74" fillId="0" borderId="1" xfId="0" applyNumberFormat="1" applyFont="1" applyBorder="1" applyAlignment="1">
      <alignment vertical="center"/>
    </xf>
    <xf numFmtId="0" fontId="74" fillId="0" borderId="1" xfId="0" quotePrefix="1" applyFont="1" applyBorder="1" applyAlignment="1">
      <alignment vertical="center"/>
    </xf>
    <xf numFmtId="0" fontId="74" fillId="0" borderId="1" xfId="0" quotePrefix="1" applyFont="1" applyBorder="1" applyAlignment="1">
      <alignment horizontal="center" vertical="center"/>
    </xf>
    <xf numFmtId="0" fontId="74" fillId="0" borderId="1" xfId="0" applyFont="1" applyBorder="1" applyAlignment="1">
      <alignment horizontal="left" vertical="center"/>
    </xf>
    <xf numFmtId="0" fontId="74" fillId="0" borderId="1" xfId="2" applyNumberFormat="1" applyFont="1" applyBorder="1" applyAlignment="1">
      <alignment horizontal="center" vertical="center"/>
    </xf>
    <xf numFmtId="165" fontId="74" fillId="0" borderId="1" xfId="0" applyNumberFormat="1" applyFont="1" applyBorder="1" applyAlignment="1">
      <alignment horizontal="center" vertical="center"/>
    </xf>
    <xf numFmtId="166" fontId="74" fillId="0" borderId="1" xfId="2" applyNumberFormat="1" applyFont="1" applyBorder="1" applyAlignment="1">
      <alignment horizontal="center" vertical="center" wrapText="1"/>
    </xf>
    <xf numFmtId="165" fontId="74" fillId="0" borderId="1" xfId="0" quotePrefix="1" applyNumberFormat="1" applyFont="1" applyBorder="1" applyAlignment="1">
      <alignment horizontal="center" vertical="center"/>
    </xf>
    <xf numFmtId="165" fontId="74" fillId="0" borderId="1" xfId="0" quotePrefix="1" applyNumberFormat="1" applyFont="1" applyBorder="1" applyAlignment="1">
      <alignment horizontal="center" vertical="center" wrapText="1"/>
    </xf>
    <xf numFmtId="3" fontId="74" fillId="0" borderId="1" xfId="2" applyNumberFormat="1" applyFont="1" applyBorder="1" applyAlignment="1">
      <alignment horizontal="center" vertical="center"/>
    </xf>
    <xf numFmtId="9" fontId="74" fillId="0" borderId="1" xfId="2" applyFont="1" applyBorder="1" applyAlignment="1">
      <alignment horizontal="left" vertical="center"/>
    </xf>
    <xf numFmtId="168" fontId="74" fillId="0" borderId="1" xfId="2" applyNumberFormat="1" applyFont="1" applyBorder="1" applyAlignment="1">
      <alignment horizontal="center" vertical="center"/>
    </xf>
    <xf numFmtId="168" fontId="75" fillId="0" borderId="1" xfId="2" applyNumberFormat="1" applyFont="1" applyBorder="1" applyAlignment="1">
      <alignment horizontal="center" vertical="center"/>
    </xf>
    <xf numFmtId="0" fontId="74" fillId="0" borderId="0" xfId="0" quotePrefix="1" applyFont="1" applyAlignment="1">
      <alignment horizontal="center" vertical="center"/>
    </xf>
    <xf numFmtId="0" fontId="76" fillId="0" borderId="0" xfId="0" applyFont="1" applyAlignment="1">
      <alignment vertical="center"/>
    </xf>
    <xf numFmtId="0" fontId="76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left" vertical="center"/>
    </xf>
    <xf numFmtId="0" fontId="76" fillId="0" borderId="1" xfId="2" applyNumberFormat="1" applyFont="1" applyBorder="1" applyAlignment="1">
      <alignment horizontal="center" vertical="center"/>
    </xf>
    <xf numFmtId="165" fontId="76" fillId="0" borderId="1" xfId="0" applyNumberFormat="1" applyFont="1" applyBorder="1" applyAlignment="1">
      <alignment horizontal="center" vertical="center"/>
    </xf>
    <xf numFmtId="165" fontId="76" fillId="0" borderId="1" xfId="0" quotePrefix="1" applyNumberFormat="1" applyFont="1" applyBorder="1" applyAlignment="1">
      <alignment horizontal="center" vertical="center"/>
    </xf>
    <xf numFmtId="3" fontId="76" fillId="0" borderId="1" xfId="2" applyNumberFormat="1" applyFont="1" applyBorder="1" applyAlignment="1">
      <alignment horizontal="center" vertical="center"/>
    </xf>
    <xf numFmtId="168" fontId="76" fillId="0" borderId="1" xfId="2" applyNumberFormat="1" applyFont="1" applyBorder="1" applyAlignment="1">
      <alignment horizontal="center" vertical="center"/>
    </xf>
    <xf numFmtId="169" fontId="76" fillId="0" borderId="1" xfId="2" applyNumberFormat="1" applyFont="1" applyBorder="1" applyAlignment="1">
      <alignment horizontal="center" vertical="center"/>
    </xf>
    <xf numFmtId="9" fontId="76" fillId="0" borderId="1" xfId="2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12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166" fontId="3" fillId="0" borderId="0" xfId="2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77" fillId="0" borderId="0" xfId="0" applyFont="1" applyAlignment="1">
      <alignment vertical="center" wrapText="1"/>
    </xf>
    <xf numFmtId="0" fontId="77" fillId="0" borderId="0" xfId="0" applyFont="1" applyAlignment="1">
      <alignment vertical="center"/>
    </xf>
    <xf numFmtId="168" fontId="77" fillId="0" borderId="1" xfId="0" applyNumberFormat="1" applyFont="1" applyBorder="1" applyAlignment="1">
      <alignment vertical="center"/>
    </xf>
    <xf numFmtId="0" fontId="77" fillId="0" borderId="1" xfId="0" quotePrefix="1" applyFont="1" applyBorder="1" applyAlignment="1">
      <alignment vertical="center"/>
    </xf>
    <xf numFmtId="0" fontId="77" fillId="0" borderId="1" xfId="0" applyFont="1" applyBorder="1" applyAlignment="1">
      <alignment horizontal="center" vertical="center"/>
    </xf>
    <xf numFmtId="0" fontId="77" fillId="0" borderId="1" xfId="0" quotePrefix="1" applyFont="1" applyBorder="1" applyAlignment="1">
      <alignment horizontal="center" vertical="center"/>
    </xf>
    <xf numFmtId="0" fontId="77" fillId="0" borderId="1" xfId="16" quotePrefix="1" applyFont="1" applyBorder="1" applyAlignment="1">
      <alignment vertical="center"/>
    </xf>
    <xf numFmtId="0" fontId="77" fillId="0" borderId="1" xfId="0" applyFont="1" applyBorder="1" applyAlignment="1">
      <alignment horizontal="left" vertical="center"/>
    </xf>
    <xf numFmtId="0" fontId="77" fillId="0" borderId="1" xfId="2" applyNumberFormat="1" applyFont="1" applyBorder="1" applyAlignment="1">
      <alignment horizontal="center" vertical="center"/>
    </xf>
    <xf numFmtId="165" fontId="77" fillId="0" borderId="1" xfId="0" applyNumberFormat="1" applyFont="1" applyBorder="1" applyAlignment="1">
      <alignment horizontal="center" vertical="center"/>
    </xf>
    <xf numFmtId="9" fontId="77" fillId="0" borderId="1" xfId="2" applyFont="1" applyBorder="1" applyAlignment="1">
      <alignment horizontal="center" vertical="center" wrapText="1"/>
    </xf>
    <xf numFmtId="165" fontId="77" fillId="0" borderId="1" xfId="0" quotePrefix="1" applyNumberFormat="1" applyFont="1" applyBorder="1" applyAlignment="1">
      <alignment horizontal="center" vertical="center"/>
    </xf>
    <xf numFmtId="3" fontId="77" fillId="0" borderId="1" xfId="2" applyNumberFormat="1" applyFont="1" applyBorder="1" applyAlignment="1">
      <alignment horizontal="center" vertical="center"/>
    </xf>
    <xf numFmtId="9" fontId="77" fillId="0" borderId="1" xfId="2" applyFont="1" applyBorder="1" applyAlignment="1">
      <alignment horizontal="left" vertical="center"/>
    </xf>
    <xf numFmtId="168" fontId="77" fillId="0" borderId="1" xfId="2" applyNumberFormat="1" applyFont="1" applyBorder="1" applyAlignment="1">
      <alignment horizontal="center" vertical="center"/>
    </xf>
    <xf numFmtId="169" fontId="77" fillId="0" borderId="1" xfId="2" applyNumberFormat="1" applyFont="1" applyBorder="1" applyAlignment="1">
      <alignment horizontal="center" vertical="center"/>
    </xf>
    <xf numFmtId="168" fontId="78" fillId="0" borderId="1" xfId="2" applyNumberFormat="1" applyFont="1" applyBorder="1" applyAlignment="1">
      <alignment horizontal="center" vertical="center"/>
    </xf>
    <xf numFmtId="0" fontId="77" fillId="0" borderId="0" xfId="0" quotePrefix="1" applyFont="1" applyAlignment="1">
      <alignment horizontal="center" vertical="center"/>
    </xf>
    <xf numFmtId="0" fontId="77" fillId="0" borderId="1" xfId="0" applyFont="1" applyBorder="1" applyAlignment="1">
      <alignment vertical="center"/>
    </xf>
    <xf numFmtId="16" fontId="80" fillId="0" borderId="2" xfId="0" applyNumberFormat="1" applyFont="1" applyBorder="1" applyAlignment="1">
      <alignment horizontal="center" vertical="center" wrapText="1"/>
    </xf>
    <xf numFmtId="0" fontId="79" fillId="0" borderId="0" xfId="0" applyFont="1" applyAlignment="1">
      <alignment vertical="center" wrapText="1"/>
    </xf>
    <xf numFmtId="168" fontId="79" fillId="0" borderId="1" xfId="2" applyNumberFormat="1" applyFont="1" applyBorder="1" applyAlignment="1">
      <alignment horizontal="center" vertical="center" wrapText="1"/>
    </xf>
    <xf numFmtId="0" fontId="0" fillId="0" borderId="12" xfId="0" applyBorder="1"/>
    <xf numFmtId="0" fontId="81" fillId="0" borderId="12" xfId="0" applyFont="1" applyBorder="1" applyAlignment="1">
      <alignment vertical="center" wrapText="1"/>
    </xf>
    <xf numFmtId="0" fontId="81" fillId="0" borderId="0" xfId="0" applyFont="1" applyAlignment="1">
      <alignment vertical="center" wrapText="1"/>
    </xf>
    <xf numFmtId="0" fontId="82" fillId="0" borderId="0" xfId="0" applyFont="1" applyAlignment="1">
      <alignment vertical="center" wrapText="1"/>
    </xf>
    <xf numFmtId="0" fontId="81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6" fontId="77" fillId="0" borderId="1" xfId="2" applyNumberFormat="1" applyFont="1" applyBorder="1" applyAlignment="1">
      <alignment horizontal="center" vertical="center"/>
    </xf>
    <xf numFmtId="9" fontId="77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83" fillId="0" borderId="1" xfId="0" applyFont="1" applyBorder="1" applyAlignment="1">
      <alignment horizontal="left" vertical="center"/>
    </xf>
    <xf numFmtId="0" fontId="83" fillId="12" borderId="1" xfId="0" applyFont="1" applyFill="1" applyBorder="1" applyAlignment="1">
      <alignment horizontal="left" vertical="center"/>
    </xf>
    <xf numFmtId="172" fontId="84" fillId="0" borderId="0" xfId="0" applyNumberFormat="1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4" fillId="0" borderId="0" xfId="0" applyFont="1" applyAlignment="1">
      <alignment vertical="center" wrapText="1"/>
    </xf>
    <xf numFmtId="172" fontId="84" fillId="0" borderId="0" xfId="0" applyNumberFormat="1" applyFont="1" applyAlignment="1">
      <alignment vertical="center" wrapText="1"/>
    </xf>
    <xf numFmtId="16" fontId="85" fillId="0" borderId="2" xfId="0" applyNumberFormat="1" applyFont="1" applyBorder="1" applyAlignment="1">
      <alignment horizontal="center" vertical="center" wrapText="1"/>
    </xf>
    <xf numFmtId="168" fontId="84" fillId="0" borderId="1" xfId="2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 wrapText="1"/>
    </xf>
    <xf numFmtId="0" fontId="84" fillId="0" borderId="1" xfId="0" applyFont="1" applyBorder="1" applyAlignment="1">
      <alignment vertical="center" wrapText="1"/>
    </xf>
    <xf numFmtId="0" fontId="86" fillId="0" borderId="1" xfId="0" quotePrefix="1" applyFont="1" applyBorder="1" applyAlignment="1">
      <alignment vertical="center"/>
    </xf>
    <xf numFmtId="168" fontId="87" fillId="0" borderId="1" xfId="2" applyNumberFormat="1" applyFont="1" applyBorder="1" applyAlignment="1">
      <alignment horizontal="center" vertical="center" wrapText="1"/>
    </xf>
    <xf numFmtId="16" fontId="85" fillId="12" borderId="2" xfId="0" applyNumberFormat="1" applyFont="1" applyFill="1" applyBorder="1" applyAlignment="1">
      <alignment horizontal="center" vertical="center" wrapText="1"/>
    </xf>
    <xf numFmtId="168" fontId="84" fillId="12" borderId="1" xfId="2" applyNumberFormat="1" applyFont="1" applyFill="1" applyBorder="1" applyAlignment="1">
      <alignment horizontal="center" vertical="center" wrapText="1"/>
    </xf>
    <xf numFmtId="0" fontId="84" fillId="12" borderId="1" xfId="0" applyFont="1" applyFill="1" applyBorder="1" applyAlignment="1">
      <alignment vertical="center" wrapText="1"/>
    </xf>
    <xf numFmtId="168" fontId="79" fillId="12" borderId="1" xfId="2" applyNumberFormat="1" applyFont="1" applyFill="1" applyBorder="1" applyAlignment="1">
      <alignment horizontal="center" vertical="center" wrapText="1"/>
    </xf>
    <xf numFmtId="168" fontId="87" fillId="12" borderId="1" xfId="2" applyNumberFormat="1" applyFont="1" applyFill="1" applyBorder="1" applyAlignment="1">
      <alignment horizontal="center" vertical="center" wrapText="1"/>
    </xf>
    <xf numFmtId="0" fontId="88" fillId="0" borderId="1" xfId="0" quotePrefix="1" applyFont="1" applyBorder="1" applyAlignment="1">
      <alignment horizontal="center" vertical="center"/>
    </xf>
    <xf numFmtId="0" fontId="88" fillId="0" borderId="1" xfId="0" applyFont="1" applyBorder="1" applyAlignment="1">
      <alignment horizontal="left" vertical="center"/>
    </xf>
    <xf numFmtId="0" fontId="88" fillId="0" borderId="1" xfId="0" applyFont="1" applyBorder="1" applyAlignment="1">
      <alignment vertical="center"/>
    </xf>
    <xf numFmtId="0" fontId="88" fillId="0" borderId="0" xfId="0" applyFont="1" applyAlignment="1">
      <alignment vertical="center"/>
    </xf>
    <xf numFmtId="0" fontId="88" fillId="0" borderId="1" xfId="0" applyFont="1" applyBorder="1" applyAlignment="1">
      <alignment horizontal="center" vertical="center"/>
    </xf>
    <xf numFmtId="0" fontId="88" fillId="0" borderId="1" xfId="2" applyNumberFormat="1" applyFont="1" applyBorder="1" applyAlignment="1">
      <alignment horizontal="center" vertical="center"/>
    </xf>
    <xf numFmtId="165" fontId="88" fillId="0" borderId="1" xfId="0" applyNumberFormat="1" applyFont="1" applyBorder="1" applyAlignment="1">
      <alignment horizontal="center" vertical="center"/>
    </xf>
    <xf numFmtId="166" fontId="88" fillId="0" borderId="1" xfId="2" applyNumberFormat="1" applyFont="1" applyBorder="1" applyAlignment="1">
      <alignment horizontal="center" vertical="center"/>
    </xf>
    <xf numFmtId="165" fontId="88" fillId="0" borderId="1" xfId="0" quotePrefix="1" applyNumberFormat="1" applyFont="1" applyBorder="1" applyAlignment="1">
      <alignment horizontal="center" vertical="center"/>
    </xf>
    <xf numFmtId="3" fontId="88" fillId="0" borderId="1" xfId="2" applyNumberFormat="1" applyFont="1" applyBorder="1" applyAlignment="1">
      <alignment horizontal="center" vertical="center"/>
    </xf>
    <xf numFmtId="168" fontId="88" fillId="0" borderId="1" xfId="2" applyNumberFormat="1" applyFont="1" applyBorder="1" applyAlignment="1">
      <alignment horizontal="center" vertical="center"/>
    </xf>
    <xf numFmtId="169" fontId="88" fillId="0" borderId="1" xfId="2" applyNumberFormat="1" applyFont="1" applyBorder="1" applyAlignment="1">
      <alignment horizontal="center" vertical="center"/>
    </xf>
    <xf numFmtId="9" fontId="88" fillId="0" borderId="1" xfId="2" applyFont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89" fillId="0" borderId="1" xfId="0" applyFont="1" applyBorder="1" applyAlignment="1">
      <alignment vertical="center"/>
    </xf>
    <xf numFmtId="0" fontId="88" fillId="0" borderId="1" xfId="16" quotePrefix="1" applyFont="1" applyBorder="1" applyAlignment="1">
      <alignment vertical="center"/>
    </xf>
    <xf numFmtId="0" fontId="88" fillId="0" borderId="1" xfId="0" quotePrefix="1" applyFont="1" applyBorder="1" applyAlignment="1">
      <alignment vertical="center"/>
    </xf>
    <xf numFmtId="14" fontId="89" fillId="0" borderId="1" xfId="0" applyNumberFormat="1" applyFont="1" applyBorder="1" applyAlignment="1">
      <alignment vertical="center"/>
    </xf>
    <xf numFmtId="0" fontId="89" fillId="0" borderId="1" xfId="0" applyFont="1" applyBorder="1" applyAlignment="1">
      <alignment horizontal="center" vertical="center"/>
    </xf>
    <xf numFmtId="165" fontId="89" fillId="0" borderId="1" xfId="0" applyNumberFormat="1" applyFont="1" applyBorder="1" applyAlignment="1">
      <alignment horizontal="center" vertical="center"/>
    </xf>
    <xf numFmtId="0" fontId="89" fillId="0" borderId="1" xfId="0" applyFont="1" applyBorder="1" applyAlignment="1">
      <alignment horizontal="left" vertical="center"/>
    </xf>
    <xf numFmtId="3" fontId="89" fillId="0" borderId="1" xfId="2" applyNumberFormat="1" applyFont="1" applyBorder="1" applyAlignment="1">
      <alignment horizontal="center" vertical="center"/>
    </xf>
    <xf numFmtId="170" fontId="89" fillId="0" borderId="0" xfId="0" applyNumberFormat="1" applyFont="1" applyAlignment="1">
      <alignment horizontal="center" vertical="center"/>
    </xf>
    <xf numFmtId="169" fontId="89" fillId="0" borderId="1" xfId="2" applyNumberFormat="1" applyFont="1" applyBorder="1" applyAlignment="1">
      <alignment horizontal="center" vertical="center"/>
    </xf>
    <xf numFmtId="14" fontId="89" fillId="0" borderId="1" xfId="2" applyNumberFormat="1" applyFont="1" applyBorder="1" applyAlignment="1">
      <alignment horizontal="center" vertical="center"/>
    </xf>
    <xf numFmtId="0" fontId="89" fillId="0" borderId="0" xfId="0" quotePrefix="1" applyFont="1" applyAlignment="1">
      <alignment horizontal="center" vertical="center"/>
    </xf>
    <xf numFmtId="16" fontId="89" fillId="0" borderId="0" xfId="0" applyNumberFormat="1" applyFont="1" applyAlignment="1">
      <alignment vertical="center"/>
    </xf>
    <xf numFmtId="165" fontId="89" fillId="0" borderId="1" xfId="0" quotePrefix="1" applyNumberFormat="1" applyFont="1" applyBorder="1" applyAlignment="1">
      <alignment horizontal="center" vertical="center"/>
    </xf>
    <xf numFmtId="0" fontId="89" fillId="0" borderId="1" xfId="0" applyFont="1" applyBorder="1" applyAlignment="1">
      <alignment vertical="center" wrapText="1"/>
    </xf>
    <xf numFmtId="0" fontId="90" fillId="0" borderId="0" xfId="0" applyFont="1" applyAlignment="1">
      <alignment vertical="center"/>
    </xf>
    <xf numFmtId="169" fontId="91" fillId="0" borderId="1" xfId="2" applyNumberFormat="1" applyFont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1" xfId="0" applyFont="1" applyBorder="1" applyAlignment="1">
      <alignment vertical="center"/>
    </xf>
    <xf numFmtId="0" fontId="91" fillId="0" borderId="1" xfId="0" applyFont="1" applyBorder="1" applyAlignment="1">
      <alignment horizontal="center" vertical="center"/>
    </xf>
    <xf numFmtId="0" fontId="91" fillId="0" borderId="1" xfId="0" quotePrefix="1" applyFont="1" applyBorder="1" applyAlignment="1">
      <alignment horizontal="center" vertical="center"/>
    </xf>
    <xf numFmtId="0" fontId="91" fillId="0" borderId="1" xfId="0" applyFont="1" applyBorder="1" applyAlignment="1">
      <alignment horizontal="left" vertical="center"/>
    </xf>
    <xf numFmtId="0" fontId="91" fillId="0" borderId="1" xfId="2" applyNumberFormat="1" applyFont="1" applyBorder="1" applyAlignment="1">
      <alignment horizontal="center" vertical="center"/>
    </xf>
    <xf numFmtId="165" fontId="91" fillId="0" borderId="1" xfId="0" applyNumberFormat="1" applyFont="1" applyBorder="1" applyAlignment="1">
      <alignment horizontal="center" vertical="center"/>
    </xf>
    <xf numFmtId="166" fontId="91" fillId="0" borderId="1" xfId="2" applyNumberFormat="1" applyFont="1" applyBorder="1" applyAlignment="1">
      <alignment horizontal="center" vertical="center"/>
    </xf>
    <xf numFmtId="165" fontId="91" fillId="0" borderId="1" xfId="0" quotePrefix="1" applyNumberFormat="1" applyFont="1" applyBorder="1" applyAlignment="1">
      <alignment horizontal="center" vertical="center"/>
    </xf>
    <xf numFmtId="3" fontId="91" fillId="0" borderId="1" xfId="2" applyNumberFormat="1" applyFont="1" applyBorder="1" applyAlignment="1">
      <alignment horizontal="center" vertical="center"/>
    </xf>
    <xf numFmtId="168" fontId="91" fillId="0" borderId="1" xfId="2" applyNumberFormat="1" applyFont="1" applyBorder="1" applyAlignment="1">
      <alignment horizontal="center" vertical="center"/>
    </xf>
    <xf numFmtId="9" fontId="91" fillId="0" borderId="1" xfId="2" applyFont="1" applyBorder="1" applyAlignment="1">
      <alignment horizontal="center" vertical="center"/>
    </xf>
    <xf numFmtId="0" fontId="92" fillId="0" borderId="0" xfId="0" applyFont="1" applyAlignment="1">
      <alignment vertical="center"/>
    </xf>
    <xf numFmtId="14" fontId="92" fillId="0" borderId="1" xfId="0" applyNumberFormat="1" applyFont="1" applyBorder="1" applyAlignment="1">
      <alignment vertical="center"/>
    </xf>
    <xf numFmtId="0" fontId="92" fillId="0" borderId="1" xfId="0" applyFont="1" applyBorder="1" applyAlignment="1">
      <alignment horizontal="center" vertical="center"/>
    </xf>
    <xf numFmtId="0" fontId="92" fillId="0" borderId="1" xfId="0" applyFont="1" applyBorder="1" applyAlignment="1">
      <alignment vertical="center"/>
    </xf>
    <xf numFmtId="165" fontId="92" fillId="0" borderId="1" xfId="0" applyNumberFormat="1" applyFont="1" applyBorder="1" applyAlignment="1">
      <alignment horizontal="center" vertical="center"/>
    </xf>
    <xf numFmtId="0" fontId="92" fillId="0" borderId="1" xfId="0" applyFont="1" applyBorder="1" applyAlignment="1">
      <alignment vertical="center" wrapText="1"/>
    </xf>
    <xf numFmtId="0" fontId="92" fillId="0" borderId="1" xfId="0" applyFont="1" applyBorder="1" applyAlignment="1">
      <alignment horizontal="left" vertical="center"/>
    </xf>
    <xf numFmtId="3" fontId="92" fillId="0" borderId="1" xfId="2" applyNumberFormat="1" applyFont="1" applyBorder="1" applyAlignment="1">
      <alignment horizontal="center" vertical="center"/>
    </xf>
    <xf numFmtId="170" fontId="92" fillId="0" borderId="0" xfId="0" applyNumberFormat="1" applyFont="1" applyAlignment="1">
      <alignment horizontal="center" vertical="center"/>
    </xf>
    <xf numFmtId="169" fontId="92" fillId="0" borderId="1" xfId="2" applyNumberFormat="1" applyFont="1" applyBorder="1" applyAlignment="1">
      <alignment horizontal="center" vertical="center"/>
    </xf>
    <xf numFmtId="14" fontId="92" fillId="0" borderId="1" xfId="2" applyNumberFormat="1" applyFont="1" applyBorder="1" applyAlignment="1">
      <alignment horizontal="center" vertical="center"/>
    </xf>
    <xf numFmtId="0" fontId="92" fillId="0" borderId="0" xfId="0" quotePrefix="1" applyFont="1" applyAlignment="1">
      <alignment horizontal="center" vertical="center"/>
    </xf>
    <xf numFmtId="16" fontId="92" fillId="0" borderId="0" xfId="0" applyNumberFormat="1" applyFont="1" applyAlignment="1">
      <alignment vertical="center"/>
    </xf>
    <xf numFmtId="165" fontId="92" fillId="0" borderId="1" xfId="0" quotePrefix="1" applyNumberFormat="1" applyFont="1" applyBorder="1" applyAlignment="1">
      <alignment horizontal="center" vertical="center"/>
    </xf>
    <xf numFmtId="0" fontId="91" fillId="0" borderId="1" xfId="0" quotePrefix="1" applyFont="1" applyBorder="1" applyAlignment="1">
      <alignment vertical="center"/>
    </xf>
    <xf numFmtId="168" fontId="91" fillId="0" borderId="1" xfId="0" applyNumberFormat="1" applyFont="1" applyBorder="1" applyAlignment="1">
      <alignment vertical="center"/>
    </xf>
    <xf numFmtId="9" fontId="91" fillId="0" borderId="1" xfId="2" applyFont="1" applyBorder="1" applyAlignment="1">
      <alignment horizontal="left" vertical="center"/>
    </xf>
    <xf numFmtId="168" fontId="93" fillId="0" borderId="1" xfId="2" applyNumberFormat="1" applyFont="1" applyBorder="1" applyAlignment="1">
      <alignment horizontal="center" vertical="center"/>
    </xf>
    <xf numFmtId="0" fontId="91" fillId="0" borderId="1" xfId="16" quotePrefix="1" applyFont="1" applyBorder="1" applyAlignment="1">
      <alignment vertical="center"/>
    </xf>
    <xf numFmtId="168" fontId="41" fillId="12" borderId="1" xfId="2" applyNumberFormat="1" applyFont="1" applyFill="1" applyBorder="1" applyAlignment="1">
      <alignment horizontal="center" vertical="center" wrapText="1"/>
    </xf>
    <xf numFmtId="0" fontId="94" fillId="0" borderId="1" xfId="0" applyFont="1" applyBorder="1" applyAlignment="1">
      <alignment vertical="center"/>
    </xf>
    <xf numFmtId="169" fontId="95" fillId="0" borderId="1" xfId="2" applyNumberFormat="1" applyFont="1" applyBorder="1" applyAlignment="1">
      <alignment horizontal="center" vertical="center"/>
    </xf>
    <xf numFmtId="0" fontId="96" fillId="0" borderId="0" xfId="0" applyFont="1" applyAlignment="1">
      <alignment vertical="center"/>
    </xf>
    <xf numFmtId="14" fontId="96" fillId="0" borderId="1" xfId="0" applyNumberFormat="1" applyFont="1" applyBorder="1" applyAlignment="1">
      <alignment vertical="center"/>
    </xf>
    <xf numFmtId="0" fontId="96" fillId="0" borderId="1" xfId="0" applyFont="1" applyBorder="1" applyAlignment="1">
      <alignment horizontal="center" vertical="center"/>
    </xf>
    <xf numFmtId="0" fontId="96" fillId="0" borderId="1" xfId="0" applyFont="1" applyBorder="1" applyAlignment="1">
      <alignment vertical="center"/>
    </xf>
    <xf numFmtId="165" fontId="96" fillId="0" borderId="1" xfId="0" applyNumberFormat="1" applyFont="1" applyBorder="1" applyAlignment="1">
      <alignment horizontal="center" vertical="center"/>
    </xf>
    <xf numFmtId="0" fontId="96" fillId="0" borderId="1" xfId="0" applyFont="1" applyBorder="1" applyAlignment="1">
      <alignment horizontal="left" vertical="center"/>
    </xf>
    <xf numFmtId="3" fontId="96" fillId="0" borderId="1" xfId="2" applyNumberFormat="1" applyFont="1" applyBorder="1" applyAlignment="1">
      <alignment horizontal="center" vertical="center"/>
    </xf>
    <xf numFmtId="170" fontId="96" fillId="0" borderId="0" xfId="0" applyNumberFormat="1" applyFont="1" applyAlignment="1">
      <alignment horizontal="center" vertical="center"/>
    </xf>
    <xf numFmtId="169" fontId="96" fillId="0" borderId="1" xfId="2" applyNumberFormat="1" applyFont="1" applyBorder="1" applyAlignment="1">
      <alignment horizontal="center" vertical="center"/>
    </xf>
    <xf numFmtId="14" fontId="96" fillId="0" borderId="1" xfId="2" applyNumberFormat="1" applyFont="1" applyBorder="1" applyAlignment="1">
      <alignment horizontal="center" vertical="center"/>
    </xf>
    <xf numFmtId="0" fontId="96" fillId="0" borderId="0" xfId="0" quotePrefix="1" applyFont="1" applyAlignment="1">
      <alignment horizontal="center" vertical="center"/>
    </xf>
    <xf numFmtId="165" fontId="96" fillId="0" borderId="1" xfId="0" quotePrefix="1" applyNumberFormat="1" applyFont="1" applyBorder="1" applyAlignment="1">
      <alignment horizontal="center" vertical="center"/>
    </xf>
    <xf numFmtId="0" fontId="97" fillId="0" borderId="0" xfId="0" applyFont="1" applyAlignment="1">
      <alignment vertical="center"/>
    </xf>
    <xf numFmtId="0" fontId="97" fillId="0" borderId="1" xfId="0" applyFont="1" applyBorder="1" applyAlignment="1">
      <alignment vertical="center"/>
    </xf>
    <xf numFmtId="0" fontId="97" fillId="0" borderId="1" xfId="0" quotePrefix="1" applyFont="1" applyBorder="1" applyAlignment="1">
      <alignment vertical="center"/>
    </xf>
    <xf numFmtId="0" fontId="97" fillId="0" borderId="1" xfId="0" applyFont="1" applyBorder="1" applyAlignment="1">
      <alignment horizontal="center" vertical="center"/>
    </xf>
    <xf numFmtId="0" fontId="97" fillId="0" borderId="1" xfId="0" applyFont="1" applyBorder="1" applyAlignment="1">
      <alignment horizontal="left" vertical="center"/>
    </xf>
    <xf numFmtId="0" fontId="97" fillId="0" borderId="1" xfId="2" applyNumberFormat="1" applyFont="1" applyBorder="1" applyAlignment="1">
      <alignment horizontal="center" vertical="center"/>
    </xf>
    <xf numFmtId="165" fontId="97" fillId="0" borderId="1" xfId="0" applyNumberFormat="1" applyFont="1" applyBorder="1" applyAlignment="1">
      <alignment horizontal="center" vertical="center"/>
    </xf>
    <xf numFmtId="165" fontId="97" fillId="0" borderId="1" xfId="0" quotePrefix="1" applyNumberFormat="1" applyFont="1" applyBorder="1" applyAlignment="1">
      <alignment horizontal="center" vertical="center"/>
    </xf>
    <xf numFmtId="3" fontId="97" fillId="0" borderId="1" xfId="2" applyNumberFormat="1" applyFont="1" applyBorder="1" applyAlignment="1">
      <alignment horizontal="center" vertical="center"/>
    </xf>
    <xf numFmtId="168" fontId="97" fillId="0" borderId="1" xfId="2" applyNumberFormat="1" applyFont="1" applyBorder="1" applyAlignment="1">
      <alignment horizontal="center" vertical="center"/>
    </xf>
    <xf numFmtId="169" fontId="97" fillId="0" borderId="1" xfId="2" applyNumberFormat="1" applyFont="1" applyBorder="1" applyAlignment="1">
      <alignment horizontal="center" vertical="center"/>
    </xf>
    <xf numFmtId="9" fontId="97" fillId="0" borderId="1" xfId="2" applyFont="1" applyBorder="1" applyAlignment="1">
      <alignment horizontal="center" vertical="center"/>
    </xf>
    <xf numFmtId="0" fontId="97" fillId="0" borderId="0" xfId="0" quotePrefix="1" applyFont="1" applyAlignment="1">
      <alignment horizontal="center" vertical="center"/>
    </xf>
    <xf numFmtId="168" fontId="97" fillId="0" borderId="1" xfId="0" applyNumberFormat="1" applyFont="1" applyBorder="1" applyAlignment="1">
      <alignment vertical="center"/>
    </xf>
    <xf numFmtId="9" fontId="97" fillId="0" borderId="1" xfId="2" applyFont="1" applyBorder="1" applyAlignment="1">
      <alignment horizontal="left" vertical="center"/>
    </xf>
    <xf numFmtId="168" fontId="98" fillId="0" borderId="1" xfId="2" applyNumberFormat="1" applyFont="1" applyBorder="1" applyAlignment="1">
      <alignment horizontal="center" vertical="center"/>
    </xf>
    <xf numFmtId="0" fontId="97" fillId="0" borderId="1" xfId="16" quotePrefix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2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7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8" fontId="99" fillId="0" borderId="1" xfId="2" applyNumberFormat="1" applyFont="1" applyBorder="1" applyAlignment="1">
      <alignment horizontal="center" vertical="center" wrapText="1"/>
    </xf>
    <xf numFmtId="0" fontId="100" fillId="0" borderId="1" xfId="0" quotePrefix="1" applyFont="1" applyBorder="1" applyAlignment="1">
      <alignment vertical="center"/>
    </xf>
    <xf numFmtId="0" fontId="99" fillId="0" borderId="1" xfId="0" applyFont="1" applyBorder="1" applyAlignment="1">
      <alignment horizontal="center" vertical="center"/>
    </xf>
    <xf numFmtId="173" fontId="99" fillId="0" borderId="1" xfId="0" applyNumberFormat="1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165" fontId="99" fillId="0" borderId="1" xfId="0" quotePrefix="1" applyNumberFormat="1" applyFont="1" applyBorder="1" applyAlignment="1">
      <alignment horizontal="center" vertical="center"/>
    </xf>
    <xf numFmtId="165" fontId="99" fillId="0" borderId="1" xfId="0" applyNumberFormat="1" applyFont="1" applyBorder="1" applyAlignment="1">
      <alignment horizontal="center" vertical="center"/>
    </xf>
    <xf numFmtId="0" fontId="99" fillId="0" borderId="1" xfId="0" quotePrefix="1" applyFont="1" applyBorder="1" applyAlignment="1">
      <alignment horizontal="left" vertical="center"/>
    </xf>
    <xf numFmtId="0" fontId="99" fillId="0" borderId="0" xfId="0" applyFont="1" applyAlignment="1">
      <alignment vertical="center"/>
    </xf>
    <xf numFmtId="174" fontId="99" fillId="0" borderId="1" xfId="1" applyNumberFormat="1" applyFont="1" applyBorder="1" applyAlignment="1">
      <alignment horizontal="center" vertical="center"/>
    </xf>
    <xf numFmtId="168" fontId="99" fillId="12" borderId="1" xfId="2" applyNumberFormat="1" applyFont="1" applyFill="1" applyBorder="1" applyAlignment="1">
      <alignment horizontal="center" vertical="center" wrapText="1"/>
    </xf>
    <xf numFmtId="0" fontId="42" fillId="0" borderId="1" xfId="0" applyFont="1" applyBorder="1" applyAlignment="1">
      <alignment vertical="center"/>
    </xf>
    <xf numFmtId="168" fontId="102" fillId="0" borderId="1" xfId="2" applyNumberFormat="1" applyFont="1" applyBorder="1" applyAlignment="1">
      <alignment horizontal="center" vertical="center"/>
    </xf>
    <xf numFmtId="174" fontId="41" fillId="0" borderId="1" xfId="1" applyNumberFormat="1" applyFont="1" applyBorder="1" applyAlignment="1">
      <alignment horizontal="center" vertical="center"/>
    </xf>
    <xf numFmtId="0" fontId="103" fillId="0" borderId="1" xfId="0" applyFont="1" applyBorder="1" applyAlignment="1">
      <alignment vertical="center"/>
    </xf>
    <xf numFmtId="0" fontId="103" fillId="0" borderId="0" xfId="0" applyFont="1" applyAlignment="1">
      <alignment vertical="center"/>
    </xf>
    <xf numFmtId="166" fontId="103" fillId="0" borderId="1" xfId="2" applyNumberFormat="1" applyFont="1" applyBorder="1" applyAlignment="1">
      <alignment horizontal="center" vertical="center"/>
    </xf>
    <xf numFmtId="0" fontId="104" fillId="0" borderId="0" xfId="0" applyFont="1" applyAlignment="1">
      <alignment vertical="center"/>
    </xf>
    <xf numFmtId="3" fontId="103" fillId="0" borderId="1" xfId="2" applyNumberFormat="1" applyFont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0" fontId="103" fillId="0" borderId="1" xfId="0" quotePrefix="1" applyFont="1" applyBorder="1" applyAlignment="1">
      <alignment horizontal="center" vertical="center"/>
    </xf>
    <xf numFmtId="0" fontId="103" fillId="0" borderId="1" xfId="16" quotePrefix="1" applyFont="1" applyBorder="1" applyAlignment="1">
      <alignment horizontal="center" vertical="center"/>
    </xf>
    <xf numFmtId="0" fontId="103" fillId="0" borderId="1" xfId="0" applyFont="1" applyBorder="1" applyAlignment="1">
      <alignment horizontal="left" vertical="center"/>
    </xf>
    <xf numFmtId="0" fontId="103" fillId="0" borderId="1" xfId="2" applyNumberFormat="1" applyFont="1" applyBorder="1" applyAlignment="1">
      <alignment horizontal="center" vertical="center"/>
    </xf>
    <xf numFmtId="165" fontId="103" fillId="0" borderId="1" xfId="0" applyNumberFormat="1" applyFont="1" applyBorder="1" applyAlignment="1">
      <alignment horizontal="center" vertical="center"/>
    </xf>
    <xf numFmtId="165" fontId="103" fillId="0" borderId="1" xfId="0" quotePrefix="1" applyNumberFormat="1" applyFont="1" applyBorder="1" applyAlignment="1">
      <alignment horizontal="center" vertical="center"/>
    </xf>
    <xf numFmtId="168" fontId="103" fillId="0" borderId="1" xfId="2" applyNumberFormat="1" applyFont="1" applyBorder="1" applyAlignment="1">
      <alignment horizontal="center" vertical="center"/>
    </xf>
    <xf numFmtId="169" fontId="103" fillId="0" borderId="1" xfId="2" applyNumberFormat="1" applyFont="1" applyBorder="1" applyAlignment="1">
      <alignment horizontal="center" vertical="center"/>
    </xf>
    <xf numFmtId="9" fontId="103" fillId="0" borderId="1" xfId="2" applyFont="1" applyBorder="1" applyAlignment="1">
      <alignment horizontal="center" vertical="center"/>
    </xf>
    <xf numFmtId="168" fontId="105" fillId="0" borderId="1" xfId="2" applyNumberFormat="1" applyFont="1" applyBorder="1" applyAlignment="1">
      <alignment horizontal="center" vertical="center" wrapText="1"/>
    </xf>
    <xf numFmtId="0" fontId="106" fillId="0" borderId="0" xfId="0" applyFont="1" applyAlignment="1">
      <alignment vertical="center"/>
    </xf>
    <xf numFmtId="14" fontId="106" fillId="0" borderId="1" xfId="0" applyNumberFormat="1" applyFont="1" applyBorder="1" applyAlignment="1">
      <alignment vertical="center"/>
    </xf>
    <xf numFmtId="0" fontId="106" fillId="0" borderId="1" xfId="0" applyFont="1" applyBorder="1" applyAlignment="1">
      <alignment horizontal="center" vertical="center"/>
    </xf>
    <xf numFmtId="0" fontId="106" fillId="0" borderId="1" xfId="0" applyFont="1" applyBorder="1" applyAlignment="1">
      <alignment vertical="center"/>
    </xf>
    <xf numFmtId="165" fontId="106" fillId="0" borderId="1" xfId="0" applyNumberFormat="1" applyFont="1" applyBorder="1" applyAlignment="1">
      <alignment horizontal="center" vertical="center"/>
    </xf>
    <xf numFmtId="0" fontId="106" fillId="0" borderId="1" xfId="0" applyFont="1" applyBorder="1" applyAlignment="1">
      <alignment horizontal="left" vertical="center"/>
    </xf>
    <xf numFmtId="3" fontId="106" fillId="0" borderId="1" xfId="2" applyNumberFormat="1" applyFont="1" applyBorder="1" applyAlignment="1">
      <alignment horizontal="center" vertical="center"/>
    </xf>
    <xf numFmtId="170" fontId="106" fillId="0" borderId="0" xfId="0" applyNumberFormat="1" applyFont="1" applyAlignment="1">
      <alignment horizontal="center" vertical="center"/>
    </xf>
    <xf numFmtId="169" fontId="106" fillId="0" borderId="1" xfId="2" applyNumberFormat="1" applyFont="1" applyBorder="1" applyAlignment="1">
      <alignment horizontal="center" vertical="center"/>
    </xf>
    <xf numFmtId="14" fontId="106" fillId="0" borderId="1" xfId="2" applyNumberFormat="1" applyFont="1" applyBorder="1" applyAlignment="1">
      <alignment horizontal="center" vertical="center"/>
    </xf>
    <xf numFmtId="0" fontId="106" fillId="0" borderId="0" xfId="0" quotePrefix="1" applyFont="1" applyAlignment="1">
      <alignment horizontal="center" vertical="center"/>
    </xf>
    <xf numFmtId="165" fontId="106" fillId="0" borderId="1" xfId="0" quotePrefix="1" applyNumberFormat="1" applyFont="1" applyBorder="1" applyAlignment="1">
      <alignment horizontal="center" vertical="center"/>
    </xf>
    <xf numFmtId="0" fontId="107" fillId="0" borderId="0" xfId="0" applyFont="1" applyAlignment="1">
      <alignment vertical="center"/>
    </xf>
    <xf numFmtId="0" fontId="107" fillId="0" borderId="1" xfId="0" applyFont="1" applyBorder="1" applyAlignment="1">
      <alignment vertical="center"/>
    </xf>
    <xf numFmtId="0" fontId="107" fillId="0" borderId="1" xfId="0" applyFont="1" applyBorder="1" applyAlignment="1">
      <alignment horizontal="center" vertical="center"/>
    </xf>
    <xf numFmtId="0" fontId="107" fillId="0" borderId="1" xfId="0" quotePrefix="1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0" fontId="107" fillId="0" borderId="1" xfId="2" applyNumberFormat="1" applyFont="1" applyBorder="1" applyAlignment="1">
      <alignment horizontal="center" vertical="center"/>
    </xf>
    <xf numFmtId="165" fontId="107" fillId="0" borderId="1" xfId="0" applyNumberFormat="1" applyFont="1" applyBorder="1" applyAlignment="1">
      <alignment horizontal="center" vertical="center"/>
    </xf>
    <xf numFmtId="165" fontId="107" fillId="0" borderId="1" xfId="0" quotePrefix="1" applyNumberFormat="1" applyFont="1" applyBorder="1" applyAlignment="1">
      <alignment horizontal="center" vertical="center"/>
    </xf>
    <xf numFmtId="0" fontId="108" fillId="0" borderId="0" xfId="0" applyFont="1" applyAlignment="1">
      <alignment vertical="center"/>
    </xf>
    <xf numFmtId="3" fontId="107" fillId="0" borderId="1" xfId="2" applyNumberFormat="1" applyFont="1" applyBorder="1" applyAlignment="1">
      <alignment horizontal="center" vertical="center"/>
    </xf>
    <xf numFmtId="168" fontId="107" fillId="0" borderId="1" xfId="2" applyNumberFormat="1" applyFont="1" applyBorder="1" applyAlignment="1">
      <alignment horizontal="center" vertical="center"/>
    </xf>
    <xf numFmtId="169" fontId="107" fillId="0" borderId="1" xfId="2" applyNumberFormat="1" applyFont="1" applyBorder="1" applyAlignment="1">
      <alignment horizontal="center" vertical="center"/>
    </xf>
    <xf numFmtId="9" fontId="107" fillId="0" borderId="1" xfId="2" applyFont="1" applyBorder="1" applyAlignment="1">
      <alignment horizontal="center" vertical="center"/>
    </xf>
    <xf numFmtId="0" fontId="107" fillId="0" borderId="0" xfId="0" quotePrefix="1" applyFont="1" applyAlignment="1">
      <alignment horizontal="center" vertical="center"/>
    </xf>
    <xf numFmtId="0" fontId="107" fillId="0" borderId="0" xfId="0" applyFont="1" applyAlignment="1">
      <alignment vertical="center" wrapText="1"/>
    </xf>
    <xf numFmtId="168" fontId="107" fillId="0" borderId="1" xfId="0" applyNumberFormat="1" applyFont="1" applyBorder="1" applyAlignment="1">
      <alignment vertical="center"/>
    </xf>
    <xf numFmtId="0" fontId="107" fillId="0" borderId="1" xfId="0" quotePrefix="1" applyFont="1" applyBorder="1" applyAlignment="1">
      <alignment vertical="center"/>
    </xf>
    <xf numFmtId="0" fontId="107" fillId="0" borderId="1" xfId="16" quotePrefix="1" applyFont="1" applyBorder="1" applyAlignment="1">
      <alignment vertical="center"/>
    </xf>
    <xf numFmtId="9" fontId="107" fillId="0" borderId="1" xfId="2" applyFont="1" applyBorder="1" applyAlignment="1">
      <alignment horizontal="center" vertical="center" wrapText="1"/>
    </xf>
    <xf numFmtId="9" fontId="107" fillId="0" borderId="1" xfId="2" applyFont="1" applyBorder="1" applyAlignment="1">
      <alignment horizontal="left" vertical="center"/>
    </xf>
    <xf numFmtId="168" fontId="109" fillId="0" borderId="1" xfId="2" applyNumberFormat="1" applyFont="1" applyBorder="1" applyAlignment="1">
      <alignment horizontal="center" vertical="center"/>
    </xf>
    <xf numFmtId="0" fontId="110" fillId="0" borderId="1" xfId="0" applyFont="1" applyBorder="1" applyAlignment="1">
      <alignment vertical="center"/>
    </xf>
    <xf numFmtId="16" fontId="112" fillId="0" borderId="2" xfId="0" applyNumberFormat="1" applyFont="1" applyBorder="1" applyAlignment="1">
      <alignment horizontal="center" vertical="center" wrapText="1"/>
    </xf>
    <xf numFmtId="168" fontId="111" fillId="0" borderId="1" xfId="2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vertical="center" wrapText="1"/>
    </xf>
    <xf numFmtId="0" fontId="111" fillId="0" borderId="0" xfId="0" applyFont="1" applyAlignment="1">
      <alignment vertical="center" wrapText="1"/>
    </xf>
    <xf numFmtId="0" fontId="114" fillId="0" borderId="1" xfId="0" applyFont="1" applyBorder="1" applyAlignment="1">
      <alignment horizontal="left" vertical="center"/>
    </xf>
    <xf numFmtId="0" fontId="114" fillId="0" borderId="0" xfId="0" applyFont="1" applyAlignment="1">
      <alignment vertical="center"/>
    </xf>
    <xf numFmtId="168" fontId="114" fillId="0" borderId="1" xfId="0" applyNumberFormat="1" applyFont="1" applyBorder="1" applyAlignment="1">
      <alignment vertical="center"/>
    </xf>
    <xf numFmtId="0" fontId="114" fillId="0" borderId="1" xfId="0" applyFont="1" applyBorder="1" applyAlignment="1">
      <alignment vertical="center"/>
    </xf>
    <xf numFmtId="0" fontId="114" fillId="0" borderId="1" xfId="0" applyFont="1" applyBorder="1" applyAlignment="1">
      <alignment horizontal="center" vertical="center"/>
    </xf>
    <xf numFmtId="0" fontId="114" fillId="0" borderId="1" xfId="2" applyNumberFormat="1" applyFont="1" applyBorder="1" applyAlignment="1">
      <alignment horizontal="center" vertical="center"/>
    </xf>
    <xf numFmtId="165" fontId="114" fillId="0" borderId="1" xfId="0" applyNumberFormat="1" applyFont="1" applyBorder="1" applyAlignment="1">
      <alignment horizontal="center" vertical="center"/>
    </xf>
    <xf numFmtId="9" fontId="114" fillId="0" borderId="1" xfId="2" applyFont="1" applyBorder="1" applyAlignment="1">
      <alignment horizontal="center" vertical="center"/>
    </xf>
    <xf numFmtId="3" fontId="114" fillId="0" borderId="1" xfId="2" applyNumberFormat="1" applyFont="1" applyBorder="1" applyAlignment="1">
      <alignment horizontal="center" vertical="center"/>
    </xf>
    <xf numFmtId="9" fontId="114" fillId="0" borderId="1" xfId="2" applyFont="1" applyBorder="1" applyAlignment="1">
      <alignment horizontal="left" vertical="center"/>
    </xf>
    <xf numFmtId="168" fontId="114" fillId="0" borderId="1" xfId="2" applyNumberFormat="1" applyFont="1" applyBorder="1" applyAlignment="1">
      <alignment horizontal="center" vertical="center"/>
    </xf>
    <xf numFmtId="169" fontId="114" fillId="0" borderId="1" xfId="2" applyNumberFormat="1" applyFont="1" applyBorder="1" applyAlignment="1">
      <alignment horizontal="center" vertical="center"/>
    </xf>
    <xf numFmtId="168" fontId="115" fillId="0" borderId="1" xfId="2" applyNumberFormat="1" applyFont="1" applyBorder="1" applyAlignment="1">
      <alignment horizontal="center" vertical="center"/>
    </xf>
    <xf numFmtId="0" fontId="114" fillId="0" borderId="0" xfId="0" quotePrefix="1" applyFont="1" applyAlignment="1">
      <alignment horizontal="center" vertical="center"/>
    </xf>
    <xf numFmtId="0" fontId="114" fillId="0" borderId="0" xfId="0" applyFont="1" applyAlignment="1">
      <alignment vertical="center" wrapText="1"/>
    </xf>
    <xf numFmtId="165" fontId="114" fillId="0" borderId="1" xfId="0" quotePrefix="1" applyNumberFormat="1" applyFont="1" applyBorder="1" applyAlignment="1">
      <alignment horizontal="center" vertical="center"/>
    </xf>
    <xf numFmtId="0" fontId="116" fillId="0" borderId="1" xfId="0" applyFont="1" applyBorder="1" applyAlignment="1">
      <alignment horizontal="left" vertical="center"/>
    </xf>
    <xf numFmtId="0" fontId="116" fillId="0" borderId="1" xfId="0" quotePrefix="1" applyFont="1" applyBorder="1" applyAlignment="1">
      <alignment vertical="center"/>
    </xf>
    <xf numFmtId="0" fontId="116" fillId="0" borderId="0" xfId="0" applyFont="1" applyAlignment="1">
      <alignment vertical="center"/>
    </xf>
    <xf numFmtId="0" fontId="116" fillId="0" borderId="0" xfId="0" applyFont="1" applyAlignment="1">
      <alignment vertical="center" wrapText="1"/>
    </xf>
    <xf numFmtId="168" fontId="116" fillId="0" borderId="1" xfId="0" applyNumberFormat="1" applyFont="1" applyBorder="1" applyAlignment="1">
      <alignment vertical="center"/>
    </xf>
    <xf numFmtId="0" fontId="116" fillId="0" borderId="1" xfId="0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116" fillId="0" borderId="1" xfId="2" applyNumberFormat="1" applyFont="1" applyBorder="1" applyAlignment="1">
      <alignment horizontal="center" vertical="center"/>
    </xf>
    <xf numFmtId="165" fontId="116" fillId="0" borderId="1" xfId="0" applyNumberFormat="1" applyFont="1" applyBorder="1" applyAlignment="1">
      <alignment horizontal="center" vertical="center"/>
    </xf>
    <xf numFmtId="9" fontId="116" fillId="0" borderId="1" xfId="2" applyFont="1" applyBorder="1" applyAlignment="1">
      <alignment horizontal="center" vertical="center" wrapText="1"/>
    </xf>
    <xf numFmtId="165" fontId="116" fillId="0" borderId="1" xfId="0" quotePrefix="1" applyNumberFormat="1" applyFont="1" applyBorder="1" applyAlignment="1">
      <alignment horizontal="center" vertical="center"/>
    </xf>
    <xf numFmtId="3" fontId="116" fillId="0" borderId="1" xfId="2" applyNumberFormat="1" applyFont="1" applyBorder="1" applyAlignment="1">
      <alignment horizontal="center" vertical="center"/>
    </xf>
    <xf numFmtId="9" fontId="116" fillId="0" borderId="1" xfId="2" applyFont="1" applyBorder="1" applyAlignment="1">
      <alignment horizontal="left" vertical="center"/>
    </xf>
    <xf numFmtId="168" fontId="116" fillId="0" borderId="1" xfId="2" applyNumberFormat="1" applyFont="1" applyBorder="1" applyAlignment="1">
      <alignment horizontal="center" vertical="center"/>
    </xf>
    <xf numFmtId="169" fontId="116" fillId="0" borderId="1" xfId="2" applyNumberFormat="1" applyFont="1" applyBorder="1" applyAlignment="1">
      <alignment horizontal="center" vertical="center"/>
    </xf>
    <xf numFmtId="168" fontId="117" fillId="0" borderId="1" xfId="2" applyNumberFormat="1" applyFont="1" applyBorder="1" applyAlignment="1">
      <alignment horizontal="center" vertical="center"/>
    </xf>
    <xf numFmtId="0" fontId="116" fillId="0" borderId="0" xfId="0" quotePrefix="1" applyFont="1" applyAlignment="1">
      <alignment horizontal="center" vertical="center"/>
    </xf>
    <xf numFmtId="0" fontId="118" fillId="0" borderId="0" xfId="0" applyFont="1" applyAlignment="1">
      <alignment vertical="center"/>
    </xf>
    <xf numFmtId="0" fontId="116" fillId="0" borderId="1" xfId="0" applyFont="1" applyBorder="1" applyAlignment="1">
      <alignment vertical="center"/>
    </xf>
    <xf numFmtId="0" fontId="116" fillId="0" borderId="0" xfId="0" applyFont="1" applyAlignment="1">
      <alignment horizontal="center" vertical="center"/>
    </xf>
    <xf numFmtId="9" fontId="116" fillId="0" borderId="1" xfId="2" applyFont="1" applyBorder="1" applyAlignment="1">
      <alignment horizontal="center" vertical="center"/>
    </xf>
    <xf numFmtId="0" fontId="116" fillId="15" borderId="0" xfId="0" applyFont="1" applyFill="1" applyAlignment="1">
      <alignment vertical="center"/>
    </xf>
    <xf numFmtId="0" fontId="116" fillId="0" borderId="1" xfId="16" quotePrefix="1" applyFont="1" applyBorder="1" applyAlignment="1">
      <alignment horizontal="center" vertical="center"/>
    </xf>
    <xf numFmtId="166" fontId="116" fillId="0" borderId="1" xfId="2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left" vertical="center"/>
    </xf>
    <xf numFmtId="165" fontId="119" fillId="0" borderId="1" xfId="0" quotePrefix="1" applyNumberFormat="1" applyFont="1" applyBorder="1" applyAlignment="1">
      <alignment horizontal="center" vertical="center"/>
    </xf>
    <xf numFmtId="168" fontId="120" fillId="0" borderId="1" xfId="2" applyNumberFormat="1" applyFont="1" applyBorder="1" applyAlignment="1">
      <alignment horizontal="center" vertical="center" wrapText="1"/>
    </xf>
    <xf numFmtId="0" fontId="121" fillId="0" borderId="0" xfId="0" applyFont="1" applyAlignment="1">
      <alignment vertical="center"/>
    </xf>
    <xf numFmtId="0" fontId="122" fillId="0" borderId="1" xfId="0" quotePrefix="1" applyFont="1" applyBorder="1" applyAlignment="1">
      <alignment vertical="center"/>
    </xf>
    <xf numFmtId="0" fontId="120" fillId="0" borderId="1" xfId="0" applyFont="1" applyBorder="1" applyAlignment="1">
      <alignment horizontal="center" vertical="center"/>
    </xf>
    <xf numFmtId="173" fontId="120" fillId="0" borderId="1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5" fontId="120" fillId="0" borderId="1" xfId="0" quotePrefix="1" applyNumberFormat="1" applyFont="1" applyBorder="1" applyAlignment="1">
      <alignment horizontal="center" vertical="center"/>
    </xf>
    <xf numFmtId="165" fontId="120" fillId="0" borderId="1" xfId="0" applyNumberFormat="1" applyFont="1" applyBorder="1" applyAlignment="1">
      <alignment horizontal="center" vertical="center"/>
    </xf>
    <xf numFmtId="0" fontId="120" fillId="0" borderId="1" xfId="0" applyFont="1" applyBorder="1" applyAlignment="1">
      <alignment horizontal="left" vertical="center"/>
    </xf>
    <xf numFmtId="0" fontId="120" fillId="0" borderId="0" xfId="0" applyFont="1" applyAlignment="1">
      <alignment vertical="center"/>
    </xf>
    <xf numFmtId="174" fontId="120" fillId="0" borderId="1" xfId="1" applyNumberFormat="1" applyFont="1" applyBorder="1" applyAlignment="1">
      <alignment horizontal="center" vertical="center"/>
    </xf>
    <xf numFmtId="168" fontId="120" fillId="12" borderId="1" xfId="2" applyNumberFormat="1" applyFont="1" applyFill="1" applyBorder="1" applyAlignment="1">
      <alignment horizontal="center" vertical="center" wrapText="1"/>
    </xf>
    <xf numFmtId="172" fontId="122" fillId="0" borderId="0" xfId="0" applyNumberFormat="1" applyFont="1" applyAlignment="1">
      <alignment horizontal="center" vertical="center"/>
    </xf>
    <xf numFmtId="0" fontId="124" fillId="0" borderId="0" xfId="0" applyFont="1" applyAlignment="1">
      <alignment vertical="center"/>
    </xf>
    <xf numFmtId="0" fontId="81" fillId="12" borderId="12" xfId="0" applyFont="1" applyFill="1" applyBorder="1" applyAlignment="1">
      <alignment horizontal="center" vertical="center" wrapText="1"/>
    </xf>
    <xf numFmtId="0" fontId="125" fillId="0" borderId="1" xfId="0" applyFont="1" applyBorder="1" applyAlignment="1">
      <alignment vertical="center"/>
    </xf>
    <xf numFmtId="0" fontId="125" fillId="0" borderId="1" xfId="0" quotePrefix="1" applyFont="1" applyBorder="1" applyAlignment="1">
      <alignment vertical="center"/>
    </xf>
    <xf numFmtId="0" fontId="126" fillId="0" borderId="1" xfId="0" applyFont="1" applyBorder="1" applyAlignment="1">
      <alignment horizontal="center" vertical="center"/>
    </xf>
    <xf numFmtId="173" fontId="126" fillId="0" borderId="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165" fontId="126" fillId="0" borderId="1" xfId="0" quotePrefix="1" applyNumberFormat="1" applyFont="1" applyBorder="1" applyAlignment="1">
      <alignment horizontal="center" vertical="center"/>
    </xf>
    <xf numFmtId="165" fontId="126" fillId="0" borderId="1" xfId="0" applyNumberFormat="1" applyFont="1" applyBorder="1" applyAlignment="1">
      <alignment horizontal="center" vertical="center"/>
    </xf>
    <xf numFmtId="0" fontId="126" fillId="0" borderId="1" xfId="0" applyFont="1" applyBorder="1" applyAlignment="1">
      <alignment horizontal="left" vertical="center"/>
    </xf>
    <xf numFmtId="0" fontId="126" fillId="0" borderId="0" xfId="0" applyFont="1" applyAlignment="1">
      <alignment vertical="center"/>
    </xf>
    <xf numFmtId="174" fontId="126" fillId="0" borderId="1" xfId="1" applyNumberFormat="1" applyFont="1" applyBorder="1" applyAlignment="1">
      <alignment horizontal="center" vertical="center"/>
    </xf>
    <xf numFmtId="168" fontId="126" fillId="0" borderId="1" xfId="2" applyNumberFormat="1" applyFont="1" applyBorder="1" applyAlignment="1">
      <alignment horizontal="center" vertical="center" wrapText="1"/>
    </xf>
    <xf numFmtId="168" fontId="126" fillId="12" borderId="1" xfId="2" applyNumberFormat="1" applyFont="1" applyFill="1" applyBorder="1" applyAlignment="1">
      <alignment horizontal="center" vertical="center" wrapText="1"/>
    </xf>
    <xf numFmtId="165" fontId="128" fillId="0" borderId="1" xfId="0" applyNumberFormat="1" applyFont="1" applyBorder="1" applyAlignment="1">
      <alignment horizontal="center" vertical="center"/>
    </xf>
    <xf numFmtId="169" fontId="128" fillId="0" borderId="1" xfId="2" applyNumberFormat="1" applyFont="1" applyBorder="1" applyAlignment="1">
      <alignment horizontal="center" vertical="center"/>
    </xf>
    <xf numFmtId="0" fontId="128" fillId="0" borderId="0" xfId="0" applyFont="1" applyAlignment="1">
      <alignment vertical="center" wrapText="1"/>
    </xf>
    <xf numFmtId="0" fontId="128" fillId="0" borderId="0" xfId="0" applyFont="1" applyAlignment="1">
      <alignment vertical="center"/>
    </xf>
    <xf numFmtId="168" fontId="128" fillId="0" borderId="1" xfId="0" applyNumberFormat="1" applyFont="1" applyBorder="1" applyAlignment="1">
      <alignment vertical="center"/>
    </xf>
    <xf numFmtId="0" fontId="128" fillId="0" borderId="1" xfId="0" quotePrefix="1" applyFont="1" applyBorder="1" applyAlignment="1">
      <alignment vertical="center"/>
    </xf>
    <xf numFmtId="0" fontId="128" fillId="0" borderId="1" xfId="0" applyFont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28" fillId="0" borderId="1" xfId="0" quotePrefix="1" applyFont="1" applyBorder="1" applyAlignment="1">
      <alignment horizontal="center" vertical="center"/>
    </xf>
    <xf numFmtId="0" fontId="128" fillId="0" borderId="1" xfId="0" applyFont="1" applyBorder="1" applyAlignment="1">
      <alignment horizontal="left" vertical="center"/>
    </xf>
    <xf numFmtId="0" fontId="128" fillId="0" borderId="1" xfId="2" applyNumberFormat="1" applyFont="1" applyBorder="1" applyAlignment="1">
      <alignment horizontal="center" vertical="center"/>
    </xf>
    <xf numFmtId="9" fontId="128" fillId="0" borderId="1" xfId="2" applyFont="1" applyBorder="1" applyAlignment="1">
      <alignment horizontal="center" vertical="center" wrapText="1"/>
    </xf>
    <xf numFmtId="165" fontId="128" fillId="0" borderId="1" xfId="0" quotePrefix="1" applyNumberFormat="1" applyFont="1" applyBorder="1" applyAlignment="1">
      <alignment horizontal="center" vertical="center"/>
    </xf>
    <xf numFmtId="3" fontId="128" fillId="0" borderId="1" xfId="2" applyNumberFormat="1" applyFont="1" applyBorder="1" applyAlignment="1">
      <alignment horizontal="center" vertical="center"/>
    </xf>
    <xf numFmtId="9" fontId="128" fillId="0" borderId="1" xfId="2" applyFont="1" applyBorder="1" applyAlignment="1">
      <alignment horizontal="left" vertical="center"/>
    </xf>
    <xf numFmtId="168" fontId="128" fillId="0" borderId="1" xfId="2" applyNumberFormat="1" applyFont="1" applyBorder="1" applyAlignment="1">
      <alignment horizontal="center" vertical="center"/>
    </xf>
    <xf numFmtId="168" fontId="129" fillId="0" borderId="1" xfId="2" applyNumberFormat="1" applyFont="1" applyBorder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130" fillId="0" borderId="0" xfId="0" applyFont="1" applyAlignment="1">
      <alignment vertical="center"/>
    </xf>
    <xf numFmtId="0" fontId="128" fillId="0" borderId="0" xfId="0" quotePrefix="1" applyFont="1" applyAlignment="1">
      <alignment horizontal="center" vertical="center"/>
    </xf>
    <xf numFmtId="0" fontId="131" fillId="0" borderId="1" xfId="0" applyFont="1" applyBorder="1" applyAlignment="1">
      <alignment horizontal="left" vertical="center"/>
    </xf>
    <xf numFmtId="0" fontId="131" fillId="0" borderId="1" xfId="0" applyFont="1" applyBorder="1" applyAlignment="1">
      <alignment horizontal="center" vertical="center"/>
    </xf>
    <xf numFmtId="0" fontId="131" fillId="0" borderId="1" xfId="2" applyNumberFormat="1" applyFont="1" applyBorder="1" applyAlignment="1">
      <alignment horizontal="center" vertical="center"/>
    </xf>
    <xf numFmtId="0" fontId="131" fillId="0" borderId="1" xfId="0" quotePrefix="1" applyFont="1" applyBorder="1" applyAlignment="1">
      <alignment horizontal="center" vertical="center"/>
    </xf>
    <xf numFmtId="0" fontId="131" fillId="0" borderId="1" xfId="16" quotePrefix="1" applyFont="1" applyBorder="1" applyAlignment="1">
      <alignment horizontal="left" vertical="center"/>
    </xf>
    <xf numFmtId="0" fontId="116" fillId="0" borderId="1" xfId="16" quotePrefix="1" applyFont="1" applyBorder="1" applyAlignment="1">
      <alignment horizontal="left" vertical="center"/>
    </xf>
    <xf numFmtId="0" fontId="88" fillId="0" borderId="1" xfId="16" quotePrefix="1" applyFont="1" applyBorder="1" applyAlignment="1">
      <alignment horizontal="left" vertical="center"/>
    </xf>
    <xf numFmtId="0" fontId="31" fillId="0" borderId="1" xfId="16" quotePrefix="1" applyFont="1" applyBorder="1" applyAlignment="1">
      <alignment horizontal="left" vertical="center"/>
    </xf>
    <xf numFmtId="0" fontId="3" fillId="0" borderId="1" xfId="16" quotePrefix="1" applyFont="1" applyBorder="1" applyAlignment="1">
      <alignment horizontal="left" vertical="center"/>
    </xf>
    <xf numFmtId="0" fontId="77" fillId="0" borderId="1" xfId="16" quotePrefix="1" applyFont="1" applyBorder="1" applyAlignment="1">
      <alignment horizontal="left" vertical="center"/>
    </xf>
    <xf numFmtId="0" fontId="57" fillId="0" borderId="1" xfId="16" quotePrefix="1" applyFont="1" applyBorder="1" applyAlignment="1">
      <alignment horizontal="left" vertical="center"/>
    </xf>
    <xf numFmtId="0" fontId="74" fillId="0" borderId="1" xfId="16" quotePrefix="1" applyFont="1" applyBorder="1" applyAlignment="1">
      <alignment horizontal="left" vertical="center"/>
    </xf>
    <xf numFmtId="0" fontId="51" fillId="0" borderId="1" xfId="16" quotePrefix="1" applyFont="1" applyBorder="1" applyAlignment="1">
      <alignment horizontal="left" vertical="center"/>
    </xf>
    <xf numFmtId="0" fontId="34" fillId="0" borderId="1" xfId="16" quotePrefix="1" applyFont="1" applyBorder="1" applyAlignment="1">
      <alignment horizontal="left" vertical="center"/>
    </xf>
    <xf numFmtId="0" fontId="131" fillId="0" borderId="0" xfId="0" applyFont="1" applyAlignment="1">
      <alignment vertical="center"/>
    </xf>
    <xf numFmtId="168" fontId="131" fillId="0" borderId="1" xfId="0" applyNumberFormat="1" applyFont="1" applyBorder="1" applyAlignment="1">
      <alignment vertical="center"/>
    </xf>
    <xf numFmtId="0" fontId="131" fillId="0" borderId="1" xfId="0" quotePrefix="1" applyFont="1" applyBorder="1" applyAlignment="1">
      <alignment vertical="center"/>
    </xf>
    <xf numFmtId="0" fontId="131" fillId="0" borderId="1" xfId="0" applyFont="1" applyBorder="1" applyAlignment="1">
      <alignment vertical="center"/>
    </xf>
    <xf numFmtId="165" fontId="131" fillId="0" borderId="1" xfId="0" applyNumberFormat="1" applyFont="1" applyBorder="1" applyAlignment="1">
      <alignment horizontal="center" vertical="center"/>
    </xf>
    <xf numFmtId="9" fontId="131" fillId="0" borderId="1" xfId="2" applyFont="1" applyBorder="1" applyAlignment="1">
      <alignment horizontal="center" vertical="center" wrapText="1"/>
    </xf>
    <xf numFmtId="165" fontId="131" fillId="0" borderId="1" xfId="0" quotePrefix="1" applyNumberFormat="1" applyFont="1" applyBorder="1" applyAlignment="1">
      <alignment horizontal="center" vertical="center"/>
    </xf>
    <xf numFmtId="3" fontId="131" fillId="0" borderId="1" xfId="2" applyNumberFormat="1" applyFont="1" applyBorder="1" applyAlignment="1">
      <alignment horizontal="center" vertical="center"/>
    </xf>
    <xf numFmtId="9" fontId="131" fillId="0" borderId="1" xfId="2" applyFont="1" applyBorder="1" applyAlignment="1">
      <alignment horizontal="left" vertical="center"/>
    </xf>
    <xf numFmtId="168" fontId="131" fillId="0" borderId="1" xfId="2" applyNumberFormat="1" applyFont="1" applyBorder="1" applyAlignment="1">
      <alignment horizontal="center" vertical="center"/>
    </xf>
    <xf numFmtId="169" fontId="131" fillId="0" borderId="1" xfId="2" applyNumberFormat="1" applyFont="1" applyBorder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32" fillId="0" borderId="0" xfId="0" applyFont="1" applyAlignment="1">
      <alignment vertical="center"/>
    </xf>
    <xf numFmtId="166" fontId="131" fillId="0" borderId="1" xfId="2" applyNumberFormat="1" applyFont="1" applyBorder="1" applyAlignment="1">
      <alignment horizontal="center" vertical="center"/>
    </xf>
    <xf numFmtId="9" fontId="131" fillId="0" borderId="1" xfId="2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33" fillId="0" borderId="0" xfId="0" applyFont="1" applyAlignment="1">
      <alignment vertical="center"/>
    </xf>
    <xf numFmtId="0" fontId="134" fillId="0" borderId="1" xfId="0" quotePrefix="1" applyFont="1" applyBorder="1" applyAlignment="1">
      <alignment vertical="center"/>
    </xf>
    <xf numFmtId="0" fontId="135" fillId="0" borderId="1" xfId="0" applyFont="1" applyBorder="1" applyAlignment="1">
      <alignment horizontal="center" vertical="center"/>
    </xf>
    <xf numFmtId="173" fontId="135" fillId="0" borderId="1" xfId="0" applyNumberFormat="1" applyFont="1" applyBorder="1" applyAlignment="1">
      <alignment horizontal="center" vertical="center"/>
    </xf>
    <xf numFmtId="0" fontId="136" fillId="0" borderId="0" xfId="0" applyFont="1" applyAlignment="1">
      <alignment horizontal="center" vertical="center"/>
    </xf>
    <xf numFmtId="165" fontId="135" fillId="0" borderId="1" xfId="0" quotePrefix="1" applyNumberFormat="1" applyFont="1" applyBorder="1" applyAlignment="1">
      <alignment horizontal="center" vertical="center"/>
    </xf>
    <xf numFmtId="165" fontId="135" fillId="0" borderId="1" xfId="0" applyNumberFormat="1" applyFont="1" applyBorder="1" applyAlignment="1">
      <alignment horizontal="center" vertical="center"/>
    </xf>
    <xf numFmtId="0" fontId="135" fillId="0" borderId="1" xfId="0" applyFont="1" applyBorder="1" applyAlignment="1">
      <alignment horizontal="left" vertical="center"/>
    </xf>
    <xf numFmtId="0" fontId="135" fillId="0" borderId="0" xfId="0" applyFont="1" applyAlignment="1">
      <alignment vertical="center"/>
    </xf>
    <xf numFmtId="174" fontId="135" fillId="0" borderId="1" xfId="1" applyNumberFormat="1" applyFont="1" applyBorder="1" applyAlignment="1">
      <alignment horizontal="center" vertical="center"/>
    </xf>
    <xf numFmtId="168" fontId="135" fillId="0" borderId="1" xfId="2" applyNumberFormat="1" applyFont="1" applyBorder="1" applyAlignment="1">
      <alignment horizontal="center" vertical="center" wrapText="1"/>
    </xf>
    <xf numFmtId="168" fontId="135" fillId="12" borderId="1" xfId="2" applyNumberFormat="1" applyFont="1" applyFill="1" applyBorder="1" applyAlignment="1">
      <alignment horizontal="center" vertical="center" wrapText="1"/>
    </xf>
    <xf numFmtId="3" fontId="137" fillId="0" borderId="1" xfId="2" applyNumberFormat="1" applyFont="1" applyBorder="1" applyAlignment="1">
      <alignment horizontal="center" vertical="center"/>
    </xf>
    <xf numFmtId="0" fontId="138" fillId="20" borderId="1" xfId="0" quotePrefix="1" applyFont="1" applyFill="1" applyBorder="1" applyAlignment="1">
      <alignment horizontal="center" vertical="center"/>
    </xf>
    <xf numFmtId="175" fontId="41" fillId="0" borderId="1" xfId="2" applyNumberFormat="1" applyFont="1" applyFill="1" applyBorder="1" applyAlignment="1">
      <alignment horizontal="center" vertical="center"/>
    </xf>
    <xf numFmtId="168" fontId="139" fillId="0" borderId="1" xfId="2" applyNumberFormat="1" applyFont="1" applyBorder="1" applyAlignment="1">
      <alignment horizontal="center" vertical="center"/>
    </xf>
    <xf numFmtId="0" fontId="139" fillId="0" borderId="0" xfId="0" applyFont="1" applyAlignment="1">
      <alignment vertical="center" wrapText="1"/>
    </xf>
    <xf numFmtId="0" fontId="139" fillId="0" borderId="0" xfId="0" applyFont="1" applyAlignment="1">
      <alignment vertical="center"/>
    </xf>
    <xf numFmtId="168" fontId="139" fillId="0" borderId="1" xfId="0" applyNumberFormat="1" applyFont="1" applyBorder="1" applyAlignment="1">
      <alignment vertical="center"/>
    </xf>
    <xf numFmtId="0" fontId="139" fillId="0" borderId="1" xfId="0" quotePrefix="1" applyFont="1" applyBorder="1" applyAlignment="1">
      <alignment vertical="center"/>
    </xf>
    <xf numFmtId="0" fontId="139" fillId="0" borderId="1" xfId="0" applyFont="1" applyBorder="1" applyAlignment="1">
      <alignment horizontal="center" vertical="center"/>
    </xf>
    <xf numFmtId="0" fontId="139" fillId="0" borderId="1" xfId="0" quotePrefix="1" applyFont="1" applyBorder="1" applyAlignment="1">
      <alignment horizontal="center" vertical="center"/>
    </xf>
    <xf numFmtId="0" fontId="139" fillId="0" borderId="1" xfId="0" applyFont="1" applyBorder="1" applyAlignment="1">
      <alignment horizontal="left" vertical="center"/>
    </xf>
    <xf numFmtId="0" fontId="139" fillId="0" borderId="1" xfId="2" applyNumberFormat="1" applyFont="1" applyBorder="1" applyAlignment="1">
      <alignment horizontal="center" vertical="center"/>
    </xf>
    <xf numFmtId="165" fontId="139" fillId="0" borderId="1" xfId="0" applyNumberFormat="1" applyFont="1" applyBorder="1" applyAlignment="1">
      <alignment horizontal="center" vertical="center"/>
    </xf>
    <xf numFmtId="9" fontId="139" fillId="0" borderId="1" xfId="2" applyFont="1" applyBorder="1" applyAlignment="1">
      <alignment horizontal="center" vertical="center" wrapText="1"/>
    </xf>
    <xf numFmtId="165" fontId="139" fillId="0" borderId="1" xfId="0" quotePrefix="1" applyNumberFormat="1" applyFont="1" applyBorder="1" applyAlignment="1">
      <alignment horizontal="center" vertical="center"/>
    </xf>
    <xf numFmtId="3" fontId="139" fillId="0" borderId="1" xfId="2" applyNumberFormat="1" applyFont="1" applyBorder="1" applyAlignment="1">
      <alignment horizontal="center" vertical="center"/>
    </xf>
    <xf numFmtId="9" fontId="139" fillId="0" borderId="1" xfId="2" applyFont="1" applyBorder="1" applyAlignment="1">
      <alignment horizontal="left" vertical="center"/>
    </xf>
    <xf numFmtId="169" fontId="139" fillId="0" borderId="1" xfId="2" applyNumberFormat="1" applyFont="1" applyBorder="1" applyAlignment="1">
      <alignment horizontal="center" vertical="center"/>
    </xf>
    <xf numFmtId="168" fontId="140" fillId="0" borderId="1" xfId="2" applyNumberFormat="1" applyFont="1" applyBorder="1" applyAlignment="1">
      <alignment horizontal="center" vertical="center"/>
    </xf>
    <xf numFmtId="0" fontId="139" fillId="0" borderId="0" xfId="0" quotePrefix="1" applyFont="1" applyAlignment="1">
      <alignment horizontal="center" vertical="center"/>
    </xf>
    <xf numFmtId="0" fontId="141" fillId="0" borderId="0" xfId="0" applyFont="1" applyAlignment="1">
      <alignment vertical="center"/>
    </xf>
    <xf numFmtId="0" fontId="142" fillId="0" borderId="1" xfId="0" applyFont="1" applyBorder="1" applyAlignment="1">
      <alignment horizontal="left" vertical="center"/>
    </xf>
    <xf numFmtId="14" fontId="143" fillId="0" borderId="1" xfId="2" applyNumberFormat="1" applyFont="1" applyBorder="1" applyAlignment="1">
      <alignment horizontal="center" vertical="center"/>
    </xf>
    <xf numFmtId="0" fontId="142" fillId="0" borderId="1" xfId="0" applyFont="1" applyBorder="1" applyAlignment="1">
      <alignment horizontal="center" vertical="center"/>
    </xf>
    <xf numFmtId="0" fontId="142" fillId="0" borderId="0" xfId="0" applyFont="1" applyAlignment="1">
      <alignment vertical="center"/>
    </xf>
    <xf numFmtId="0" fontId="142" fillId="0" borderId="1" xfId="0" applyFont="1" applyBorder="1" applyAlignment="1">
      <alignment vertical="center"/>
    </xf>
    <xf numFmtId="0" fontId="142" fillId="0" borderId="1" xfId="0" quotePrefix="1" applyFont="1" applyBorder="1" applyAlignment="1">
      <alignment horizontal="center" vertical="center"/>
    </xf>
    <xf numFmtId="0" fontId="142" fillId="0" borderId="1" xfId="2" applyNumberFormat="1" applyFont="1" applyBorder="1" applyAlignment="1">
      <alignment horizontal="center" vertical="center"/>
    </xf>
    <xf numFmtId="165" fontId="142" fillId="0" borderId="1" xfId="0" applyNumberFormat="1" applyFont="1" applyBorder="1" applyAlignment="1">
      <alignment horizontal="center" vertical="center"/>
    </xf>
    <xf numFmtId="166" fontId="142" fillId="0" borderId="1" xfId="2" applyNumberFormat="1" applyFont="1" applyBorder="1" applyAlignment="1">
      <alignment horizontal="center" vertical="center"/>
    </xf>
    <xf numFmtId="165" fontId="142" fillId="0" borderId="1" xfId="0" quotePrefix="1" applyNumberFormat="1" applyFont="1" applyBorder="1" applyAlignment="1">
      <alignment horizontal="center" vertical="center"/>
    </xf>
    <xf numFmtId="0" fontId="144" fillId="0" borderId="0" xfId="0" applyFont="1" applyAlignment="1">
      <alignment vertical="center"/>
    </xf>
    <xf numFmtId="3" fontId="142" fillId="0" borderId="1" xfId="2" applyNumberFormat="1" applyFont="1" applyBorder="1" applyAlignment="1">
      <alignment horizontal="center" vertical="center"/>
    </xf>
    <xf numFmtId="168" fontId="142" fillId="0" borderId="1" xfId="2" applyNumberFormat="1" applyFont="1" applyBorder="1" applyAlignment="1">
      <alignment horizontal="center" vertical="center"/>
    </xf>
    <xf numFmtId="169" fontId="142" fillId="0" borderId="1" xfId="2" applyNumberFormat="1" applyFont="1" applyBorder="1" applyAlignment="1">
      <alignment horizontal="center" vertical="center"/>
    </xf>
    <xf numFmtId="9" fontId="142" fillId="0" borderId="1" xfId="2" applyFont="1" applyBorder="1" applyAlignment="1">
      <alignment horizontal="center" vertical="center"/>
    </xf>
    <xf numFmtId="168" fontId="145" fillId="0" borderId="1" xfId="2" applyNumberFormat="1" applyFont="1" applyBorder="1" applyAlignment="1">
      <alignment horizontal="center" vertical="center" wrapText="1"/>
    </xf>
    <xf numFmtId="0" fontId="146" fillId="0" borderId="0" xfId="0" applyFont="1" applyAlignment="1">
      <alignment vertical="center"/>
    </xf>
    <xf numFmtId="0" fontId="146" fillId="0" borderId="1" xfId="0" applyFont="1" applyBorder="1" applyAlignment="1">
      <alignment vertical="center"/>
    </xf>
    <xf numFmtId="0" fontId="146" fillId="0" borderId="1" xfId="0" applyFont="1" applyBorder="1" applyAlignment="1">
      <alignment horizontal="center" vertical="center"/>
    </xf>
    <xf numFmtId="0" fontId="146" fillId="0" borderId="1" xfId="0" quotePrefix="1" applyFont="1" applyBorder="1" applyAlignment="1">
      <alignment horizontal="center" vertical="center"/>
    </xf>
    <xf numFmtId="0" fontId="146" fillId="0" borderId="1" xfId="0" applyFont="1" applyBorder="1" applyAlignment="1">
      <alignment horizontal="left" vertical="center"/>
    </xf>
    <xf numFmtId="0" fontId="146" fillId="0" borderId="1" xfId="2" applyNumberFormat="1" applyFont="1" applyBorder="1" applyAlignment="1">
      <alignment horizontal="center" vertical="center"/>
    </xf>
    <xf numFmtId="165" fontId="146" fillId="0" borderId="1" xfId="0" applyNumberFormat="1" applyFont="1" applyBorder="1" applyAlignment="1">
      <alignment horizontal="center" vertical="center"/>
    </xf>
    <xf numFmtId="166" fontId="146" fillId="0" borderId="1" xfId="2" applyNumberFormat="1" applyFont="1" applyBorder="1" applyAlignment="1">
      <alignment horizontal="center" vertical="center"/>
    </xf>
    <xf numFmtId="165" fontId="146" fillId="0" borderId="1" xfId="0" quotePrefix="1" applyNumberFormat="1" applyFont="1" applyBorder="1" applyAlignment="1">
      <alignment horizontal="center" vertical="center"/>
    </xf>
    <xf numFmtId="3" fontId="146" fillId="0" borderId="1" xfId="2" applyNumberFormat="1" applyFont="1" applyBorder="1" applyAlignment="1">
      <alignment horizontal="center" vertical="center"/>
    </xf>
    <xf numFmtId="168" fontId="146" fillId="0" borderId="1" xfId="2" applyNumberFormat="1" applyFont="1" applyBorder="1" applyAlignment="1">
      <alignment horizontal="center" vertical="center"/>
    </xf>
    <xf numFmtId="169" fontId="146" fillId="0" borderId="1" xfId="2" applyNumberFormat="1" applyFont="1" applyBorder="1" applyAlignment="1">
      <alignment horizontal="center" vertical="center"/>
    </xf>
    <xf numFmtId="9" fontId="146" fillId="0" borderId="1" xfId="2" applyFont="1" applyBorder="1" applyAlignment="1">
      <alignment horizontal="center" vertical="center"/>
    </xf>
    <xf numFmtId="168" fontId="147" fillId="0" borderId="1" xfId="2" applyNumberFormat="1" applyFont="1" applyBorder="1" applyAlignment="1">
      <alignment horizontal="center" vertical="center" wrapText="1"/>
    </xf>
    <xf numFmtId="0" fontId="146" fillId="0" borderId="1" xfId="0" quotePrefix="1" applyFont="1" applyBorder="1" applyAlignment="1">
      <alignment vertical="center"/>
    </xf>
    <xf numFmtId="0" fontId="146" fillId="0" borderId="1" xfId="16" quotePrefix="1" applyFont="1" applyBorder="1" applyAlignment="1">
      <alignment horizontal="left" vertical="center"/>
    </xf>
    <xf numFmtId="0" fontId="146" fillId="0" borderId="0" xfId="0" applyFont="1" applyAlignment="1">
      <alignment vertical="center" wrapText="1"/>
    </xf>
    <xf numFmtId="168" fontId="146" fillId="0" borderId="1" xfId="0" applyNumberFormat="1" applyFont="1" applyBorder="1" applyAlignment="1">
      <alignment vertical="center"/>
    </xf>
    <xf numFmtId="9" fontId="146" fillId="0" borderId="1" xfId="2" applyFont="1" applyBorder="1" applyAlignment="1">
      <alignment horizontal="center" vertical="center" wrapText="1"/>
    </xf>
    <xf numFmtId="9" fontId="146" fillId="0" borderId="1" xfId="2" applyFont="1" applyBorder="1" applyAlignment="1">
      <alignment horizontal="left" vertical="center"/>
    </xf>
    <xf numFmtId="168" fontId="148" fillId="0" borderId="1" xfId="2" applyNumberFormat="1" applyFont="1" applyBorder="1" applyAlignment="1">
      <alignment horizontal="center" vertical="center"/>
    </xf>
    <xf numFmtId="0" fontId="146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68" fontId="150" fillId="0" borderId="1" xfId="2" applyNumberFormat="1" applyFont="1" applyBorder="1" applyAlignment="1">
      <alignment horizontal="center" vertical="center"/>
    </xf>
    <xf numFmtId="169" fontId="150" fillId="0" borderId="1" xfId="2" applyNumberFormat="1" applyFont="1" applyBorder="1" applyAlignment="1">
      <alignment horizontal="center" vertical="center"/>
    </xf>
    <xf numFmtId="3" fontId="150" fillId="0" borderId="1" xfId="2" applyNumberFormat="1" applyFont="1" applyBorder="1" applyAlignment="1">
      <alignment horizontal="center" vertical="center"/>
    </xf>
    <xf numFmtId="0" fontId="150" fillId="0" borderId="0" xfId="0" applyFont="1" applyAlignment="1">
      <alignment vertical="center"/>
    </xf>
    <xf numFmtId="0" fontId="150" fillId="0" borderId="1" xfId="0" applyFont="1" applyBorder="1" applyAlignment="1">
      <alignment vertical="center"/>
    </xf>
    <xf numFmtId="0" fontId="150" fillId="0" borderId="1" xfId="0" applyFont="1" applyBorder="1" applyAlignment="1">
      <alignment horizontal="center" vertical="center"/>
    </xf>
    <xf numFmtId="0" fontId="150" fillId="0" borderId="1" xfId="0" quotePrefix="1" applyFont="1" applyBorder="1" applyAlignment="1">
      <alignment horizontal="center" vertical="center"/>
    </xf>
    <xf numFmtId="0" fontId="150" fillId="0" borderId="1" xfId="0" applyFont="1" applyBorder="1" applyAlignment="1">
      <alignment horizontal="left" vertical="center"/>
    </xf>
    <xf numFmtId="0" fontId="150" fillId="0" borderId="1" xfId="2" applyNumberFormat="1" applyFont="1" applyBorder="1" applyAlignment="1">
      <alignment horizontal="center" vertical="center"/>
    </xf>
    <xf numFmtId="165" fontId="150" fillId="0" borderId="1" xfId="0" applyNumberFormat="1" applyFont="1" applyBorder="1" applyAlignment="1">
      <alignment horizontal="center" vertical="center"/>
    </xf>
    <xf numFmtId="165" fontId="150" fillId="0" borderId="1" xfId="0" quotePrefix="1" applyNumberFormat="1" applyFont="1" applyBorder="1" applyAlignment="1">
      <alignment horizontal="center" vertical="center"/>
    </xf>
    <xf numFmtId="0" fontId="15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4" fontId="151" fillId="0" borderId="1" xfId="0" applyNumberFormat="1" applyFont="1" applyBorder="1" applyAlignment="1">
      <alignment vertical="center"/>
    </xf>
    <xf numFmtId="0" fontId="151" fillId="0" borderId="1" xfId="0" applyFont="1" applyBorder="1" applyAlignment="1">
      <alignment horizontal="center" vertical="center"/>
    </xf>
    <xf numFmtId="0" fontId="151" fillId="0" borderId="1" xfId="0" applyFont="1" applyBorder="1" applyAlignment="1">
      <alignment vertical="center"/>
    </xf>
    <xf numFmtId="165" fontId="151" fillId="0" borderId="1" xfId="0" applyNumberFormat="1" applyFont="1" applyBorder="1" applyAlignment="1">
      <alignment horizontal="center" vertical="center"/>
    </xf>
    <xf numFmtId="0" fontId="151" fillId="0" borderId="1" xfId="0" applyFont="1" applyBorder="1" applyAlignment="1">
      <alignment horizontal="left" vertical="center"/>
    </xf>
    <xf numFmtId="3" fontId="151" fillId="0" borderId="1" xfId="2" applyNumberFormat="1" applyFont="1" applyBorder="1" applyAlignment="1">
      <alignment horizontal="center" vertical="center"/>
    </xf>
    <xf numFmtId="170" fontId="151" fillId="0" borderId="0" xfId="0" applyNumberFormat="1" applyFont="1" applyAlignment="1">
      <alignment horizontal="center" vertical="center"/>
    </xf>
    <xf numFmtId="169" fontId="151" fillId="0" borderId="1" xfId="2" applyNumberFormat="1" applyFont="1" applyBorder="1" applyAlignment="1">
      <alignment horizontal="center" vertical="center"/>
    </xf>
    <xf numFmtId="14" fontId="151" fillId="0" borderId="1" xfId="2" applyNumberFormat="1" applyFont="1" applyBorder="1" applyAlignment="1">
      <alignment horizontal="center" vertical="center"/>
    </xf>
    <xf numFmtId="0" fontId="151" fillId="0" borderId="0" xfId="0" quotePrefix="1" applyFont="1" applyAlignment="1">
      <alignment horizontal="center" vertical="center"/>
    </xf>
    <xf numFmtId="165" fontId="151" fillId="0" borderId="1" xfId="0" quotePrefix="1" applyNumberFormat="1" applyFont="1" applyBorder="1" applyAlignment="1">
      <alignment horizontal="center" vertical="center"/>
    </xf>
    <xf numFmtId="168" fontId="150" fillId="0" borderId="1" xfId="0" applyNumberFormat="1" applyFont="1" applyBorder="1" applyAlignment="1">
      <alignment vertical="center"/>
    </xf>
    <xf numFmtId="0" fontId="150" fillId="0" borderId="1" xfId="0" quotePrefix="1" applyFont="1" applyBorder="1" applyAlignment="1">
      <alignment vertical="center"/>
    </xf>
    <xf numFmtId="9" fontId="150" fillId="0" borderId="1" xfId="2" applyFont="1" applyBorder="1" applyAlignment="1">
      <alignment horizontal="center" vertical="center" wrapText="1"/>
    </xf>
    <xf numFmtId="9" fontId="150" fillId="0" borderId="1" xfId="2" applyFont="1" applyBorder="1" applyAlignment="1">
      <alignment horizontal="left" vertical="center"/>
    </xf>
    <xf numFmtId="168" fontId="152" fillId="0" borderId="1" xfId="2" applyNumberFormat="1" applyFont="1" applyBorder="1" applyAlignment="1">
      <alignment horizontal="center" vertical="center"/>
    </xf>
    <xf numFmtId="0" fontId="153" fillId="0" borderId="0" xfId="0" applyFont="1" applyAlignment="1">
      <alignment vertical="center"/>
    </xf>
    <xf numFmtId="0" fontId="150" fillId="0" borderId="0" xfId="0" applyFont="1" applyAlignment="1">
      <alignment vertical="center" wrapText="1"/>
    </xf>
    <xf numFmtId="168" fontId="154" fillId="0" borderId="1" xfId="2" applyNumberFormat="1" applyFont="1" applyBorder="1" applyAlignment="1">
      <alignment horizontal="center" vertical="center" wrapText="1"/>
    </xf>
    <xf numFmtId="0" fontId="155" fillId="0" borderId="0" xfId="0" applyFont="1" applyAlignment="1">
      <alignment vertical="center"/>
    </xf>
    <xf numFmtId="0" fontId="156" fillId="0" borderId="1" xfId="0" quotePrefix="1" applyFont="1" applyBorder="1" applyAlignment="1">
      <alignment vertical="center"/>
    </xf>
    <xf numFmtId="0" fontId="157" fillId="0" borderId="1" xfId="0" applyFont="1" applyBorder="1" applyAlignment="1">
      <alignment horizontal="center" vertical="center"/>
    </xf>
    <xf numFmtId="173" fontId="157" fillId="0" borderId="1" xfId="0" applyNumberFormat="1" applyFont="1" applyBorder="1" applyAlignment="1">
      <alignment horizontal="center" vertical="center"/>
    </xf>
    <xf numFmtId="0" fontId="158" fillId="0" borderId="0" xfId="0" applyFont="1" applyAlignment="1">
      <alignment horizontal="center" vertical="center"/>
    </xf>
    <xf numFmtId="165" fontId="157" fillId="0" borderId="1" xfId="0" quotePrefix="1" applyNumberFormat="1" applyFont="1" applyBorder="1" applyAlignment="1">
      <alignment horizontal="center" vertical="center"/>
    </xf>
    <xf numFmtId="165" fontId="157" fillId="0" borderId="1" xfId="0" applyNumberFormat="1" applyFont="1" applyBorder="1" applyAlignment="1">
      <alignment horizontal="center" vertical="center"/>
    </xf>
    <xf numFmtId="0" fontId="157" fillId="0" borderId="1" xfId="0" applyFont="1" applyBorder="1" applyAlignment="1">
      <alignment horizontal="left" vertical="center"/>
    </xf>
    <xf numFmtId="0" fontId="157" fillId="0" borderId="0" xfId="0" applyFont="1" applyAlignment="1">
      <alignment vertical="center"/>
    </xf>
    <xf numFmtId="174" fontId="157" fillId="0" borderId="1" xfId="1" applyNumberFormat="1" applyFont="1" applyBorder="1" applyAlignment="1">
      <alignment horizontal="center" vertical="center"/>
    </xf>
    <xf numFmtId="175" fontId="157" fillId="0" borderId="1" xfId="2" applyNumberFormat="1" applyFont="1" applyBorder="1" applyAlignment="1">
      <alignment horizontal="center" vertical="center"/>
    </xf>
    <xf numFmtId="168" fontId="157" fillId="0" borderId="1" xfId="2" applyNumberFormat="1" applyFont="1" applyBorder="1" applyAlignment="1">
      <alignment horizontal="center" vertical="center" wrapText="1"/>
    </xf>
    <xf numFmtId="168" fontId="157" fillId="12" borderId="1" xfId="2" applyNumberFormat="1" applyFont="1" applyFill="1" applyBorder="1" applyAlignment="1">
      <alignment horizontal="center" vertical="center" wrapText="1"/>
    </xf>
    <xf numFmtId="0" fontId="69" fillId="0" borderId="1" xfId="0" quotePrefix="1" applyFont="1" applyBorder="1" applyAlignment="1">
      <alignment horizontal="center" vertical="center"/>
    </xf>
    <xf numFmtId="0" fontId="159" fillId="0" borderId="0" xfId="8" applyFont="1" applyAlignment="1">
      <alignment vertical="center"/>
    </xf>
    <xf numFmtId="0" fontId="160" fillId="0" borderId="0" xfId="8" applyFont="1" applyAlignment="1">
      <alignment vertical="center"/>
    </xf>
    <xf numFmtId="0" fontId="159" fillId="0" borderId="0" xfId="8" applyFont="1" applyAlignment="1">
      <alignment vertical="center" wrapText="1"/>
    </xf>
    <xf numFmtId="165" fontId="161" fillId="0" borderId="2" xfId="0" applyNumberFormat="1" applyFont="1" applyBorder="1" applyAlignment="1">
      <alignment horizontal="center" vertical="center" wrapText="1"/>
    </xf>
    <xf numFmtId="0" fontId="159" fillId="0" borderId="13" xfId="8" applyFont="1" applyBorder="1" applyAlignment="1">
      <alignment vertical="center"/>
    </xf>
    <xf numFmtId="0" fontId="160" fillId="0" borderId="13" xfId="8" applyFont="1" applyBorder="1" applyAlignment="1">
      <alignment vertical="center"/>
    </xf>
    <xf numFmtId="0" fontId="162" fillId="0" borderId="0" xfId="0" applyFont="1" applyAlignment="1">
      <alignment vertical="center"/>
    </xf>
    <xf numFmtId="168" fontId="162" fillId="0" borderId="1" xfId="0" applyNumberFormat="1" applyFont="1" applyBorder="1" applyAlignment="1">
      <alignment vertical="center"/>
    </xf>
    <xf numFmtId="0" fontId="162" fillId="0" borderId="1" xfId="0" quotePrefix="1" applyFont="1" applyBorder="1" applyAlignment="1">
      <alignment vertical="center"/>
    </xf>
    <xf numFmtId="0" fontId="162" fillId="0" borderId="1" xfId="0" applyFont="1" applyBorder="1" applyAlignment="1">
      <alignment vertical="center"/>
    </xf>
    <xf numFmtId="0" fontId="162" fillId="0" borderId="1" xfId="0" applyFont="1" applyBorder="1" applyAlignment="1">
      <alignment horizontal="center" vertical="center"/>
    </xf>
    <xf numFmtId="0" fontId="162" fillId="0" borderId="1" xfId="0" quotePrefix="1" applyFont="1" applyBorder="1" applyAlignment="1">
      <alignment horizontal="center" vertical="center"/>
    </xf>
    <xf numFmtId="0" fontId="162" fillId="0" borderId="1" xfId="0" applyFont="1" applyBorder="1" applyAlignment="1">
      <alignment horizontal="left" vertical="center"/>
    </xf>
    <xf numFmtId="0" fontId="162" fillId="0" borderId="1" xfId="2" applyNumberFormat="1" applyFont="1" applyBorder="1" applyAlignment="1">
      <alignment horizontal="center" vertical="center"/>
    </xf>
    <xf numFmtId="165" fontId="162" fillId="0" borderId="1" xfId="0" applyNumberFormat="1" applyFont="1" applyBorder="1" applyAlignment="1">
      <alignment horizontal="center" vertical="center"/>
    </xf>
    <xf numFmtId="9" fontId="162" fillId="0" borderId="1" xfId="2" applyFont="1" applyBorder="1" applyAlignment="1">
      <alignment horizontal="center" vertical="center" wrapText="1"/>
    </xf>
    <xf numFmtId="165" fontId="162" fillId="0" borderId="1" xfId="0" quotePrefix="1" applyNumberFormat="1" applyFont="1" applyBorder="1" applyAlignment="1">
      <alignment horizontal="center" vertical="center"/>
    </xf>
    <xf numFmtId="3" fontId="162" fillId="0" borderId="1" xfId="2" applyNumberFormat="1" applyFont="1" applyBorder="1" applyAlignment="1">
      <alignment horizontal="center" vertical="center"/>
    </xf>
    <xf numFmtId="9" fontId="162" fillId="0" borderId="1" xfId="2" applyFont="1" applyBorder="1" applyAlignment="1">
      <alignment horizontal="left" vertical="center"/>
    </xf>
    <xf numFmtId="168" fontId="162" fillId="0" borderId="1" xfId="2" applyNumberFormat="1" applyFont="1" applyBorder="1" applyAlignment="1">
      <alignment horizontal="center" vertical="center"/>
    </xf>
    <xf numFmtId="169" fontId="162" fillId="0" borderId="1" xfId="2" applyNumberFormat="1" applyFont="1" applyBorder="1" applyAlignment="1">
      <alignment horizontal="center" vertical="center"/>
    </xf>
    <xf numFmtId="168" fontId="163" fillId="0" borderId="1" xfId="2" applyNumberFormat="1" applyFont="1" applyBorder="1" applyAlignment="1">
      <alignment horizontal="center" vertical="center"/>
    </xf>
    <xf numFmtId="0" fontId="162" fillId="0" borderId="0" xfId="0" quotePrefix="1" applyFont="1" applyAlignment="1">
      <alignment horizontal="center" vertical="center"/>
    </xf>
    <xf numFmtId="0" fontId="164" fillId="0" borderId="0" xfId="0" applyFont="1" applyAlignment="1">
      <alignment vertical="center"/>
    </xf>
    <xf numFmtId="0" fontId="166" fillId="0" borderId="1" xfId="0" quotePrefix="1" applyFont="1" applyBorder="1" applyAlignment="1">
      <alignment horizontal="center" vertical="center"/>
    </xf>
    <xf numFmtId="0" fontId="166" fillId="0" borderId="1" xfId="0" applyFont="1" applyBorder="1" applyAlignment="1">
      <alignment horizontal="center" vertical="center"/>
    </xf>
    <xf numFmtId="0" fontId="167" fillId="0" borderId="0" xfId="0" applyFont="1" applyAlignment="1">
      <alignment vertical="center"/>
    </xf>
    <xf numFmtId="0" fontId="168" fillId="0" borderId="1" xfId="0" quotePrefix="1" applyFont="1" applyBorder="1" applyAlignment="1">
      <alignment vertical="center"/>
    </xf>
    <xf numFmtId="0" fontId="169" fillId="0" borderId="1" xfId="0" applyFont="1" applyBorder="1" applyAlignment="1">
      <alignment horizontal="center" vertical="center"/>
    </xf>
    <xf numFmtId="173" fontId="169" fillId="0" borderId="1" xfId="0" applyNumberFormat="1" applyFont="1" applyBorder="1" applyAlignment="1">
      <alignment horizontal="center" vertical="center"/>
    </xf>
    <xf numFmtId="0" fontId="170" fillId="0" borderId="0" xfId="0" applyFont="1" applyAlignment="1">
      <alignment horizontal="center" vertical="center"/>
    </xf>
    <xf numFmtId="165" fontId="169" fillId="0" borderId="1" xfId="0" quotePrefix="1" applyNumberFormat="1" applyFont="1" applyBorder="1" applyAlignment="1">
      <alignment horizontal="center" vertical="center"/>
    </xf>
    <xf numFmtId="165" fontId="169" fillId="0" borderId="1" xfId="0" applyNumberFormat="1" applyFont="1" applyBorder="1" applyAlignment="1">
      <alignment horizontal="center" vertical="center"/>
    </xf>
    <xf numFmtId="0" fontId="169" fillId="0" borderId="1" xfId="0" applyFont="1" applyBorder="1" applyAlignment="1">
      <alignment horizontal="left" vertical="center"/>
    </xf>
    <xf numFmtId="0" fontId="169" fillId="0" borderId="0" xfId="0" applyFont="1" applyAlignment="1">
      <alignment vertical="center"/>
    </xf>
    <xf numFmtId="174" fontId="169" fillId="0" borderId="1" xfId="1" applyNumberFormat="1" applyFont="1" applyBorder="1" applyAlignment="1">
      <alignment horizontal="center" vertical="center"/>
    </xf>
    <xf numFmtId="175" fontId="169" fillId="0" borderId="1" xfId="2" applyNumberFormat="1" applyFont="1" applyBorder="1" applyAlignment="1">
      <alignment horizontal="center" vertical="center"/>
    </xf>
    <xf numFmtId="168" fontId="169" fillId="0" borderId="1" xfId="2" applyNumberFormat="1" applyFont="1" applyBorder="1" applyAlignment="1">
      <alignment horizontal="center" vertical="center" wrapText="1"/>
    </xf>
    <xf numFmtId="168" fontId="169" fillId="12" borderId="1" xfId="2" applyNumberFormat="1" applyFont="1" applyFill="1" applyBorder="1" applyAlignment="1">
      <alignment horizontal="center" vertical="center" wrapText="1"/>
    </xf>
    <xf numFmtId="165" fontId="10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2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167" fontId="3" fillId="0" borderId="2" xfId="0" applyNumberFormat="1" applyFont="1" applyBorder="1" applyAlignment="1">
      <alignment horizontal="center" vertical="center" wrapText="1"/>
    </xf>
    <xf numFmtId="9" fontId="3" fillId="0" borderId="2" xfId="2" applyFont="1" applyBorder="1" applyAlignment="1">
      <alignment horizontal="center" vertical="center" wrapText="1"/>
    </xf>
    <xf numFmtId="0" fontId="171" fillId="0" borderId="0" xfId="0" applyFont="1" applyAlignment="1">
      <alignment vertical="center"/>
    </xf>
    <xf numFmtId="0" fontId="172" fillId="0" borderId="1" xfId="0" quotePrefix="1" applyFont="1" applyBorder="1" applyAlignment="1">
      <alignment vertical="center"/>
    </xf>
    <xf numFmtId="0" fontId="173" fillId="0" borderId="1" xfId="0" applyFont="1" applyBorder="1" applyAlignment="1">
      <alignment horizontal="center" vertical="center"/>
    </xf>
    <xf numFmtId="173" fontId="173" fillId="0" borderId="1" xfId="0" applyNumberFormat="1" applyFont="1" applyBorder="1" applyAlignment="1">
      <alignment horizontal="center" vertical="center"/>
    </xf>
    <xf numFmtId="0" fontId="174" fillId="0" borderId="0" xfId="0" applyFont="1" applyAlignment="1">
      <alignment horizontal="center" vertical="center"/>
    </xf>
    <xf numFmtId="165" fontId="173" fillId="0" borderId="1" xfId="0" quotePrefix="1" applyNumberFormat="1" applyFont="1" applyBorder="1" applyAlignment="1">
      <alignment horizontal="center" vertical="center"/>
    </xf>
    <xf numFmtId="165" fontId="173" fillId="0" borderId="1" xfId="0" applyNumberFormat="1" applyFont="1" applyBorder="1" applyAlignment="1">
      <alignment horizontal="center" vertical="center"/>
    </xf>
    <xf numFmtId="0" fontId="173" fillId="0" borderId="1" xfId="0" quotePrefix="1" applyFont="1" applyBorder="1" applyAlignment="1">
      <alignment horizontal="left" vertical="center"/>
    </xf>
    <xf numFmtId="0" fontId="173" fillId="0" borderId="0" xfId="0" applyFont="1" applyAlignment="1">
      <alignment vertical="center"/>
    </xf>
    <xf numFmtId="174" fontId="173" fillId="0" borderId="1" xfId="1" applyNumberFormat="1" applyFont="1" applyBorder="1" applyAlignment="1">
      <alignment horizontal="center" vertical="center"/>
    </xf>
    <xf numFmtId="175" fontId="173" fillId="0" borderId="1" xfId="2" applyNumberFormat="1" applyFont="1" applyBorder="1" applyAlignment="1">
      <alignment horizontal="center" vertical="center"/>
    </xf>
    <xf numFmtId="168" fontId="173" fillId="0" borderId="1" xfId="2" applyNumberFormat="1" applyFont="1" applyBorder="1" applyAlignment="1">
      <alignment horizontal="center" vertical="center" wrapText="1"/>
    </xf>
    <xf numFmtId="168" fontId="173" fillId="12" borderId="1" xfId="2" applyNumberFormat="1" applyFont="1" applyFill="1" applyBorder="1" applyAlignment="1">
      <alignment horizontal="center" vertical="center" wrapText="1"/>
    </xf>
    <xf numFmtId="0" fontId="175" fillId="0" borderId="1" xfId="0" applyFont="1" applyBorder="1" applyAlignment="1">
      <alignment horizontal="left" vertical="center"/>
    </xf>
    <xf numFmtId="0" fontId="175" fillId="0" borderId="0" xfId="0" applyFont="1" applyAlignment="1">
      <alignment vertical="center"/>
    </xf>
    <xf numFmtId="0" fontId="175" fillId="0" borderId="1" xfId="0" applyFont="1" applyBorder="1" applyAlignment="1">
      <alignment vertical="center"/>
    </xf>
    <xf numFmtId="0" fontId="175" fillId="0" borderId="1" xfId="0" applyFont="1" applyBorder="1" applyAlignment="1">
      <alignment horizontal="center" vertical="center"/>
    </xf>
    <xf numFmtId="0" fontId="175" fillId="0" borderId="1" xfId="0" quotePrefix="1" applyFont="1" applyBorder="1" applyAlignment="1">
      <alignment horizontal="center" vertical="center"/>
    </xf>
    <xf numFmtId="0" fontId="175" fillId="0" borderId="1" xfId="2" applyNumberFormat="1" applyFont="1" applyBorder="1" applyAlignment="1">
      <alignment horizontal="center" vertical="center"/>
    </xf>
    <xf numFmtId="165" fontId="175" fillId="0" borderId="1" xfId="0" applyNumberFormat="1" applyFont="1" applyBorder="1" applyAlignment="1">
      <alignment horizontal="center" vertical="center"/>
    </xf>
    <xf numFmtId="166" fontId="175" fillId="0" borderId="1" xfId="2" applyNumberFormat="1" applyFont="1" applyBorder="1" applyAlignment="1">
      <alignment horizontal="center" vertical="center"/>
    </xf>
    <xf numFmtId="165" fontId="175" fillId="0" borderId="1" xfId="0" quotePrefix="1" applyNumberFormat="1" applyFont="1" applyBorder="1" applyAlignment="1">
      <alignment horizontal="center" vertical="center"/>
    </xf>
    <xf numFmtId="3" fontId="175" fillId="0" borderId="1" xfId="2" applyNumberFormat="1" applyFont="1" applyBorder="1" applyAlignment="1">
      <alignment horizontal="center" vertical="center"/>
    </xf>
    <xf numFmtId="168" fontId="175" fillId="0" borderId="1" xfId="2" applyNumberFormat="1" applyFont="1" applyBorder="1" applyAlignment="1">
      <alignment horizontal="center" vertical="center"/>
    </xf>
    <xf numFmtId="169" fontId="175" fillId="0" borderId="1" xfId="2" applyNumberFormat="1" applyFont="1" applyBorder="1" applyAlignment="1">
      <alignment horizontal="center" vertical="center"/>
    </xf>
    <xf numFmtId="9" fontId="175" fillId="0" borderId="1" xfId="2" applyFont="1" applyBorder="1" applyAlignment="1">
      <alignment horizontal="center" vertical="center"/>
    </xf>
    <xf numFmtId="0" fontId="175" fillId="0" borderId="0" xfId="0" applyFont="1" applyAlignment="1">
      <alignment horizontal="center" vertical="center"/>
    </xf>
    <xf numFmtId="0" fontId="176" fillId="0" borderId="1" xfId="0" quotePrefix="1" applyFont="1" applyBorder="1" applyAlignment="1">
      <alignment vertical="center"/>
    </xf>
    <xf numFmtId="0" fontId="177" fillId="0" borderId="1" xfId="0" applyFont="1" applyBorder="1" applyAlignment="1">
      <alignment horizontal="center" vertical="center"/>
    </xf>
    <xf numFmtId="168" fontId="177" fillId="0" borderId="1" xfId="2" applyNumberFormat="1" applyFont="1" applyBorder="1" applyAlignment="1">
      <alignment horizontal="center" vertical="center" wrapText="1"/>
    </xf>
    <xf numFmtId="0" fontId="175" fillId="0" borderId="0" xfId="0" applyFont="1" applyAlignment="1">
      <alignment vertical="center" wrapText="1"/>
    </xf>
    <xf numFmtId="168" fontId="175" fillId="0" borderId="1" xfId="0" applyNumberFormat="1" applyFont="1" applyBorder="1" applyAlignment="1">
      <alignment vertical="center"/>
    </xf>
    <xf numFmtId="0" fontId="175" fillId="0" borderId="1" xfId="0" quotePrefix="1" applyFont="1" applyBorder="1" applyAlignment="1">
      <alignment vertical="center"/>
    </xf>
    <xf numFmtId="9" fontId="175" fillId="0" borderId="1" xfId="2" applyFont="1" applyBorder="1" applyAlignment="1">
      <alignment horizontal="center" vertical="center" wrapText="1"/>
    </xf>
    <xf numFmtId="9" fontId="175" fillId="0" borderId="1" xfId="2" applyFont="1" applyBorder="1" applyAlignment="1">
      <alignment horizontal="left" vertical="center"/>
    </xf>
    <xf numFmtId="168" fontId="178" fillId="0" borderId="1" xfId="2" applyNumberFormat="1" applyFont="1" applyBorder="1" applyAlignment="1">
      <alignment horizontal="center" vertical="center"/>
    </xf>
    <xf numFmtId="0" fontId="179" fillId="0" borderId="0" xfId="0" applyFont="1" applyAlignment="1">
      <alignment vertical="center"/>
    </xf>
    <xf numFmtId="0" fontId="180" fillId="0" borderId="0" xfId="0" applyFont="1" applyAlignment="1">
      <alignment vertical="center"/>
    </xf>
    <xf numFmtId="0" fontId="177" fillId="0" borderId="1" xfId="0" applyFont="1" applyBorder="1" applyAlignment="1">
      <alignment vertical="center" wrapText="1"/>
    </xf>
    <xf numFmtId="0" fontId="181" fillId="0" borderId="0" xfId="0" applyFont="1" applyAlignment="1">
      <alignment vertical="center"/>
    </xf>
    <xf numFmtId="14" fontId="181" fillId="0" borderId="1" xfId="0" applyNumberFormat="1" applyFont="1" applyBorder="1" applyAlignment="1">
      <alignment vertical="center"/>
    </xf>
    <xf numFmtId="0" fontId="181" fillId="0" borderId="1" xfId="0" applyFont="1" applyBorder="1" applyAlignment="1">
      <alignment horizontal="center" vertical="center"/>
    </xf>
    <xf numFmtId="0" fontId="181" fillId="0" borderId="1" xfId="0" applyFont="1" applyBorder="1" applyAlignment="1">
      <alignment vertical="center"/>
    </xf>
    <xf numFmtId="165" fontId="181" fillId="0" borderId="1" xfId="0" applyNumberFormat="1" applyFont="1" applyBorder="1" applyAlignment="1">
      <alignment horizontal="center" vertical="center"/>
    </xf>
    <xf numFmtId="0" fontId="181" fillId="0" borderId="1" xfId="0" applyFont="1" applyBorder="1" applyAlignment="1">
      <alignment horizontal="left" vertical="center"/>
    </xf>
    <xf numFmtId="3" fontId="181" fillId="0" borderId="1" xfId="2" applyNumberFormat="1" applyFont="1" applyBorder="1" applyAlignment="1">
      <alignment horizontal="center" vertical="center"/>
    </xf>
    <xf numFmtId="170" fontId="181" fillId="0" borderId="0" xfId="0" applyNumberFormat="1" applyFont="1" applyAlignment="1">
      <alignment horizontal="center" vertical="center"/>
    </xf>
    <xf numFmtId="169" fontId="181" fillId="0" borderId="1" xfId="2" applyNumberFormat="1" applyFont="1" applyBorder="1" applyAlignment="1">
      <alignment horizontal="center" vertical="center"/>
    </xf>
    <xf numFmtId="14" fontId="181" fillId="0" borderId="1" xfId="2" applyNumberFormat="1" applyFont="1" applyBorder="1" applyAlignment="1">
      <alignment horizontal="center" vertical="center"/>
    </xf>
    <xf numFmtId="0" fontId="181" fillId="0" borderId="0" xfId="0" quotePrefix="1" applyFont="1" applyAlignment="1">
      <alignment horizontal="center" vertical="center"/>
    </xf>
    <xf numFmtId="165" fontId="181" fillId="0" borderId="1" xfId="0" quotePrefix="1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vertical="center"/>
    </xf>
    <xf numFmtId="0" fontId="3" fillId="0" borderId="0" xfId="16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2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 wrapText="1"/>
    </xf>
    <xf numFmtId="9" fontId="3" fillId="0" borderId="0" xfId="2" applyFont="1" applyBorder="1" applyAlignment="1">
      <alignment horizontal="center" vertical="center" wrapText="1"/>
    </xf>
    <xf numFmtId="175" fontId="41" fillId="0" borderId="1" xfId="2" applyNumberFormat="1" applyFont="1" applyBorder="1" applyAlignment="1">
      <alignment horizontal="center" vertical="center"/>
    </xf>
    <xf numFmtId="3" fontId="41" fillId="0" borderId="1" xfId="2" applyNumberFormat="1" applyFont="1" applyBorder="1" applyAlignment="1">
      <alignment horizontal="center" vertical="center"/>
    </xf>
    <xf numFmtId="0" fontId="182" fillId="0" borderId="1" xfId="0" applyFont="1" applyBorder="1" applyAlignment="1">
      <alignment horizontal="left" vertical="center"/>
    </xf>
    <xf numFmtId="0" fontId="182" fillId="0" borderId="0" xfId="0" applyFont="1" applyAlignment="1">
      <alignment vertical="center"/>
    </xf>
    <xf numFmtId="0" fontId="182" fillId="0" borderId="1" xfId="0" applyFont="1" applyBorder="1" applyAlignment="1">
      <alignment vertical="center"/>
    </xf>
    <xf numFmtId="0" fontId="182" fillId="0" borderId="1" xfId="0" applyFont="1" applyBorder="1" applyAlignment="1">
      <alignment horizontal="center" vertical="center"/>
    </xf>
    <xf numFmtId="165" fontId="182" fillId="0" borderId="1" xfId="0" applyNumberFormat="1" applyFont="1" applyBorder="1" applyAlignment="1">
      <alignment horizontal="center" vertical="center"/>
    </xf>
    <xf numFmtId="166" fontId="182" fillId="0" borderId="1" xfId="2" applyNumberFormat="1" applyFont="1" applyBorder="1" applyAlignment="1">
      <alignment horizontal="center" vertical="center"/>
    </xf>
    <xf numFmtId="0" fontId="183" fillId="0" borderId="0" xfId="0" applyFont="1" applyAlignment="1">
      <alignment vertical="center"/>
    </xf>
    <xf numFmtId="3" fontId="182" fillId="0" borderId="1" xfId="2" applyNumberFormat="1" applyFont="1" applyBorder="1" applyAlignment="1">
      <alignment horizontal="center" vertical="center"/>
    </xf>
    <xf numFmtId="169" fontId="182" fillId="0" borderId="1" xfId="2" applyNumberFormat="1" applyFont="1" applyBorder="1" applyAlignment="1">
      <alignment horizontal="center" vertical="center"/>
    </xf>
    <xf numFmtId="9" fontId="182" fillId="0" borderId="1" xfId="2" applyFont="1" applyBorder="1" applyAlignment="1">
      <alignment horizontal="center" vertical="center"/>
    </xf>
    <xf numFmtId="0" fontId="182" fillId="0" borderId="0" xfId="0" applyFont="1" applyAlignment="1">
      <alignment horizontal="center" vertical="center"/>
    </xf>
    <xf numFmtId="0" fontId="182" fillId="0" borderId="0" xfId="0" applyFont="1" applyAlignment="1">
      <alignment vertical="center" wrapText="1"/>
    </xf>
    <xf numFmtId="0" fontId="184" fillId="0" borderId="0" xfId="0" applyFont="1" applyAlignment="1">
      <alignment vertical="center"/>
    </xf>
    <xf numFmtId="167" fontId="182" fillId="0" borderId="2" xfId="0" applyNumberFormat="1" applyFont="1" applyBorder="1" applyAlignment="1">
      <alignment horizontal="center" vertical="center" wrapText="1"/>
    </xf>
    <xf numFmtId="167" fontId="185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169" fontId="186" fillId="0" borderId="1" xfId="2" applyNumberFormat="1" applyFont="1" applyBorder="1" applyAlignment="1">
      <alignment horizontal="center" vertical="center"/>
    </xf>
    <xf numFmtId="0" fontId="187" fillId="0" borderId="0" xfId="0" applyFont="1" applyAlignment="1">
      <alignment vertical="center"/>
    </xf>
    <xf numFmtId="14" fontId="187" fillId="0" borderId="1" xfId="0" applyNumberFormat="1" applyFont="1" applyBorder="1" applyAlignment="1">
      <alignment vertical="center"/>
    </xf>
    <xf numFmtId="0" fontId="187" fillId="0" borderId="1" xfId="0" applyFont="1" applyBorder="1" applyAlignment="1">
      <alignment horizontal="center" vertical="center"/>
    </xf>
    <xf numFmtId="0" fontId="187" fillId="0" borderId="1" xfId="0" applyFont="1" applyBorder="1" applyAlignment="1">
      <alignment vertical="center"/>
    </xf>
    <xf numFmtId="165" fontId="187" fillId="0" borderId="1" xfId="0" quotePrefix="1" applyNumberFormat="1" applyFont="1" applyBorder="1" applyAlignment="1">
      <alignment horizontal="center" vertical="center"/>
    </xf>
    <xf numFmtId="165" fontId="187" fillId="0" borderId="1" xfId="0" applyNumberFormat="1" applyFont="1" applyBorder="1" applyAlignment="1">
      <alignment horizontal="center" vertical="center"/>
    </xf>
    <xf numFmtId="0" fontId="187" fillId="0" borderId="1" xfId="0" applyFont="1" applyBorder="1" applyAlignment="1">
      <alignment horizontal="left" vertical="center"/>
    </xf>
    <xf numFmtId="3" fontId="187" fillId="0" borderId="1" xfId="2" applyNumberFormat="1" applyFont="1" applyBorder="1" applyAlignment="1">
      <alignment horizontal="center" vertical="center"/>
    </xf>
    <xf numFmtId="170" fontId="187" fillId="0" borderId="0" xfId="0" applyNumberFormat="1" applyFont="1" applyAlignment="1">
      <alignment horizontal="center" vertical="center"/>
    </xf>
    <xf numFmtId="169" fontId="187" fillId="0" borderId="1" xfId="2" applyNumberFormat="1" applyFont="1" applyBorder="1" applyAlignment="1">
      <alignment horizontal="center" vertical="center"/>
    </xf>
    <xf numFmtId="14" fontId="187" fillId="0" borderId="1" xfId="2" applyNumberFormat="1" applyFont="1" applyBorder="1" applyAlignment="1">
      <alignment horizontal="center" vertical="center"/>
    </xf>
    <xf numFmtId="0" fontId="187" fillId="0" borderId="0" xfId="0" quotePrefix="1" applyFont="1" applyAlignment="1">
      <alignment horizontal="center" vertical="center"/>
    </xf>
    <xf numFmtId="168" fontId="188" fillId="0" borderId="1" xfId="2" applyNumberFormat="1" applyFont="1" applyBorder="1" applyAlignment="1">
      <alignment horizontal="center" vertical="center" wrapText="1"/>
    </xf>
    <xf numFmtId="0" fontId="189" fillId="0" borderId="0" xfId="0" quotePrefix="1" applyFont="1" applyAlignment="1">
      <alignment vertical="center"/>
    </xf>
    <xf numFmtId="0" fontId="190" fillId="0" borderId="1" xfId="0" quotePrefix="1" applyFont="1" applyBorder="1" applyAlignment="1">
      <alignment vertical="center"/>
    </xf>
    <xf numFmtId="0" fontId="188" fillId="0" borderId="1" xfId="0" applyFont="1" applyBorder="1" applyAlignment="1">
      <alignment horizontal="center" vertical="center"/>
    </xf>
    <xf numFmtId="173" fontId="188" fillId="0" borderId="1" xfId="0" applyNumberFormat="1" applyFont="1" applyBorder="1" applyAlignment="1">
      <alignment horizontal="center" vertical="center"/>
    </xf>
    <xf numFmtId="0" fontId="191" fillId="0" borderId="0" xfId="0" applyFont="1" applyAlignment="1">
      <alignment horizontal="center" vertical="center"/>
    </xf>
    <xf numFmtId="165" fontId="188" fillId="0" borderId="1" xfId="0" quotePrefix="1" applyNumberFormat="1" applyFont="1" applyBorder="1" applyAlignment="1">
      <alignment horizontal="center" vertical="center"/>
    </xf>
    <xf numFmtId="165" fontId="188" fillId="0" borderId="1" xfId="0" applyNumberFormat="1" applyFont="1" applyBorder="1" applyAlignment="1">
      <alignment horizontal="center" vertical="center"/>
    </xf>
    <xf numFmtId="0" fontId="188" fillId="0" borderId="1" xfId="0" applyFont="1" applyBorder="1" applyAlignment="1">
      <alignment horizontal="left" vertical="center"/>
    </xf>
    <xf numFmtId="0" fontId="188" fillId="0" borderId="0" xfId="0" applyFont="1" applyAlignment="1">
      <alignment vertical="center"/>
    </xf>
    <xf numFmtId="174" fontId="188" fillId="0" borderId="1" xfId="1" applyNumberFormat="1" applyFont="1" applyBorder="1" applyAlignment="1">
      <alignment horizontal="center" vertical="center"/>
    </xf>
    <xf numFmtId="175" fontId="188" fillId="0" borderId="1" xfId="2" applyNumberFormat="1" applyFont="1" applyBorder="1" applyAlignment="1">
      <alignment horizontal="center" vertical="center"/>
    </xf>
    <xf numFmtId="3" fontId="188" fillId="0" borderId="1" xfId="2" applyNumberFormat="1" applyFont="1" applyBorder="1" applyAlignment="1">
      <alignment horizontal="center" vertical="center"/>
    </xf>
    <xf numFmtId="168" fontId="188" fillId="12" borderId="1" xfId="2" applyNumberFormat="1" applyFont="1" applyFill="1" applyBorder="1" applyAlignment="1">
      <alignment horizontal="center" vertical="center" wrapText="1"/>
    </xf>
    <xf numFmtId="0" fontId="192" fillId="0" borderId="0" xfId="0" applyFont="1" applyAlignment="1">
      <alignment vertical="center" wrapText="1"/>
    </xf>
    <xf numFmtId="0" fontId="192" fillId="0" borderId="0" xfId="0" applyFont="1" applyAlignment="1">
      <alignment vertical="center"/>
    </xf>
    <xf numFmtId="168" fontId="192" fillId="0" borderId="1" xfId="0" applyNumberFormat="1" applyFont="1" applyBorder="1" applyAlignment="1">
      <alignment vertical="center"/>
    </xf>
    <xf numFmtId="0" fontId="192" fillId="0" borderId="1" xfId="0" quotePrefix="1" applyFont="1" applyBorder="1" applyAlignment="1">
      <alignment vertical="center"/>
    </xf>
    <xf numFmtId="0" fontId="192" fillId="0" borderId="1" xfId="0" applyFont="1" applyBorder="1" applyAlignment="1">
      <alignment vertical="center"/>
    </xf>
    <xf numFmtId="0" fontId="192" fillId="0" borderId="1" xfId="0" applyFont="1" applyBorder="1" applyAlignment="1">
      <alignment horizontal="center" vertical="center"/>
    </xf>
    <xf numFmtId="0" fontId="192" fillId="0" borderId="1" xfId="0" quotePrefix="1" applyFont="1" applyBorder="1" applyAlignment="1">
      <alignment horizontal="center" vertical="center"/>
    </xf>
    <xf numFmtId="0" fontId="192" fillId="0" borderId="1" xfId="0" applyFont="1" applyBorder="1" applyAlignment="1">
      <alignment horizontal="left" vertical="center"/>
    </xf>
    <xf numFmtId="0" fontId="192" fillId="0" borderId="1" xfId="2" applyNumberFormat="1" applyFont="1" applyBorder="1" applyAlignment="1">
      <alignment horizontal="center" vertical="center"/>
    </xf>
    <xf numFmtId="165" fontId="192" fillId="0" borderId="1" xfId="0" applyNumberFormat="1" applyFont="1" applyBorder="1" applyAlignment="1">
      <alignment horizontal="center" vertical="center"/>
    </xf>
    <xf numFmtId="9" fontId="192" fillId="0" borderId="1" xfId="2" applyFont="1" applyBorder="1" applyAlignment="1">
      <alignment horizontal="center" vertical="center" wrapText="1"/>
    </xf>
    <xf numFmtId="165" fontId="192" fillId="0" borderId="1" xfId="0" quotePrefix="1" applyNumberFormat="1" applyFont="1" applyBorder="1" applyAlignment="1">
      <alignment horizontal="center" vertical="center"/>
    </xf>
    <xf numFmtId="3" fontId="192" fillId="0" borderId="1" xfId="2" applyNumberFormat="1" applyFont="1" applyBorder="1" applyAlignment="1">
      <alignment horizontal="center" vertical="center"/>
    </xf>
    <xf numFmtId="9" fontId="192" fillId="0" borderId="1" xfId="2" applyFont="1" applyBorder="1" applyAlignment="1">
      <alignment horizontal="left" vertical="center"/>
    </xf>
    <xf numFmtId="168" fontId="192" fillId="0" borderId="1" xfId="2" applyNumberFormat="1" applyFont="1" applyBorder="1" applyAlignment="1">
      <alignment horizontal="center" vertical="center"/>
    </xf>
    <xf numFmtId="169" fontId="192" fillId="0" borderId="1" xfId="2" applyNumberFormat="1" applyFont="1" applyBorder="1" applyAlignment="1">
      <alignment horizontal="center" vertical="center"/>
    </xf>
    <xf numFmtId="168" fontId="193" fillId="0" borderId="1" xfId="2" applyNumberFormat="1" applyFont="1" applyBorder="1" applyAlignment="1">
      <alignment horizontal="center" vertical="center"/>
    </xf>
    <xf numFmtId="0" fontId="192" fillId="0" borderId="0" xfId="0" quotePrefix="1" applyFont="1" applyAlignment="1">
      <alignment horizontal="center" vertical="center"/>
    </xf>
    <xf numFmtId="0" fontId="194" fillId="0" borderId="0" xfId="0" applyFont="1" applyAlignment="1">
      <alignment vertical="center"/>
    </xf>
    <xf numFmtId="168" fontId="195" fillId="0" borderId="1" xfId="2" applyNumberFormat="1" applyFont="1" applyBorder="1" applyAlignment="1">
      <alignment horizontal="center" vertical="center" wrapText="1"/>
    </xf>
    <xf numFmtId="49" fontId="3" fillId="0" borderId="1" xfId="0" quotePrefix="1" applyNumberFormat="1" applyFont="1" applyBorder="1" applyAlignment="1">
      <alignment horizontal="center" vertical="center"/>
    </xf>
    <xf numFmtId="165" fontId="196" fillId="0" borderId="1" xfId="0" quotePrefix="1" applyNumberFormat="1" applyFont="1" applyBorder="1" applyAlignment="1">
      <alignment horizontal="center" vertical="center"/>
    </xf>
    <xf numFmtId="165" fontId="196" fillId="0" borderId="1" xfId="0" applyNumberFormat="1" applyFont="1" applyBorder="1" applyAlignment="1">
      <alignment horizontal="center" vertical="center"/>
    </xf>
    <xf numFmtId="169" fontId="196" fillId="0" borderId="1" xfId="2" applyNumberFormat="1" applyFont="1" applyBorder="1" applyAlignment="1">
      <alignment horizontal="center" vertical="center"/>
    </xf>
    <xf numFmtId="172" fontId="197" fillId="0" borderId="0" xfId="0" applyNumberFormat="1" applyFont="1" applyAlignment="1">
      <alignment horizontal="center" vertical="center"/>
    </xf>
    <xf numFmtId="16" fontId="198" fillId="0" borderId="2" xfId="0" applyNumberFormat="1" applyFont="1" applyBorder="1" applyAlignment="1">
      <alignment horizontal="center" vertical="center" wrapText="1"/>
    </xf>
    <xf numFmtId="0" fontId="195" fillId="0" borderId="1" xfId="0" applyFont="1" applyBorder="1" applyAlignment="1">
      <alignment vertical="center" wrapText="1"/>
    </xf>
    <xf numFmtId="0" fontId="195" fillId="0" borderId="0" xfId="0" applyFont="1" applyAlignment="1">
      <alignment vertical="center" wrapText="1"/>
    </xf>
    <xf numFmtId="0" fontId="3" fillId="0" borderId="5" xfId="0" applyFont="1" applyBorder="1" applyAlignment="1">
      <alignment vertical="center"/>
    </xf>
    <xf numFmtId="14" fontId="200" fillId="0" borderId="1" xfId="0" applyNumberFormat="1" applyFont="1" applyBorder="1" applyAlignment="1">
      <alignment vertical="center"/>
    </xf>
    <xf numFmtId="168" fontId="201" fillId="0" borderId="1" xfId="2" applyNumberFormat="1" applyFont="1" applyBorder="1" applyAlignment="1">
      <alignment horizontal="center" vertical="center" wrapText="1"/>
    </xf>
    <xf numFmtId="169" fontId="202" fillId="0" borderId="1" xfId="2" applyNumberFormat="1" applyFont="1" applyBorder="1" applyAlignment="1">
      <alignment horizontal="center" vertical="center"/>
    </xf>
    <xf numFmtId="0" fontId="202" fillId="0" borderId="0" xfId="0" applyFont="1" applyAlignment="1">
      <alignment vertical="center"/>
    </xf>
    <xf numFmtId="0" fontId="202" fillId="0" borderId="1" xfId="0" applyFont="1" applyBorder="1" applyAlignment="1">
      <alignment vertical="center"/>
    </xf>
    <xf numFmtId="0" fontId="202" fillId="0" borderId="1" xfId="0" applyFont="1" applyBorder="1" applyAlignment="1">
      <alignment horizontal="center" vertical="center"/>
    </xf>
    <xf numFmtId="0" fontId="202" fillId="0" borderId="1" xfId="0" quotePrefix="1" applyFont="1" applyBorder="1" applyAlignment="1">
      <alignment horizontal="center" vertical="center"/>
    </xf>
    <xf numFmtId="0" fontId="202" fillId="0" borderId="1" xfId="0" applyFont="1" applyBorder="1" applyAlignment="1">
      <alignment horizontal="left" vertical="center"/>
    </xf>
    <xf numFmtId="0" fontId="202" fillId="0" borderId="1" xfId="2" applyNumberFormat="1" applyFont="1" applyBorder="1" applyAlignment="1">
      <alignment horizontal="center" vertical="center"/>
    </xf>
    <xf numFmtId="165" fontId="202" fillId="0" borderId="1" xfId="0" applyNumberFormat="1" applyFont="1" applyBorder="1" applyAlignment="1">
      <alignment horizontal="center" vertical="center"/>
    </xf>
    <xf numFmtId="166" fontId="202" fillId="0" borderId="1" xfId="2" applyNumberFormat="1" applyFont="1" applyBorder="1" applyAlignment="1">
      <alignment horizontal="center" vertical="center"/>
    </xf>
    <xf numFmtId="165" fontId="202" fillId="0" borderId="1" xfId="0" quotePrefix="1" applyNumberFormat="1" applyFont="1" applyBorder="1" applyAlignment="1">
      <alignment horizontal="center" vertical="center"/>
    </xf>
    <xf numFmtId="0" fontId="203" fillId="0" borderId="0" xfId="0" applyFont="1" applyAlignment="1">
      <alignment vertical="center"/>
    </xf>
    <xf numFmtId="168" fontId="202" fillId="0" borderId="1" xfId="2" applyNumberFormat="1" applyFont="1" applyBorder="1" applyAlignment="1">
      <alignment horizontal="center" vertical="center"/>
    </xf>
    <xf numFmtId="9" fontId="202" fillId="0" borderId="1" xfId="2" applyFont="1" applyBorder="1" applyAlignment="1">
      <alignment horizontal="center" vertical="center"/>
    </xf>
    <xf numFmtId="0" fontId="202" fillId="0" borderId="0" xfId="0" quotePrefix="1" applyFont="1" applyAlignment="1">
      <alignment horizontal="center" vertical="center"/>
    </xf>
    <xf numFmtId="0" fontId="204" fillId="0" borderId="1" xfId="0" applyFont="1" applyBorder="1" applyAlignment="1">
      <alignment horizontal="left" vertical="center"/>
    </xf>
    <xf numFmtId="0" fontId="204" fillId="0" borderId="1" xfId="2" applyNumberFormat="1" applyFont="1" applyBorder="1" applyAlignment="1">
      <alignment horizontal="center" vertical="center"/>
    </xf>
    <xf numFmtId="165" fontId="204" fillId="0" borderId="1" xfId="0" quotePrefix="1" applyNumberFormat="1" applyFont="1" applyBorder="1" applyAlignment="1">
      <alignment horizontal="center" vertical="center"/>
    </xf>
    <xf numFmtId="0" fontId="204" fillId="0" borderId="1" xfId="0" applyFont="1" applyBorder="1" applyAlignment="1">
      <alignment horizontal="center" vertical="center"/>
    </xf>
    <xf numFmtId="0" fontId="204" fillId="0" borderId="0" xfId="0" applyFont="1" applyAlignment="1">
      <alignment vertical="center"/>
    </xf>
    <xf numFmtId="0" fontId="204" fillId="0" borderId="0" xfId="0" quotePrefix="1" applyFont="1" applyAlignment="1">
      <alignment horizontal="center" vertical="center"/>
    </xf>
    <xf numFmtId="9" fontId="204" fillId="0" borderId="1" xfId="2" applyFont="1" applyBorder="1" applyAlignment="1">
      <alignment horizontal="center" vertical="center"/>
    </xf>
    <xf numFmtId="169" fontId="204" fillId="0" borderId="1" xfId="2" applyNumberFormat="1" applyFont="1" applyBorder="1" applyAlignment="1">
      <alignment horizontal="center" vertical="center"/>
    </xf>
    <xf numFmtId="168" fontId="204" fillId="0" borderId="1" xfId="2" applyNumberFormat="1" applyFont="1" applyBorder="1" applyAlignment="1">
      <alignment horizontal="center" vertical="center"/>
    </xf>
    <xf numFmtId="165" fontId="204" fillId="0" borderId="1" xfId="0" applyNumberFormat="1" applyFont="1" applyBorder="1" applyAlignment="1">
      <alignment horizontal="center" vertical="center"/>
    </xf>
    <xf numFmtId="9" fontId="204" fillId="0" borderId="1" xfId="2" applyFont="1" applyBorder="1" applyAlignment="1">
      <alignment horizontal="center" vertical="center" wrapText="1"/>
    </xf>
    <xf numFmtId="0" fontId="204" fillId="0" borderId="1" xfId="0" quotePrefix="1" applyFont="1" applyBorder="1" applyAlignment="1">
      <alignment horizontal="center" vertical="center"/>
    </xf>
    <xf numFmtId="0" fontId="204" fillId="0" borderId="1" xfId="0" applyFont="1" applyBorder="1" applyAlignment="1">
      <alignment vertical="center"/>
    </xf>
    <xf numFmtId="0" fontId="204" fillId="0" borderId="1" xfId="0" quotePrefix="1" applyFont="1" applyBorder="1" applyAlignment="1">
      <alignment vertical="center"/>
    </xf>
    <xf numFmtId="165" fontId="205" fillId="0" borderId="1" xfId="0" quotePrefix="1" applyNumberFormat="1" applyFont="1" applyBorder="1" applyAlignment="1">
      <alignment horizontal="center" vertical="center"/>
    </xf>
    <xf numFmtId="165" fontId="205" fillId="0" borderId="1" xfId="0" applyNumberFormat="1" applyFont="1" applyBorder="1" applyAlignment="1">
      <alignment horizontal="center" vertical="center"/>
    </xf>
    <xf numFmtId="0" fontId="205" fillId="0" borderId="0" xfId="0" applyFont="1" applyAlignment="1">
      <alignment vertical="center"/>
    </xf>
    <xf numFmtId="0" fontId="205" fillId="0" borderId="1" xfId="0" applyFont="1" applyBorder="1" applyAlignment="1">
      <alignment vertical="center"/>
    </xf>
    <xf numFmtId="0" fontId="205" fillId="0" borderId="1" xfId="0" quotePrefix="1" applyFont="1" applyBorder="1" applyAlignment="1">
      <alignment vertical="center"/>
    </xf>
    <xf numFmtId="0" fontId="205" fillId="0" borderId="1" xfId="0" quotePrefix="1" applyFont="1" applyBorder="1" applyAlignment="1">
      <alignment horizontal="center" vertical="center"/>
    </xf>
    <xf numFmtId="0" fontId="205" fillId="0" borderId="1" xfId="0" applyFont="1" applyBorder="1" applyAlignment="1">
      <alignment horizontal="center" vertical="center"/>
    </xf>
    <xf numFmtId="0" fontId="205" fillId="0" borderId="1" xfId="0" applyFont="1" applyBorder="1" applyAlignment="1">
      <alignment horizontal="left" vertical="center"/>
    </xf>
    <xf numFmtId="0" fontId="205" fillId="0" borderId="1" xfId="2" applyNumberFormat="1" applyFont="1" applyBorder="1" applyAlignment="1">
      <alignment horizontal="center" vertical="center"/>
    </xf>
    <xf numFmtId="3" fontId="205" fillId="0" borderId="1" xfId="2" applyNumberFormat="1" applyFont="1" applyBorder="1" applyAlignment="1">
      <alignment horizontal="center" vertical="center"/>
    </xf>
    <xf numFmtId="168" fontId="205" fillId="0" borderId="1" xfId="2" applyNumberFormat="1" applyFont="1" applyBorder="1" applyAlignment="1">
      <alignment horizontal="center" vertical="center"/>
    </xf>
    <xf numFmtId="169" fontId="205" fillId="0" borderId="1" xfId="2" applyNumberFormat="1" applyFont="1" applyBorder="1" applyAlignment="1">
      <alignment horizontal="center" vertical="center"/>
    </xf>
    <xf numFmtId="0" fontId="205" fillId="0" borderId="0" xfId="0" quotePrefix="1" applyFont="1" applyAlignment="1">
      <alignment horizontal="center" vertical="center"/>
    </xf>
    <xf numFmtId="0" fontId="206" fillId="0" borderId="0" xfId="0" quotePrefix="1" applyFont="1" applyAlignment="1">
      <alignment vertical="center"/>
    </xf>
    <xf numFmtId="0" fontId="207" fillId="0" borderId="1" xfId="0" quotePrefix="1" applyFont="1" applyBorder="1" applyAlignment="1">
      <alignment vertical="center"/>
    </xf>
    <xf numFmtId="0" fontId="208" fillId="0" borderId="1" xfId="0" applyFont="1" applyBorder="1" applyAlignment="1">
      <alignment horizontal="center" vertical="center"/>
    </xf>
    <xf numFmtId="173" fontId="208" fillId="0" borderId="1" xfId="0" applyNumberFormat="1" applyFont="1" applyBorder="1" applyAlignment="1">
      <alignment horizontal="center" vertical="center"/>
    </xf>
    <xf numFmtId="0" fontId="209" fillId="0" borderId="0" xfId="0" applyFont="1" applyAlignment="1">
      <alignment horizontal="center" vertical="center"/>
    </xf>
    <xf numFmtId="165" fontId="208" fillId="0" borderId="1" xfId="0" quotePrefix="1" applyNumberFormat="1" applyFont="1" applyBorder="1" applyAlignment="1">
      <alignment horizontal="center" vertical="center"/>
    </xf>
    <xf numFmtId="165" fontId="208" fillId="0" borderId="1" xfId="0" applyNumberFormat="1" applyFont="1" applyBorder="1" applyAlignment="1">
      <alignment horizontal="center" vertical="center"/>
    </xf>
    <xf numFmtId="0" fontId="208" fillId="0" borderId="1" xfId="0" applyFont="1" applyBorder="1" applyAlignment="1">
      <alignment horizontal="left" vertical="center"/>
    </xf>
    <xf numFmtId="0" fontId="208" fillId="0" borderId="0" xfId="0" applyFont="1" applyAlignment="1">
      <alignment vertical="center"/>
    </xf>
    <xf numFmtId="174" fontId="208" fillId="0" borderId="1" xfId="1" applyNumberFormat="1" applyFont="1" applyBorder="1" applyAlignment="1">
      <alignment horizontal="center" vertical="center"/>
    </xf>
    <xf numFmtId="175" fontId="208" fillId="0" borderId="1" xfId="2" applyNumberFormat="1" applyFont="1" applyBorder="1" applyAlignment="1">
      <alignment horizontal="center" vertical="center"/>
    </xf>
    <xf numFmtId="3" fontId="208" fillId="0" borderId="1" xfId="2" applyNumberFormat="1" applyFont="1" applyBorder="1" applyAlignment="1">
      <alignment horizontal="center" vertical="center"/>
    </xf>
    <xf numFmtId="168" fontId="208" fillId="0" borderId="1" xfId="2" applyNumberFormat="1" applyFont="1" applyBorder="1" applyAlignment="1">
      <alignment horizontal="center" vertical="center" wrapText="1"/>
    </xf>
    <xf numFmtId="168" fontId="208" fillId="12" borderId="1" xfId="2" applyNumberFormat="1" applyFont="1" applyFill="1" applyBorder="1" applyAlignment="1">
      <alignment horizontal="center" vertical="center" wrapText="1"/>
    </xf>
    <xf numFmtId="172" fontId="208" fillId="0" borderId="0" xfId="0" applyNumberFormat="1" applyFont="1" applyAlignment="1">
      <alignment horizontal="center" vertical="center"/>
    </xf>
    <xf numFmtId="9" fontId="205" fillId="0" borderId="1" xfId="2" applyFont="1" applyBorder="1" applyAlignment="1">
      <alignment horizontal="center" vertical="center" wrapText="1"/>
    </xf>
    <xf numFmtId="9" fontId="205" fillId="0" borderId="1" xfId="2" applyFont="1" applyBorder="1" applyAlignment="1">
      <alignment horizontal="left" vertical="center"/>
    </xf>
    <xf numFmtId="168" fontId="210" fillId="0" borderId="1" xfId="2" applyNumberFormat="1" applyFont="1" applyBorder="1" applyAlignment="1">
      <alignment horizontal="center" vertical="center"/>
    </xf>
    <xf numFmtId="0" fontId="211" fillId="0" borderId="0" xfId="0" applyFont="1" applyAlignment="1">
      <alignment vertical="center"/>
    </xf>
    <xf numFmtId="0" fontId="206" fillId="0" borderId="0" xfId="0" applyFont="1" applyAlignment="1">
      <alignment vertical="center"/>
    </xf>
    <xf numFmtId="0" fontId="208" fillId="0" borderId="11" xfId="0" quotePrefix="1" applyFont="1" applyBorder="1" applyAlignment="1">
      <alignment horizontal="center" vertical="center"/>
    </xf>
    <xf numFmtId="0" fontId="212" fillId="0" borderId="0" xfId="0" applyFont="1" applyAlignment="1">
      <alignment vertical="center"/>
    </xf>
    <xf numFmtId="14" fontId="212" fillId="0" borderId="1" xfId="0" applyNumberFormat="1" applyFont="1" applyBorder="1" applyAlignment="1">
      <alignment vertical="center"/>
    </xf>
    <xf numFmtId="0" fontId="212" fillId="0" borderId="1" xfId="0" applyFont="1" applyBorder="1" applyAlignment="1">
      <alignment horizontal="center" vertical="center"/>
    </xf>
    <xf numFmtId="0" fontId="212" fillId="0" borderId="1" xfId="0" applyFont="1" applyBorder="1" applyAlignment="1">
      <alignment vertical="center"/>
    </xf>
    <xf numFmtId="165" fontId="212" fillId="0" borderId="1" xfId="0" applyNumberFormat="1" applyFont="1" applyBorder="1" applyAlignment="1">
      <alignment horizontal="center" vertical="center"/>
    </xf>
    <xf numFmtId="0" fontId="212" fillId="0" borderId="1" xfId="0" applyFont="1" applyBorder="1" applyAlignment="1">
      <alignment horizontal="left" vertical="center"/>
    </xf>
    <xf numFmtId="3" fontId="212" fillId="0" borderId="1" xfId="2" applyNumberFormat="1" applyFont="1" applyBorder="1" applyAlignment="1">
      <alignment horizontal="center" vertical="center"/>
    </xf>
    <xf numFmtId="170" fontId="212" fillId="0" borderId="0" xfId="0" applyNumberFormat="1" applyFont="1" applyAlignment="1">
      <alignment horizontal="center" vertical="center"/>
    </xf>
    <xf numFmtId="169" fontId="212" fillId="0" borderId="1" xfId="2" applyNumberFormat="1" applyFont="1" applyBorder="1" applyAlignment="1">
      <alignment horizontal="center" vertical="center"/>
    </xf>
    <xf numFmtId="14" fontId="212" fillId="0" borderId="1" xfId="2" applyNumberFormat="1" applyFont="1" applyBorder="1" applyAlignment="1">
      <alignment horizontal="center" vertical="center"/>
    </xf>
    <xf numFmtId="0" fontId="212" fillId="0" borderId="0" xfId="0" quotePrefix="1" applyFont="1" applyAlignment="1">
      <alignment horizontal="center" vertical="center"/>
    </xf>
    <xf numFmtId="165" fontId="212" fillId="0" borderId="1" xfId="0" quotePrefix="1" applyNumberFormat="1" applyFont="1" applyBorder="1" applyAlignment="1">
      <alignment horizontal="center" vertical="center"/>
    </xf>
    <xf numFmtId="0" fontId="208" fillId="0" borderId="1" xfId="0" applyFont="1" applyBorder="1" applyAlignment="1">
      <alignment horizontal="center" vertical="center" wrapText="1"/>
    </xf>
    <xf numFmtId="0" fontId="213" fillId="20" borderId="1" xfId="0" quotePrefix="1" applyFont="1" applyFill="1" applyBorder="1" applyAlignment="1">
      <alignment horizontal="center" vertical="center"/>
    </xf>
    <xf numFmtId="0" fontId="208" fillId="0" borderId="1" xfId="0" quotePrefix="1" applyFont="1" applyBorder="1" applyAlignment="1">
      <alignment vertical="center"/>
    </xf>
    <xf numFmtId="0" fontId="214" fillId="0" borderId="0" xfId="0" applyFont="1" applyAlignment="1">
      <alignment vertical="center"/>
    </xf>
    <xf numFmtId="0" fontId="214" fillId="0" borderId="1" xfId="0" quotePrefix="1" applyFont="1" applyBorder="1" applyAlignment="1">
      <alignment vertical="center"/>
    </xf>
    <xf numFmtId="0" fontId="214" fillId="0" borderId="1" xfId="0" applyFont="1" applyBorder="1" applyAlignment="1">
      <alignment vertical="center"/>
    </xf>
    <xf numFmtId="0" fontId="214" fillId="0" borderId="1" xfId="0" applyFont="1" applyBorder="1" applyAlignment="1">
      <alignment horizontal="center" vertical="center"/>
    </xf>
    <xf numFmtId="0" fontId="214" fillId="0" borderId="1" xfId="0" applyFont="1" applyBorder="1" applyAlignment="1">
      <alignment horizontal="left" vertical="center"/>
    </xf>
    <xf numFmtId="0" fontId="214" fillId="0" borderId="1" xfId="2" applyNumberFormat="1" applyFont="1" applyBorder="1" applyAlignment="1">
      <alignment horizontal="center" vertical="center"/>
    </xf>
    <xf numFmtId="165" fontId="214" fillId="0" borderId="1" xfId="0" applyNumberFormat="1" applyFont="1" applyBorder="1" applyAlignment="1">
      <alignment horizontal="center" vertical="center"/>
    </xf>
    <xf numFmtId="9" fontId="214" fillId="0" borderId="1" xfId="2" applyFont="1" applyBorder="1" applyAlignment="1">
      <alignment horizontal="center" vertical="center" wrapText="1"/>
    </xf>
    <xf numFmtId="165" fontId="214" fillId="0" borderId="1" xfId="0" quotePrefix="1" applyNumberFormat="1" applyFont="1" applyBorder="1" applyAlignment="1">
      <alignment horizontal="center" vertical="center"/>
    </xf>
    <xf numFmtId="3" fontId="214" fillId="0" borderId="1" xfId="2" applyNumberFormat="1" applyFont="1" applyBorder="1" applyAlignment="1">
      <alignment horizontal="center" vertical="center"/>
    </xf>
    <xf numFmtId="9" fontId="214" fillId="0" borderId="1" xfId="2" applyFont="1" applyBorder="1" applyAlignment="1">
      <alignment horizontal="left" vertical="center"/>
    </xf>
    <xf numFmtId="168" fontId="214" fillId="0" borderId="1" xfId="2" applyNumberFormat="1" applyFont="1" applyBorder="1" applyAlignment="1">
      <alignment horizontal="center" vertical="center"/>
    </xf>
    <xf numFmtId="169" fontId="214" fillId="0" borderId="1" xfId="2" applyNumberFormat="1" applyFont="1" applyBorder="1" applyAlignment="1">
      <alignment horizontal="center" vertical="center"/>
    </xf>
    <xf numFmtId="168" fontId="215" fillId="0" borderId="1" xfId="2" applyNumberFormat="1" applyFont="1" applyBorder="1" applyAlignment="1">
      <alignment horizontal="center" vertical="center"/>
    </xf>
    <xf numFmtId="0" fontId="214" fillId="0" borderId="0" xfId="0" quotePrefix="1" applyFont="1" applyAlignment="1">
      <alignment horizontal="center" vertical="center"/>
    </xf>
    <xf numFmtId="0" fontId="216" fillId="0" borderId="0" xfId="0" applyFont="1" applyAlignment="1">
      <alignment vertical="center"/>
    </xf>
    <xf numFmtId="0" fontId="214" fillId="0" borderId="0" xfId="0" applyFont="1" applyAlignment="1">
      <alignment vertical="center" wrapText="1"/>
    </xf>
    <xf numFmtId="0" fontId="216" fillId="0" borderId="1" xfId="0" applyFont="1" applyBorder="1" applyAlignment="1">
      <alignment vertical="center"/>
    </xf>
    <xf numFmtId="0" fontId="217" fillId="0" borderId="1" xfId="0" applyFont="1" applyBorder="1" applyAlignment="1">
      <alignment vertical="center"/>
    </xf>
    <xf numFmtId="0" fontId="138" fillId="0" borderId="1" xfId="0" quotePrefix="1" applyFont="1" applyBorder="1" applyAlignment="1">
      <alignment horizontal="center" vertical="center"/>
    </xf>
    <xf numFmtId="0" fontId="218" fillId="0" borderId="10" xfId="0" quotePrefix="1" applyFont="1" applyBorder="1" applyAlignment="1">
      <alignment horizontal="center" vertical="center"/>
    </xf>
    <xf numFmtId="0" fontId="218" fillId="0" borderId="11" xfId="0" applyFont="1" applyBorder="1" applyAlignment="1">
      <alignment horizontal="center" vertical="center"/>
    </xf>
    <xf numFmtId="0" fontId="111" fillId="0" borderId="1" xfId="0" applyFont="1" applyBorder="1" applyAlignment="1">
      <alignment horizontal="center" vertical="center" wrapText="1"/>
    </xf>
    <xf numFmtId="168" fontId="41" fillId="0" borderId="0" xfId="2" applyNumberFormat="1" applyFont="1" applyBorder="1" applyAlignment="1">
      <alignment horizontal="center" vertical="center" wrapText="1"/>
    </xf>
    <xf numFmtId="0" fontId="56" fillId="0" borderId="1" xfId="0" applyFont="1" applyBorder="1" applyAlignment="1">
      <alignment vertical="center"/>
    </xf>
    <xf numFmtId="0" fontId="86" fillId="0" borderId="0" xfId="0" quotePrefix="1" applyFont="1" applyAlignment="1">
      <alignment vertical="center"/>
    </xf>
    <xf numFmtId="0" fontId="42" fillId="0" borderId="0" xfId="0" quotePrefix="1" applyFont="1" applyAlignment="1">
      <alignment vertical="center"/>
    </xf>
    <xf numFmtId="173" fontId="41" fillId="0" borderId="0" xfId="0" applyNumberFormat="1" applyFont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41" fillId="0" borderId="0" xfId="0" applyFont="1" applyAlignment="1">
      <alignment horizontal="center" vertical="center" wrapText="1"/>
    </xf>
    <xf numFmtId="165" fontId="41" fillId="0" borderId="0" xfId="0" quotePrefix="1" applyNumberFormat="1" applyFont="1" applyAlignment="1">
      <alignment horizontal="center" vertical="center"/>
    </xf>
    <xf numFmtId="165" fontId="41" fillId="0" borderId="0" xfId="0" applyNumberFormat="1" applyFont="1" applyAlignment="1">
      <alignment horizontal="center" vertical="center"/>
    </xf>
    <xf numFmtId="174" fontId="41" fillId="0" borderId="0" xfId="1" applyNumberFormat="1" applyFont="1" applyFill="1" applyBorder="1" applyAlignment="1">
      <alignment horizontal="center" vertical="center"/>
    </xf>
    <xf numFmtId="175" fontId="41" fillId="0" borderId="0" xfId="2" applyNumberFormat="1" applyFont="1" applyFill="1" applyBorder="1" applyAlignment="1">
      <alignment horizontal="center" vertical="center"/>
    </xf>
    <xf numFmtId="3" fontId="41" fillId="0" borderId="0" xfId="2" applyNumberFormat="1" applyFont="1" applyFill="1" applyBorder="1" applyAlignment="1">
      <alignment horizontal="center" vertical="center"/>
    </xf>
    <xf numFmtId="168" fontId="41" fillId="0" borderId="0" xfId="2" applyNumberFormat="1" applyFont="1" applyFill="1" applyBorder="1" applyAlignment="1">
      <alignment horizontal="center" vertical="center" wrapText="1"/>
    </xf>
    <xf numFmtId="168" fontId="69" fillId="0" borderId="0" xfId="2" applyNumberFormat="1" applyFont="1" applyBorder="1" applyAlignment="1">
      <alignment horizontal="center" vertical="center" wrapText="1"/>
    </xf>
    <xf numFmtId="168" fontId="79" fillId="0" borderId="0" xfId="2" applyNumberFormat="1" applyFont="1" applyBorder="1" applyAlignment="1">
      <alignment horizontal="center" vertical="center" wrapText="1"/>
    </xf>
    <xf numFmtId="168" fontId="87" fillId="0" borderId="0" xfId="2" applyNumberFormat="1" applyFont="1" applyBorder="1" applyAlignment="1">
      <alignment horizontal="center" vertical="center" wrapText="1"/>
    </xf>
    <xf numFmtId="0" fontId="113" fillId="0" borderId="1" xfId="0" applyFont="1" applyBorder="1" applyAlignment="1">
      <alignment vertical="center"/>
    </xf>
    <xf numFmtId="168" fontId="111" fillId="0" borderId="0" xfId="2" applyNumberFormat="1" applyFont="1" applyBorder="1" applyAlignment="1">
      <alignment horizontal="center" vertical="center" wrapText="1"/>
    </xf>
    <xf numFmtId="0" fontId="199" fillId="0" borderId="1" xfId="0" applyFont="1" applyBorder="1" applyAlignment="1">
      <alignment vertical="center"/>
    </xf>
    <xf numFmtId="168" fontId="195" fillId="0" borderId="0" xfId="2" applyNumberFormat="1" applyFont="1" applyBorder="1" applyAlignment="1">
      <alignment horizontal="center" vertical="center" wrapText="1"/>
    </xf>
    <xf numFmtId="168" fontId="87" fillId="12" borderId="0" xfId="2" applyNumberFormat="1" applyFont="1" applyFill="1" applyBorder="1" applyAlignment="1">
      <alignment horizontal="center" vertical="center" wrapText="1"/>
    </xf>
    <xf numFmtId="168" fontId="219" fillId="0" borderId="1" xfId="2" applyNumberFormat="1" applyFont="1" applyBorder="1" applyAlignment="1">
      <alignment horizontal="center" vertical="center"/>
    </xf>
    <xf numFmtId="0" fontId="81" fillId="21" borderId="0" xfId="0" applyFont="1" applyFill="1" applyAlignment="1">
      <alignment vertical="center" wrapText="1"/>
    </xf>
    <xf numFmtId="0" fontId="0" fillId="21" borderId="0" xfId="0" applyFill="1" applyAlignment="1">
      <alignment horizontal="center"/>
    </xf>
    <xf numFmtId="0" fontId="220" fillId="0" borderId="1" xfId="0" applyFont="1" applyBorder="1" applyAlignment="1">
      <alignment vertical="center"/>
    </xf>
    <xf numFmtId="0" fontId="220" fillId="0" borderId="0" xfId="0" applyFont="1" applyAlignment="1">
      <alignment vertical="center"/>
    </xf>
    <xf numFmtId="0" fontId="220" fillId="0" borderId="1" xfId="0" applyFont="1" applyBorder="1" applyAlignment="1">
      <alignment horizontal="center" vertical="center"/>
    </xf>
    <xf numFmtId="0" fontId="220" fillId="0" borderId="1" xfId="0" quotePrefix="1" applyFont="1" applyBorder="1" applyAlignment="1">
      <alignment horizontal="center" vertical="center"/>
    </xf>
    <xf numFmtId="0" fontId="220" fillId="0" borderId="1" xfId="0" applyFont="1" applyBorder="1" applyAlignment="1">
      <alignment horizontal="left" vertical="center"/>
    </xf>
    <xf numFmtId="0" fontId="220" fillId="0" borderId="1" xfId="2" applyNumberFormat="1" applyFont="1" applyBorder="1" applyAlignment="1">
      <alignment horizontal="center" vertical="center"/>
    </xf>
    <xf numFmtId="165" fontId="220" fillId="0" borderId="1" xfId="0" applyNumberFormat="1" applyFont="1" applyBorder="1" applyAlignment="1">
      <alignment horizontal="center" vertical="center"/>
    </xf>
    <xf numFmtId="166" fontId="220" fillId="0" borderId="1" xfId="2" applyNumberFormat="1" applyFont="1" applyBorder="1" applyAlignment="1">
      <alignment horizontal="center" vertical="center"/>
    </xf>
    <xf numFmtId="165" fontId="220" fillId="0" borderId="1" xfId="0" quotePrefix="1" applyNumberFormat="1" applyFont="1" applyBorder="1" applyAlignment="1">
      <alignment horizontal="center" vertical="center"/>
    </xf>
    <xf numFmtId="3" fontId="220" fillId="0" borderId="1" xfId="2" applyNumberFormat="1" applyFont="1" applyBorder="1" applyAlignment="1">
      <alignment horizontal="center" vertical="center"/>
    </xf>
    <xf numFmtId="168" fontId="220" fillId="0" borderId="1" xfId="2" applyNumberFormat="1" applyFont="1" applyBorder="1" applyAlignment="1">
      <alignment horizontal="center" vertical="center"/>
    </xf>
    <xf numFmtId="169" fontId="220" fillId="0" borderId="1" xfId="2" applyNumberFormat="1" applyFont="1" applyBorder="1" applyAlignment="1">
      <alignment horizontal="center" vertical="center"/>
    </xf>
    <xf numFmtId="0" fontId="220" fillId="0" borderId="0" xfId="0" quotePrefix="1" applyFont="1" applyAlignment="1">
      <alignment horizontal="center" vertical="center"/>
    </xf>
    <xf numFmtId="0" fontId="221" fillId="0" borderId="1" xfId="0" quotePrefix="1" applyFont="1" applyBorder="1" applyAlignment="1">
      <alignment horizontal="center" vertical="center"/>
    </xf>
    <xf numFmtId="168" fontId="222" fillId="0" borderId="1" xfId="2" applyNumberFormat="1" applyFont="1" applyBorder="1" applyAlignment="1">
      <alignment horizontal="center" vertical="center" wrapText="1"/>
    </xf>
    <xf numFmtId="0" fontId="220" fillId="0" borderId="1" xfId="0" quotePrefix="1" applyFont="1" applyBorder="1" applyAlignment="1">
      <alignment vertical="center"/>
    </xf>
    <xf numFmtId="9" fontId="220" fillId="0" borderId="1" xfId="2" applyFont="1" applyBorder="1" applyAlignment="1">
      <alignment horizontal="center" vertical="center" wrapText="1"/>
    </xf>
    <xf numFmtId="9" fontId="220" fillId="0" borderId="1" xfId="2" applyFont="1" applyBorder="1" applyAlignment="1">
      <alignment horizontal="left" vertical="center"/>
    </xf>
    <xf numFmtId="168" fontId="223" fillId="0" borderId="1" xfId="2" applyNumberFormat="1" applyFont="1" applyBorder="1" applyAlignment="1">
      <alignment horizontal="center" vertical="center"/>
    </xf>
    <xf numFmtId="0" fontId="224" fillId="0" borderId="0" xfId="0" applyFont="1" applyAlignment="1">
      <alignment vertical="center"/>
    </xf>
    <xf numFmtId="168" fontId="192" fillId="0" borderId="0" xfId="0" applyNumberFormat="1" applyFont="1" applyAlignment="1">
      <alignment vertical="center"/>
    </xf>
    <xf numFmtId="0" fontId="214" fillId="0" borderId="0" xfId="2" applyNumberFormat="1" applyFont="1" applyBorder="1" applyAlignment="1">
      <alignment horizontal="center" vertical="center"/>
    </xf>
    <xf numFmtId="3" fontId="3" fillId="0" borderId="0" xfId="2" applyNumberFormat="1" applyFont="1" applyBorder="1" applyAlignment="1">
      <alignment horizontal="center" vertical="center"/>
    </xf>
    <xf numFmtId="168" fontId="225" fillId="0" borderId="1" xfId="0" applyNumberFormat="1" applyFont="1" applyBorder="1" applyAlignment="1">
      <alignment vertical="center"/>
    </xf>
    <xf numFmtId="0" fontId="226" fillId="0" borderId="0" xfId="0" applyFont="1" applyAlignment="1">
      <alignment vertical="center"/>
    </xf>
    <xf numFmtId="14" fontId="226" fillId="0" borderId="1" xfId="0" applyNumberFormat="1" applyFont="1" applyBorder="1" applyAlignment="1">
      <alignment vertical="center"/>
    </xf>
    <xf numFmtId="0" fontId="226" fillId="0" borderId="1" xfId="0" applyFont="1" applyBorder="1" applyAlignment="1">
      <alignment horizontal="center" vertical="center"/>
    </xf>
    <xf numFmtId="0" fontId="226" fillId="0" borderId="1" xfId="0" applyFont="1" applyBorder="1" applyAlignment="1">
      <alignment vertical="center"/>
    </xf>
    <xf numFmtId="165" fontId="226" fillId="0" borderId="1" xfId="0" applyNumberFormat="1" applyFont="1" applyBorder="1" applyAlignment="1">
      <alignment horizontal="center" vertical="center"/>
    </xf>
    <xf numFmtId="0" fontId="226" fillId="0" borderId="1" xfId="0" applyFont="1" applyBorder="1" applyAlignment="1">
      <alignment horizontal="left" vertical="center"/>
    </xf>
    <xf numFmtId="3" fontId="226" fillId="0" borderId="1" xfId="2" applyNumberFormat="1" applyFont="1" applyBorder="1" applyAlignment="1">
      <alignment horizontal="center" vertical="center"/>
    </xf>
    <xf numFmtId="170" fontId="226" fillId="0" borderId="0" xfId="0" applyNumberFormat="1" applyFont="1" applyAlignment="1">
      <alignment horizontal="center" vertical="center"/>
    </xf>
    <xf numFmtId="169" fontId="226" fillId="0" borderId="1" xfId="2" applyNumberFormat="1" applyFont="1" applyBorder="1" applyAlignment="1">
      <alignment horizontal="center" vertical="center"/>
    </xf>
    <xf numFmtId="14" fontId="226" fillId="0" borderId="1" xfId="2" applyNumberFormat="1" applyFont="1" applyBorder="1" applyAlignment="1">
      <alignment horizontal="center" vertical="center"/>
    </xf>
    <xf numFmtId="0" fontId="226" fillId="0" borderId="0" xfId="0" quotePrefix="1" applyFont="1" applyAlignment="1">
      <alignment horizontal="center" vertical="center"/>
    </xf>
    <xf numFmtId="165" fontId="226" fillId="0" borderId="1" xfId="0" quotePrefix="1" applyNumberFormat="1" applyFont="1" applyBorder="1" applyAlignment="1">
      <alignment horizontal="center" vertical="center"/>
    </xf>
    <xf numFmtId="0" fontId="227" fillId="0" borderId="0" xfId="0" applyFont="1" applyAlignment="1">
      <alignment vertical="center"/>
    </xf>
    <xf numFmtId="0" fontId="228" fillId="0" borderId="1" xfId="0" quotePrefix="1" applyFont="1" applyBorder="1" applyAlignment="1">
      <alignment vertical="center"/>
    </xf>
    <xf numFmtId="0" fontId="229" fillId="0" borderId="1" xfId="0" applyFont="1" applyBorder="1" applyAlignment="1">
      <alignment horizontal="center" vertical="center"/>
    </xf>
    <xf numFmtId="173" fontId="229" fillId="0" borderId="1" xfId="0" applyNumberFormat="1" applyFont="1" applyBorder="1" applyAlignment="1">
      <alignment horizontal="center" vertical="center"/>
    </xf>
    <xf numFmtId="0" fontId="230" fillId="0" borderId="0" xfId="0" applyFont="1" applyAlignment="1">
      <alignment horizontal="center" vertical="center"/>
    </xf>
    <xf numFmtId="165" fontId="229" fillId="0" borderId="1" xfId="0" quotePrefix="1" applyNumberFormat="1" applyFont="1" applyBorder="1" applyAlignment="1">
      <alignment horizontal="center" vertical="center"/>
    </xf>
    <xf numFmtId="165" fontId="229" fillId="0" borderId="1" xfId="0" applyNumberFormat="1" applyFont="1" applyBorder="1" applyAlignment="1">
      <alignment horizontal="center" vertical="center"/>
    </xf>
    <xf numFmtId="0" fontId="229" fillId="0" borderId="1" xfId="0" applyFont="1" applyBorder="1" applyAlignment="1">
      <alignment horizontal="left" vertical="center"/>
    </xf>
    <xf numFmtId="0" fontId="229" fillId="0" borderId="0" xfId="0" applyFont="1" applyAlignment="1">
      <alignment vertical="center"/>
    </xf>
    <xf numFmtId="174" fontId="229" fillId="0" borderId="1" xfId="1" applyNumberFormat="1" applyFont="1" applyBorder="1" applyAlignment="1">
      <alignment horizontal="center" vertical="center"/>
    </xf>
    <xf numFmtId="175" fontId="229" fillId="0" borderId="1" xfId="2" applyNumberFormat="1" applyFont="1" applyBorder="1" applyAlignment="1">
      <alignment horizontal="center" vertical="center"/>
    </xf>
    <xf numFmtId="3" fontId="229" fillId="0" borderId="1" xfId="2" applyNumberFormat="1" applyFont="1" applyBorder="1" applyAlignment="1">
      <alignment horizontal="center" vertical="center"/>
    </xf>
    <xf numFmtId="168" fontId="229" fillId="0" borderId="1" xfId="2" applyNumberFormat="1" applyFont="1" applyBorder="1" applyAlignment="1">
      <alignment horizontal="center" vertical="center" wrapText="1"/>
    </xf>
    <xf numFmtId="168" fontId="229" fillId="12" borderId="1" xfId="2" applyNumberFormat="1" applyFont="1" applyFill="1" applyBorder="1" applyAlignment="1">
      <alignment horizontal="center" vertical="center" wrapText="1"/>
    </xf>
    <xf numFmtId="172" fontId="229" fillId="0" borderId="0" xfId="0" applyNumberFormat="1" applyFont="1" applyAlignment="1">
      <alignment horizontal="center" vertical="center"/>
    </xf>
    <xf numFmtId="0" fontId="231" fillId="0" borderId="1" xfId="0" applyFont="1" applyBorder="1" applyAlignment="1">
      <alignment horizontal="center" vertical="center"/>
    </xf>
    <xf numFmtId="0" fontId="231" fillId="0" borderId="0" xfId="0" applyFont="1" applyAlignment="1">
      <alignment vertical="center"/>
    </xf>
    <xf numFmtId="0" fontId="231" fillId="0" borderId="1" xfId="0" applyFont="1" applyBorder="1" applyAlignment="1">
      <alignment vertical="center"/>
    </xf>
    <xf numFmtId="0" fontId="231" fillId="0" borderId="1" xfId="0" applyFont="1" applyBorder="1" applyAlignment="1">
      <alignment horizontal="left" vertical="center"/>
    </xf>
    <xf numFmtId="0" fontId="231" fillId="0" borderId="1" xfId="2" applyNumberFormat="1" applyFont="1" applyBorder="1" applyAlignment="1">
      <alignment horizontal="center" vertical="center"/>
    </xf>
    <xf numFmtId="165" fontId="231" fillId="0" borderId="1" xfId="0" applyNumberFormat="1" applyFont="1" applyBorder="1" applyAlignment="1">
      <alignment horizontal="center" vertical="center"/>
    </xf>
    <xf numFmtId="9" fontId="231" fillId="0" borderId="1" xfId="2" applyFont="1" applyBorder="1" applyAlignment="1">
      <alignment horizontal="center" vertical="center" wrapText="1"/>
    </xf>
    <xf numFmtId="3" fontId="231" fillId="0" borderId="1" xfId="2" applyNumberFormat="1" applyFont="1" applyBorder="1" applyAlignment="1">
      <alignment horizontal="center" vertical="center"/>
    </xf>
    <xf numFmtId="9" fontId="231" fillId="0" borderId="1" xfId="2" applyFont="1" applyBorder="1" applyAlignment="1">
      <alignment horizontal="left" vertical="center"/>
    </xf>
    <xf numFmtId="168" fontId="231" fillId="0" borderId="1" xfId="2" applyNumberFormat="1" applyFont="1" applyBorder="1" applyAlignment="1">
      <alignment horizontal="center" vertical="center"/>
    </xf>
    <xf numFmtId="169" fontId="231" fillId="0" borderId="1" xfId="2" applyNumberFormat="1" applyFont="1" applyBorder="1" applyAlignment="1">
      <alignment horizontal="center" vertical="center"/>
    </xf>
    <xf numFmtId="168" fontId="232" fillId="0" borderId="1" xfId="2" applyNumberFormat="1" applyFont="1" applyBorder="1" applyAlignment="1">
      <alignment horizontal="center" vertical="center"/>
    </xf>
    <xf numFmtId="0" fontId="231" fillId="0" borderId="0" xfId="0" quotePrefix="1" applyFont="1" applyAlignment="1">
      <alignment horizontal="center" vertical="center"/>
    </xf>
    <xf numFmtId="0" fontId="233" fillId="0" borderId="0" xfId="0" applyFont="1" applyAlignment="1">
      <alignment vertical="center"/>
    </xf>
    <xf numFmtId="0" fontId="231" fillId="0" borderId="1" xfId="0" quotePrefix="1" applyFont="1" applyBorder="1" applyAlignment="1">
      <alignment vertical="center"/>
    </xf>
    <xf numFmtId="165" fontId="231" fillId="0" borderId="1" xfId="0" quotePrefix="1" applyNumberFormat="1" applyFont="1" applyBorder="1" applyAlignment="1">
      <alignment horizontal="center" vertical="center"/>
    </xf>
    <xf numFmtId="0" fontId="231" fillId="19" borderId="0" xfId="0" applyFont="1" applyFill="1" applyAlignment="1">
      <alignment vertical="center"/>
    </xf>
    <xf numFmtId="0" fontId="234" fillId="0" borderId="1" xfId="0" quotePrefix="1" applyFont="1" applyBorder="1" applyAlignment="1">
      <alignment horizontal="center" vertical="center"/>
    </xf>
    <xf numFmtId="168" fontId="235" fillId="0" borderId="1" xfId="2" applyNumberFormat="1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168" fontId="162" fillId="0" borderId="0" xfId="0" applyNumberFormat="1" applyFont="1" applyAlignment="1">
      <alignment vertical="center"/>
    </xf>
    <xf numFmtId="0" fontId="3" fillId="12" borderId="1" xfId="0" applyFont="1" applyFill="1" applyBorder="1" applyAlignment="1">
      <alignment vertical="center"/>
    </xf>
    <xf numFmtId="0" fontId="214" fillId="12" borderId="1" xfId="0" quotePrefix="1" applyFont="1" applyFill="1" applyBorder="1" applyAlignment="1">
      <alignment vertical="center"/>
    </xf>
    <xf numFmtId="0" fontId="236" fillId="0" borderId="0" xfId="0" applyFont="1" applyAlignment="1">
      <alignment vertical="center"/>
    </xf>
    <xf numFmtId="0" fontId="236" fillId="0" borderId="1" xfId="0" applyFont="1" applyBorder="1" applyAlignment="1">
      <alignment vertical="center"/>
    </xf>
    <xf numFmtId="0" fontId="236" fillId="0" borderId="1" xfId="0" applyFont="1" applyBorder="1" applyAlignment="1">
      <alignment horizontal="center" vertical="center"/>
    </xf>
    <xf numFmtId="0" fontId="236" fillId="0" borderId="1" xfId="0" quotePrefix="1" applyFont="1" applyBorder="1" applyAlignment="1">
      <alignment vertical="center"/>
    </xf>
    <xf numFmtId="3" fontId="236" fillId="0" borderId="1" xfId="2" applyNumberFormat="1" applyFont="1" applyBorder="1" applyAlignment="1">
      <alignment horizontal="center" vertical="center"/>
    </xf>
    <xf numFmtId="9" fontId="236" fillId="0" borderId="1" xfId="2" applyFont="1" applyBorder="1" applyAlignment="1">
      <alignment horizontal="left" vertical="center"/>
    </xf>
    <xf numFmtId="169" fontId="236" fillId="0" borderId="1" xfId="2" applyNumberFormat="1" applyFont="1" applyBorder="1" applyAlignment="1">
      <alignment horizontal="center" vertical="center"/>
    </xf>
    <xf numFmtId="168" fontId="237" fillId="0" borderId="1" xfId="2" applyNumberFormat="1" applyFont="1" applyBorder="1" applyAlignment="1">
      <alignment horizontal="center" vertical="center"/>
    </xf>
    <xf numFmtId="168" fontId="236" fillId="0" borderId="1" xfId="2" applyNumberFormat="1" applyFont="1" applyBorder="1" applyAlignment="1">
      <alignment horizontal="center" vertical="center"/>
    </xf>
    <xf numFmtId="0" fontId="236" fillId="0" borderId="1" xfId="0" applyFont="1" applyBorder="1" applyAlignment="1">
      <alignment horizontal="left" vertical="center"/>
    </xf>
    <xf numFmtId="0" fontId="236" fillId="0" borderId="1" xfId="0" quotePrefix="1" applyFont="1" applyBorder="1" applyAlignment="1">
      <alignment horizontal="center" vertical="center"/>
    </xf>
    <xf numFmtId="165" fontId="236" fillId="0" borderId="1" xfId="0" applyNumberFormat="1" applyFont="1" applyBorder="1" applyAlignment="1">
      <alignment horizontal="center" vertical="center"/>
    </xf>
    <xf numFmtId="9" fontId="236" fillId="0" borderId="1" xfId="2" applyFont="1" applyBorder="1" applyAlignment="1">
      <alignment horizontal="center" vertical="center" wrapText="1"/>
    </xf>
    <xf numFmtId="0" fontId="236" fillId="0" borderId="1" xfId="0" quotePrefix="1" applyFont="1" applyFill="1" applyBorder="1" applyAlignment="1">
      <alignment vertical="center"/>
    </xf>
    <xf numFmtId="0" fontId="81" fillId="0" borderId="0" xfId="0" applyFont="1" applyAlignment="1">
      <alignment horizontal="center" vertical="center" wrapText="1"/>
    </xf>
  </cellXfs>
  <cellStyles count="28">
    <cellStyle name="_Table" xfId="7" xr:uid="{218D287A-FFBF-43CE-9CD1-3E2E6DEF87FF}"/>
    <cellStyle name="_TableHead" xfId="5" xr:uid="{2ECFE459-2F84-449C-834A-F7FC023022A9}"/>
    <cellStyle name="Collegamento ipertestuale 2" xfId="12" xr:uid="{16AD0EE6-1155-4B0E-AF6D-E53750CA4902}"/>
    <cellStyle name="Hyperlink" xfId="13" xr:uid="{533F2736-7F52-49F4-B07B-3D57495F9A47}"/>
    <cellStyle name="Migliaia" xfId="1" builtinId="3"/>
    <cellStyle name="Migliaia 2" xfId="4" xr:uid="{E22489ED-D219-4E67-8C07-767E8447B742}"/>
    <cellStyle name="Migliaia 2 2" xfId="19" xr:uid="{0063F973-F420-4E7F-9F61-B600A5EA8D0C}"/>
    <cellStyle name="Migliaia 2 2 2" xfId="26" xr:uid="{17E16A22-AC56-43BC-95E4-0B639F45579D}"/>
    <cellStyle name="Migliaia 2 3" xfId="23" xr:uid="{0F07C44E-512A-4857-BAFC-695E853BAAE2}"/>
    <cellStyle name="Migliaia 3" xfId="9" xr:uid="{5C41FCFE-2721-4454-9133-3DCC9AA69FCB}"/>
    <cellStyle name="Migliaia 3 2" xfId="20" xr:uid="{32C74F90-9375-4E42-B74A-A1B542ECCC0C}"/>
    <cellStyle name="Migliaia 3 2 2" xfId="27" xr:uid="{75E3BC5D-BB81-445E-8139-CDDC57A7A2D6}"/>
    <cellStyle name="Migliaia 3 3" xfId="24" xr:uid="{3E771B0F-FA8E-43FF-A84B-5C72C521AF4A}"/>
    <cellStyle name="Migliaia 4" xfId="17" xr:uid="{3029A38F-AA0B-4C26-97D1-B88CBF58741A}"/>
    <cellStyle name="Migliaia 4 2" xfId="25" xr:uid="{1F4383D3-4296-4FC8-8C06-087D9DA53C9D}"/>
    <cellStyle name="Migliaia 5" xfId="22" xr:uid="{6C664F05-5CC2-4E22-B111-6EB073CFC60F}"/>
    <cellStyle name="Normal 2" xfId="6" xr:uid="{B6A87E89-B858-4C32-929D-FF0D66CC50DC}"/>
    <cellStyle name="Normale" xfId="0" builtinId="0"/>
    <cellStyle name="Normale 2" xfId="14" xr:uid="{4E409687-6DED-46E7-873F-3F61B94CE30D}"/>
    <cellStyle name="Normale 2 2" xfId="21" xr:uid="{F4D86B0A-F943-4F56-AF0A-BDFAFC9A6B4C}"/>
    <cellStyle name="Normale 3" xfId="10" xr:uid="{0E33791F-C037-4B29-9571-D1712BF0A32E}"/>
    <cellStyle name="Normale 3 2" xfId="8" xr:uid="{38CB780C-5014-444D-8D63-135C1288999A}"/>
    <cellStyle name="Normale 4" xfId="3" xr:uid="{9E7D8D4F-2A1B-4ED8-8AAD-D784B8C3C1CB}"/>
    <cellStyle name="Normale 5" xfId="16" xr:uid="{132BF8A2-33B5-4F56-A9A6-B3ECF52C6768}"/>
    <cellStyle name="Percentuale" xfId="2" builtinId="5"/>
    <cellStyle name="Percentuale 2" xfId="15" xr:uid="{71F0AAD8-5386-4E9A-8A0E-7A85845BEA81}"/>
    <cellStyle name="Percentuale 3" xfId="11" xr:uid="{8DCB4B5F-F138-4C0F-A80E-777F32F31061}"/>
    <cellStyle name="Percentuale 4" xfId="18" xr:uid="{AAE144A7-E7AD-4839-A2DF-4F75FF049706}"/>
  </cellStyles>
  <dxfs count="280"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CF6BC"/>
        </patternFill>
      </fill>
    </dxf>
    <dxf>
      <fill>
        <patternFill>
          <bgColor rgb="FFCDC2F6"/>
        </patternFill>
      </fill>
    </dxf>
    <dxf>
      <fill>
        <patternFill>
          <bgColor rgb="FFFCF6BC"/>
        </patternFill>
      </fill>
    </dxf>
    <dxf>
      <fill>
        <patternFill>
          <bgColor rgb="FFCDC2F6"/>
        </patternFill>
      </fill>
    </dxf>
    <dxf>
      <fill>
        <patternFill>
          <bgColor rgb="FFCDC2F6"/>
        </patternFill>
      </fill>
    </dxf>
    <dxf>
      <fill>
        <patternFill>
          <bgColor rgb="FFCDC2F6"/>
        </patternFill>
      </fill>
    </dxf>
    <dxf>
      <fill>
        <patternFill>
          <bgColor rgb="FFFCF6BC"/>
        </patternFill>
      </fill>
    </dxf>
    <dxf>
      <fill>
        <patternFill>
          <bgColor rgb="FFCDC2F6"/>
        </patternFill>
      </fill>
    </dxf>
    <dxf>
      <fill>
        <patternFill>
          <bgColor rgb="FFFCF6BC"/>
        </patternFill>
      </fill>
    </dxf>
    <dxf>
      <fill>
        <patternFill>
          <bgColor rgb="FFCDC2F6"/>
        </patternFill>
      </fill>
    </dxf>
    <dxf>
      <fill>
        <patternFill>
          <bgColor rgb="FFFCF6BC"/>
        </patternFill>
      </fill>
    </dxf>
    <dxf>
      <fill>
        <patternFill>
          <bgColor rgb="FFFCF6BC"/>
        </patternFill>
      </fill>
    </dxf>
    <dxf>
      <fill>
        <patternFill>
          <bgColor rgb="FFCDC2F6"/>
        </patternFill>
      </fill>
    </dxf>
    <dxf>
      <fill>
        <patternFill>
          <bgColor rgb="FFFCF6BC"/>
        </patternFill>
      </fill>
    </dxf>
    <dxf>
      <fill>
        <patternFill>
          <bgColor rgb="FFFCF6BC"/>
        </patternFill>
      </fill>
    </dxf>
    <dxf>
      <fill>
        <patternFill>
          <bgColor rgb="FFCDC2F6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7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2" tint="-9.9948118533890809E-2"/>
        </patternFill>
      </fill>
    </dxf>
    <dxf>
      <fill>
        <patternFill>
          <bgColor theme="7" tint="0.59996337778862885"/>
        </patternFill>
      </fill>
    </dxf>
    <dxf>
      <fill>
        <patternFill>
          <bgColor rgb="FFFF999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ont>
        <color auto="1"/>
      </font>
      <fill>
        <patternFill>
          <bgColor rgb="FFFDE9FD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DE9FD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DE9FD"/>
        </patternFill>
      </fill>
    </dxf>
    <dxf>
      <font>
        <color auto="1"/>
      </font>
      <fill>
        <patternFill>
          <bgColor rgb="FFFDE9FD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DE9FD"/>
        </patternFill>
      </fill>
    </dxf>
    <dxf>
      <fill>
        <patternFill>
          <bgColor theme="2" tint="-0.24994659260841701"/>
        </patternFill>
      </fill>
    </dxf>
    <dxf>
      <fill>
        <patternFill>
          <bgColor rgb="FFCD9B69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DE9FD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DE9FD"/>
        </patternFill>
      </fill>
    </dxf>
    <dxf>
      <fill>
        <patternFill>
          <bgColor rgb="FFFF999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4B96A5"/>
        </patternFill>
      </fill>
    </dxf>
    <dxf>
      <fill>
        <patternFill>
          <bgColor rgb="FFCD9B69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999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4B96A5"/>
        </patternFill>
      </fill>
    </dxf>
    <dxf>
      <fill>
        <patternFill>
          <bgColor rgb="FFFCF6BC"/>
        </patternFill>
      </fill>
    </dxf>
    <dxf>
      <fill>
        <patternFill>
          <bgColor rgb="FFCDC2F6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DE9FD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D966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D966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E5B66"/>
        <name val="Microsoft Sans Serif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CF6BC"/>
      <color rgb="FF2E5B66"/>
      <color rgb="FF2D5A69"/>
      <color rgb="FFFDE9FD"/>
      <color rgb="FFCDC2F6"/>
      <color rgb="FF4B96A5"/>
      <color rgb="FFFF9999"/>
      <color rgb="FFF8E74A"/>
      <color rgb="FFFAD2FA"/>
      <color rgb="FFF6A8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roletto.sharepoint.com/sites/BrolettoCorporateAdvisoryS.r.l/ADMIN/BCA_CRM_(Beta_2020v0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CI---&gt;"/>
      <sheetName val="ALLEGATO_3.2(b)"/>
      <sheetName val="Comunicazioni"/>
      <sheetName val="CRM---&gt;"/>
      <sheetName val="Dettagli"/>
      <sheetName val="Sintesi"/>
      <sheetName val="-- Cantieri --"/>
      <sheetName val="&gt;&gt; TO DOs 2020 &lt;&lt;"/>
      <sheetName val="ORIGINATION---&gt;"/>
      <sheetName val="Tracking"/>
      <sheetName val="Orig Dash"/>
      <sheetName val="Orig_PE"/>
      <sheetName val="Orig Dash (OLD)"/>
      <sheetName val="Small PEs"/>
      <sheetName val="EXECUTION---&gt;"/>
      <sheetName val="Exec Dash"/>
      <sheetName val="Lex"/>
      <sheetName val="FINANCE---&gt;"/>
      <sheetName val="2021_Rev_Mese"/>
      <sheetName val="Export"/>
      <sheetName val="BULK---&gt;"/>
      <sheetName val="Recruiting"/>
      <sheetName val="Commercialista"/>
      <sheetName val="PR Agency"/>
      <sheetName val="M&amp;A Advisors"/>
      <sheetName val="Family Office"/>
      <sheetName val="Private"/>
      <sheetName val="International"/>
      <sheetName val="Coverage FS"/>
      <sheetName val="SEGNALATORI"/>
      <sheetName val="Pharma"/>
      <sheetName val="CHARTS---&gt;"/>
      <sheetName val="Charts_weekly_19"/>
      <sheetName val="Metrics_2019"/>
      <sheetName val="Top_2019"/>
      <sheetName val="Metrics_2018"/>
      <sheetName val="Charts_weekly_18"/>
      <sheetName val="Mailing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sualizza1" id="{77B296B7-5B6F-422F-9824-AE49ACC35BFA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2C224-7D45-475C-AEA6-FD593808C110}" name="Tabella156117" displayName="Tabella156117" ref="P123:P135" totalsRowShown="0" headerRowDxfId="279" dataDxfId="277" headerRowBorderDxfId="278" tableBorderDxfId="276" totalsRowBorderDxfId="275">
  <autoFilter ref="P123:P135" xr:uid="{F5BD7D67-CC8B-489B-9AA2-F9AE6B2574BF}"/>
  <tableColumns count="1">
    <tableColumn id="1" xr3:uid="{D9D18223-10B2-45B2-97B1-A9B4A26F330D}" name="Colonna1" dataDxfId="2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6F0EC2-9C87-4C4F-B1F1-ADA3FFA3F330}" name="Tabella159108" displayName="Tabella159108" ref="O123:O135" totalsRowShown="0" headerRowDxfId="273" dataDxfId="271" headerRowBorderDxfId="272" tableBorderDxfId="270" totalsRowBorderDxfId="269">
  <autoFilter ref="O123:O135" xr:uid="{C37AD5CB-1A2B-4032-B4B4-97E8CF1855DC}"/>
  <tableColumns count="1">
    <tableColumn id="1" xr3:uid="{C85675D8-EC58-4E85-87D1-4CB22526C852}" name="Colonna1" dataDxfId="2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E90418-3C09-4A64-9B4D-9818A094CC79}" name="Tabella14899" displayName="Tabella14899" ref="N123:N135" totalsRowShown="0" headerRowDxfId="267" dataDxfId="265" headerRowBorderDxfId="266" tableBorderDxfId="264" totalsRowBorderDxfId="263">
  <autoFilter ref="N123:N135" xr:uid="{C4EEF721-30B9-44A7-BC05-582B55F66A25}"/>
  <tableColumns count="1">
    <tableColumn id="1" xr3:uid="{0883B562-710B-42D8-9770-1257F105F2FE}" name="Colonna1" dataDxfId="26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CEBA71-D736-492A-BBE5-8EB56366EE77}" name="Tabella137810" displayName="Tabella137810" ref="E123:E133" totalsRowShown="0" headerRowDxfId="261" dataDxfId="259" headerRowBorderDxfId="260" tableBorderDxfId="258" totalsRowBorderDxfId="257">
  <autoFilter ref="E123:E133" xr:uid="{50520B07-48BC-4083-BD16-AD7AD6AE483C}"/>
  <sortState xmlns:xlrd2="http://schemas.microsoft.com/office/spreadsheetml/2017/richdata2" ref="E124:E133">
    <sortCondition ref="E123:E133"/>
  </sortState>
  <tableColumns count="1">
    <tableColumn id="1" xr3:uid="{071A573C-E639-4276-BF80-E4A9E9800A30}" name="Colonna1" dataDxfId="25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9179AA-A632-4BF3-9240-E3538246552C}" name="Tabella16711" displayName="Tabella16711" ref="I123:I134" totalsRowShown="0" headerRowDxfId="255" dataDxfId="253" headerRowBorderDxfId="254" tableBorderDxfId="252" totalsRowBorderDxfId="251">
  <autoFilter ref="I123:I134" xr:uid="{6E857ABD-7745-4640-BC37-AEFE7653CE06}"/>
  <tableColumns count="1">
    <tableColumn id="1" xr3:uid="{CAC5EBFB-8667-4AF9-BFAD-4A5A7C793521}" name="Colonna1" dataDxfId="2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A11B22-14BC-4D62-8E6A-C454C39E6495}" name="Tabella167117" displayName="Tabella167117" ref="J123:J134" totalsRowShown="0" headerRowDxfId="249" dataDxfId="247" headerRowBorderDxfId="248" tableBorderDxfId="246" totalsRowBorderDxfId="245">
  <autoFilter ref="J123:J134" xr:uid="{8A8CA502-5E45-41C4-A43A-0F4DCA19CD92}"/>
  <tableColumns count="1">
    <tableColumn id="1" xr3:uid="{A650A8FC-4E9C-4912-9DDB-6513631E2DB7}" name="Colonna1" dataDxfId="2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roletto">
      <a:majorFont>
        <a:latin typeface="Microsoft Sans Serif"/>
        <a:ea typeface=""/>
        <a:cs typeface=""/>
      </a:majorFont>
      <a:minorFont>
        <a:latin typeface="Microsoft Sans Serif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13" Type="http://schemas.openxmlformats.org/officeDocument/2006/relationships/table" Target="../tables/table5.xml"/><Relationship Id="rId3" Type="http://schemas.openxmlformats.org/officeDocument/2006/relationships/hyperlink" Target="http://www.riversidecompany.com/" TargetMode="External"/><Relationship Id="rId7" Type="http://schemas.openxmlformats.org/officeDocument/2006/relationships/hyperlink" Target="https://argos.wityu.fund/it/" TargetMode="External"/><Relationship Id="rId12" Type="http://schemas.openxmlformats.org/officeDocument/2006/relationships/table" Target="../tables/table4.xml"/><Relationship Id="rId2" Type="http://schemas.openxmlformats.org/officeDocument/2006/relationships/hyperlink" Target="http://www.financeforfood.it/" TargetMode="External"/><Relationship Id="rId1" Type="http://schemas.openxmlformats.org/officeDocument/2006/relationships/hyperlink" Target="http://www.aksiagroup.com/it" TargetMode="External"/><Relationship Id="rId6" Type="http://schemas.openxmlformats.org/officeDocument/2006/relationships/hyperlink" Target="https://ambientasgr.com/" TargetMode="External"/><Relationship Id="rId11" Type="http://schemas.openxmlformats.org/officeDocument/2006/relationships/table" Target="../tables/table3.xml"/><Relationship Id="rId5" Type="http://schemas.openxmlformats.org/officeDocument/2006/relationships/hyperlink" Target="http://www.wisesgr.com/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://www.equilybrapartners.it/" TargetMode="External"/><Relationship Id="rId9" Type="http://schemas.openxmlformats.org/officeDocument/2006/relationships/table" Target="../tables/table1.xml"/><Relationship Id="rId1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DBE1-916D-42E5-A64B-588CEA821AD1}">
  <sheetPr codeName="Foglio1">
    <tabColor rgb="FF4B96A5"/>
    <pageSetUpPr fitToPage="1"/>
  </sheetPr>
  <dimension ref="A1:BC530"/>
  <sheetViews>
    <sheetView showGridLines="0" tabSelected="1" zoomScaleNormal="100" zoomScaleSheetLayoutView="70" workbookViewId="0">
      <pane xSplit="5" ySplit="3" topLeftCell="F493" activePane="bottomRight" state="frozen"/>
      <selection pane="topRight" activeCell="F1" sqref="F1"/>
      <selection pane="bottomLeft" activeCell="A5" sqref="A5"/>
      <selection pane="bottomRight" activeCell="E511" sqref="A511:XFD620"/>
    </sheetView>
  </sheetViews>
  <sheetFormatPr defaultColWidth="8.5" defaultRowHeight="10.15" outlineLevelRow="1" outlineLevelCol="2" x14ac:dyDescent="0.35"/>
  <cols>
    <col min="1" max="1" width="2.0625" style="16" customWidth="1"/>
    <col min="2" max="2" width="4" style="16" customWidth="1" outlineLevel="1"/>
    <col min="3" max="3" width="5" style="16" customWidth="1"/>
    <col min="4" max="4" width="4.0625" style="16" customWidth="1"/>
    <col min="5" max="5" width="32.5" style="16" customWidth="1"/>
    <col min="6" max="6" width="10" style="23" customWidth="1"/>
    <col min="7" max="7" width="9.0625" style="23" customWidth="1"/>
    <col min="8" max="8" width="9.5" style="23" customWidth="1" outlineLevel="1"/>
    <col min="9" max="9" width="6.5625" style="23" customWidth="1" outlineLevel="1"/>
    <col min="10" max="10" width="12.5625" style="23" customWidth="1"/>
    <col min="11" max="11" width="34" style="24" customWidth="1"/>
    <col min="12" max="12" width="11.0625" style="24" customWidth="1"/>
    <col min="13" max="13" width="12.0625" style="24" hidden="1" customWidth="1" outlineLevel="1"/>
    <col min="14" max="17" width="12.0625" style="24" hidden="1" customWidth="1" outlineLevel="2"/>
    <col min="18" max="18" width="2.5" style="16" customWidth="1" collapsed="1"/>
    <col min="19" max="19" width="5.0625" style="117" customWidth="1" outlineLevel="1"/>
    <col min="20" max="20" width="5.0625" style="23" customWidth="1" outlineLevel="1"/>
    <col min="21" max="21" width="9.0625" style="25" customWidth="1" outlineLevel="1"/>
    <col min="22" max="22" width="6" style="25" customWidth="1" outlineLevel="1"/>
    <col min="23" max="23" width="6.8125" style="118" customWidth="1" outlineLevel="1"/>
    <col min="24" max="24" width="8.5" style="25" customWidth="1" outlineLevel="1"/>
    <col min="25" max="25" width="9.0625" style="25" customWidth="1" outlineLevel="1"/>
    <col min="26" max="26" width="2.5" style="16" customWidth="1"/>
    <col min="27" max="28" width="8.5" style="24" customWidth="1" outlineLevel="1"/>
    <col min="29" max="29" width="7.0625" style="23" customWidth="1" outlineLevel="1"/>
    <col min="30" max="32" width="7.0625" style="23" customWidth="1"/>
    <col min="33" max="33" width="19.8125" style="24" customWidth="1" outlineLevel="1"/>
    <col min="34" max="34" width="2.5" style="16" customWidth="1" outlineLevel="1" collapsed="1"/>
    <col min="35" max="36" width="7" style="23" customWidth="1"/>
    <col min="37" max="37" width="8.5" style="23" customWidth="1"/>
    <col min="38" max="38" width="7" style="23" customWidth="1"/>
    <col min="39" max="42" width="6" style="26" customWidth="1"/>
    <col min="43" max="45" width="6.5625" style="26" customWidth="1"/>
    <col min="46" max="46" width="7.5625" style="26" customWidth="1"/>
    <col min="47" max="49" width="6.5625" style="26" customWidth="1"/>
    <col min="50" max="52" width="7" style="26" customWidth="1"/>
    <col min="53" max="53" width="7" style="27" customWidth="1"/>
    <col min="54" max="54" width="7.5625" style="27" customWidth="1"/>
    <col min="55" max="16384" width="8.5" style="16"/>
  </cols>
  <sheetData>
    <row r="1" spans="2:55" x14ac:dyDescent="0.35">
      <c r="S1" s="592"/>
      <c r="W1" s="593"/>
      <c r="BA1" s="136"/>
      <c r="BB1" s="136"/>
      <c r="BC1" s="181" t="s">
        <v>7</v>
      </c>
    </row>
    <row r="2" spans="2:55" x14ac:dyDescent="0.35">
      <c r="E2" s="111">
        <f ca="1">+WEEKNUM(TODAY())</f>
        <v>2</v>
      </c>
      <c r="F2" s="589"/>
      <c r="G2" s="590" t="s">
        <v>0</v>
      </c>
      <c r="H2" s="591"/>
      <c r="I2" s="591"/>
      <c r="J2" s="591"/>
      <c r="K2" s="590"/>
      <c r="S2" s="103"/>
      <c r="W2" s="65"/>
      <c r="AI2" s="45" t="s">
        <v>1</v>
      </c>
      <c r="AJ2" s="594">
        <f>+COUNTIF($D:$D,AI2)</f>
        <v>24</v>
      </c>
      <c r="AM2" s="45" t="s">
        <v>2</v>
      </c>
      <c r="AN2" s="595">
        <f>+COUNTIF($D:$D,AM2)</f>
        <v>7</v>
      </c>
      <c r="AP2" s="45" t="s">
        <v>3</v>
      </c>
      <c r="AQ2" s="596">
        <f>+COUNTIF($D:$D,AP2)</f>
        <v>10</v>
      </c>
      <c r="AS2" s="45" t="s">
        <v>4</v>
      </c>
      <c r="AT2" s="597">
        <f>+COUNTIF($D:$D,AS2)</f>
        <v>120</v>
      </c>
      <c r="AV2" s="45" t="s">
        <v>5</v>
      </c>
      <c r="AW2" s="598">
        <f>+COUNTIF($D:$D,AV2)</f>
        <v>345</v>
      </c>
      <c r="AY2" s="45" t="s">
        <v>6</v>
      </c>
      <c r="AZ2" s="599">
        <f>+COUNTIF($D:$D,AY2)</f>
        <v>0</v>
      </c>
      <c r="BA2" s="136"/>
      <c r="BB2" s="136"/>
      <c r="BC2" s="181" t="s">
        <v>7</v>
      </c>
    </row>
    <row r="3" spans="2:55" s="97" customFormat="1" ht="30.4" x14ac:dyDescent="0.35">
      <c r="B3" s="1095" t="s">
        <v>8</v>
      </c>
      <c r="C3" s="1095" t="s">
        <v>9</v>
      </c>
      <c r="D3" s="1095" t="s">
        <v>10</v>
      </c>
      <c r="E3" s="1095" t="s">
        <v>11</v>
      </c>
      <c r="F3" s="1096" t="s">
        <v>12</v>
      </c>
      <c r="G3" s="1096" t="s">
        <v>13</v>
      </c>
      <c r="H3" s="1095" t="s">
        <v>14</v>
      </c>
      <c r="I3" s="1096" t="s">
        <v>15</v>
      </c>
      <c r="J3" s="1096" t="s">
        <v>16</v>
      </c>
      <c r="K3" s="1096" t="s">
        <v>17</v>
      </c>
      <c r="L3" s="1096" t="s">
        <v>18</v>
      </c>
      <c r="M3" s="1096" t="s">
        <v>19</v>
      </c>
      <c r="N3" s="1096" t="s">
        <v>20</v>
      </c>
      <c r="O3" s="1096" t="s">
        <v>21</v>
      </c>
      <c r="P3" s="1096" t="s">
        <v>22</v>
      </c>
      <c r="Q3" s="1096" t="s">
        <v>23</v>
      </c>
      <c r="S3" s="1097" t="s">
        <v>24</v>
      </c>
      <c r="T3" s="1097" t="s">
        <v>25</v>
      </c>
      <c r="U3" s="1097" t="s">
        <v>26</v>
      </c>
      <c r="V3" s="1097" t="s">
        <v>27</v>
      </c>
      <c r="W3" s="1097" t="s">
        <v>28</v>
      </c>
      <c r="X3" s="1097" t="s">
        <v>29</v>
      </c>
      <c r="Y3" s="1097" t="s">
        <v>30</v>
      </c>
      <c r="AA3" s="1098" t="s">
        <v>31</v>
      </c>
      <c r="AB3" s="1098" t="s">
        <v>32</v>
      </c>
      <c r="AC3" s="1098" t="s">
        <v>33</v>
      </c>
      <c r="AD3" s="1098" t="s">
        <v>34</v>
      </c>
      <c r="AE3" s="1098" t="s">
        <v>35</v>
      </c>
      <c r="AF3" s="1098" t="s">
        <v>36</v>
      </c>
      <c r="AG3" s="1098" t="s">
        <v>37</v>
      </c>
      <c r="AI3" s="1096" t="s">
        <v>38</v>
      </c>
      <c r="AJ3" s="1096" t="s">
        <v>3525</v>
      </c>
      <c r="AK3" s="1096" t="s">
        <v>40</v>
      </c>
      <c r="AL3" s="1096" t="s">
        <v>41</v>
      </c>
      <c r="AM3" s="1099" t="s">
        <v>42</v>
      </c>
      <c r="AN3" s="1099" t="s">
        <v>43</v>
      </c>
      <c r="AO3" s="1099" t="s">
        <v>44</v>
      </c>
      <c r="AP3" s="1099" t="s">
        <v>45</v>
      </c>
      <c r="AQ3" s="1099" t="s">
        <v>46</v>
      </c>
      <c r="AR3" s="1099" t="s">
        <v>47</v>
      </c>
      <c r="AS3" s="1099" t="s">
        <v>48</v>
      </c>
      <c r="AT3" s="1175" t="s">
        <v>4896</v>
      </c>
      <c r="AU3" s="1099" t="s">
        <v>49</v>
      </c>
      <c r="AV3" s="1176" t="s">
        <v>50</v>
      </c>
      <c r="AW3" s="1099" t="s">
        <v>41</v>
      </c>
      <c r="AX3" s="1099" t="s">
        <v>51</v>
      </c>
      <c r="AY3" s="1099" t="s">
        <v>52</v>
      </c>
      <c r="AZ3" s="1099" t="s">
        <v>53</v>
      </c>
      <c r="BA3" s="1100" t="s">
        <v>54</v>
      </c>
      <c r="BB3" s="1100" t="s">
        <v>6</v>
      </c>
      <c r="BC3" s="11" t="s">
        <v>7</v>
      </c>
    </row>
    <row r="4" spans="2:55" s="97" customFormat="1" x14ac:dyDescent="0.35">
      <c r="F4" s="1154"/>
      <c r="G4" s="1154"/>
      <c r="I4" s="1154"/>
      <c r="J4" s="1154"/>
      <c r="K4" s="1154"/>
      <c r="L4" s="1154"/>
      <c r="M4" s="1154"/>
      <c r="N4" s="1154"/>
      <c r="O4" s="1154"/>
      <c r="P4" s="1154"/>
      <c r="Q4" s="1154"/>
      <c r="S4" s="1155"/>
      <c r="T4" s="1155"/>
      <c r="U4" s="1155"/>
      <c r="V4" s="1155"/>
      <c r="W4" s="1155"/>
      <c r="X4" s="1155"/>
      <c r="Y4" s="1155"/>
      <c r="AA4" s="1156"/>
      <c r="AB4" s="1156"/>
      <c r="AC4" s="1156"/>
      <c r="AD4" s="1156"/>
      <c r="AE4" s="1156"/>
      <c r="AF4" s="1156"/>
      <c r="AG4" s="1156"/>
      <c r="AI4" s="1154"/>
      <c r="AJ4" s="1154"/>
      <c r="AK4" s="1154"/>
      <c r="AL4" s="1154"/>
      <c r="AM4" s="1157"/>
      <c r="AN4" s="1157"/>
      <c r="AO4" s="1157"/>
      <c r="AP4" s="1157"/>
      <c r="AQ4" s="1157"/>
      <c r="AR4" s="1157"/>
      <c r="AS4" s="1157"/>
      <c r="AT4" s="1158"/>
      <c r="AU4" s="1157"/>
      <c r="AV4" s="1157"/>
      <c r="AW4" s="1157"/>
      <c r="AX4" s="1157"/>
      <c r="AY4" s="1157"/>
      <c r="AZ4" s="1157"/>
      <c r="BA4" s="1159"/>
      <c r="BB4" s="1159"/>
      <c r="BC4" s="11"/>
    </row>
    <row r="5" spans="2:55" outlineLevel="1" x14ac:dyDescent="0.35">
      <c r="B5" s="16">
        <f>IF(D5=$A$516,1,IF(D5=$A$517,2,IF(D5=$A$518,3,IF(D5=$A$519,4,IF(D5=$A$520,5,IF(D5=$A$521,6))))))</f>
        <v>1</v>
      </c>
      <c r="C5" s="43">
        <f>+COUNTIF(D:D,"cls")</f>
        <v>24</v>
      </c>
      <c r="D5" s="20" t="str">
        <f t="shared" ref="D5:D38" si="0">IF(AL5="Closed","cls",IF(AL5=1,"sgn",IF(AL5="On-hold","hld",IF(AL5="Aborted","abt",IF(AL5&lt;1,"wip","RIP")))))</f>
        <v>cls</v>
      </c>
      <c r="E5" s="20" t="s">
        <v>55</v>
      </c>
      <c r="F5" s="13"/>
      <c r="G5" s="13" t="s">
        <v>56</v>
      </c>
      <c r="H5" s="13"/>
      <c r="I5" s="13"/>
      <c r="J5" s="13" t="s">
        <v>57</v>
      </c>
      <c r="K5" s="15" t="s">
        <v>58</v>
      </c>
      <c r="L5" s="15" t="s">
        <v>59</v>
      </c>
      <c r="M5" s="15"/>
      <c r="N5" s="15"/>
      <c r="O5" s="15"/>
      <c r="P5" s="15"/>
      <c r="Q5" s="15"/>
      <c r="S5" s="35"/>
      <c r="T5" s="13"/>
      <c r="U5" s="17"/>
      <c r="V5" s="17"/>
      <c r="W5" s="36"/>
      <c r="X5" s="17"/>
      <c r="Y5" s="17"/>
      <c r="AA5" s="15" t="s">
        <v>60</v>
      </c>
      <c r="AB5" s="17"/>
      <c r="AC5" s="21" t="s">
        <v>61</v>
      </c>
      <c r="AD5" s="17" t="s">
        <v>61</v>
      </c>
      <c r="AE5" s="17" t="s">
        <v>62</v>
      </c>
      <c r="AF5" s="17"/>
      <c r="AG5" s="15" t="s">
        <v>63</v>
      </c>
      <c r="AI5" s="42">
        <f t="shared" ref="AI5:AI38" ca="1" si="1">+TODAY()-AM5</f>
        <v>1467</v>
      </c>
      <c r="AJ5" s="42" t="str">
        <f t="shared" ref="AJ5:AJ38" ca="1" si="2">+(IF(AL5="Closed","-",IF(TODAY()-MAX(AN5:BA5)&gt;0,TODAY()-MAX(AN5:BA5),0)))</f>
        <v>-</v>
      </c>
      <c r="AK5" s="13" t="s">
        <v>64</v>
      </c>
      <c r="AL5" s="36" t="str">
        <f t="shared" ref="AL5:AL38" si="3">+IF(BB5="",IF(AZ5="",IF(AY5="",IF(AX5="",COUNTA(AN5:AV5)/9,"On-hold"),"Aborted"),"Closed"),"RIP")</f>
        <v>Closed</v>
      </c>
      <c r="AM5" s="37">
        <v>44197</v>
      </c>
      <c r="AN5" s="75">
        <f>+AM5</f>
        <v>44197</v>
      </c>
      <c r="AO5" s="37" t="s">
        <v>65</v>
      </c>
      <c r="AP5" s="37" t="s">
        <v>65</v>
      </c>
      <c r="AQ5" s="121">
        <f>+AN5</f>
        <v>44197</v>
      </c>
      <c r="AR5" s="37">
        <f>+AQ5</f>
        <v>44197</v>
      </c>
      <c r="AS5" s="37" t="s">
        <v>65</v>
      </c>
      <c r="AT5" s="37" t="s">
        <v>65</v>
      </c>
      <c r="AU5" s="37" t="s">
        <v>65</v>
      </c>
      <c r="AV5" s="37" t="s">
        <v>65</v>
      </c>
      <c r="AW5" s="38"/>
      <c r="AX5" s="38"/>
      <c r="AY5" s="38"/>
      <c r="AZ5" s="38">
        <v>44377</v>
      </c>
      <c r="BA5" s="39" t="s">
        <v>66</v>
      </c>
      <c r="BB5" s="38"/>
      <c r="BC5" s="11" t="s">
        <v>7</v>
      </c>
    </row>
    <row r="6" spans="2:55" outlineLevel="1" x14ac:dyDescent="0.35">
      <c r="B6" s="16">
        <f>IF(D6=$A$516,1,IF(D6=$A$517,2,IF(D6=$A$518,3,IF(D6=$A$519,4,IF(D6=$A$520,5,IF(D6=$A$521,6))))))</f>
        <v>1</v>
      </c>
      <c r="D6" s="20" t="str">
        <f t="shared" si="0"/>
        <v>cls</v>
      </c>
      <c r="E6" s="20" t="s">
        <v>67</v>
      </c>
      <c r="F6" s="13"/>
      <c r="G6" s="13" t="s">
        <v>68</v>
      </c>
      <c r="H6" s="14" t="s">
        <v>4305</v>
      </c>
      <c r="I6" s="13"/>
      <c r="J6" s="13" t="s">
        <v>69</v>
      </c>
      <c r="K6" s="15" t="s">
        <v>4306</v>
      </c>
      <c r="L6" s="15"/>
      <c r="M6" s="15"/>
      <c r="N6" s="15"/>
      <c r="O6" s="15"/>
      <c r="P6" s="15"/>
      <c r="Q6" s="15"/>
      <c r="S6" s="35"/>
      <c r="T6" s="13"/>
      <c r="U6" s="17"/>
      <c r="V6" s="17"/>
      <c r="W6" s="36"/>
      <c r="X6" s="17"/>
      <c r="Y6" s="17"/>
      <c r="AA6" s="15" t="s">
        <v>60</v>
      </c>
      <c r="AB6" s="15"/>
      <c r="AC6" s="21" t="s">
        <v>61</v>
      </c>
      <c r="AD6" s="17" t="s">
        <v>61</v>
      </c>
      <c r="AE6" s="17"/>
      <c r="AF6" s="17"/>
      <c r="AG6" s="15"/>
      <c r="AI6" s="42">
        <f t="shared" ca="1" si="1"/>
        <v>1286</v>
      </c>
      <c r="AJ6" s="42" t="str">
        <f t="shared" ca="1" si="2"/>
        <v>-</v>
      </c>
      <c r="AK6" s="13" t="s">
        <v>70</v>
      </c>
      <c r="AL6" s="36" t="str">
        <f t="shared" si="3"/>
        <v>Closed</v>
      </c>
      <c r="AM6" s="37">
        <v>44378</v>
      </c>
      <c r="AN6" s="75">
        <v>44378</v>
      </c>
      <c r="AO6" s="37" t="s">
        <v>65</v>
      </c>
      <c r="AP6" s="37" t="s">
        <v>65</v>
      </c>
      <c r="AQ6" s="121">
        <f>+AN6</f>
        <v>44378</v>
      </c>
      <c r="AR6" s="37" t="s">
        <v>65</v>
      </c>
      <c r="AS6" s="37" t="s">
        <v>65</v>
      </c>
      <c r="AT6" s="37" t="s">
        <v>65</v>
      </c>
      <c r="AU6" s="37" t="s">
        <v>65</v>
      </c>
      <c r="AV6" s="37" t="s">
        <v>65</v>
      </c>
      <c r="AW6" s="38"/>
      <c r="AX6" s="38"/>
      <c r="AY6" s="38"/>
      <c r="AZ6" s="38">
        <v>44467</v>
      </c>
      <c r="BA6" s="39" t="s">
        <v>66</v>
      </c>
      <c r="BB6" s="38"/>
      <c r="BC6" s="11" t="s">
        <v>7</v>
      </c>
    </row>
    <row r="7" spans="2:55" outlineLevel="1" x14ac:dyDescent="0.35">
      <c r="B7" s="16">
        <f>IF(D7=$A$516,1,IF(D7=$A$517,2,IF(D7=$A$518,3,IF(D7=$A$519,4,IF(D7=$A$520,5,IF(D7=$A$521,6))))))</f>
        <v>1</v>
      </c>
      <c r="D7" s="20" t="str">
        <f t="shared" si="0"/>
        <v>cls</v>
      </c>
      <c r="E7" s="12" t="s">
        <v>71</v>
      </c>
      <c r="F7" s="14" t="s">
        <v>72</v>
      </c>
      <c r="G7" s="13" t="s">
        <v>68</v>
      </c>
      <c r="H7" s="14" t="s">
        <v>73</v>
      </c>
      <c r="I7" s="13">
        <v>477700</v>
      </c>
      <c r="J7" s="13" t="s">
        <v>74</v>
      </c>
      <c r="K7" s="15" t="s">
        <v>75</v>
      </c>
      <c r="L7" s="15" t="s">
        <v>76</v>
      </c>
      <c r="M7" s="15"/>
      <c r="N7" s="15"/>
      <c r="O7" s="15"/>
      <c r="P7" s="15"/>
      <c r="Q7" s="15"/>
      <c r="S7" s="35" t="s">
        <v>77</v>
      </c>
      <c r="T7" s="13">
        <v>2019</v>
      </c>
      <c r="U7" s="17">
        <v>23.32</v>
      </c>
      <c r="V7" s="17">
        <v>0.77</v>
      </c>
      <c r="W7" s="36">
        <v>3.3018867924528301E-2</v>
      </c>
      <c r="X7" s="17">
        <v>0.52</v>
      </c>
      <c r="Y7" s="17">
        <v>-0.1</v>
      </c>
      <c r="AA7" s="15" t="s">
        <v>60</v>
      </c>
      <c r="AB7" s="15"/>
      <c r="AC7" s="21" t="s">
        <v>61</v>
      </c>
      <c r="AD7" s="17" t="s">
        <v>78</v>
      </c>
      <c r="AE7" s="17" t="s">
        <v>79</v>
      </c>
      <c r="AF7" s="17"/>
      <c r="AG7" s="15"/>
      <c r="AH7" s="677">
        <v>1</v>
      </c>
      <c r="AI7" s="42">
        <f t="shared" ca="1" si="1"/>
        <v>1528</v>
      </c>
      <c r="AJ7" s="42" t="str">
        <f t="shared" ca="1" si="2"/>
        <v>-</v>
      </c>
      <c r="AK7" s="13" t="s">
        <v>64</v>
      </c>
      <c r="AL7" s="36" t="str">
        <f t="shared" si="3"/>
        <v>Closed</v>
      </c>
      <c r="AM7" s="37">
        <v>44136</v>
      </c>
      <c r="AN7" s="75">
        <v>44136</v>
      </c>
      <c r="AO7" s="37" t="s">
        <v>65</v>
      </c>
      <c r="AP7" s="37">
        <v>44136</v>
      </c>
      <c r="AQ7" s="121">
        <v>44136</v>
      </c>
      <c r="AR7" s="38" t="s">
        <v>65</v>
      </c>
      <c r="AS7" s="38" t="s">
        <v>65</v>
      </c>
      <c r="AT7" s="38">
        <v>44142</v>
      </c>
      <c r="AU7" s="38" t="s">
        <v>65</v>
      </c>
      <c r="AV7" s="38">
        <v>44158</v>
      </c>
      <c r="AW7" s="38"/>
      <c r="AX7" s="38"/>
      <c r="AY7" s="38"/>
      <c r="AZ7" s="38">
        <v>44523</v>
      </c>
      <c r="BA7" s="39" t="s">
        <v>66</v>
      </c>
      <c r="BB7" s="38"/>
      <c r="BC7" s="11" t="s">
        <v>7</v>
      </c>
    </row>
    <row r="8" spans="2:55" outlineLevel="1" x14ac:dyDescent="0.35">
      <c r="B8" s="16">
        <f>IF(D8=$A$516,1,IF(D8=$A$517,2,IF(D8=$A$518,3,IF(D8=$A$519,4,IF(D8=$A$520,5,IF(D8=$A$521,6))))))</f>
        <v>1</v>
      </c>
      <c r="D8" s="20" t="str">
        <f t="shared" si="0"/>
        <v>cls</v>
      </c>
      <c r="E8" s="12" t="s">
        <v>80</v>
      </c>
      <c r="F8" s="14" t="s">
        <v>81</v>
      </c>
      <c r="G8" s="13" t="s">
        <v>68</v>
      </c>
      <c r="H8" s="14" t="s">
        <v>82</v>
      </c>
      <c r="I8" s="13">
        <v>642000</v>
      </c>
      <c r="J8" s="13" t="s">
        <v>83</v>
      </c>
      <c r="K8" s="15" t="s">
        <v>84</v>
      </c>
      <c r="L8" s="15" t="s">
        <v>85</v>
      </c>
      <c r="M8" s="15"/>
      <c r="N8" s="15"/>
      <c r="O8" s="15"/>
      <c r="P8" s="15"/>
      <c r="Q8" s="15"/>
      <c r="S8" s="35" t="s">
        <v>77</v>
      </c>
      <c r="T8" s="13">
        <v>2020</v>
      </c>
      <c r="U8" s="17">
        <v>2.5579999999999998</v>
      </c>
      <c r="V8" s="17">
        <v>0.127</v>
      </c>
      <c r="W8" s="36">
        <v>4.9648162627052392E-2</v>
      </c>
      <c r="X8" s="17">
        <v>5.0000000000000001E-3</v>
      </c>
      <c r="Y8" s="17">
        <v>1.7390000000000001</v>
      </c>
      <c r="AA8" s="15" t="s">
        <v>60</v>
      </c>
      <c r="AB8" s="17"/>
      <c r="AC8" s="21" t="s">
        <v>61</v>
      </c>
      <c r="AD8" s="21" t="s">
        <v>61</v>
      </c>
      <c r="AE8" s="17" t="s">
        <v>86</v>
      </c>
      <c r="AF8" s="17" t="s">
        <v>62</v>
      </c>
      <c r="AG8" s="15"/>
      <c r="AI8" s="42">
        <f t="shared" ca="1" si="1"/>
        <v>1215</v>
      </c>
      <c r="AJ8" s="42" t="str">
        <f t="shared" ca="1" si="2"/>
        <v>-</v>
      </c>
      <c r="AK8" s="13" t="s">
        <v>87</v>
      </c>
      <c r="AL8" s="36" t="str">
        <f t="shared" si="3"/>
        <v>Closed</v>
      </c>
      <c r="AM8" s="37">
        <v>44449</v>
      </c>
      <c r="AN8" s="37">
        <v>44449</v>
      </c>
      <c r="AO8" s="37">
        <v>44449</v>
      </c>
      <c r="AP8" s="37">
        <v>44449</v>
      </c>
      <c r="AQ8" s="38">
        <v>44449</v>
      </c>
      <c r="AR8" s="38" t="s">
        <v>65</v>
      </c>
      <c r="AS8" s="38" t="s">
        <v>65</v>
      </c>
      <c r="AT8" s="38">
        <v>44453</v>
      </c>
      <c r="AU8" s="38" t="s">
        <v>65</v>
      </c>
      <c r="AV8" s="38">
        <v>44453</v>
      </c>
      <c r="AW8" s="38"/>
      <c r="AX8" s="38"/>
      <c r="AY8" s="38"/>
      <c r="AZ8" s="38">
        <v>44572</v>
      </c>
      <c r="BA8" s="39" t="s">
        <v>66</v>
      </c>
      <c r="BB8" s="38"/>
      <c r="BC8" s="11" t="s">
        <v>7</v>
      </c>
    </row>
    <row r="9" spans="2:55" outlineLevel="1" x14ac:dyDescent="0.35">
      <c r="B9" s="16">
        <f>IF(D9=$A$516,1,IF(D9=$A$517,2,IF(D9=$A$518,3,IF(D9=$A$519,4,IF(D9=$A$520,5,IF(D9=$A$521,6))))))</f>
        <v>1</v>
      </c>
      <c r="D9" s="20" t="str">
        <f t="shared" si="0"/>
        <v>cls</v>
      </c>
      <c r="E9" s="12" t="s">
        <v>88</v>
      </c>
      <c r="F9" s="14" t="s">
        <v>89</v>
      </c>
      <c r="G9" s="13" t="s">
        <v>68</v>
      </c>
      <c r="H9" s="14" t="s">
        <v>73</v>
      </c>
      <c r="I9" s="13">
        <v>477700</v>
      </c>
      <c r="J9" s="13" t="s">
        <v>74</v>
      </c>
      <c r="K9" s="15" t="s">
        <v>75</v>
      </c>
      <c r="L9" s="15" t="s">
        <v>76</v>
      </c>
      <c r="M9" s="15"/>
      <c r="N9" s="15"/>
      <c r="O9" s="15"/>
      <c r="P9" s="15"/>
      <c r="Q9" s="15"/>
      <c r="S9" s="35" t="s">
        <v>77</v>
      </c>
      <c r="T9" s="13">
        <v>2019</v>
      </c>
      <c r="U9" s="17">
        <v>23.32</v>
      </c>
      <c r="V9" s="17">
        <v>0.77</v>
      </c>
      <c r="W9" s="36">
        <v>3.3018867924528301E-2</v>
      </c>
      <c r="X9" s="17">
        <v>0.52</v>
      </c>
      <c r="Y9" s="17">
        <v>-0.1</v>
      </c>
      <c r="AA9" s="15" t="s">
        <v>60</v>
      </c>
      <c r="AB9" s="15"/>
      <c r="AC9" s="21" t="s">
        <v>61</v>
      </c>
      <c r="AD9" s="17" t="s">
        <v>78</v>
      </c>
      <c r="AE9" s="17" t="s">
        <v>79</v>
      </c>
      <c r="AF9" s="17"/>
      <c r="AG9" s="15"/>
      <c r="AH9" s="677">
        <v>1</v>
      </c>
      <c r="AI9" s="42">
        <f t="shared" ca="1" si="1"/>
        <v>1347</v>
      </c>
      <c r="AJ9" s="42" t="str">
        <f t="shared" ca="1" si="2"/>
        <v>-</v>
      </c>
      <c r="AK9" s="13" t="s">
        <v>64</v>
      </c>
      <c r="AL9" s="36" t="str">
        <f t="shared" si="3"/>
        <v>Closed</v>
      </c>
      <c r="AM9" s="37">
        <v>44317</v>
      </c>
      <c r="AN9" s="37">
        <f>+AM9</f>
        <v>44317</v>
      </c>
      <c r="AO9" s="37" t="s">
        <v>65</v>
      </c>
      <c r="AP9" s="37" t="s">
        <v>65</v>
      </c>
      <c r="AQ9" s="38">
        <f>+AN9</f>
        <v>44317</v>
      </c>
      <c r="AR9" s="37" t="s">
        <v>65</v>
      </c>
      <c r="AS9" s="37" t="s">
        <v>65</v>
      </c>
      <c r="AT9" s="37" t="s">
        <v>65</v>
      </c>
      <c r="AU9" s="38" t="s">
        <v>65</v>
      </c>
      <c r="AV9" s="38">
        <v>44376</v>
      </c>
      <c r="AW9" s="38"/>
      <c r="AX9" s="38"/>
      <c r="AY9" s="38"/>
      <c r="AZ9" s="38">
        <v>44530</v>
      </c>
      <c r="BA9" s="39" t="s">
        <v>66</v>
      </c>
      <c r="BB9" s="38"/>
      <c r="BC9" s="11" t="s">
        <v>7</v>
      </c>
    </row>
    <row r="10" spans="2:55" outlineLevel="1" x14ac:dyDescent="0.35">
      <c r="B10" s="16">
        <f>IF(D10=$A$516,1,IF(D10=$A$517,2,IF(D10=$A$518,3,IF(D10=$A$519,4,IF(D10=$A$520,5,IF(D10=$A$521,6))))))</f>
        <v>1</v>
      </c>
      <c r="D10" s="20" t="str">
        <f t="shared" si="0"/>
        <v>cls</v>
      </c>
      <c r="E10" s="20" t="s">
        <v>90</v>
      </c>
      <c r="F10" s="13"/>
      <c r="G10" s="13" t="s">
        <v>91</v>
      </c>
      <c r="H10" s="13"/>
      <c r="I10" s="13"/>
      <c r="J10" s="13" t="s">
        <v>57</v>
      </c>
      <c r="K10" s="15" t="s">
        <v>58</v>
      </c>
      <c r="L10" s="15" t="s">
        <v>59</v>
      </c>
      <c r="M10" s="15"/>
      <c r="N10" s="15"/>
      <c r="O10" s="15"/>
      <c r="P10" s="15"/>
      <c r="Q10" s="15"/>
      <c r="S10" s="35"/>
      <c r="T10" s="13"/>
      <c r="U10" s="17"/>
      <c r="V10" s="17"/>
      <c r="W10" s="36"/>
      <c r="X10" s="17"/>
      <c r="Y10" s="17"/>
      <c r="AA10" s="15" t="s">
        <v>60</v>
      </c>
      <c r="AB10" s="17"/>
      <c r="AC10" s="21" t="s">
        <v>61</v>
      </c>
      <c r="AD10" s="17" t="s">
        <v>61</v>
      </c>
      <c r="AE10" s="17" t="s">
        <v>62</v>
      </c>
      <c r="AF10" s="17"/>
      <c r="AG10" s="15"/>
      <c r="AI10" s="42">
        <f t="shared" ca="1" si="1"/>
        <v>1292</v>
      </c>
      <c r="AJ10" s="42" t="str">
        <f t="shared" ca="1" si="2"/>
        <v>-</v>
      </c>
      <c r="AK10" s="13" t="s">
        <v>64</v>
      </c>
      <c r="AL10" s="36" t="str">
        <f t="shared" si="3"/>
        <v>Closed</v>
      </c>
      <c r="AM10" s="37">
        <v>44372</v>
      </c>
      <c r="AN10" s="37">
        <f>+AM10</f>
        <v>44372</v>
      </c>
      <c r="AO10" s="37" t="s">
        <v>65</v>
      </c>
      <c r="AP10" s="37" t="s">
        <v>65</v>
      </c>
      <c r="AQ10" s="38">
        <f>+AN10</f>
        <v>44372</v>
      </c>
      <c r="AR10" s="37" t="s">
        <v>65</v>
      </c>
      <c r="AS10" s="37" t="s">
        <v>65</v>
      </c>
      <c r="AT10" s="37" t="s">
        <v>65</v>
      </c>
      <c r="AU10" s="37" t="s">
        <v>65</v>
      </c>
      <c r="AV10" s="37" t="s">
        <v>65</v>
      </c>
      <c r="AW10" s="38"/>
      <c r="AX10" s="38"/>
      <c r="AY10" s="38"/>
      <c r="AZ10" s="38">
        <v>44511</v>
      </c>
      <c r="BA10" s="39" t="s">
        <v>66</v>
      </c>
      <c r="BB10" s="38"/>
      <c r="BC10" s="11" t="s">
        <v>7</v>
      </c>
    </row>
    <row r="11" spans="2:55" outlineLevel="1" x14ac:dyDescent="0.35">
      <c r="B11" s="16">
        <f>IF(D11=$A$516,1,IF(D11=$A$517,2,IF(D11=$A$518,3,IF(D11=$A$519,4,IF(D11=$A$520,5,IF(D11=$A$521,6))))))</f>
        <v>1</v>
      </c>
      <c r="D11" s="20" t="str">
        <f t="shared" si="0"/>
        <v>cls</v>
      </c>
      <c r="E11" s="20" t="s">
        <v>92</v>
      </c>
      <c r="F11" s="13"/>
      <c r="G11" s="13" t="s">
        <v>91</v>
      </c>
      <c r="H11" s="13"/>
      <c r="I11" s="13"/>
      <c r="J11" s="13" t="s">
        <v>57</v>
      </c>
      <c r="K11" s="15" t="s">
        <v>58</v>
      </c>
      <c r="L11" s="15" t="s">
        <v>59</v>
      </c>
      <c r="M11" s="15"/>
      <c r="N11" s="15"/>
      <c r="O11" s="15"/>
      <c r="P11" s="15"/>
      <c r="Q11" s="15"/>
      <c r="S11" s="35"/>
      <c r="T11" s="13"/>
      <c r="U11" s="17"/>
      <c r="V11" s="17"/>
      <c r="W11" s="36"/>
      <c r="X11" s="17"/>
      <c r="Y11" s="17"/>
      <c r="AA11" s="15" t="s">
        <v>60</v>
      </c>
      <c r="AB11" s="17"/>
      <c r="AC11" s="21" t="s">
        <v>61</v>
      </c>
      <c r="AD11" s="17" t="s">
        <v>61</v>
      </c>
      <c r="AE11" s="17" t="s">
        <v>62</v>
      </c>
      <c r="AF11" s="17"/>
      <c r="AG11" s="15"/>
      <c r="AI11" s="42">
        <f t="shared" ca="1" si="1"/>
        <v>1377</v>
      </c>
      <c r="AJ11" s="42" t="str">
        <f t="shared" ca="1" si="2"/>
        <v>-</v>
      </c>
      <c r="AK11" s="13" t="s">
        <v>64</v>
      </c>
      <c r="AL11" s="36" t="str">
        <f t="shared" si="3"/>
        <v>Closed</v>
      </c>
      <c r="AM11" s="37">
        <v>44287</v>
      </c>
      <c r="AN11" s="75">
        <f>+AM11</f>
        <v>44287</v>
      </c>
      <c r="AO11" s="37" t="s">
        <v>65</v>
      </c>
      <c r="AP11" s="37" t="s">
        <v>65</v>
      </c>
      <c r="AQ11" s="121">
        <f>+AN11</f>
        <v>44287</v>
      </c>
      <c r="AR11" s="37" t="s">
        <v>65</v>
      </c>
      <c r="AS11" s="37" t="s">
        <v>65</v>
      </c>
      <c r="AT11" s="37" t="s">
        <v>65</v>
      </c>
      <c r="AU11" s="37" t="s">
        <v>65</v>
      </c>
      <c r="AV11" s="37" t="s">
        <v>65</v>
      </c>
      <c r="AW11" s="38"/>
      <c r="AX11" s="38"/>
      <c r="AY11" s="38"/>
      <c r="AZ11" s="38">
        <v>44491</v>
      </c>
      <c r="BA11" s="39" t="s">
        <v>66</v>
      </c>
      <c r="BB11" s="38"/>
      <c r="BC11" s="11" t="s">
        <v>7</v>
      </c>
    </row>
    <row r="12" spans="2:55" outlineLevel="1" x14ac:dyDescent="0.35">
      <c r="B12" s="16">
        <f>IF(D12=$A$516,1,IF(D12=$A$517,2,IF(D12=$A$518,3,IF(D12=$A$519,4,IF(D12=$A$520,5,IF(D12=$A$521,6))))))</f>
        <v>1</v>
      </c>
      <c r="D12" s="20" t="str">
        <f t="shared" si="0"/>
        <v>cls</v>
      </c>
      <c r="E12" s="20" t="s">
        <v>93</v>
      </c>
      <c r="F12" s="13" t="s">
        <v>65</v>
      </c>
      <c r="G12" s="13" t="s">
        <v>94</v>
      </c>
      <c r="H12" s="14" t="s">
        <v>95</v>
      </c>
      <c r="I12" s="13">
        <v>222909</v>
      </c>
      <c r="J12" s="13" t="s">
        <v>96</v>
      </c>
      <c r="K12" s="15" t="s">
        <v>97</v>
      </c>
      <c r="L12" s="15" t="s">
        <v>98</v>
      </c>
      <c r="M12" s="15" t="s">
        <v>98</v>
      </c>
      <c r="N12" s="15"/>
      <c r="O12" s="15"/>
      <c r="P12" s="15"/>
      <c r="Q12" s="15"/>
      <c r="S12" s="35" t="s">
        <v>77</v>
      </c>
      <c r="T12" s="13">
        <v>2019</v>
      </c>
      <c r="U12" s="17">
        <v>79.17</v>
      </c>
      <c r="V12" s="17">
        <v>6.97</v>
      </c>
      <c r="W12" s="36">
        <v>8.8038398383225969E-2</v>
      </c>
      <c r="X12" s="17">
        <v>2.2400000000000002</v>
      </c>
      <c r="Y12" s="17">
        <v>40.340000000000003</v>
      </c>
      <c r="AA12" s="15" t="s">
        <v>99</v>
      </c>
      <c r="AB12" s="17" t="s">
        <v>100</v>
      </c>
      <c r="AC12" s="21" t="s">
        <v>78</v>
      </c>
      <c r="AD12" s="17" t="s">
        <v>78</v>
      </c>
      <c r="AE12" s="17" t="s">
        <v>79</v>
      </c>
      <c r="AF12" s="17" t="s">
        <v>62</v>
      </c>
      <c r="AG12" s="15"/>
      <c r="AH12" s="677">
        <v>1</v>
      </c>
      <c r="AI12" s="42">
        <f t="shared" ca="1" si="1"/>
        <v>1408</v>
      </c>
      <c r="AJ12" s="42" t="str">
        <f t="shared" ca="1" si="2"/>
        <v>-</v>
      </c>
      <c r="AK12" s="13" t="s">
        <v>101</v>
      </c>
      <c r="AL12" s="36" t="str">
        <f t="shared" si="3"/>
        <v>Closed</v>
      </c>
      <c r="AM12" s="37">
        <v>44256</v>
      </c>
      <c r="AN12" s="75">
        <v>44270</v>
      </c>
      <c r="AO12" s="37" t="s">
        <v>65</v>
      </c>
      <c r="AP12" s="37">
        <v>44294</v>
      </c>
      <c r="AQ12" s="121">
        <v>44294</v>
      </c>
      <c r="AR12" s="38">
        <v>44308</v>
      </c>
      <c r="AS12" s="38">
        <v>44342</v>
      </c>
      <c r="AT12" s="38">
        <v>44618</v>
      </c>
      <c r="AU12" s="38">
        <v>44630</v>
      </c>
      <c r="AV12" s="38">
        <v>44630</v>
      </c>
      <c r="AW12" s="38"/>
      <c r="AX12" s="38"/>
      <c r="AY12" s="38"/>
      <c r="AZ12" s="38">
        <v>44674</v>
      </c>
      <c r="BA12" s="39" t="s">
        <v>66</v>
      </c>
      <c r="BB12" s="38"/>
      <c r="BC12" s="11" t="s">
        <v>7</v>
      </c>
    </row>
    <row r="13" spans="2:55" outlineLevel="1" x14ac:dyDescent="0.35">
      <c r="B13" s="16">
        <f>IF(D13=$A$516,1,IF(D13=$A$517,2,IF(D13=$A$518,3,IF(D13=$A$519,4,IF(D13=$A$520,5,IF(D13=$A$521,6))))))</f>
        <v>1</v>
      </c>
      <c r="D13" s="20" t="str">
        <f t="shared" si="0"/>
        <v>cls</v>
      </c>
      <c r="E13" s="20" t="s">
        <v>102</v>
      </c>
      <c r="F13" s="13"/>
      <c r="G13" s="13" t="s">
        <v>103</v>
      </c>
      <c r="H13" s="14" t="s">
        <v>104</v>
      </c>
      <c r="I13" s="13">
        <v>829999</v>
      </c>
      <c r="J13" s="13" t="s">
        <v>105</v>
      </c>
      <c r="K13" s="15" t="s">
        <v>106</v>
      </c>
      <c r="L13" s="15" t="s">
        <v>107</v>
      </c>
      <c r="M13" s="15" t="s">
        <v>107</v>
      </c>
      <c r="N13" s="15"/>
      <c r="O13" s="15"/>
      <c r="P13" s="15"/>
      <c r="Q13" s="15"/>
      <c r="S13" s="35" t="s">
        <v>77</v>
      </c>
      <c r="T13" s="13">
        <v>2019</v>
      </c>
      <c r="U13" s="17">
        <v>1.43</v>
      </c>
      <c r="V13" s="17">
        <v>0.3</v>
      </c>
      <c r="W13" s="36">
        <v>0.20979020979020979</v>
      </c>
      <c r="X13" s="17">
        <v>0.2</v>
      </c>
      <c r="Y13" s="17">
        <v>-0.32</v>
      </c>
      <c r="AA13" s="15" t="s">
        <v>60</v>
      </c>
      <c r="AB13" s="17"/>
      <c r="AC13" s="21" t="s">
        <v>78</v>
      </c>
      <c r="AD13" s="17" t="s">
        <v>78</v>
      </c>
      <c r="AE13" s="17" t="s">
        <v>62</v>
      </c>
      <c r="AF13" s="17"/>
      <c r="AG13" s="15"/>
      <c r="AI13" s="42">
        <f t="shared" ca="1" si="1"/>
        <v>1177</v>
      </c>
      <c r="AJ13" s="42" t="str">
        <f t="shared" ca="1" si="2"/>
        <v>-</v>
      </c>
      <c r="AK13" s="13" t="s">
        <v>87</v>
      </c>
      <c r="AL13" s="36" t="str">
        <f t="shared" si="3"/>
        <v>Closed</v>
      </c>
      <c r="AM13" s="37">
        <v>44487</v>
      </c>
      <c r="AN13" s="75">
        <v>44197</v>
      </c>
      <c r="AO13" s="37" t="s">
        <v>65</v>
      </c>
      <c r="AP13" s="37">
        <v>44197</v>
      </c>
      <c r="AQ13" s="38">
        <v>44197</v>
      </c>
      <c r="AR13" s="38">
        <v>44237</v>
      </c>
      <c r="AS13" s="38">
        <v>44270</v>
      </c>
      <c r="AT13" s="38">
        <v>44361</v>
      </c>
      <c r="AU13" s="38">
        <v>44461</v>
      </c>
      <c r="AV13" s="38">
        <v>44495</v>
      </c>
      <c r="AW13" s="38"/>
      <c r="AX13" s="38"/>
      <c r="AY13" s="38"/>
      <c r="AZ13" s="38">
        <v>44686</v>
      </c>
      <c r="BA13" s="39" t="s">
        <v>66</v>
      </c>
      <c r="BB13" s="38"/>
      <c r="BC13" s="11" t="s">
        <v>7</v>
      </c>
    </row>
    <row r="14" spans="2:55" outlineLevel="1" x14ac:dyDescent="0.35">
      <c r="B14" s="16">
        <f>IF(D14=$A$516,1,IF(D14=$A$517,2,IF(D14=$A$518,3,IF(D14=$A$519,4,IF(D14=$A$520,5,IF(D14=$A$521,6))))))</f>
        <v>1</v>
      </c>
      <c r="D14" s="20" t="str">
        <f t="shared" si="0"/>
        <v>cls</v>
      </c>
      <c r="E14" s="12" t="s">
        <v>108</v>
      </c>
      <c r="F14" s="14" t="s">
        <v>65</v>
      </c>
      <c r="G14" s="13" t="s">
        <v>109</v>
      </c>
      <c r="H14" s="14" t="s">
        <v>110</v>
      </c>
      <c r="I14" s="13">
        <v>301000</v>
      </c>
      <c r="J14" s="13" t="s">
        <v>111</v>
      </c>
      <c r="K14" s="15" t="s">
        <v>112</v>
      </c>
      <c r="L14" s="15"/>
      <c r="M14" s="15" t="s">
        <v>113</v>
      </c>
      <c r="N14" s="15" t="s">
        <v>114</v>
      </c>
      <c r="O14" s="15"/>
      <c r="P14" s="15"/>
      <c r="Q14" s="15"/>
      <c r="S14" s="35" t="s">
        <v>77</v>
      </c>
      <c r="T14" s="13">
        <v>2019</v>
      </c>
      <c r="U14" s="17">
        <v>62.588999999999999</v>
      </c>
      <c r="V14" s="17">
        <v>1.6459999999999999</v>
      </c>
      <c r="W14" s="36">
        <v>2.6298550863570275E-2</v>
      </c>
      <c r="X14" s="17">
        <v>0.17</v>
      </c>
      <c r="Y14" s="17">
        <v>-2.0659999999999998</v>
      </c>
      <c r="AA14" s="15" t="s">
        <v>60</v>
      </c>
      <c r="AB14" s="17"/>
      <c r="AC14" s="21" t="s">
        <v>78</v>
      </c>
      <c r="AD14" s="21" t="s">
        <v>78</v>
      </c>
      <c r="AE14" s="17" t="s">
        <v>79</v>
      </c>
      <c r="AF14" s="17"/>
      <c r="AG14" s="15"/>
      <c r="AH14" s="677">
        <v>1</v>
      </c>
      <c r="AI14" s="42">
        <f t="shared" ca="1" si="1"/>
        <v>1256</v>
      </c>
      <c r="AJ14" s="42" t="str">
        <f t="shared" ca="1" si="2"/>
        <v>-</v>
      </c>
      <c r="AK14" s="13" t="s">
        <v>101</v>
      </c>
      <c r="AL14" s="36" t="str">
        <f t="shared" si="3"/>
        <v>Closed</v>
      </c>
      <c r="AM14" s="37">
        <v>44408</v>
      </c>
      <c r="AN14" s="37">
        <v>44408</v>
      </c>
      <c r="AO14" s="37" t="s">
        <v>65</v>
      </c>
      <c r="AP14" s="37" t="s">
        <v>65</v>
      </c>
      <c r="AQ14" s="38">
        <v>44509</v>
      </c>
      <c r="AR14" s="38" t="s">
        <v>65</v>
      </c>
      <c r="AS14" s="38">
        <v>44609</v>
      </c>
      <c r="AT14" s="38">
        <v>44613</v>
      </c>
      <c r="AU14" s="38">
        <v>44620</v>
      </c>
      <c r="AV14" s="38">
        <v>44620</v>
      </c>
      <c r="AW14" s="38"/>
      <c r="AX14" s="38"/>
      <c r="AY14" s="38"/>
      <c r="AZ14" s="38">
        <v>44769</v>
      </c>
      <c r="BA14" s="39" t="s">
        <v>66</v>
      </c>
      <c r="BB14" s="38"/>
      <c r="BC14" s="11" t="s">
        <v>7</v>
      </c>
    </row>
    <row r="15" spans="2:55" outlineLevel="1" x14ac:dyDescent="0.35">
      <c r="B15" s="16">
        <f>IF(D15=$A$516,1,IF(D15=$A$517,2,IF(D15=$A$518,3,IF(D15=$A$519,4,IF(D15=$A$520,5,IF(D15=$A$521,6))))))</f>
        <v>1</v>
      </c>
      <c r="D15" s="20" t="str">
        <f t="shared" si="0"/>
        <v>cls</v>
      </c>
      <c r="E15" s="20" t="s">
        <v>115</v>
      </c>
      <c r="F15" s="13"/>
      <c r="G15" s="13" t="s">
        <v>91</v>
      </c>
      <c r="H15" s="13"/>
      <c r="I15" s="13"/>
      <c r="J15" s="13" t="s">
        <v>57</v>
      </c>
      <c r="K15" s="15" t="s">
        <v>58</v>
      </c>
      <c r="L15" s="15" t="s">
        <v>59</v>
      </c>
      <c r="M15" s="15"/>
      <c r="N15" s="15"/>
      <c r="O15" s="15"/>
      <c r="P15" s="15"/>
      <c r="Q15" s="15"/>
      <c r="S15" s="35"/>
      <c r="T15" s="13"/>
      <c r="U15" s="17"/>
      <c r="V15" s="17"/>
      <c r="W15" s="36"/>
      <c r="X15" s="17"/>
      <c r="Y15" s="17"/>
      <c r="AA15" s="15" t="s">
        <v>60</v>
      </c>
      <c r="AB15" s="17"/>
      <c r="AC15" s="21" t="s">
        <v>61</v>
      </c>
      <c r="AD15" s="17" t="s">
        <v>61</v>
      </c>
      <c r="AE15" s="17" t="s">
        <v>62</v>
      </c>
      <c r="AF15" s="17"/>
      <c r="AG15" s="15"/>
      <c r="AI15" s="42">
        <f t="shared" ca="1" si="1"/>
        <v>1166</v>
      </c>
      <c r="AJ15" s="42" t="str">
        <f t="shared" ca="1" si="2"/>
        <v>-</v>
      </c>
      <c r="AK15" s="13" t="s">
        <v>64</v>
      </c>
      <c r="AL15" s="36" t="str">
        <f t="shared" si="3"/>
        <v>Closed</v>
      </c>
      <c r="AM15" s="37">
        <v>44498</v>
      </c>
      <c r="AN15" s="37">
        <f>+AM15</f>
        <v>44498</v>
      </c>
      <c r="AO15" s="37" t="s">
        <v>65</v>
      </c>
      <c r="AP15" s="37" t="s">
        <v>65</v>
      </c>
      <c r="AQ15" s="38">
        <f>+AN15</f>
        <v>44498</v>
      </c>
      <c r="AR15" s="37" t="s">
        <v>65</v>
      </c>
      <c r="AS15" s="37" t="s">
        <v>65</v>
      </c>
      <c r="AT15" s="37" t="s">
        <v>65</v>
      </c>
      <c r="AU15" s="37" t="s">
        <v>65</v>
      </c>
      <c r="AV15" s="37" t="s">
        <v>65</v>
      </c>
      <c r="AW15" s="38"/>
      <c r="AX15" s="38"/>
      <c r="AY15" s="38"/>
      <c r="AZ15" s="38">
        <v>44916</v>
      </c>
      <c r="BA15" s="39" t="s">
        <v>66</v>
      </c>
      <c r="BB15" s="38"/>
      <c r="BC15" s="11" t="s">
        <v>7</v>
      </c>
    </row>
    <row r="16" spans="2:55" outlineLevel="1" x14ac:dyDescent="0.35">
      <c r="B16" s="16">
        <f>IF(D16=$A$516,1,IF(D16=$A$517,2,IF(D16=$A$518,3,IF(D16=$A$519,4,IF(D16=$A$520,5,IF(D16=$A$521,6))))))</f>
        <v>1</v>
      </c>
      <c r="D16" s="20" t="str">
        <f t="shared" si="0"/>
        <v>cls</v>
      </c>
      <c r="E16" s="20" t="s">
        <v>116</v>
      </c>
      <c r="F16" s="13"/>
      <c r="G16" s="13" t="s">
        <v>91</v>
      </c>
      <c r="H16" s="13"/>
      <c r="I16" s="13"/>
      <c r="J16" s="13" t="s">
        <v>57</v>
      </c>
      <c r="K16" s="15" t="s">
        <v>58</v>
      </c>
      <c r="L16" s="15" t="s">
        <v>59</v>
      </c>
      <c r="M16" s="15"/>
      <c r="N16" s="15"/>
      <c r="O16" s="15"/>
      <c r="P16" s="15"/>
      <c r="Q16" s="15"/>
      <c r="S16" s="35"/>
      <c r="T16" s="13"/>
      <c r="U16" s="17"/>
      <c r="V16" s="17"/>
      <c r="W16" s="36"/>
      <c r="X16" s="17"/>
      <c r="Y16" s="17"/>
      <c r="AA16" s="15" t="s">
        <v>60</v>
      </c>
      <c r="AB16" s="17"/>
      <c r="AC16" s="21" t="s">
        <v>61</v>
      </c>
      <c r="AD16" s="17" t="s">
        <v>61</v>
      </c>
      <c r="AE16" s="17" t="s">
        <v>62</v>
      </c>
      <c r="AF16" s="17"/>
      <c r="AG16" s="15"/>
      <c r="AI16" s="42">
        <f t="shared" ca="1" si="1"/>
        <v>1216</v>
      </c>
      <c r="AJ16" s="42" t="str">
        <f t="shared" ca="1" si="2"/>
        <v>-</v>
      </c>
      <c r="AK16" s="13" t="s">
        <v>64</v>
      </c>
      <c r="AL16" s="36" t="str">
        <f t="shared" si="3"/>
        <v>Closed</v>
      </c>
      <c r="AM16" s="37">
        <v>44448</v>
      </c>
      <c r="AN16" s="37">
        <f>+AM16</f>
        <v>44448</v>
      </c>
      <c r="AO16" s="37" t="s">
        <v>65</v>
      </c>
      <c r="AP16" s="37" t="s">
        <v>65</v>
      </c>
      <c r="AQ16" s="38">
        <f>+AN16</f>
        <v>44448</v>
      </c>
      <c r="AR16" s="37" t="s">
        <v>65</v>
      </c>
      <c r="AS16" s="37" t="s">
        <v>65</v>
      </c>
      <c r="AT16" s="37" t="s">
        <v>65</v>
      </c>
      <c r="AU16" s="37" t="s">
        <v>65</v>
      </c>
      <c r="AV16" s="37" t="s">
        <v>65</v>
      </c>
      <c r="AW16" s="38"/>
      <c r="AX16" s="38"/>
      <c r="AY16" s="38"/>
      <c r="AZ16" s="38">
        <v>44916</v>
      </c>
      <c r="BA16" s="39" t="s">
        <v>66</v>
      </c>
      <c r="BB16" s="38"/>
      <c r="BC16" s="11" t="s">
        <v>7</v>
      </c>
    </row>
    <row r="17" spans="2:55" outlineLevel="1" x14ac:dyDescent="0.35">
      <c r="B17" s="16">
        <f>IF(D17=$A$516,1,IF(D17=$A$517,2,IF(D17=$A$518,3,IF(D17=$A$519,4,IF(D17=$A$520,5,IF(D17=$A$521,6))))))</f>
        <v>1</v>
      </c>
      <c r="D17" s="20" t="str">
        <f t="shared" si="0"/>
        <v>cls</v>
      </c>
      <c r="E17" s="20" t="s">
        <v>117</v>
      </c>
      <c r="F17" s="13"/>
      <c r="G17" s="13" t="s">
        <v>103</v>
      </c>
      <c r="H17" s="14" t="s">
        <v>118</v>
      </c>
      <c r="I17" s="13">
        <v>731102</v>
      </c>
      <c r="J17" s="13" t="s">
        <v>119</v>
      </c>
      <c r="K17" s="15" t="s">
        <v>120</v>
      </c>
      <c r="L17" s="15" t="s">
        <v>121</v>
      </c>
      <c r="M17" s="15"/>
      <c r="N17" s="15"/>
      <c r="O17" s="15"/>
      <c r="P17" s="15"/>
      <c r="Q17" s="15"/>
      <c r="S17" s="35" t="s">
        <v>77</v>
      </c>
      <c r="T17" s="13">
        <v>2022</v>
      </c>
      <c r="U17" s="17">
        <v>3.8</v>
      </c>
      <c r="V17" s="17">
        <v>6.0000000000000001E-3</v>
      </c>
      <c r="W17" s="60">
        <v>1.5789473684210528E-3</v>
      </c>
      <c r="X17" s="17" t="s">
        <v>65</v>
      </c>
      <c r="Y17" s="17" t="s">
        <v>65</v>
      </c>
      <c r="AA17" s="15" t="s">
        <v>60</v>
      </c>
      <c r="AB17" s="17"/>
      <c r="AC17" s="17" t="s">
        <v>78</v>
      </c>
      <c r="AD17" s="17" t="s">
        <v>78</v>
      </c>
      <c r="AE17" s="17" t="s">
        <v>62</v>
      </c>
      <c r="AF17" s="17"/>
      <c r="AG17" s="15" t="s">
        <v>122</v>
      </c>
      <c r="AI17" s="42">
        <f t="shared" ca="1" si="1"/>
        <v>820</v>
      </c>
      <c r="AJ17" s="42" t="str">
        <f t="shared" ca="1" si="2"/>
        <v>-</v>
      </c>
      <c r="AK17" s="13" t="s">
        <v>87</v>
      </c>
      <c r="AL17" s="36" t="str">
        <f t="shared" si="3"/>
        <v>Closed</v>
      </c>
      <c r="AM17" s="37">
        <v>44844</v>
      </c>
      <c r="AN17" s="37">
        <f>+AM17</f>
        <v>44844</v>
      </c>
      <c r="AO17" s="37" t="s">
        <v>65</v>
      </c>
      <c r="AP17" s="37">
        <v>44849</v>
      </c>
      <c r="AQ17" s="38">
        <v>44849</v>
      </c>
      <c r="AR17" s="38">
        <v>44851</v>
      </c>
      <c r="AS17" s="38" t="s">
        <v>65</v>
      </c>
      <c r="AT17" s="38">
        <v>44852</v>
      </c>
      <c r="AU17" s="38">
        <v>44855</v>
      </c>
      <c r="AV17" s="38">
        <v>44858</v>
      </c>
      <c r="AW17" s="38"/>
      <c r="AX17" s="38"/>
      <c r="AY17" s="38"/>
      <c r="AZ17" s="38">
        <v>44985</v>
      </c>
      <c r="BA17" s="39" t="s">
        <v>66</v>
      </c>
      <c r="BB17" s="38"/>
      <c r="BC17" s="11" t="s">
        <v>7</v>
      </c>
    </row>
    <row r="18" spans="2:55" outlineLevel="1" x14ac:dyDescent="0.35">
      <c r="B18" s="16">
        <f>IF(D18=$A$516,1,IF(D18=$A$517,2,IF(D18=$A$518,3,IF(D18=$A$519,4,IF(D18=$A$520,5,IF(D18=$A$521,6))))))</f>
        <v>1</v>
      </c>
      <c r="D18" s="20" t="str">
        <f t="shared" si="0"/>
        <v>cls</v>
      </c>
      <c r="E18" s="12" t="s">
        <v>123</v>
      </c>
      <c r="F18" s="14" t="s">
        <v>124</v>
      </c>
      <c r="G18" s="13" t="s">
        <v>103</v>
      </c>
      <c r="H18" s="14" t="s">
        <v>125</v>
      </c>
      <c r="I18" s="13">
        <v>889100</v>
      </c>
      <c r="J18" s="13" t="s">
        <v>57</v>
      </c>
      <c r="K18" s="15" t="s">
        <v>58</v>
      </c>
      <c r="L18" s="15"/>
      <c r="M18" s="15"/>
      <c r="N18" s="15"/>
      <c r="O18" s="15"/>
      <c r="P18" s="15"/>
      <c r="Q18" s="15"/>
      <c r="S18" s="35"/>
      <c r="T18" s="13"/>
      <c r="U18" s="17"/>
      <c r="V18" s="17"/>
      <c r="W18" s="36"/>
      <c r="X18" s="17"/>
      <c r="Y18" s="17"/>
      <c r="AA18" s="15" t="s">
        <v>60</v>
      </c>
      <c r="AB18" s="17"/>
      <c r="AC18" s="21" t="s">
        <v>61</v>
      </c>
      <c r="AD18" s="21" t="s">
        <v>61</v>
      </c>
      <c r="AE18" s="17" t="s">
        <v>62</v>
      </c>
      <c r="AF18" s="17"/>
      <c r="AG18" s="15"/>
      <c r="AI18" s="42">
        <f t="shared" ca="1" si="1"/>
        <v>1023</v>
      </c>
      <c r="AJ18" s="42" t="str">
        <f t="shared" ca="1" si="2"/>
        <v>-</v>
      </c>
      <c r="AK18" s="13" t="s">
        <v>64</v>
      </c>
      <c r="AL18" s="36" t="str">
        <f t="shared" si="3"/>
        <v>Closed</v>
      </c>
      <c r="AM18" s="37">
        <v>44641</v>
      </c>
      <c r="AN18" s="37">
        <v>44641</v>
      </c>
      <c r="AO18" s="37" t="s">
        <v>65</v>
      </c>
      <c r="AP18" s="37" t="s">
        <v>65</v>
      </c>
      <c r="AQ18" s="38">
        <v>44651</v>
      </c>
      <c r="AR18" s="38">
        <v>44662</v>
      </c>
      <c r="AS18" s="38" t="s">
        <v>65</v>
      </c>
      <c r="AT18" s="38" t="s">
        <v>65</v>
      </c>
      <c r="AU18" s="38" t="s">
        <v>65</v>
      </c>
      <c r="AV18" s="38">
        <v>44677</v>
      </c>
      <c r="AW18" s="38"/>
      <c r="AX18" s="38"/>
      <c r="AY18" s="38"/>
      <c r="AZ18" s="38">
        <v>44957</v>
      </c>
      <c r="BA18" s="39" t="s">
        <v>66</v>
      </c>
      <c r="BB18" s="38"/>
      <c r="BC18" s="11" t="s">
        <v>7</v>
      </c>
    </row>
    <row r="19" spans="2:55" outlineLevel="1" x14ac:dyDescent="0.35">
      <c r="B19" s="16">
        <f>IF(D19=$A$516,1,IF(D19=$A$517,2,IF(D19=$A$518,3,IF(D19=$A$519,4,IF(D19=$A$520,5,IF(D19=$A$521,6))))))</f>
        <v>1</v>
      </c>
      <c r="D19" s="20" t="str">
        <f t="shared" si="0"/>
        <v>cls</v>
      </c>
      <c r="E19" s="12" t="s">
        <v>126</v>
      </c>
      <c r="F19" s="14" t="s">
        <v>127</v>
      </c>
      <c r="G19" s="13" t="s">
        <v>109</v>
      </c>
      <c r="H19" s="14" t="s">
        <v>110</v>
      </c>
      <c r="I19" s="13">
        <v>301000</v>
      </c>
      <c r="J19" s="13" t="s">
        <v>111</v>
      </c>
      <c r="K19" s="15" t="s">
        <v>112</v>
      </c>
      <c r="L19" s="15"/>
      <c r="M19" s="15" t="s">
        <v>113</v>
      </c>
      <c r="N19" s="15" t="s">
        <v>114</v>
      </c>
      <c r="O19" s="15"/>
      <c r="P19" s="15"/>
      <c r="Q19" s="15"/>
      <c r="S19" s="35" t="s">
        <v>77</v>
      </c>
      <c r="T19" s="13">
        <v>2019</v>
      </c>
      <c r="U19" s="17">
        <v>62.588999999999999</v>
      </c>
      <c r="V19" s="17">
        <v>1.6459999999999999</v>
      </c>
      <c r="W19" s="36">
        <v>2.6298550863570275E-2</v>
      </c>
      <c r="X19" s="17">
        <v>0.17</v>
      </c>
      <c r="Y19" s="17">
        <v>-2.0659999999999998</v>
      </c>
      <c r="AA19" s="15" t="s">
        <v>60</v>
      </c>
      <c r="AB19" s="17"/>
      <c r="AC19" s="21" t="s">
        <v>78</v>
      </c>
      <c r="AD19" s="21" t="s">
        <v>78</v>
      </c>
      <c r="AE19" s="17" t="s">
        <v>79</v>
      </c>
      <c r="AF19" s="17" t="s">
        <v>128</v>
      </c>
      <c r="AG19" s="15"/>
      <c r="AH19" s="677">
        <v>1</v>
      </c>
      <c r="AI19" s="42">
        <f t="shared" ca="1" si="1"/>
        <v>891</v>
      </c>
      <c r="AJ19" s="42" t="str">
        <f t="shared" ca="1" si="2"/>
        <v>-</v>
      </c>
      <c r="AK19" s="13" t="s">
        <v>101</v>
      </c>
      <c r="AL19" s="36" t="str">
        <f t="shared" si="3"/>
        <v>Closed</v>
      </c>
      <c r="AM19" s="37">
        <v>44773</v>
      </c>
      <c r="AN19" s="37">
        <v>44408</v>
      </c>
      <c r="AO19" s="37" t="s">
        <v>65</v>
      </c>
      <c r="AP19" s="37" t="s">
        <v>65</v>
      </c>
      <c r="AQ19" s="38">
        <v>44896</v>
      </c>
      <c r="AR19" s="38" t="s">
        <v>65</v>
      </c>
      <c r="AS19" s="38" t="s">
        <v>65</v>
      </c>
      <c r="AT19" s="38" t="s">
        <v>65</v>
      </c>
      <c r="AU19" s="38" t="s">
        <v>65</v>
      </c>
      <c r="AV19" s="38">
        <v>45029</v>
      </c>
      <c r="AW19" s="38"/>
      <c r="AX19" s="38"/>
      <c r="AY19" s="38"/>
      <c r="AZ19" s="38">
        <v>45086</v>
      </c>
      <c r="BA19" s="39" t="s">
        <v>66</v>
      </c>
      <c r="BB19" s="38"/>
      <c r="BC19" s="11" t="s">
        <v>7</v>
      </c>
    </row>
    <row r="20" spans="2:55" outlineLevel="1" collapsed="1" x14ac:dyDescent="0.35">
      <c r="B20" s="16">
        <f>IF(D20=$A$516,1,IF(D20=$A$517,2,IF(D20=$A$518,3,IF(D20=$A$519,4,IF(D20=$A$520,5,IF(D20=$A$521,6))))))</f>
        <v>1</v>
      </c>
      <c r="D20" s="20" t="str">
        <f t="shared" si="0"/>
        <v>cls</v>
      </c>
      <c r="E20" s="20" t="s">
        <v>129</v>
      </c>
      <c r="F20" s="14"/>
      <c r="G20" s="13" t="s">
        <v>130</v>
      </c>
      <c r="H20" s="14" t="s">
        <v>131</v>
      </c>
      <c r="I20" s="13">
        <v>522910</v>
      </c>
      <c r="J20" s="13" t="s">
        <v>132</v>
      </c>
      <c r="K20" s="15" t="s">
        <v>133</v>
      </c>
      <c r="L20" s="15" t="s">
        <v>134</v>
      </c>
      <c r="M20" s="15"/>
      <c r="N20" s="15"/>
      <c r="O20" s="15"/>
      <c r="P20" s="15"/>
      <c r="Q20" s="15"/>
      <c r="S20" s="35" t="s">
        <v>77</v>
      </c>
      <c r="T20" s="13">
        <v>2019</v>
      </c>
      <c r="U20" s="17">
        <v>29.07</v>
      </c>
      <c r="V20" s="17">
        <v>2.25</v>
      </c>
      <c r="W20" s="36">
        <v>7.7399380804953566E-2</v>
      </c>
      <c r="X20" s="17">
        <v>1.51</v>
      </c>
      <c r="Y20" s="17">
        <v>-0.21</v>
      </c>
      <c r="AA20" s="15" t="s">
        <v>60</v>
      </c>
      <c r="AB20" s="15"/>
      <c r="AC20" s="21" t="s">
        <v>78</v>
      </c>
      <c r="AD20" s="17" t="s">
        <v>78</v>
      </c>
      <c r="AE20" s="17" t="s">
        <v>62</v>
      </c>
      <c r="AF20" s="17" t="s">
        <v>128</v>
      </c>
      <c r="AG20" s="15"/>
      <c r="AI20" s="42">
        <f t="shared" ca="1" si="1"/>
        <v>1422</v>
      </c>
      <c r="AJ20" s="42" t="str">
        <f t="shared" ca="1" si="2"/>
        <v>-</v>
      </c>
      <c r="AK20" s="13" t="s">
        <v>101</v>
      </c>
      <c r="AL20" s="36" t="str">
        <f t="shared" si="3"/>
        <v>Closed</v>
      </c>
      <c r="AM20" s="37">
        <v>44242</v>
      </c>
      <c r="AN20" s="37">
        <v>44242</v>
      </c>
      <c r="AO20" s="37" t="s">
        <v>65</v>
      </c>
      <c r="AP20" s="37">
        <v>44242</v>
      </c>
      <c r="AQ20" s="38">
        <v>44249</v>
      </c>
      <c r="AR20" s="38">
        <v>44305</v>
      </c>
      <c r="AS20" s="38">
        <v>44985</v>
      </c>
      <c r="AT20" s="38">
        <v>45023</v>
      </c>
      <c r="AU20" s="38" t="s">
        <v>65</v>
      </c>
      <c r="AV20" s="38">
        <v>45043</v>
      </c>
      <c r="AW20" s="38"/>
      <c r="AX20" s="38"/>
      <c r="AY20" s="38"/>
      <c r="AZ20" s="38">
        <v>45174</v>
      </c>
      <c r="BA20" s="39" t="s">
        <v>66</v>
      </c>
      <c r="BB20" s="38"/>
      <c r="BC20" s="11" t="s">
        <v>7</v>
      </c>
    </row>
    <row r="21" spans="2:55" outlineLevel="1" x14ac:dyDescent="0.35">
      <c r="B21" s="16">
        <f>IF(D21=$A$516,1,IF(D21=$A$517,2,IF(D21=$A$518,3,IF(D21=$A$519,4,IF(D21=$A$520,5,IF(D21=$A$521,6))))))</f>
        <v>1</v>
      </c>
      <c r="D21" s="20" t="str">
        <f t="shared" si="0"/>
        <v>cls</v>
      </c>
      <c r="E21" s="20" t="s">
        <v>135</v>
      </c>
      <c r="F21" s="13" t="s">
        <v>136</v>
      </c>
      <c r="G21" s="13" t="s">
        <v>137</v>
      </c>
      <c r="H21" s="14" t="s">
        <v>138</v>
      </c>
      <c r="I21" s="13">
        <v>889100</v>
      </c>
      <c r="J21" s="13" t="s">
        <v>57</v>
      </c>
      <c r="K21" s="15" t="s">
        <v>58</v>
      </c>
      <c r="L21" s="15" t="s">
        <v>139</v>
      </c>
      <c r="M21" s="15"/>
      <c r="N21" s="15"/>
      <c r="O21" s="15"/>
      <c r="P21" s="15"/>
      <c r="Q21" s="15"/>
      <c r="S21" s="35" t="s">
        <v>77</v>
      </c>
      <c r="T21" s="13">
        <v>2020</v>
      </c>
      <c r="U21" s="17">
        <v>1.0840000000000001</v>
      </c>
      <c r="V21" s="17">
        <v>8.5000000000000006E-2</v>
      </c>
      <c r="W21" s="36">
        <v>7.8413284132841335E-2</v>
      </c>
      <c r="X21" s="17">
        <v>-6.5000000000000002E-2</v>
      </c>
      <c r="Y21" s="17">
        <v>-0.56100000000000005</v>
      </c>
      <c r="AA21" s="15" t="s">
        <v>140</v>
      </c>
      <c r="AB21" s="17"/>
      <c r="AC21" s="21" t="s">
        <v>61</v>
      </c>
      <c r="AD21" s="17" t="s">
        <v>61</v>
      </c>
      <c r="AE21" s="17" t="s">
        <v>62</v>
      </c>
      <c r="AF21" s="17"/>
      <c r="AG21" s="15"/>
      <c r="AI21" s="42">
        <f t="shared" ca="1" si="1"/>
        <v>963</v>
      </c>
      <c r="AJ21" s="42" t="str">
        <f t="shared" ca="1" si="2"/>
        <v>-</v>
      </c>
      <c r="AK21" s="13" t="s">
        <v>87</v>
      </c>
      <c r="AL21" s="36" t="str">
        <f t="shared" si="3"/>
        <v>Closed</v>
      </c>
      <c r="AM21" s="37">
        <v>44701</v>
      </c>
      <c r="AN21" s="37">
        <v>44701</v>
      </c>
      <c r="AO21" s="37" t="s">
        <v>65</v>
      </c>
      <c r="AP21" s="37">
        <v>44704</v>
      </c>
      <c r="AQ21" s="38">
        <v>44707</v>
      </c>
      <c r="AR21" s="38" t="s">
        <v>65</v>
      </c>
      <c r="AS21" s="38">
        <v>44727</v>
      </c>
      <c r="AT21" s="38">
        <v>44741</v>
      </c>
      <c r="AU21" s="38">
        <v>44771</v>
      </c>
      <c r="AV21" s="38">
        <v>44777</v>
      </c>
      <c r="AW21" s="38"/>
      <c r="AX21" s="38"/>
      <c r="AY21" s="38"/>
      <c r="AZ21" s="38">
        <v>45209</v>
      </c>
      <c r="BA21" s="39" t="s">
        <v>66</v>
      </c>
      <c r="BB21" s="38"/>
      <c r="BC21" s="11" t="s">
        <v>7</v>
      </c>
    </row>
    <row r="22" spans="2:55" outlineLevel="1" x14ac:dyDescent="0.35">
      <c r="B22" s="16">
        <f>IF(D22=$A$516,1,IF(D22=$A$517,2,IF(D22=$A$518,3,IF(D22=$A$519,4,IF(D22=$A$520,5,IF(D22=$A$521,6))))))</f>
        <v>1</v>
      </c>
      <c r="D22" s="20" t="str">
        <f t="shared" si="0"/>
        <v>cls</v>
      </c>
      <c r="E22" s="20" t="s">
        <v>184</v>
      </c>
      <c r="F22" s="13" t="s">
        <v>185</v>
      </c>
      <c r="G22" s="13" t="s">
        <v>159</v>
      </c>
      <c r="H22" s="14" t="s">
        <v>186</v>
      </c>
      <c r="I22" s="23">
        <v>852000</v>
      </c>
      <c r="J22" s="13" t="s">
        <v>57</v>
      </c>
      <c r="K22" s="15" t="s">
        <v>58</v>
      </c>
      <c r="L22" s="15" t="s">
        <v>187</v>
      </c>
      <c r="M22" s="15"/>
      <c r="N22" s="15"/>
      <c r="O22" s="15"/>
      <c r="P22" s="15"/>
      <c r="Q22" s="15"/>
      <c r="S22" s="35" t="s">
        <v>77</v>
      </c>
      <c r="T22" s="13">
        <v>2021</v>
      </c>
      <c r="U22" s="17">
        <v>0.84599999999999997</v>
      </c>
      <c r="V22" s="17">
        <v>8.3000000000000004E-2</v>
      </c>
      <c r="W22" s="60">
        <v>9.8108747044917261E-2</v>
      </c>
      <c r="X22" s="17">
        <v>3.1E-2</v>
      </c>
      <c r="Y22" s="17">
        <v>-0.246</v>
      </c>
      <c r="AA22" s="15" t="s">
        <v>140</v>
      </c>
      <c r="AB22" s="17"/>
      <c r="AC22" s="21" t="s">
        <v>61</v>
      </c>
      <c r="AD22" s="21" t="s">
        <v>61</v>
      </c>
      <c r="AE22" s="17" t="s">
        <v>62</v>
      </c>
      <c r="AF22" s="17" t="s">
        <v>128</v>
      </c>
      <c r="AG22" s="15"/>
      <c r="AI22" s="42">
        <f t="shared" ca="1" si="1"/>
        <v>963</v>
      </c>
      <c r="AJ22" s="42" t="str">
        <f t="shared" ca="1" si="2"/>
        <v>-</v>
      </c>
      <c r="AK22" s="13" t="s">
        <v>87</v>
      </c>
      <c r="AL22" s="36" t="str">
        <f t="shared" si="3"/>
        <v>Closed</v>
      </c>
      <c r="AM22" s="37">
        <v>44701</v>
      </c>
      <c r="AN22" s="37">
        <v>44701</v>
      </c>
      <c r="AO22" s="37" t="s">
        <v>65</v>
      </c>
      <c r="AP22" s="37">
        <v>44701</v>
      </c>
      <c r="AQ22" s="38">
        <v>44707</v>
      </c>
      <c r="AR22" s="38">
        <v>44819</v>
      </c>
      <c r="AS22" s="38">
        <v>44851</v>
      </c>
      <c r="AT22" s="38">
        <v>44853</v>
      </c>
      <c r="AU22" s="38">
        <v>44963</v>
      </c>
      <c r="AV22" s="38">
        <v>44992</v>
      </c>
      <c r="AW22" s="38"/>
      <c r="AX22" s="38"/>
      <c r="AY22" s="38"/>
      <c r="AZ22" s="38">
        <v>45278</v>
      </c>
      <c r="BA22" s="39" t="s">
        <v>66</v>
      </c>
      <c r="BB22" s="38"/>
      <c r="BC22" s="11" t="s">
        <v>7</v>
      </c>
    </row>
    <row r="23" spans="2:55" outlineLevel="1" x14ac:dyDescent="0.35">
      <c r="B23" s="16">
        <f>IF(D23=$A$516,1,IF(D23=$A$517,2,IF(D23=$A$518,3,IF(D23=$A$519,4,IF(D23=$A$520,5,IF(D23=$A$521,6))))))</f>
        <v>1</v>
      </c>
      <c r="D23" s="20" t="str">
        <f t="shared" si="0"/>
        <v>cls</v>
      </c>
      <c r="E23" s="12" t="s">
        <v>230</v>
      </c>
      <c r="F23" s="14" t="s">
        <v>231</v>
      </c>
      <c r="G23" s="13" t="s">
        <v>232</v>
      </c>
      <c r="H23" s="14" t="s">
        <v>233</v>
      </c>
      <c r="I23" s="13"/>
      <c r="J23" s="13" t="s">
        <v>105</v>
      </c>
      <c r="K23" s="15" t="s">
        <v>234</v>
      </c>
      <c r="L23" s="15" t="s">
        <v>235</v>
      </c>
      <c r="M23" s="15"/>
      <c r="N23" s="15"/>
      <c r="O23" s="15"/>
      <c r="P23" s="15"/>
      <c r="Q23" s="15"/>
      <c r="S23" s="35" t="s">
        <v>77</v>
      </c>
      <c r="T23" s="13">
        <v>2020</v>
      </c>
      <c r="U23" s="17">
        <v>4.8440000000000003</v>
      </c>
      <c r="V23" s="17">
        <v>0.69299999999999995</v>
      </c>
      <c r="W23" s="36">
        <v>0.14306358381502887</v>
      </c>
      <c r="X23" s="17">
        <v>0.59099999999999997</v>
      </c>
      <c r="Y23" s="17" t="s">
        <v>236</v>
      </c>
      <c r="AA23" s="15" t="s">
        <v>237</v>
      </c>
      <c r="AB23" s="17" t="s">
        <v>238</v>
      </c>
      <c r="AC23" s="21" t="s">
        <v>78</v>
      </c>
      <c r="AD23" s="21" t="s">
        <v>78</v>
      </c>
      <c r="AE23" s="61" t="s">
        <v>128</v>
      </c>
      <c r="AF23" s="17"/>
      <c r="AG23" s="15"/>
      <c r="AI23" s="42">
        <f t="shared" ca="1" si="1"/>
        <v>810</v>
      </c>
      <c r="AJ23" s="42" t="str">
        <f t="shared" ca="1" si="2"/>
        <v>-</v>
      </c>
      <c r="AK23" s="13" t="s">
        <v>87</v>
      </c>
      <c r="AL23" s="36" t="str">
        <f t="shared" si="3"/>
        <v>Closed</v>
      </c>
      <c r="AM23" s="37">
        <v>44854</v>
      </c>
      <c r="AN23" s="172">
        <v>44854</v>
      </c>
      <c r="AO23" s="37" t="s">
        <v>65</v>
      </c>
      <c r="AP23" s="37">
        <v>44854</v>
      </c>
      <c r="AQ23" s="38">
        <v>44854</v>
      </c>
      <c r="AR23" s="38">
        <v>44861</v>
      </c>
      <c r="AS23" s="38">
        <v>44867</v>
      </c>
      <c r="AT23" s="38">
        <v>44881</v>
      </c>
      <c r="AU23" s="38">
        <v>44897</v>
      </c>
      <c r="AV23" s="38">
        <v>44938</v>
      </c>
      <c r="AW23" s="38">
        <f t="shared" ref="AW23:AW34" ca="1" si="4">TODAY()</f>
        <v>45664</v>
      </c>
      <c r="AX23" s="38"/>
      <c r="AY23" s="38"/>
      <c r="AZ23" s="38">
        <v>45260</v>
      </c>
      <c r="BA23" s="39" t="s">
        <v>66</v>
      </c>
      <c r="BB23" s="38"/>
      <c r="BC23" s="11" t="s">
        <v>7</v>
      </c>
    </row>
    <row r="24" spans="2:55" outlineLevel="1" x14ac:dyDescent="0.35">
      <c r="B24" s="16">
        <f>IF(D24=$A$516,1,IF(D24=$A$517,2,IF(D24=$A$518,3,IF(D24=$A$519,4,IF(D24=$A$520,5,IF(D24=$A$521,6))))))</f>
        <v>1</v>
      </c>
      <c r="D24" s="20" t="str">
        <f t="shared" si="0"/>
        <v>cls</v>
      </c>
      <c r="E24" s="20" t="s">
        <v>206</v>
      </c>
      <c r="F24" s="13" t="s">
        <v>207</v>
      </c>
      <c r="G24" s="13" t="s">
        <v>208</v>
      </c>
      <c r="H24" s="14"/>
      <c r="I24" s="13"/>
      <c r="J24" s="13" t="s">
        <v>209</v>
      </c>
      <c r="K24" s="15" t="s">
        <v>210</v>
      </c>
      <c r="L24" s="15" t="s">
        <v>211</v>
      </c>
      <c r="M24" s="15"/>
      <c r="N24" s="15"/>
      <c r="O24" s="15"/>
      <c r="P24" s="15"/>
      <c r="Q24" s="15"/>
      <c r="S24" s="35" t="s">
        <v>77</v>
      </c>
      <c r="T24" s="13">
        <v>2022</v>
      </c>
      <c r="U24" s="17">
        <v>13.298</v>
      </c>
      <c r="V24" s="17">
        <v>1.76</v>
      </c>
      <c r="W24" s="36">
        <f t="shared" ref="W24:W35" si="5">+V24/U24</f>
        <v>0.13235072943299744</v>
      </c>
      <c r="X24" s="17">
        <v>0.94499999999999995</v>
      </c>
      <c r="Y24" s="17">
        <v>-4.9859999999999998</v>
      </c>
      <c r="AA24" s="15" t="s">
        <v>99</v>
      </c>
      <c r="AB24" s="17" t="s">
        <v>212</v>
      </c>
      <c r="AC24" s="21" t="s">
        <v>153</v>
      </c>
      <c r="AD24" s="21" t="s">
        <v>153</v>
      </c>
      <c r="AE24" s="17"/>
      <c r="AF24" s="17"/>
      <c r="AG24" s="15"/>
      <c r="AI24" s="42">
        <f t="shared" ca="1" si="1"/>
        <v>606</v>
      </c>
      <c r="AJ24" s="42" t="str">
        <f t="shared" ca="1" si="2"/>
        <v>-</v>
      </c>
      <c r="AK24" s="13" t="s">
        <v>64</v>
      </c>
      <c r="AL24" s="36" t="str">
        <f t="shared" si="3"/>
        <v>Closed</v>
      </c>
      <c r="AM24" s="37">
        <v>45058</v>
      </c>
      <c r="AN24" s="37">
        <v>45058</v>
      </c>
      <c r="AO24" s="37" t="s">
        <v>65</v>
      </c>
      <c r="AP24" s="37">
        <v>45058</v>
      </c>
      <c r="AQ24" s="38">
        <v>45058</v>
      </c>
      <c r="AR24" s="38">
        <v>45077</v>
      </c>
      <c r="AS24" s="38" t="s">
        <v>65</v>
      </c>
      <c r="AT24" s="38" t="s">
        <v>65</v>
      </c>
      <c r="AU24" s="38" t="s">
        <v>65</v>
      </c>
      <c r="AV24" s="38">
        <v>45117</v>
      </c>
      <c r="AW24" s="38">
        <f t="shared" ca="1" si="4"/>
        <v>45664</v>
      </c>
      <c r="AX24" s="38"/>
      <c r="AY24" s="38"/>
      <c r="AZ24" s="38">
        <v>45327</v>
      </c>
      <c r="BA24" s="39"/>
      <c r="BB24" s="38"/>
      <c r="BC24" s="11" t="s">
        <v>7</v>
      </c>
    </row>
    <row r="25" spans="2:55" outlineLevel="1" collapsed="1" x14ac:dyDescent="0.35">
      <c r="B25" s="16">
        <f>IF(D25=$A$516,1,IF(D25=$A$517,2,IF(D25=$A$518,3,IF(D25=$A$519,4,IF(D25=$A$520,5,IF(D25=$A$521,6))))))</f>
        <v>1</v>
      </c>
      <c r="D25" s="20" t="str">
        <f t="shared" si="0"/>
        <v>cls</v>
      </c>
      <c r="E25" s="20" t="s">
        <v>269</v>
      </c>
      <c r="F25" s="13"/>
      <c r="G25" s="13" t="s">
        <v>68</v>
      </c>
      <c r="H25" s="14" t="s">
        <v>201</v>
      </c>
      <c r="I25" s="13">
        <v>642000</v>
      </c>
      <c r="J25" s="13" t="s">
        <v>83</v>
      </c>
      <c r="K25" s="15" t="s">
        <v>84</v>
      </c>
      <c r="L25" s="15" t="s">
        <v>85</v>
      </c>
      <c r="M25" s="15"/>
      <c r="N25" s="15"/>
      <c r="O25" s="15"/>
      <c r="P25" s="15"/>
      <c r="Q25" s="15"/>
      <c r="S25" s="35" t="s">
        <v>77</v>
      </c>
      <c r="T25" s="13">
        <v>2020</v>
      </c>
      <c r="U25" s="138">
        <v>2.5579999999999998</v>
      </c>
      <c r="V25" s="17">
        <v>0.127</v>
      </c>
      <c r="W25" s="36">
        <f t="shared" si="5"/>
        <v>4.9648162627052392E-2</v>
      </c>
      <c r="X25" s="17">
        <v>5.0000000000000001E-3</v>
      </c>
      <c r="Y25" s="17">
        <v>1.7390000000000001</v>
      </c>
      <c r="AA25" s="15" t="s">
        <v>60</v>
      </c>
      <c r="AB25" s="17"/>
      <c r="AC25" s="21" t="s">
        <v>61</v>
      </c>
      <c r="AD25" s="21" t="s">
        <v>61</v>
      </c>
      <c r="AE25" s="17" t="s">
        <v>79</v>
      </c>
      <c r="AF25" s="17" t="s">
        <v>128</v>
      </c>
      <c r="AG25" s="15" t="s">
        <v>2726</v>
      </c>
      <c r="AI25" s="42">
        <f t="shared" ca="1" si="1"/>
        <v>1215</v>
      </c>
      <c r="AJ25" s="42" t="str">
        <f t="shared" ca="1" si="2"/>
        <v>-</v>
      </c>
      <c r="AK25" s="1270" t="s">
        <v>64</v>
      </c>
      <c r="AL25" s="36" t="str">
        <f t="shared" si="3"/>
        <v>Closed</v>
      </c>
      <c r="AM25" s="37">
        <v>44449</v>
      </c>
      <c r="AN25" s="37">
        <v>44449</v>
      </c>
      <c r="AO25" s="37">
        <v>44449</v>
      </c>
      <c r="AP25" s="37">
        <v>44449</v>
      </c>
      <c r="AQ25" s="38">
        <v>44449</v>
      </c>
      <c r="AR25" s="38" t="s">
        <v>65</v>
      </c>
      <c r="AS25" s="38">
        <v>45236</v>
      </c>
      <c r="AT25" s="38">
        <v>45245</v>
      </c>
      <c r="AU25" s="38">
        <v>45320</v>
      </c>
      <c r="AV25" s="38">
        <v>45320</v>
      </c>
      <c r="AW25" s="38">
        <f t="shared" ca="1" si="4"/>
        <v>45664</v>
      </c>
      <c r="AX25" s="38"/>
      <c r="AY25" s="38"/>
      <c r="AZ25" s="38">
        <v>45433</v>
      </c>
      <c r="BA25" s="39" t="s">
        <v>66</v>
      </c>
      <c r="BB25" s="38"/>
      <c r="BC25" s="11" t="s">
        <v>7</v>
      </c>
    </row>
    <row r="26" spans="2:55" outlineLevel="1" x14ac:dyDescent="0.35">
      <c r="B26" s="16">
        <f>IF(D26=$A$516,1,IF(D26=$A$517,2,IF(D26=$A$518,3,IF(D26=$A$519,4,IF(D26=$A$520,5,IF(D26=$A$521,6))))))</f>
        <v>1</v>
      </c>
      <c r="D26" s="20" t="str">
        <f t="shared" si="0"/>
        <v>cls</v>
      </c>
      <c r="E26" s="20" t="s">
        <v>145</v>
      </c>
      <c r="F26" s="13" t="s">
        <v>146</v>
      </c>
      <c r="G26" s="13" t="s">
        <v>147</v>
      </c>
      <c r="H26" s="14" t="s">
        <v>148</v>
      </c>
      <c r="I26" s="13"/>
      <c r="J26" s="13" t="s">
        <v>149</v>
      </c>
      <c r="K26" s="15" t="s">
        <v>150</v>
      </c>
      <c r="L26" s="15" t="s">
        <v>151</v>
      </c>
      <c r="M26" s="15" t="s">
        <v>3941</v>
      </c>
      <c r="N26" s="15"/>
      <c r="O26" s="15" t="s">
        <v>3942</v>
      </c>
      <c r="P26" s="15" t="s">
        <v>3943</v>
      </c>
      <c r="Q26" s="15" t="s">
        <v>3944</v>
      </c>
      <c r="S26" s="35" t="s">
        <v>77</v>
      </c>
      <c r="T26" s="13">
        <v>2023</v>
      </c>
      <c r="U26" s="138">
        <v>5650</v>
      </c>
      <c r="V26" s="17">
        <v>1792.3209999999999</v>
      </c>
      <c r="W26" s="36">
        <f t="shared" si="5"/>
        <v>0.31722495575221238</v>
      </c>
      <c r="X26" s="17">
        <v>1275</v>
      </c>
      <c r="Y26" s="17">
        <v>-0.84099999999999997</v>
      </c>
      <c r="AA26" s="15" t="s">
        <v>99</v>
      </c>
      <c r="AB26" s="17" t="s">
        <v>152</v>
      </c>
      <c r="AC26" s="21" t="s">
        <v>153</v>
      </c>
      <c r="AD26" s="21" t="s">
        <v>153</v>
      </c>
      <c r="AE26" s="17" t="s">
        <v>154</v>
      </c>
      <c r="AF26" s="17" t="s">
        <v>155</v>
      </c>
      <c r="AG26" s="15"/>
      <c r="AI26" s="42">
        <f t="shared" ca="1" si="1"/>
        <v>1651</v>
      </c>
      <c r="AJ26" s="42" t="str">
        <f t="shared" ca="1" si="2"/>
        <v>-</v>
      </c>
      <c r="AK26" s="13" t="s">
        <v>2672</v>
      </c>
      <c r="AL26" s="36" t="str">
        <f t="shared" si="3"/>
        <v>Closed</v>
      </c>
      <c r="AM26" s="37">
        <v>44013</v>
      </c>
      <c r="AN26" s="37">
        <v>44013</v>
      </c>
      <c r="AO26" s="37" t="s">
        <v>65</v>
      </c>
      <c r="AP26" s="37">
        <v>44075</v>
      </c>
      <c r="AQ26" s="38">
        <v>44075</v>
      </c>
      <c r="AR26" s="38">
        <v>44103</v>
      </c>
      <c r="AS26" s="38">
        <v>44105</v>
      </c>
      <c r="AT26" s="38">
        <v>44105</v>
      </c>
      <c r="AU26" s="38" t="s">
        <v>65</v>
      </c>
      <c r="AV26" s="38">
        <v>44159</v>
      </c>
      <c r="AW26" s="38">
        <f t="shared" ca="1" si="4"/>
        <v>45664</v>
      </c>
      <c r="AX26" s="38"/>
      <c r="AY26" s="38"/>
      <c r="AZ26" s="38">
        <v>45502</v>
      </c>
      <c r="BA26" s="39"/>
      <c r="BB26" s="38"/>
      <c r="BC26" s="11" t="s">
        <v>7</v>
      </c>
    </row>
    <row r="27" spans="2:55" outlineLevel="1" x14ac:dyDescent="0.35">
      <c r="B27" s="16">
        <f>IF(D27=$A$516,1,IF(D27=$A$517,2,IF(D27=$A$518,3,IF(D27=$A$519,4,IF(D27=$A$520,5,IF(D27=$A$521,6))))))</f>
        <v>1</v>
      </c>
      <c r="D27" s="20" t="str">
        <f t="shared" si="0"/>
        <v>cls</v>
      </c>
      <c r="E27" s="20" t="s">
        <v>225</v>
      </c>
      <c r="F27" s="13" t="s">
        <v>2577</v>
      </c>
      <c r="G27" s="13" t="s">
        <v>226</v>
      </c>
      <c r="H27" s="14" t="s">
        <v>227</v>
      </c>
      <c r="I27" s="13">
        <v>852000</v>
      </c>
      <c r="J27" s="13" t="s">
        <v>57</v>
      </c>
      <c r="K27" s="15" t="s">
        <v>228</v>
      </c>
      <c r="L27" s="15" t="s">
        <v>229</v>
      </c>
      <c r="M27" s="15" t="s">
        <v>3934</v>
      </c>
      <c r="N27" s="15" t="s">
        <v>3935</v>
      </c>
      <c r="O27" s="15"/>
      <c r="P27" s="15" t="s">
        <v>229</v>
      </c>
      <c r="Q27" s="15"/>
      <c r="S27" s="35" t="s">
        <v>77</v>
      </c>
      <c r="T27" s="13">
        <v>2023</v>
      </c>
      <c r="U27" s="17">
        <v>2.6850000000000001</v>
      </c>
      <c r="V27" s="17">
        <v>0.58499999999999996</v>
      </c>
      <c r="W27" s="36">
        <f t="shared" si="5"/>
        <v>0.21787709497206703</v>
      </c>
      <c r="X27" s="17">
        <v>0</v>
      </c>
      <c r="Y27" s="17">
        <v>0</v>
      </c>
      <c r="AA27" s="15" t="s">
        <v>140</v>
      </c>
      <c r="AB27" s="17"/>
      <c r="AC27" s="21" t="s">
        <v>61</v>
      </c>
      <c r="AD27" s="21" t="s">
        <v>61</v>
      </c>
      <c r="AE27" s="17" t="s">
        <v>62</v>
      </c>
      <c r="AF27" s="17" t="s">
        <v>128</v>
      </c>
      <c r="AG27" s="15"/>
      <c r="AI27" s="42">
        <f t="shared" ca="1" si="1"/>
        <v>770</v>
      </c>
      <c r="AJ27" s="42" t="str">
        <f t="shared" ca="1" si="2"/>
        <v>-</v>
      </c>
      <c r="AK27" s="580" t="s">
        <v>87</v>
      </c>
      <c r="AL27" s="36" t="str">
        <f t="shared" si="3"/>
        <v>Closed</v>
      </c>
      <c r="AM27" s="37">
        <v>44894</v>
      </c>
      <c r="AN27" s="37">
        <v>44894</v>
      </c>
      <c r="AO27" s="37" t="s">
        <v>65</v>
      </c>
      <c r="AP27" s="37">
        <v>44895</v>
      </c>
      <c r="AQ27" s="38">
        <v>44951</v>
      </c>
      <c r="AR27" s="38">
        <v>45014</v>
      </c>
      <c r="AS27" s="38">
        <v>45084</v>
      </c>
      <c r="AT27" s="38">
        <v>45131</v>
      </c>
      <c r="AU27" s="38">
        <v>45139</v>
      </c>
      <c r="AV27" s="38">
        <v>45147</v>
      </c>
      <c r="AW27" s="38">
        <f t="shared" ca="1" si="4"/>
        <v>45664</v>
      </c>
      <c r="AX27" s="38"/>
      <c r="AY27" s="38"/>
      <c r="AZ27" s="38">
        <v>45477</v>
      </c>
      <c r="BA27" s="39"/>
      <c r="BB27" s="38"/>
      <c r="BC27" s="11" t="s">
        <v>7</v>
      </c>
    </row>
    <row r="28" spans="2:55" outlineLevel="1" x14ac:dyDescent="0.35">
      <c r="B28" s="16">
        <f>IF(D28=$A$516,1,IF(D28=$A$517,2,IF(D28=$A$518,3,IF(D28=$A$519,4,IF(D28=$A$520,5,IF(D28=$A$521,6))))))</f>
        <v>1</v>
      </c>
      <c r="D28" s="20" t="str">
        <f t="shared" si="0"/>
        <v>cls</v>
      </c>
      <c r="E28" s="20" t="s">
        <v>164</v>
      </c>
      <c r="F28" s="13" t="s">
        <v>165</v>
      </c>
      <c r="G28" s="13" t="s">
        <v>166</v>
      </c>
      <c r="H28" s="14" t="s">
        <v>167</v>
      </c>
      <c r="I28" s="13">
        <v>283090</v>
      </c>
      <c r="J28" s="13" t="s">
        <v>111</v>
      </c>
      <c r="K28" s="15" t="s">
        <v>168</v>
      </c>
      <c r="L28" s="15" t="s">
        <v>169</v>
      </c>
      <c r="M28" s="15" t="s">
        <v>3948</v>
      </c>
      <c r="N28" s="15" t="s">
        <v>3949</v>
      </c>
      <c r="O28" s="15" t="s">
        <v>3945</v>
      </c>
      <c r="P28" s="15" t="s">
        <v>3946</v>
      </c>
      <c r="Q28" s="15" t="s">
        <v>3947</v>
      </c>
      <c r="S28" s="35" t="s">
        <v>77</v>
      </c>
      <c r="T28" s="13">
        <v>2023</v>
      </c>
      <c r="U28" s="17">
        <v>425.13</v>
      </c>
      <c r="V28" s="17">
        <v>64.201999999999998</v>
      </c>
      <c r="W28" s="36">
        <f t="shared" si="5"/>
        <v>0.15101733587373273</v>
      </c>
      <c r="X28" s="17">
        <v>25.631</v>
      </c>
      <c r="Y28" s="17">
        <v>116.723</v>
      </c>
      <c r="AA28" s="15" t="s">
        <v>99</v>
      </c>
      <c r="AB28" s="17" t="s">
        <v>170</v>
      </c>
      <c r="AC28" s="21" t="s">
        <v>153</v>
      </c>
      <c r="AD28" s="21" t="s">
        <v>153</v>
      </c>
      <c r="AE28" s="17" t="s">
        <v>154</v>
      </c>
      <c r="AF28" s="17" t="s">
        <v>155</v>
      </c>
      <c r="AG28" s="15"/>
      <c r="AI28" s="42">
        <f t="shared" ca="1" si="1"/>
        <v>556</v>
      </c>
      <c r="AJ28" s="42" t="str">
        <f t="shared" ca="1" si="2"/>
        <v>-</v>
      </c>
      <c r="AK28" s="13" t="s">
        <v>2672</v>
      </c>
      <c r="AL28" s="36" t="str">
        <f t="shared" si="3"/>
        <v>Closed</v>
      </c>
      <c r="AM28" s="37">
        <v>45108</v>
      </c>
      <c r="AN28" s="37">
        <f>+AM28</f>
        <v>45108</v>
      </c>
      <c r="AO28" s="37" t="s">
        <v>65</v>
      </c>
      <c r="AP28" s="37" t="s">
        <v>65</v>
      </c>
      <c r="AQ28" s="38">
        <f>+AN28</f>
        <v>45108</v>
      </c>
      <c r="AR28" s="38" t="s">
        <v>65</v>
      </c>
      <c r="AS28" s="38" t="s">
        <v>65</v>
      </c>
      <c r="AT28" s="38" t="s">
        <v>65</v>
      </c>
      <c r="AU28" s="38" t="s">
        <v>65</v>
      </c>
      <c r="AV28" s="38">
        <v>44859</v>
      </c>
      <c r="AW28" s="38">
        <f t="shared" ca="1" si="4"/>
        <v>45664</v>
      </c>
      <c r="AX28" s="38"/>
      <c r="AY28" s="38"/>
      <c r="AZ28" s="38">
        <v>45614</v>
      </c>
      <c r="BA28" s="39"/>
      <c r="BB28" s="38"/>
      <c r="BC28" s="11" t="s">
        <v>7</v>
      </c>
    </row>
    <row r="29" spans="2:55" x14ac:dyDescent="0.35">
      <c r="B29" s="16">
        <f>IF(D29=$A$516,1,IF(D29=$A$517,2,IF(D29=$A$518,3,IF(D29=$A$519,4,IF(D29=$A$520,5,IF(D29=$A$521,6))))))</f>
        <v>2</v>
      </c>
      <c r="C29" s="137">
        <f>+COUNTIF(D:D,"sgn")</f>
        <v>7</v>
      </c>
      <c r="D29" s="20" t="str">
        <f t="shared" si="0"/>
        <v>sgn</v>
      </c>
      <c r="E29" s="12" t="s">
        <v>141</v>
      </c>
      <c r="F29" s="14" t="s">
        <v>142</v>
      </c>
      <c r="G29" s="13" t="s">
        <v>103</v>
      </c>
      <c r="H29" s="14" t="s">
        <v>4307</v>
      </c>
      <c r="I29" s="13">
        <v>522921</v>
      </c>
      <c r="J29" s="13" t="s">
        <v>132</v>
      </c>
      <c r="K29" s="15" t="s">
        <v>143</v>
      </c>
      <c r="L29" s="15"/>
      <c r="M29" s="15" t="s">
        <v>3933</v>
      </c>
      <c r="N29" s="15" t="s">
        <v>946</v>
      </c>
      <c r="O29" s="15" t="s">
        <v>3933</v>
      </c>
      <c r="P29" s="15"/>
      <c r="Q29" s="15" t="s">
        <v>4308</v>
      </c>
      <c r="S29" s="35" t="s">
        <v>144</v>
      </c>
      <c r="T29" s="13">
        <v>2022</v>
      </c>
      <c r="U29" s="17">
        <v>87.778000000000006</v>
      </c>
      <c r="V29" s="17">
        <v>2.8479999999999999</v>
      </c>
      <c r="W29" s="36">
        <f t="shared" si="5"/>
        <v>3.2445487479778531E-2</v>
      </c>
      <c r="X29" s="17">
        <v>1.921</v>
      </c>
      <c r="Y29" s="17">
        <v>-6.2130000000000001</v>
      </c>
      <c r="AA29" s="15" t="s">
        <v>60</v>
      </c>
      <c r="AB29" s="17"/>
      <c r="AC29" s="21" t="s">
        <v>78</v>
      </c>
      <c r="AD29" s="21" t="s">
        <v>78</v>
      </c>
      <c r="AE29" s="17" t="s">
        <v>86</v>
      </c>
      <c r="AF29" s="17" t="s">
        <v>62</v>
      </c>
      <c r="AG29" s="15"/>
      <c r="AI29" s="42">
        <f t="shared" ca="1" si="1"/>
        <v>1166</v>
      </c>
      <c r="AJ29" s="42">
        <f t="shared" ca="1" si="2"/>
        <v>0</v>
      </c>
      <c r="AK29" s="580" t="s">
        <v>87</v>
      </c>
      <c r="AL29" s="36">
        <f t="shared" si="3"/>
        <v>1</v>
      </c>
      <c r="AM29" s="37">
        <v>44498</v>
      </c>
      <c r="AN29" s="75">
        <v>44498</v>
      </c>
      <c r="AO29" s="37" t="s">
        <v>65</v>
      </c>
      <c r="AP29" s="37">
        <v>44498</v>
      </c>
      <c r="AQ29" s="121">
        <v>44510</v>
      </c>
      <c r="AR29" s="38">
        <v>44524</v>
      </c>
      <c r="AS29" s="38" t="s">
        <v>65</v>
      </c>
      <c r="AT29" s="38">
        <v>44540</v>
      </c>
      <c r="AU29" s="38">
        <v>44588</v>
      </c>
      <c r="AV29" s="38">
        <v>44588</v>
      </c>
      <c r="AW29" s="38">
        <f t="shared" ca="1" si="4"/>
        <v>45664</v>
      </c>
      <c r="AX29" s="38"/>
      <c r="AY29" s="38"/>
      <c r="AZ29" s="38"/>
      <c r="BA29" s="39" t="s">
        <v>66</v>
      </c>
      <c r="BB29" s="38"/>
      <c r="BC29" s="11" t="s">
        <v>7</v>
      </c>
    </row>
    <row r="30" spans="2:55" x14ac:dyDescent="0.35">
      <c r="B30" s="16">
        <f>IF(D30=$A$516,1,IF(D30=$A$517,2,IF(D30=$A$518,3,IF(D30=$A$519,4,IF(D30=$A$520,5,IF(D30=$A$521,6))))))</f>
        <v>2</v>
      </c>
      <c r="D30" s="20" t="str">
        <f t="shared" si="0"/>
        <v>sgn</v>
      </c>
      <c r="E30" s="20" t="s">
        <v>245</v>
      </c>
      <c r="F30" s="13"/>
      <c r="G30" s="13" t="s">
        <v>246</v>
      </c>
      <c r="H30" s="14" t="s">
        <v>247</v>
      </c>
      <c r="I30" s="13">
        <v>522910</v>
      </c>
      <c r="J30" s="13" t="s">
        <v>132</v>
      </c>
      <c r="K30" s="15" t="s">
        <v>143</v>
      </c>
      <c r="L30" s="15" t="s">
        <v>248</v>
      </c>
      <c r="M30" s="15" t="s">
        <v>3936</v>
      </c>
      <c r="N30" s="15"/>
      <c r="O30" s="15"/>
      <c r="P30" s="15" t="s">
        <v>248</v>
      </c>
      <c r="Q30" s="15" t="s">
        <v>3937</v>
      </c>
      <c r="S30" s="35" t="s">
        <v>77</v>
      </c>
      <c r="T30" s="13">
        <v>2023</v>
      </c>
      <c r="U30" s="17">
        <v>27.283999999999999</v>
      </c>
      <c r="V30" s="17">
        <v>0.45200000000000001</v>
      </c>
      <c r="W30" s="36">
        <f t="shared" si="5"/>
        <v>1.6566485852514294E-2</v>
      </c>
      <c r="X30" s="17">
        <v>0.26600000000000001</v>
      </c>
      <c r="Y30" s="17">
        <v>2.2229999999999999</v>
      </c>
      <c r="AA30" s="15" t="s">
        <v>99</v>
      </c>
      <c r="AB30" s="17" t="s">
        <v>249</v>
      </c>
      <c r="AC30" s="21" t="s">
        <v>78</v>
      </c>
      <c r="AD30" s="21" t="s">
        <v>78</v>
      </c>
      <c r="AE30" s="17" t="s">
        <v>86</v>
      </c>
      <c r="AF30" s="17" t="s">
        <v>128</v>
      </c>
      <c r="AG30" s="15"/>
      <c r="AI30" s="42">
        <f t="shared" ca="1" si="1"/>
        <v>522</v>
      </c>
      <c r="AJ30" s="42">
        <f t="shared" ca="1" si="2"/>
        <v>0</v>
      </c>
      <c r="AK30" s="13" t="s">
        <v>64</v>
      </c>
      <c r="AL30" s="36">
        <f t="shared" si="3"/>
        <v>1</v>
      </c>
      <c r="AM30" s="37">
        <v>45142</v>
      </c>
      <c r="AN30" s="172">
        <v>45142</v>
      </c>
      <c r="AO30" s="37">
        <v>45142</v>
      </c>
      <c r="AP30" s="37">
        <v>45142</v>
      </c>
      <c r="AQ30" s="38">
        <f>+AN30</f>
        <v>45142</v>
      </c>
      <c r="AR30" s="38" t="s">
        <v>65</v>
      </c>
      <c r="AS30" s="38">
        <v>45181</v>
      </c>
      <c r="AT30" s="38">
        <v>45217</v>
      </c>
      <c r="AU30" s="38" t="s">
        <v>65</v>
      </c>
      <c r="AV30" s="38">
        <v>45229</v>
      </c>
      <c r="AW30" s="38">
        <f t="shared" ca="1" si="4"/>
        <v>45664</v>
      </c>
      <c r="AX30" s="38"/>
      <c r="AY30" s="38"/>
      <c r="AZ30" s="38"/>
      <c r="BA30" s="39"/>
      <c r="BB30" s="38"/>
      <c r="BC30" s="11" t="s">
        <v>7</v>
      </c>
    </row>
    <row r="31" spans="2:55" x14ac:dyDescent="0.35">
      <c r="B31" s="16">
        <f>IF(D31=$A$516,1,IF(D31=$A$517,2,IF(D31=$A$518,3,IF(D31=$A$519,4,IF(D31=$A$520,5,IF(D31=$A$521,6))))))</f>
        <v>2</v>
      </c>
      <c r="D31" s="20" t="str">
        <f t="shared" si="0"/>
        <v>sgn</v>
      </c>
      <c r="E31" s="20" t="s">
        <v>157</v>
      </c>
      <c r="F31" s="13" t="s">
        <v>158</v>
      </c>
      <c r="G31" s="13" t="s">
        <v>159</v>
      </c>
      <c r="H31" s="14" t="s">
        <v>160</v>
      </c>
      <c r="I31" s="13"/>
      <c r="J31" s="13" t="s">
        <v>111</v>
      </c>
      <c r="K31" s="15" t="s">
        <v>161</v>
      </c>
      <c r="L31" s="15" t="s">
        <v>162</v>
      </c>
      <c r="M31" s="15" t="s">
        <v>3938</v>
      </c>
      <c r="N31" s="15"/>
      <c r="O31" s="15" t="s">
        <v>3940</v>
      </c>
      <c r="P31" s="15" t="s">
        <v>3939</v>
      </c>
      <c r="Q31" s="15"/>
      <c r="S31" s="35" t="s">
        <v>77</v>
      </c>
      <c r="T31" s="13">
        <v>2022</v>
      </c>
      <c r="U31" s="17">
        <v>1192</v>
      </c>
      <c r="V31" s="17">
        <v>-15.08</v>
      </c>
      <c r="W31" s="36">
        <f t="shared" si="5"/>
        <v>-1.2651006711409396E-2</v>
      </c>
      <c r="X31" s="17">
        <v>-163</v>
      </c>
      <c r="Y31" s="17">
        <v>289.79700000000003</v>
      </c>
      <c r="AA31" s="15" t="s">
        <v>99</v>
      </c>
      <c r="AB31" s="17" t="s">
        <v>163</v>
      </c>
      <c r="AC31" s="21" t="s">
        <v>153</v>
      </c>
      <c r="AD31" s="21" t="s">
        <v>153</v>
      </c>
      <c r="AE31" s="17" t="s">
        <v>154</v>
      </c>
      <c r="AF31" s="17" t="s">
        <v>155</v>
      </c>
      <c r="AG31" s="15"/>
      <c r="AI31" s="42">
        <f t="shared" ca="1" si="1"/>
        <v>1286</v>
      </c>
      <c r="AJ31" s="42">
        <f t="shared" ca="1" si="2"/>
        <v>0</v>
      </c>
      <c r="AK31" s="13" t="s">
        <v>2672</v>
      </c>
      <c r="AL31" s="36">
        <f t="shared" si="3"/>
        <v>1</v>
      </c>
      <c r="AM31" s="37">
        <v>44378</v>
      </c>
      <c r="AN31" s="37">
        <f>+AM31</f>
        <v>44378</v>
      </c>
      <c r="AO31" s="37" t="s">
        <v>65</v>
      </c>
      <c r="AP31" s="37" t="s">
        <v>65</v>
      </c>
      <c r="AQ31" s="38">
        <f>+AN31</f>
        <v>44378</v>
      </c>
      <c r="AR31" s="38" t="s">
        <v>65</v>
      </c>
      <c r="AS31" s="38" t="s">
        <v>65</v>
      </c>
      <c r="AT31" s="38" t="s">
        <v>65</v>
      </c>
      <c r="AU31" s="38" t="s">
        <v>65</v>
      </c>
      <c r="AV31" s="38">
        <v>44644</v>
      </c>
      <c r="AW31" s="38">
        <f t="shared" ca="1" si="4"/>
        <v>45664</v>
      </c>
      <c r="AX31" s="38"/>
      <c r="AY31" s="38"/>
      <c r="AZ31" s="38"/>
      <c r="BA31" s="39"/>
      <c r="BB31" s="38"/>
      <c r="BC31" s="11" t="s">
        <v>7</v>
      </c>
    </row>
    <row r="32" spans="2:55" x14ac:dyDescent="0.35">
      <c r="B32" s="16">
        <f>IF(D32=$A$516,1,IF(D32=$A$517,2,IF(D32=$A$518,3,IF(D32=$A$519,4,IF(D32=$A$520,5,IF(D32=$A$521,6))))))</f>
        <v>2</v>
      </c>
      <c r="D32" s="20" t="str">
        <f t="shared" si="0"/>
        <v>sgn</v>
      </c>
      <c r="E32" s="20" t="s">
        <v>156</v>
      </c>
      <c r="F32" s="13" t="s">
        <v>146</v>
      </c>
      <c r="G32" s="13" t="s">
        <v>147</v>
      </c>
      <c r="H32" s="14" t="s">
        <v>148</v>
      </c>
      <c r="I32" s="13"/>
      <c r="J32" s="13" t="s">
        <v>149</v>
      </c>
      <c r="K32" s="15" t="s">
        <v>150</v>
      </c>
      <c r="L32" s="15" t="s">
        <v>151</v>
      </c>
      <c r="M32" s="15" t="s">
        <v>3941</v>
      </c>
      <c r="N32" s="15"/>
      <c r="O32" s="15" t="s">
        <v>3942</v>
      </c>
      <c r="P32" s="15" t="s">
        <v>3943</v>
      </c>
      <c r="Q32" s="15" t="s">
        <v>3944</v>
      </c>
      <c r="S32" s="35" t="s">
        <v>77</v>
      </c>
      <c r="T32" s="13">
        <v>2023</v>
      </c>
      <c r="U32" s="138">
        <v>5650</v>
      </c>
      <c r="V32" s="17">
        <v>1792.3</v>
      </c>
      <c r="W32" s="36">
        <f t="shared" si="5"/>
        <v>0.3172212389380531</v>
      </c>
      <c r="X32" s="17">
        <v>1275</v>
      </c>
      <c r="Y32" s="17">
        <v>-0.8</v>
      </c>
      <c r="AA32" s="15" t="s">
        <v>99</v>
      </c>
      <c r="AB32" s="17" t="s">
        <v>152</v>
      </c>
      <c r="AC32" s="21" t="s">
        <v>153</v>
      </c>
      <c r="AD32" s="21" t="s">
        <v>153</v>
      </c>
      <c r="AE32" s="17" t="s">
        <v>155</v>
      </c>
      <c r="AF32" s="17" t="s">
        <v>154</v>
      </c>
      <c r="AG32" s="15"/>
      <c r="AI32" s="42">
        <f t="shared" ca="1" si="1"/>
        <v>859</v>
      </c>
      <c r="AJ32" s="42">
        <f t="shared" ca="1" si="2"/>
        <v>0</v>
      </c>
      <c r="AK32" s="13" t="s">
        <v>2672</v>
      </c>
      <c r="AL32" s="36">
        <f t="shared" si="3"/>
        <v>1</v>
      </c>
      <c r="AM32" s="37">
        <v>44805</v>
      </c>
      <c r="AN32" s="37">
        <f>+AM32</f>
        <v>44805</v>
      </c>
      <c r="AO32" s="37" t="s">
        <v>65</v>
      </c>
      <c r="AP32" s="37" t="s">
        <v>65</v>
      </c>
      <c r="AQ32" s="38">
        <f>+AN32</f>
        <v>44805</v>
      </c>
      <c r="AR32" s="38" t="s">
        <v>65</v>
      </c>
      <c r="AS32" s="38" t="s">
        <v>65</v>
      </c>
      <c r="AT32" s="38" t="s">
        <v>65</v>
      </c>
      <c r="AU32" s="38" t="s">
        <v>65</v>
      </c>
      <c r="AV32" s="38">
        <v>44872</v>
      </c>
      <c r="AW32" s="38">
        <f t="shared" ca="1" si="4"/>
        <v>45664</v>
      </c>
      <c r="AX32" s="38"/>
      <c r="AY32" s="38"/>
      <c r="AZ32" s="106"/>
      <c r="BA32" s="39"/>
      <c r="BB32" s="38"/>
      <c r="BC32" s="11" t="s">
        <v>7</v>
      </c>
    </row>
    <row r="33" spans="1:55" x14ac:dyDescent="0.35">
      <c r="B33" s="16">
        <f>IF(D33=$A$516,1,IF(D33=$A$517,2,IF(D33=$A$518,3,IF(D33=$A$519,4,IF(D33=$A$520,5,IF(D33=$A$521,6))))))</f>
        <v>2</v>
      </c>
      <c r="D33" s="20" t="str">
        <f t="shared" si="0"/>
        <v>sgn</v>
      </c>
      <c r="E33" s="20" t="s">
        <v>336</v>
      </c>
      <c r="F33" s="13" t="s">
        <v>4339</v>
      </c>
      <c r="G33" s="13" t="s">
        <v>333</v>
      </c>
      <c r="H33" s="14" t="s">
        <v>337</v>
      </c>
      <c r="I33" s="13"/>
      <c r="J33" s="13" t="s">
        <v>57</v>
      </c>
      <c r="K33" s="15" t="s">
        <v>338</v>
      </c>
      <c r="L33" s="15"/>
      <c r="M33" s="15" t="s">
        <v>3953</v>
      </c>
      <c r="N33" s="15"/>
      <c r="O33" s="15"/>
      <c r="P33" s="15" t="s">
        <v>3954</v>
      </c>
      <c r="Q33" s="15"/>
      <c r="S33" s="17" t="s">
        <v>77</v>
      </c>
      <c r="T33" s="13">
        <v>2023</v>
      </c>
      <c r="U33" s="17">
        <v>5.0350000000000001</v>
      </c>
      <c r="V33" s="17">
        <v>0.22600000000000001</v>
      </c>
      <c r="W33" s="36">
        <f t="shared" si="5"/>
        <v>4.4885799404170805E-2</v>
      </c>
      <c r="X33" s="17">
        <v>0.10299999999999999</v>
      </c>
      <c r="Y33" s="17">
        <v>-1.4E-2</v>
      </c>
      <c r="AA33" s="15" t="s">
        <v>140</v>
      </c>
      <c r="AB33" s="17"/>
      <c r="AC33" s="21" t="s">
        <v>61</v>
      </c>
      <c r="AD33" s="21" t="s">
        <v>61</v>
      </c>
      <c r="AE33" s="13" t="s">
        <v>62</v>
      </c>
      <c r="AF33" s="17" t="s">
        <v>128</v>
      </c>
      <c r="AG33" s="15"/>
      <c r="AI33" s="42">
        <f t="shared" ca="1" si="1"/>
        <v>749</v>
      </c>
      <c r="AJ33" s="42">
        <f t="shared" ca="1" si="2"/>
        <v>0</v>
      </c>
      <c r="AK33" s="580" t="s">
        <v>87</v>
      </c>
      <c r="AL33" s="36">
        <f t="shared" si="3"/>
        <v>1</v>
      </c>
      <c r="AM33" s="37">
        <v>44915</v>
      </c>
      <c r="AN33" s="172">
        <v>45013</v>
      </c>
      <c r="AO33" s="37" t="s">
        <v>65</v>
      </c>
      <c r="AP33" s="37">
        <v>45062</v>
      </c>
      <c r="AQ33" s="38">
        <v>45069</v>
      </c>
      <c r="AR33" s="38">
        <v>45113</v>
      </c>
      <c r="AS33" s="38">
        <v>45124</v>
      </c>
      <c r="AT33" s="38">
        <v>45344</v>
      </c>
      <c r="AU33" s="38" t="s">
        <v>65</v>
      </c>
      <c r="AV33" s="38">
        <v>45350</v>
      </c>
      <c r="AW33" s="38">
        <f t="shared" ca="1" si="4"/>
        <v>45664</v>
      </c>
      <c r="AX33" s="38"/>
      <c r="AY33" s="38"/>
      <c r="AZ33" s="121"/>
      <c r="BA33" s="39" t="str">
        <f>+IF(AY33="","",COUNTA(AN33:AV33)/(COUNTA(AN33:AV33)+COUNTBLANK(AN33:AV33)))</f>
        <v/>
      </c>
      <c r="BB33" s="38"/>
      <c r="BC33" s="11" t="s">
        <v>7</v>
      </c>
    </row>
    <row r="34" spans="1:55" x14ac:dyDescent="0.35">
      <c r="B34" s="601">
        <f>IF(D34=$A$516,1,IF(D34=$A$517,2,IF(D34=$A$518,3,IF(D34=$A$519,4,IF(D34=$A$520,5,IF(D34=$A$521,6))))))</f>
        <v>2</v>
      </c>
      <c r="C34" s="601"/>
      <c r="D34" s="711" t="str">
        <f t="shared" si="0"/>
        <v>sgn</v>
      </c>
      <c r="E34" s="618" t="s">
        <v>3810</v>
      </c>
      <c r="F34" s="604" t="s">
        <v>4277</v>
      </c>
      <c r="G34" s="604" t="s">
        <v>226</v>
      </c>
      <c r="H34" s="14" t="s">
        <v>3957</v>
      </c>
      <c r="I34" s="604"/>
      <c r="J34" s="604" t="s">
        <v>83</v>
      </c>
      <c r="K34" s="607" t="s">
        <v>3812</v>
      </c>
      <c r="L34" s="607" t="s">
        <v>3815</v>
      </c>
      <c r="M34" s="1114"/>
      <c r="N34" s="1114"/>
      <c r="O34" s="607"/>
      <c r="P34" s="15" t="s">
        <v>3956</v>
      </c>
      <c r="Q34" s="607"/>
      <c r="R34" s="601"/>
      <c r="S34" s="608" t="s">
        <v>77</v>
      </c>
      <c r="T34" s="604">
        <v>2023</v>
      </c>
      <c r="U34" s="609">
        <v>0.06</v>
      </c>
      <c r="V34" s="609">
        <v>-1.421</v>
      </c>
      <c r="W34" s="36">
        <f t="shared" si="5"/>
        <v>-23.683333333333334</v>
      </c>
      <c r="X34" s="609">
        <v>-2.347</v>
      </c>
      <c r="Y34" s="609">
        <v>13.202999999999999</v>
      </c>
      <c r="Z34" s="601"/>
      <c r="AA34" s="607" t="s">
        <v>237</v>
      </c>
      <c r="AB34" s="609" t="s">
        <v>844</v>
      </c>
      <c r="AC34" s="611" t="s">
        <v>3598</v>
      </c>
      <c r="AD34" s="611" t="s">
        <v>3598</v>
      </c>
      <c r="AE34" s="604" t="s">
        <v>79</v>
      </c>
      <c r="AF34" s="17" t="s">
        <v>128</v>
      </c>
      <c r="AG34" s="607"/>
      <c r="AH34" s="677">
        <v>1</v>
      </c>
      <c r="AI34" s="612">
        <f t="shared" ca="1" si="1"/>
        <v>235</v>
      </c>
      <c r="AJ34" s="42">
        <f t="shared" ca="1" si="2"/>
        <v>0</v>
      </c>
      <c r="AK34" s="580" t="s">
        <v>544</v>
      </c>
      <c r="AL34" s="628">
        <f t="shared" si="3"/>
        <v>1</v>
      </c>
      <c r="AM34" s="614">
        <v>45429</v>
      </c>
      <c r="AN34" s="614">
        <v>45429</v>
      </c>
      <c r="AO34" s="614">
        <v>45429</v>
      </c>
      <c r="AP34" s="614">
        <v>45429</v>
      </c>
      <c r="AQ34" s="615">
        <v>45429</v>
      </c>
      <c r="AR34" s="615">
        <v>45436</v>
      </c>
      <c r="AS34" s="615">
        <v>45436</v>
      </c>
      <c r="AT34" s="615">
        <v>45439</v>
      </c>
      <c r="AU34" s="615">
        <v>45441</v>
      </c>
      <c r="AV34" s="615">
        <v>45441</v>
      </c>
      <c r="AW34" s="38">
        <f t="shared" ca="1" si="4"/>
        <v>45664</v>
      </c>
      <c r="AX34" s="615"/>
      <c r="AY34" s="615"/>
      <c r="AZ34" s="615"/>
      <c r="BA34" s="629"/>
      <c r="BB34" s="615"/>
      <c r="BC34" s="11" t="s">
        <v>7</v>
      </c>
    </row>
    <row r="35" spans="1:55" x14ac:dyDescent="0.35">
      <c r="A35" s="277"/>
      <c r="B35" s="16">
        <f>IF(D35=$A$516,1,IF(D35=$A$517,2,IF(D35=$A$518,3,IF(D35=$A$519,4,IF(D35=$A$520,5,IF(D35=$A$521,6))))))</f>
        <v>2</v>
      </c>
      <c r="D35" s="711" t="str">
        <f t="shared" si="0"/>
        <v>sgn</v>
      </c>
      <c r="E35" s="12" t="s">
        <v>2212</v>
      </c>
      <c r="F35" s="13" t="s">
        <v>4633</v>
      </c>
      <c r="G35" s="13" t="s">
        <v>208</v>
      </c>
      <c r="H35" s="14" t="s">
        <v>2213</v>
      </c>
      <c r="I35" s="13"/>
      <c r="J35" s="268" t="s">
        <v>57</v>
      </c>
      <c r="K35" s="15" t="s">
        <v>4293</v>
      </c>
      <c r="L35" s="15" t="s">
        <v>4267</v>
      </c>
      <c r="M35" s="15"/>
      <c r="N35" s="15"/>
      <c r="O35" s="15"/>
      <c r="P35" s="15"/>
      <c r="Q35" s="15"/>
      <c r="S35" s="35" t="s">
        <v>77</v>
      </c>
      <c r="T35" s="13">
        <v>2022</v>
      </c>
      <c r="U35" s="17">
        <v>1.84</v>
      </c>
      <c r="V35" s="17">
        <v>0.88300000000000001</v>
      </c>
      <c r="W35" s="686">
        <f t="shared" si="5"/>
        <v>0.47989130434782606</v>
      </c>
      <c r="X35" s="17">
        <v>0.50700000000000001</v>
      </c>
      <c r="Y35" s="17" t="s">
        <v>236</v>
      </c>
      <c r="AA35" s="15" t="s">
        <v>140</v>
      </c>
      <c r="AB35" s="17"/>
      <c r="AC35" s="21" t="s">
        <v>62</v>
      </c>
      <c r="AD35" s="21" t="s">
        <v>61</v>
      </c>
      <c r="AE35" s="13" t="s">
        <v>62</v>
      </c>
      <c r="AF35" s="17" t="s">
        <v>128</v>
      </c>
      <c r="AG35" s="15"/>
      <c r="AH35" s="677"/>
      <c r="AI35" s="42">
        <f t="shared" ca="1" si="1"/>
        <v>195</v>
      </c>
      <c r="AJ35" s="42">
        <f t="shared" ca="1" si="2"/>
        <v>0</v>
      </c>
      <c r="AK35" s="580" t="s">
        <v>87</v>
      </c>
      <c r="AL35" s="766">
        <f t="shared" si="3"/>
        <v>1</v>
      </c>
      <c r="AM35" s="37">
        <v>45469</v>
      </c>
      <c r="AN35" s="37">
        <v>45470</v>
      </c>
      <c r="AO35" s="37" t="s">
        <v>65</v>
      </c>
      <c r="AP35" s="37">
        <v>45470</v>
      </c>
      <c r="AQ35" s="38">
        <v>45476</v>
      </c>
      <c r="AR35" s="38" t="s">
        <v>65</v>
      </c>
      <c r="AS35" s="38">
        <v>45481</v>
      </c>
      <c r="AT35" s="38">
        <v>45489</v>
      </c>
      <c r="AU35" s="38">
        <v>45498</v>
      </c>
      <c r="AV35" s="38">
        <v>45499</v>
      </c>
      <c r="AW35" s="38">
        <f ca="1">+TODAY()</f>
        <v>45664</v>
      </c>
      <c r="AX35" s="38"/>
      <c r="AY35" s="38"/>
      <c r="AZ35" s="38"/>
      <c r="BA35" s="39"/>
      <c r="BB35" s="38"/>
      <c r="BC35" s="11" t="s">
        <v>7</v>
      </c>
    </row>
    <row r="36" spans="1:55" x14ac:dyDescent="0.35">
      <c r="B36" s="16">
        <f>IF(D36=$A$516,1,IF(D36=$A$517,2,IF(D36=$A$518,3,IF(D36=$A$519,4,IF(D36=$A$520,5,IF(D36=$A$521,6))))))</f>
        <v>3</v>
      </c>
      <c r="D36" s="20" t="str">
        <f t="shared" si="0"/>
        <v>wip</v>
      </c>
      <c r="E36" s="12" t="s">
        <v>5581</v>
      </c>
      <c r="F36" s="13"/>
      <c r="G36" s="13" t="s">
        <v>177</v>
      </c>
      <c r="H36" s="14" t="s">
        <v>4309</v>
      </c>
      <c r="I36" s="13">
        <v>110100</v>
      </c>
      <c r="J36" s="13" t="s">
        <v>179</v>
      </c>
      <c r="K36" s="15" t="s">
        <v>180</v>
      </c>
      <c r="L36" s="15" t="s">
        <v>3558</v>
      </c>
      <c r="M36" s="15" t="s">
        <v>182</v>
      </c>
      <c r="N36" s="15" t="s">
        <v>3950</v>
      </c>
      <c r="O36" s="15"/>
      <c r="P36" s="15" t="s">
        <v>3951</v>
      </c>
      <c r="Q36" s="15" t="s">
        <v>3952</v>
      </c>
      <c r="S36" s="35" t="s">
        <v>183</v>
      </c>
      <c r="T36" s="13">
        <v>2022</v>
      </c>
      <c r="U36" s="17">
        <v>93</v>
      </c>
      <c r="V36" s="17">
        <v>22</v>
      </c>
      <c r="W36" s="36">
        <f t="shared" ref="W36:W37" si="6">+V36/U36</f>
        <v>0.23655913978494625</v>
      </c>
      <c r="X36" s="17">
        <v>11.8</v>
      </c>
      <c r="Y36" s="17">
        <v>-13</v>
      </c>
      <c r="AA36" s="15" t="s">
        <v>60</v>
      </c>
      <c r="AB36" s="17"/>
      <c r="AC36" s="21" t="s">
        <v>78</v>
      </c>
      <c r="AD36" s="17" t="s">
        <v>78</v>
      </c>
      <c r="AE36" s="17" t="s">
        <v>86</v>
      </c>
      <c r="AF36" s="17" t="s">
        <v>62</v>
      </c>
      <c r="AG36" s="15"/>
      <c r="AI36" s="42">
        <f t="shared" ca="1" si="1"/>
        <v>1528</v>
      </c>
      <c r="AJ36" s="42">
        <f t="shared" ca="1" si="2"/>
        <v>18</v>
      </c>
      <c r="AK36" s="1270" t="s">
        <v>64</v>
      </c>
      <c r="AL36" s="36">
        <f t="shared" si="3"/>
        <v>0.88888888888888884</v>
      </c>
      <c r="AM36" s="37">
        <v>44136</v>
      </c>
      <c r="AN36" s="37">
        <v>44136</v>
      </c>
      <c r="AO36" s="37" t="s">
        <v>65</v>
      </c>
      <c r="AP36" s="37">
        <v>44136</v>
      </c>
      <c r="AQ36" s="38">
        <v>45631</v>
      </c>
      <c r="AR36" s="38" t="s">
        <v>65</v>
      </c>
      <c r="AS36" s="38" t="s">
        <v>65</v>
      </c>
      <c r="AT36" s="38">
        <v>45636</v>
      </c>
      <c r="AU36" s="38">
        <v>45646</v>
      </c>
      <c r="AV36" s="38"/>
      <c r="AW36" s="38">
        <v>45646</v>
      </c>
      <c r="AX36" s="38"/>
      <c r="AY36" s="38"/>
      <c r="AZ36" s="38"/>
      <c r="BA36" s="39" t="s">
        <v>66</v>
      </c>
      <c r="BB36" s="38"/>
      <c r="BC36" s="11" t="s">
        <v>7</v>
      </c>
    </row>
    <row r="37" spans="1:55" x14ac:dyDescent="0.35">
      <c r="A37" s="765"/>
      <c r="B37" s="579">
        <f>IF(D37=$A$516,1,IF(D37=$A$517,2,IF(D37=$A$518,3,IF(D37=$A$519,4,IF(D37=$A$520,5,IF(D37=$A$521,6))))))</f>
        <v>3</v>
      </c>
      <c r="C37" s="579"/>
      <c r="D37" s="711" t="str">
        <f t="shared" si="0"/>
        <v>wip</v>
      </c>
      <c r="E37" s="20" t="s">
        <v>4490</v>
      </c>
      <c r="F37" s="580"/>
      <c r="G37" s="13" t="s">
        <v>288</v>
      </c>
      <c r="H37" s="14" t="s">
        <v>4315</v>
      </c>
      <c r="I37" s="580"/>
      <c r="J37" s="13" t="s">
        <v>132</v>
      </c>
      <c r="K37" s="1271" t="s">
        <v>5308</v>
      </c>
      <c r="L37" s="581"/>
      <c r="M37" s="581" t="s">
        <v>3660</v>
      </c>
      <c r="N37" s="581"/>
      <c r="O37" s="581"/>
      <c r="P37" s="581"/>
      <c r="Q37" s="581"/>
      <c r="R37" s="579"/>
      <c r="S37" s="582" t="s">
        <v>77</v>
      </c>
      <c r="T37" s="580">
        <v>2022</v>
      </c>
      <c r="U37" s="583">
        <v>32</v>
      </c>
      <c r="V37" s="583">
        <v>4.5030000000000001</v>
      </c>
      <c r="W37" s="36">
        <f t="shared" si="6"/>
        <v>0.14071875</v>
      </c>
      <c r="X37" s="583">
        <v>2.2599999999999998</v>
      </c>
      <c r="Y37" s="583">
        <v>46.552999999999997</v>
      </c>
      <c r="Z37" s="579"/>
      <c r="AA37" s="581" t="s">
        <v>60</v>
      </c>
      <c r="AB37" s="583"/>
      <c r="AC37" s="584" t="s">
        <v>78</v>
      </c>
      <c r="AD37" s="584" t="s">
        <v>78</v>
      </c>
      <c r="AE37" s="580" t="s">
        <v>86</v>
      </c>
      <c r="AF37" s="583" t="s">
        <v>3458</v>
      </c>
      <c r="AG37" s="581"/>
      <c r="AH37" s="579"/>
      <c r="AI37" s="585">
        <f t="shared" ca="1" si="1"/>
        <v>242</v>
      </c>
      <c r="AJ37" s="42">
        <f t="shared" ca="1" si="2"/>
        <v>36</v>
      </c>
      <c r="AK37" s="580" t="s">
        <v>87</v>
      </c>
      <c r="AL37" s="1367">
        <f t="shared" si="3"/>
        <v>0.66666666666666663</v>
      </c>
      <c r="AM37" s="586">
        <v>45422</v>
      </c>
      <c r="AN37" s="586">
        <v>45422</v>
      </c>
      <c r="AO37" s="586">
        <v>45422</v>
      </c>
      <c r="AP37" s="586">
        <v>45422</v>
      </c>
      <c r="AQ37" s="615">
        <v>45432</v>
      </c>
      <c r="AR37" s="587">
        <v>45471</v>
      </c>
      <c r="AS37" s="587">
        <v>45628</v>
      </c>
      <c r="AT37" s="587"/>
      <c r="AU37" s="587"/>
      <c r="AV37" s="587"/>
      <c r="AW37" s="587">
        <v>45628</v>
      </c>
      <c r="AX37" s="38"/>
      <c r="AY37" s="587"/>
      <c r="AZ37" s="587"/>
      <c r="BA37" s="588"/>
      <c r="BB37" s="587"/>
      <c r="BC37" s="11" t="s">
        <v>7</v>
      </c>
    </row>
    <row r="38" spans="1:55" x14ac:dyDescent="0.35">
      <c r="B38" s="358">
        <f>IF(D38=$A$516,1,IF(D38=$A$517,2,IF(D38=$A$518,3,IF(D38=$A$519,4,IF(D38=$A$520,5,IF(D38=$A$521,6))))))</f>
        <v>3</v>
      </c>
      <c r="D38" s="711" t="str">
        <f t="shared" si="0"/>
        <v>wip</v>
      </c>
      <c r="E38" s="359" t="s">
        <v>3261</v>
      </c>
      <c r="F38" s="360" t="s">
        <v>3504</v>
      </c>
      <c r="G38" s="360" t="s">
        <v>147</v>
      </c>
      <c r="H38" s="361"/>
      <c r="I38" s="360"/>
      <c r="J38" s="362" t="s">
        <v>377</v>
      </c>
      <c r="K38" s="363" t="s">
        <v>3262</v>
      </c>
      <c r="L38" s="363" t="s">
        <v>3263</v>
      </c>
      <c r="M38" s="363"/>
      <c r="N38" s="363"/>
      <c r="O38" s="363"/>
      <c r="P38" s="363"/>
      <c r="Q38" s="363"/>
      <c r="R38" s="358"/>
      <c r="S38" s="364" t="s">
        <v>77</v>
      </c>
      <c r="T38" s="360"/>
      <c r="U38" s="365"/>
      <c r="V38" s="365"/>
      <c r="W38" s="36"/>
      <c r="X38" s="365"/>
      <c r="Y38" s="365"/>
      <c r="Z38" s="358"/>
      <c r="AA38" s="363" t="s">
        <v>99</v>
      </c>
      <c r="AB38" s="365" t="s">
        <v>253</v>
      </c>
      <c r="AC38" s="366" t="s">
        <v>78</v>
      </c>
      <c r="AD38" s="366" t="s">
        <v>78</v>
      </c>
      <c r="AE38" s="360" t="s">
        <v>79</v>
      </c>
      <c r="AF38" s="365"/>
      <c r="AG38" s="15"/>
      <c r="AH38" s="677">
        <v>1</v>
      </c>
      <c r="AI38" s="1169">
        <f t="shared" ca="1" si="1"/>
        <v>333</v>
      </c>
      <c r="AJ38" s="1169">
        <f t="shared" ca="1" si="2"/>
        <v>288</v>
      </c>
      <c r="AK38" s="360" t="s">
        <v>64</v>
      </c>
      <c r="AL38" s="1367">
        <f t="shared" si="3"/>
        <v>0.55555555555555558</v>
      </c>
      <c r="AM38" s="289">
        <v>45331</v>
      </c>
      <c r="AN38" s="289">
        <v>45331</v>
      </c>
      <c r="AO38" s="289" t="s">
        <v>65</v>
      </c>
      <c r="AP38" s="289">
        <v>45335</v>
      </c>
      <c r="AQ38" s="38">
        <v>45335</v>
      </c>
      <c r="AR38" s="38">
        <v>45376</v>
      </c>
      <c r="AS38" s="38"/>
      <c r="AT38" s="38"/>
      <c r="AU38" s="38"/>
      <c r="AV38" s="38"/>
      <c r="AW38" s="38"/>
      <c r="AX38" s="371"/>
      <c r="AY38" s="371"/>
      <c r="AZ38" s="371"/>
      <c r="BA38" s="372"/>
      <c r="BB38" s="371"/>
      <c r="BC38" s="11" t="s">
        <v>7</v>
      </c>
    </row>
    <row r="39" spans="1:55" x14ac:dyDescent="0.35">
      <c r="A39" s="1163"/>
      <c r="B39" s="16">
        <f>IF(D39=$A$516,1,IF(D39=$A$517,2,IF(D39=$A$518,3,IF(D39=$A$519,4,IF(D39=$A$520,5,IF(D39=$A$521,6))))))</f>
        <v>3</v>
      </c>
      <c r="D39" s="20" t="str">
        <f t="shared" ref="D39:D45" si="7">IF(AL39="Closed","cls",IF(AL39=1,"sgn",IF(AL39="On-hold","hld",IF(AL39="Aborted","abt",IF(AL39&lt;1,"wip","RIP")))))</f>
        <v>wip</v>
      </c>
      <c r="E39" s="12" t="s">
        <v>5643</v>
      </c>
      <c r="F39" s="13"/>
      <c r="G39" s="13" t="s">
        <v>2027</v>
      </c>
      <c r="H39" s="14"/>
      <c r="I39" s="13"/>
      <c r="J39" s="13" t="s">
        <v>132</v>
      </c>
      <c r="K39" s="15" t="s">
        <v>5583</v>
      </c>
      <c r="L39" s="15" t="s">
        <v>5584</v>
      </c>
      <c r="M39" s="15"/>
      <c r="N39" s="15"/>
      <c r="O39" s="15"/>
      <c r="P39" s="15" t="s">
        <v>5585</v>
      </c>
      <c r="Q39" s="15"/>
      <c r="S39" s="35" t="s">
        <v>77</v>
      </c>
      <c r="T39" s="13">
        <v>2023</v>
      </c>
      <c r="U39" s="17"/>
      <c r="V39" s="17"/>
      <c r="W39" s="36" t="e">
        <f t="shared" ref="W39:W43" si="8">+V39/U39</f>
        <v>#DIV/0!</v>
      </c>
      <c r="X39" s="17"/>
      <c r="Y39" s="17"/>
      <c r="AA39" s="363" t="s">
        <v>99</v>
      </c>
      <c r="AB39" s="22" t="s">
        <v>5586</v>
      </c>
      <c r="AC39" s="21" t="s">
        <v>153</v>
      </c>
      <c r="AD39" s="21" t="s">
        <v>153</v>
      </c>
      <c r="AE39" s="21" t="s">
        <v>154</v>
      </c>
      <c r="AF39" s="17"/>
      <c r="AG39" s="15" t="s">
        <v>5587</v>
      </c>
      <c r="AH39" s="677"/>
      <c r="AI39" s="42">
        <f t="shared" ref="AI39:AI45" ca="1" si="9">+TODAY()-AM39</f>
        <v>57</v>
      </c>
      <c r="AJ39" s="42">
        <f t="shared" ref="AJ39:AJ45" ca="1" si="10">+(IF(AL39="Closed","-",IF(TODAY()-MAX(AN39:BA39)&gt;0,TODAY()-MAX(AN39:BA39),0)))</f>
        <v>57</v>
      </c>
      <c r="AK39" s="13" t="s">
        <v>2672</v>
      </c>
      <c r="AL39" s="1367">
        <f t="shared" ref="AL39:AL45" si="11">+IF(BB39="",IF(AZ39="",IF(AY39="",IF(AX39="",COUNTA(AN39:AV39)/9,"On-hold"),"Aborted"),"Closed"),"RIP")</f>
        <v>0.44444444444444442</v>
      </c>
      <c r="AM39" s="37">
        <v>45607</v>
      </c>
      <c r="AN39" s="37">
        <v>45607</v>
      </c>
      <c r="AO39" s="37" t="s">
        <v>65</v>
      </c>
      <c r="AP39" s="37">
        <v>45607</v>
      </c>
      <c r="AQ39" s="38">
        <v>45607</v>
      </c>
      <c r="AR39" s="38"/>
      <c r="AS39" s="38"/>
      <c r="AT39" s="38"/>
      <c r="AU39" s="38"/>
      <c r="AV39" s="38"/>
      <c r="AW39" s="38">
        <v>45607</v>
      </c>
      <c r="AX39" s="38"/>
      <c r="AY39" s="1325"/>
      <c r="AZ39" s="38"/>
      <c r="BA39" s="39"/>
      <c r="BB39" s="38"/>
      <c r="BC39" s="11" t="s">
        <v>7</v>
      </c>
    </row>
    <row r="40" spans="1:55" s="651" customFormat="1" x14ac:dyDescent="0.35">
      <c r="A40" s="358"/>
      <c r="B40" s="1163">
        <f>IF(D40=$A$516,1,IF(D40=$A$517,2,IF(D40=$A$518,3,IF(D40=$A$519,4,IF(D40=$A$520,5,IF(D40=$A$521,6))))))</f>
        <v>3</v>
      </c>
      <c r="C40" s="1163"/>
      <c r="D40" s="1164" t="str">
        <f t="shared" si="7"/>
        <v>wip</v>
      </c>
      <c r="E40" s="12" t="s">
        <v>5277</v>
      </c>
      <c r="F40" s="1165"/>
      <c r="G40" s="13" t="s">
        <v>845</v>
      </c>
      <c r="H40" s="14" t="s">
        <v>5279</v>
      </c>
      <c r="I40" s="1165"/>
      <c r="J40" s="1239" t="s">
        <v>5273</v>
      </c>
      <c r="K40" s="1250" t="s">
        <v>5278</v>
      </c>
      <c r="L40" s="15" t="s">
        <v>5280</v>
      </c>
      <c r="M40" s="15" t="s">
        <v>5281</v>
      </c>
      <c r="N40" s="1250" t="s">
        <v>5280</v>
      </c>
      <c r="O40" s="1241"/>
      <c r="P40" s="1250" t="s">
        <v>5280</v>
      </c>
      <c r="Q40" s="1162"/>
      <c r="R40" s="1163"/>
      <c r="S40" s="1251" t="s">
        <v>77</v>
      </c>
      <c r="T40" s="1165">
        <v>2023</v>
      </c>
      <c r="U40" s="17">
        <v>38.299999999999997</v>
      </c>
      <c r="V40" s="17">
        <v>3.7</v>
      </c>
      <c r="W40" s="248">
        <f t="shared" si="8"/>
        <v>9.6605744125326382E-2</v>
      </c>
      <c r="X40" s="17">
        <v>1.5</v>
      </c>
      <c r="Y40" s="17">
        <v>0.5</v>
      </c>
      <c r="Z40" s="1163"/>
      <c r="AA40" s="1241" t="s">
        <v>60</v>
      </c>
      <c r="AB40" s="1166"/>
      <c r="AC40" s="1252" t="s">
        <v>153</v>
      </c>
      <c r="AD40" s="1245" t="s">
        <v>153</v>
      </c>
      <c r="AE40" s="1226"/>
      <c r="AF40" s="1227"/>
      <c r="AG40" s="1241" t="s">
        <v>5274</v>
      </c>
      <c r="AH40" s="16"/>
      <c r="AI40" s="1169">
        <f t="shared" ca="1" si="9"/>
        <v>55</v>
      </c>
      <c r="AJ40" s="1169">
        <f t="shared" ca="1" si="10"/>
        <v>55</v>
      </c>
      <c r="AK40" s="1165" t="s">
        <v>87</v>
      </c>
      <c r="AL40" s="1167">
        <f t="shared" si="11"/>
        <v>0.44444444444444442</v>
      </c>
      <c r="AM40" s="37">
        <v>45609</v>
      </c>
      <c r="AN40" s="37">
        <v>45609</v>
      </c>
      <c r="AO40" s="1247" t="s">
        <v>65</v>
      </c>
      <c r="AP40" s="1247">
        <v>45609</v>
      </c>
      <c r="AQ40" s="38">
        <v>45609</v>
      </c>
      <c r="AR40" s="1170"/>
      <c r="AS40" s="1170"/>
      <c r="AT40" s="1170"/>
      <c r="AU40" s="1170"/>
      <c r="AV40" s="1170"/>
      <c r="AW40" s="777">
        <v>45609</v>
      </c>
      <c r="AX40" s="1170"/>
      <c r="AY40" s="1170"/>
      <c r="AZ40" s="1170"/>
      <c r="BA40" s="1171"/>
      <c r="BB40" s="1170"/>
      <c r="BC40" s="11" t="s">
        <v>7</v>
      </c>
    </row>
    <row r="41" spans="1:55" s="651" customFormat="1" x14ac:dyDescent="0.35">
      <c r="A41" s="1313"/>
      <c r="B41" s="1163">
        <f>IF(D41=$A$516,1,IF(D41=$A$517,2,IF(D41=$A$518,3,IF(D41=$A$519,4,IF(D41=$A$520,5,IF(D41=$A$521,6))))))</f>
        <v>3</v>
      </c>
      <c r="C41" s="1163"/>
      <c r="D41" s="1164" t="str">
        <f t="shared" si="7"/>
        <v>wip</v>
      </c>
      <c r="E41" s="12" t="s">
        <v>5282</v>
      </c>
      <c r="F41" s="1165"/>
      <c r="G41" s="13" t="s">
        <v>147</v>
      </c>
      <c r="H41" s="14" t="s">
        <v>5283</v>
      </c>
      <c r="I41" s="1165"/>
      <c r="J41" s="1253" t="s">
        <v>2769</v>
      </c>
      <c r="K41" s="1250" t="s">
        <v>5284</v>
      </c>
      <c r="L41" s="15" t="s">
        <v>5287</v>
      </c>
      <c r="M41" s="15" t="s">
        <v>5285</v>
      </c>
      <c r="N41" s="1250" t="s">
        <v>5286</v>
      </c>
      <c r="O41" s="1241"/>
      <c r="P41" s="1250" t="s">
        <v>5288</v>
      </c>
      <c r="Q41" s="1162"/>
      <c r="R41" s="1163"/>
      <c r="S41" s="1251" t="s">
        <v>77</v>
      </c>
      <c r="T41" s="1165">
        <v>2023</v>
      </c>
      <c r="U41" s="17">
        <v>33</v>
      </c>
      <c r="V41" s="17">
        <v>1.4</v>
      </c>
      <c r="W41" s="248">
        <f t="shared" si="8"/>
        <v>4.242424242424242E-2</v>
      </c>
      <c r="X41" s="17">
        <v>0.6</v>
      </c>
      <c r="Y41" s="17">
        <v>3.6</v>
      </c>
      <c r="Z41" s="1163"/>
      <c r="AA41" s="1241" t="s">
        <v>2901</v>
      </c>
      <c r="AB41" s="1166"/>
      <c r="AC41" s="1252" t="s">
        <v>153</v>
      </c>
      <c r="AD41" s="1245" t="s">
        <v>153</v>
      </c>
      <c r="AE41" s="1226"/>
      <c r="AF41" s="1227"/>
      <c r="AG41" s="1241" t="s">
        <v>5274</v>
      </c>
      <c r="AH41" s="16"/>
      <c r="AI41" s="1169">
        <f t="shared" ca="1" si="9"/>
        <v>55</v>
      </c>
      <c r="AJ41" s="1169">
        <f t="shared" ca="1" si="10"/>
        <v>55</v>
      </c>
      <c r="AK41" s="1165" t="s">
        <v>2672</v>
      </c>
      <c r="AL41" s="1167">
        <f t="shared" si="11"/>
        <v>0.44444444444444442</v>
      </c>
      <c r="AM41" s="37">
        <v>45609</v>
      </c>
      <c r="AN41" s="37">
        <v>45609</v>
      </c>
      <c r="AO41" s="1247" t="s">
        <v>65</v>
      </c>
      <c r="AP41" s="1247">
        <v>45609</v>
      </c>
      <c r="AQ41" s="38">
        <v>45609</v>
      </c>
      <c r="AR41" s="1170"/>
      <c r="AS41" s="1170"/>
      <c r="AT41" s="1170"/>
      <c r="AU41" s="1170"/>
      <c r="AV41" s="1170"/>
      <c r="AW41" s="777">
        <v>45609</v>
      </c>
      <c r="AX41" s="1170"/>
      <c r="AY41" s="1170"/>
      <c r="AZ41" s="1170"/>
      <c r="BA41" s="1171"/>
      <c r="BB41" s="1170"/>
      <c r="BC41" s="11" t="s">
        <v>7</v>
      </c>
    </row>
    <row r="42" spans="1:55" s="651" customFormat="1" x14ac:dyDescent="0.35">
      <c r="A42" s="16"/>
      <c r="B42" s="1163">
        <f>IF(D42=$A$516,1,IF(D42=$A$517,2,IF(D42=$A$518,3,IF(D42=$A$519,4,IF(D42=$A$520,5,IF(D42=$A$521,6))))))</f>
        <v>3</v>
      </c>
      <c r="C42" s="1163"/>
      <c r="D42" s="1164" t="str">
        <f t="shared" si="7"/>
        <v>wip</v>
      </c>
      <c r="E42" s="12" t="s">
        <v>5289</v>
      </c>
      <c r="F42" s="1165"/>
      <c r="G42" s="13" t="s">
        <v>5275</v>
      </c>
      <c r="H42" s="14" t="s">
        <v>5290</v>
      </c>
      <c r="I42" s="1165"/>
      <c r="J42" s="1239" t="s">
        <v>5276</v>
      </c>
      <c r="K42" s="1250" t="s">
        <v>5291</v>
      </c>
      <c r="L42" s="15" t="s">
        <v>5292</v>
      </c>
      <c r="M42" s="15" t="s">
        <v>5293</v>
      </c>
      <c r="N42" s="1241"/>
      <c r="O42" s="1241"/>
      <c r="P42" s="1241"/>
      <c r="Q42" s="1162"/>
      <c r="R42" s="1163"/>
      <c r="S42" s="1251" t="s">
        <v>77</v>
      </c>
      <c r="T42" s="1165">
        <v>2023</v>
      </c>
      <c r="U42" s="17">
        <v>8.1999999999999993</v>
      </c>
      <c r="V42" s="17">
        <v>2</v>
      </c>
      <c r="W42" s="248">
        <f t="shared" si="8"/>
        <v>0.24390243902439027</v>
      </c>
      <c r="X42" s="17">
        <v>1.1000000000000001</v>
      </c>
      <c r="Y42" s="17">
        <v>-1.1000000000000001</v>
      </c>
      <c r="Z42" s="1163"/>
      <c r="AA42" s="1250" t="s">
        <v>2901</v>
      </c>
      <c r="AB42" s="1166"/>
      <c r="AC42" s="1252" t="s">
        <v>153</v>
      </c>
      <c r="AD42" s="1245" t="s">
        <v>153</v>
      </c>
      <c r="AE42" s="1226"/>
      <c r="AF42" s="1227"/>
      <c r="AG42" s="1241" t="s">
        <v>5274</v>
      </c>
      <c r="AH42" s="16"/>
      <c r="AI42" s="1169">
        <f t="shared" ca="1" si="9"/>
        <v>55</v>
      </c>
      <c r="AJ42" s="1169">
        <f t="shared" ca="1" si="10"/>
        <v>55</v>
      </c>
      <c r="AK42" s="1165" t="s">
        <v>87</v>
      </c>
      <c r="AL42" s="1167">
        <f t="shared" si="11"/>
        <v>0.44444444444444442</v>
      </c>
      <c r="AM42" s="37">
        <v>45609</v>
      </c>
      <c r="AN42" s="37">
        <v>45609</v>
      </c>
      <c r="AO42" s="1247" t="s">
        <v>65</v>
      </c>
      <c r="AP42" s="1247">
        <v>45609</v>
      </c>
      <c r="AQ42" s="38">
        <v>45609</v>
      </c>
      <c r="AR42" s="1170"/>
      <c r="AS42" s="1170"/>
      <c r="AT42" s="1170"/>
      <c r="AU42" s="1170"/>
      <c r="AV42" s="1170"/>
      <c r="AW42" s="777">
        <v>45609</v>
      </c>
      <c r="AX42" s="1170"/>
      <c r="AY42" s="1170"/>
      <c r="AZ42" s="1170"/>
      <c r="BA42" s="1171"/>
      <c r="BB42" s="1170"/>
      <c r="BC42" s="11" t="s">
        <v>7</v>
      </c>
    </row>
    <row r="43" spans="1:55" s="651" customFormat="1" x14ac:dyDescent="0.35">
      <c r="A43" s="1163"/>
      <c r="B43" s="1254">
        <f>IF(D43=$A$516,1,IF(D43=$A$517,2,IF(D43=$A$518,3,IF(D43=$A$519,4,IF(D43=$A$520,5,IF(D43=$A$521,6))))))</f>
        <v>3</v>
      </c>
      <c r="C43" s="1254"/>
      <c r="D43" s="1262" t="str">
        <f t="shared" si="7"/>
        <v>wip</v>
      </c>
      <c r="E43" s="1263" t="s">
        <v>5294</v>
      </c>
      <c r="F43" s="1253"/>
      <c r="G43" s="1253" t="s">
        <v>5295</v>
      </c>
      <c r="H43" s="1261" t="s">
        <v>5296</v>
      </c>
      <c r="I43" s="1165"/>
      <c r="J43" s="1253" t="s">
        <v>5276</v>
      </c>
      <c r="K43" s="1250" t="s">
        <v>5297</v>
      </c>
      <c r="L43" s="1250" t="s">
        <v>5298</v>
      </c>
      <c r="M43" s="1250" t="s">
        <v>5299</v>
      </c>
      <c r="N43" s="1250" t="s">
        <v>5298</v>
      </c>
      <c r="O43" s="1250"/>
      <c r="P43" s="1250" t="s">
        <v>5299</v>
      </c>
      <c r="Q43" s="1250"/>
      <c r="R43" s="1254"/>
      <c r="S43" s="1251" t="s">
        <v>77</v>
      </c>
      <c r="T43" s="1253">
        <v>2023</v>
      </c>
      <c r="U43" s="1259">
        <v>16.5</v>
      </c>
      <c r="V43" s="1259">
        <v>1.2</v>
      </c>
      <c r="W43" s="1260">
        <f t="shared" si="8"/>
        <v>7.2727272727272724E-2</v>
      </c>
      <c r="X43" s="1259">
        <v>0.3</v>
      </c>
      <c r="Y43" s="1259">
        <v>3</v>
      </c>
      <c r="Z43" s="1254"/>
      <c r="AA43" s="1250" t="s">
        <v>2901</v>
      </c>
      <c r="AB43" s="1259"/>
      <c r="AC43" s="1252" t="s">
        <v>153</v>
      </c>
      <c r="AD43" s="1245" t="s">
        <v>153</v>
      </c>
      <c r="AE43" s="1259"/>
      <c r="AF43" s="1259"/>
      <c r="AG43" s="1250" t="s">
        <v>5274</v>
      </c>
      <c r="AH43" s="1254"/>
      <c r="AI43" s="1169">
        <f t="shared" ca="1" si="9"/>
        <v>55</v>
      </c>
      <c r="AJ43" s="1169">
        <f t="shared" ca="1" si="10"/>
        <v>55</v>
      </c>
      <c r="AK43" s="1253"/>
      <c r="AL43" s="1167">
        <f t="shared" si="11"/>
        <v>0.44444444444444442</v>
      </c>
      <c r="AM43" s="1258">
        <v>45609</v>
      </c>
      <c r="AN43" s="1258">
        <v>45609</v>
      </c>
      <c r="AO43" s="1258" t="s">
        <v>65</v>
      </c>
      <c r="AP43" s="1258">
        <v>45609</v>
      </c>
      <c r="AQ43" s="1257">
        <v>45609</v>
      </c>
      <c r="AR43" s="1257"/>
      <c r="AS43" s="1257"/>
      <c r="AT43" s="1257"/>
      <c r="AU43" s="1257"/>
      <c r="AV43" s="1257"/>
      <c r="AW43" s="777">
        <v>45609</v>
      </c>
      <c r="AX43" s="1257"/>
      <c r="AY43" s="1257"/>
      <c r="AZ43" s="1257"/>
      <c r="BA43" s="1256"/>
      <c r="BB43" s="1257"/>
      <c r="BC43" s="1255" t="s">
        <v>7</v>
      </c>
    </row>
    <row r="44" spans="1:55" x14ac:dyDescent="0.35">
      <c r="A44" s="765"/>
      <c r="B44" s="358">
        <f>IF(D44=$A$516,1,IF(D44=$A$517,2,IF(D44=$A$518,3,IF(D44=$A$519,4,IF(D44=$A$520,5,IF(D44=$A$521,6))))))</f>
        <v>3</v>
      </c>
      <c r="D44" s="711" t="str">
        <f t="shared" si="7"/>
        <v>wip</v>
      </c>
      <c r="E44" s="359" t="s">
        <v>5386</v>
      </c>
      <c r="F44" s="360"/>
      <c r="G44" s="360" t="s">
        <v>159</v>
      </c>
      <c r="H44" s="361" t="s">
        <v>5387</v>
      </c>
      <c r="I44" s="13"/>
      <c r="J44" s="362" t="s">
        <v>377</v>
      </c>
      <c r="K44" s="363" t="s">
        <v>5388</v>
      </c>
      <c r="L44" s="363" t="s">
        <v>5389</v>
      </c>
      <c r="M44" s="363" t="s">
        <v>5389</v>
      </c>
      <c r="N44" s="363"/>
      <c r="O44" s="363"/>
      <c r="P44" s="363"/>
      <c r="Q44" s="363"/>
      <c r="R44" s="358"/>
      <c r="S44" s="364" t="s">
        <v>77</v>
      </c>
      <c r="T44" s="360">
        <v>2023</v>
      </c>
      <c r="U44" s="365">
        <v>5.9</v>
      </c>
      <c r="V44" s="365">
        <v>2</v>
      </c>
      <c r="W44" s="1244">
        <f>+V44/U44</f>
        <v>0.33898305084745761</v>
      </c>
      <c r="X44" s="365">
        <v>0.89400000000000002</v>
      </c>
      <c r="Y44" s="365">
        <v>-3.149</v>
      </c>
      <c r="Z44" s="358"/>
      <c r="AA44" s="363" t="s">
        <v>60</v>
      </c>
      <c r="AB44" s="365"/>
      <c r="AC44" s="366" t="s">
        <v>78</v>
      </c>
      <c r="AD44" s="366" t="s">
        <v>78</v>
      </c>
      <c r="AE44" s="360"/>
      <c r="AF44" s="365"/>
      <c r="AG44" s="15"/>
      <c r="AH44" s="677">
        <v>1</v>
      </c>
      <c r="AI44" s="1169">
        <f t="shared" ca="1" si="9"/>
        <v>36</v>
      </c>
      <c r="AJ44" s="1169">
        <f t="shared" ca="1" si="10"/>
        <v>36</v>
      </c>
      <c r="AK44" s="360" t="s">
        <v>64</v>
      </c>
      <c r="AL44" s="1167">
        <f t="shared" si="11"/>
        <v>0.1111111111111111</v>
      </c>
      <c r="AM44" s="289">
        <v>45628</v>
      </c>
      <c r="AN44" s="289">
        <v>45628</v>
      </c>
      <c r="AO44" s="289"/>
      <c r="AP44" s="289"/>
      <c r="AQ44" s="38"/>
      <c r="AR44" s="38"/>
      <c r="AS44" s="38"/>
      <c r="AT44" s="38"/>
      <c r="AU44" s="38"/>
      <c r="AV44" s="38"/>
      <c r="AW44" s="371"/>
      <c r="AX44" s="371"/>
      <c r="AY44" s="371"/>
      <c r="AZ44" s="371"/>
      <c r="BA44" s="372"/>
      <c r="BB44" s="371"/>
      <c r="BC44" s="11" t="s">
        <v>7</v>
      </c>
    </row>
    <row r="45" spans="1:55" x14ac:dyDescent="0.35">
      <c r="A45" s="277"/>
      <c r="B45" s="1237">
        <f>IF(D45=$A$516,1,IF(D45=$A$517,2,IF(D45=$A$518,3,IF(D45=$A$519,4,IF(D45=$A$520,5,IF(D45=$A$521,6))))))</f>
        <v>3</v>
      </c>
      <c r="C45" s="1237"/>
      <c r="D45" s="1238" t="str">
        <f t="shared" si="7"/>
        <v>wip</v>
      </c>
      <c r="E45" s="1238" t="s">
        <v>5268</v>
      </c>
      <c r="F45" s="1239"/>
      <c r="G45" s="1239" t="s">
        <v>292</v>
      </c>
      <c r="H45" s="1240" t="s">
        <v>5269</v>
      </c>
      <c r="I45" s="13"/>
      <c r="J45" s="1239" t="s">
        <v>473</v>
      </c>
      <c r="K45" s="1241" t="s">
        <v>5270</v>
      </c>
      <c r="L45" s="1241"/>
      <c r="M45" s="1241" t="s">
        <v>5271</v>
      </c>
      <c r="N45" s="1241" t="s">
        <v>5272</v>
      </c>
      <c r="O45" s="1241" t="s">
        <v>5271</v>
      </c>
      <c r="P45" s="1241" t="s">
        <v>5271</v>
      </c>
      <c r="Q45" s="1241"/>
      <c r="R45" s="1237"/>
      <c r="S45" s="1242" t="s">
        <v>144</v>
      </c>
      <c r="T45" s="1239">
        <v>2023</v>
      </c>
      <c r="U45" s="1243">
        <v>83.98</v>
      </c>
      <c r="V45" s="1243">
        <v>15.401999999999999</v>
      </c>
      <c r="W45" s="1244">
        <f>+V45/U45</f>
        <v>0.18340080971659917</v>
      </c>
      <c r="X45" s="1243">
        <v>8.9600000000000009</v>
      </c>
      <c r="Y45" s="1243">
        <v>8.5500000000000007</v>
      </c>
      <c r="Z45" s="1237"/>
      <c r="AA45" s="15" t="s">
        <v>140</v>
      </c>
      <c r="AB45" s="1243"/>
      <c r="AC45" s="1245" t="s">
        <v>78</v>
      </c>
      <c r="AD45" s="1245" t="s">
        <v>78</v>
      </c>
      <c r="AE45" s="1243" t="s">
        <v>4423</v>
      </c>
      <c r="AF45" s="1243"/>
      <c r="AG45" s="1241"/>
      <c r="AH45" s="1246"/>
      <c r="AI45" s="1169">
        <f t="shared" ca="1" si="9"/>
        <v>54</v>
      </c>
      <c r="AJ45" s="1169">
        <f t="shared" ca="1" si="10"/>
        <v>54</v>
      </c>
      <c r="AK45" s="1239" t="s">
        <v>87</v>
      </c>
      <c r="AL45" s="1167">
        <f t="shared" si="11"/>
        <v>0</v>
      </c>
      <c r="AM45" s="1247">
        <v>45610</v>
      </c>
      <c r="AN45" s="1247"/>
      <c r="AO45" s="1247"/>
      <c r="AP45" s="1247"/>
      <c r="AQ45" s="1236"/>
      <c r="AR45" s="1236"/>
      <c r="AS45" s="1236"/>
      <c r="AT45" s="1236"/>
      <c r="AU45" s="1236"/>
      <c r="AV45" s="1236"/>
      <c r="AW45" s="1236">
        <v>45610</v>
      </c>
      <c r="AX45" s="1236"/>
      <c r="AY45" s="1236"/>
      <c r="AZ45" s="1236"/>
      <c r="BA45" s="1248"/>
      <c r="BB45" s="1236"/>
      <c r="BC45" s="1249" t="s">
        <v>7</v>
      </c>
    </row>
    <row r="46" spans="1:55" x14ac:dyDescent="0.35">
      <c r="A46" s="173"/>
      <c r="B46" s="16">
        <f>IF(D46=$A$516,1,IF(D46=$A$517,2,IF(D46=$A$518,3,IF(D46=$A$519,4,IF(D46=$A$520,5,IF(D46=$A$521,6))))))</f>
        <v>4</v>
      </c>
      <c r="D46" s="20" t="str">
        <f t="shared" ref="D46:D73" si="12">IF(AL46="Closed","cls",IF(AL46=1,"sgn",IF(AL46="On-hold","hld",IF(AL46="Aborted","abt",IF(AL46&lt;1,"wip","RIP")))))</f>
        <v>hld</v>
      </c>
      <c r="E46" s="12" t="s">
        <v>241</v>
      </c>
      <c r="F46" s="14"/>
      <c r="G46" s="13" t="s">
        <v>232</v>
      </c>
      <c r="H46" s="14" t="s">
        <v>242</v>
      </c>
      <c r="I46" s="13">
        <v>104120</v>
      </c>
      <c r="J46" s="13" t="s">
        <v>83</v>
      </c>
      <c r="K46" s="15" t="s">
        <v>243</v>
      </c>
      <c r="L46" s="15"/>
      <c r="M46" s="15"/>
      <c r="N46" s="15"/>
      <c r="O46" s="15"/>
      <c r="P46" s="15"/>
      <c r="Q46" s="15"/>
      <c r="S46" s="35" t="s">
        <v>77</v>
      </c>
      <c r="T46" s="146">
        <v>2023</v>
      </c>
      <c r="U46" s="147">
        <v>382.49299999999999</v>
      </c>
      <c r="V46" s="147">
        <v>19</v>
      </c>
      <c r="W46" s="36">
        <f t="shared" ref="W46:W47" si="13">+V46/U46</f>
        <v>4.9674111683089626E-2</v>
      </c>
      <c r="X46" s="147">
        <v>14</v>
      </c>
      <c r="Y46" s="147">
        <v>13.2</v>
      </c>
      <c r="AA46" s="15" t="s">
        <v>60</v>
      </c>
      <c r="AB46" s="17"/>
      <c r="AC46" s="21" t="s">
        <v>244</v>
      </c>
      <c r="AD46" s="21" t="s">
        <v>244</v>
      </c>
      <c r="AE46" s="17" t="s">
        <v>79</v>
      </c>
      <c r="AF46" s="17" t="s">
        <v>273</v>
      </c>
      <c r="AG46" s="15"/>
      <c r="AH46" s="677">
        <v>1</v>
      </c>
      <c r="AI46" s="42">
        <f t="shared" ref="AI46:AI73" ca="1" si="14">+TODAY()-AM46</f>
        <v>603</v>
      </c>
      <c r="AJ46" s="42">
        <f t="shared" ref="AJ46:AJ57" ca="1" si="15">+(IF(AL46="Closed","-",IF(TODAY()-MAX(AN46:BA46)&gt;0,TODAY()-MAX(AN46:BA46),0)))</f>
        <v>245</v>
      </c>
      <c r="AK46" s="13" t="s">
        <v>87</v>
      </c>
      <c r="AL46" s="36" t="str">
        <f t="shared" ref="AL46:AL73" si="16">+IF(BB46="",IF(AZ46="",IF(AY46="",IF(AX46="",COUNTA(AN46:AV46)/9,"On-hold"),"Aborted"),"Closed"),"RIP")</f>
        <v>On-hold</v>
      </c>
      <c r="AM46" s="37">
        <v>45061</v>
      </c>
      <c r="AN46" s="172">
        <v>45061</v>
      </c>
      <c r="AO46" s="37" t="s">
        <v>65</v>
      </c>
      <c r="AP46" s="37">
        <v>45061</v>
      </c>
      <c r="AQ46" s="38">
        <v>45061</v>
      </c>
      <c r="AR46" s="38">
        <v>45108</v>
      </c>
      <c r="AS46" s="38">
        <v>45177</v>
      </c>
      <c r="AT46" s="38">
        <v>45224</v>
      </c>
      <c r="AU46" s="38" t="s">
        <v>65</v>
      </c>
      <c r="AV46" s="38">
        <v>45224</v>
      </c>
      <c r="AW46" s="38">
        <v>45419</v>
      </c>
      <c r="AX46" s="38">
        <v>45419</v>
      </c>
      <c r="AY46" s="38"/>
      <c r="AZ46" s="38"/>
      <c r="BA46" s="39" t="str">
        <f>+IF(AY46="","",COUNTA(AN46:AV46)/(COUNTA(AN46:AV46)+COUNTBLANK(AN46:AV46)))</f>
        <v/>
      </c>
      <c r="BB46" s="38"/>
      <c r="BC46" s="11" t="s">
        <v>7</v>
      </c>
    </row>
    <row r="47" spans="1:55" x14ac:dyDescent="0.35">
      <c r="B47" s="16">
        <f>IF(D47=$A$516,1,IF(D47=$A$517,2,IF(D47=$A$518,3,IF(D47=$A$519,4,IF(D47=$A$520,5,IF(D47=$A$521,6))))))</f>
        <v>4</v>
      </c>
      <c r="D47" s="20" t="str">
        <f t="shared" si="12"/>
        <v>hld</v>
      </c>
      <c r="E47" s="20" t="s">
        <v>567</v>
      </c>
      <c r="F47" s="13"/>
      <c r="G47" s="13" t="s">
        <v>508</v>
      </c>
      <c r="H47" s="14" t="s">
        <v>568</v>
      </c>
      <c r="I47" s="13"/>
      <c r="J47" s="13" t="s">
        <v>569</v>
      </c>
      <c r="K47" s="15" t="s">
        <v>570</v>
      </c>
      <c r="L47" s="15"/>
      <c r="M47" s="15"/>
      <c r="N47" s="15"/>
      <c r="O47" s="15"/>
      <c r="P47" s="15"/>
      <c r="Q47" s="15"/>
      <c r="S47" s="35" t="s">
        <v>77</v>
      </c>
      <c r="T47" s="13">
        <v>2022</v>
      </c>
      <c r="U47" s="17">
        <v>57.875</v>
      </c>
      <c r="V47" s="17">
        <v>20.706</v>
      </c>
      <c r="W47" s="36">
        <f t="shared" si="13"/>
        <v>0.35777105831533479</v>
      </c>
      <c r="X47" s="17">
        <v>14.236000000000001</v>
      </c>
      <c r="Y47" s="17">
        <v>-29.946999999999999</v>
      </c>
      <c r="AA47" s="15" t="s">
        <v>60</v>
      </c>
      <c r="AB47" s="17"/>
      <c r="AC47" s="21" t="s">
        <v>3598</v>
      </c>
      <c r="AD47" s="21" t="s">
        <v>3598</v>
      </c>
      <c r="AE47" s="17"/>
      <c r="AF47" s="17"/>
      <c r="AG47" s="15"/>
      <c r="AI47" s="42">
        <f t="shared" ca="1" si="14"/>
        <v>281</v>
      </c>
      <c r="AJ47" s="42">
        <f t="shared" ca="1" si="15"/>
        <v>245</v>
      </c>
      <c r="AK47" s="13" t="s">
        <v>87</v>
      </c>
      <c r="AL47" s="36" t="str">
        <f t="shared" si="16"/>
        <v>On-hold</v>
      </c>
      <c r="AM47" s="37">
        <v>45383</v>
      </c>
      <c r="AN47" s="37">
        <v>45383</v>
      </c>
      <c r="AO47" s="37" t="s">
        <v>65</v>
      </c>
      <c r="AP47" s="37">
        <v>44846</v>
      </c>
      <c r="AQ47" s="38">
        <v>45399</v>
      </c>
      <c r="AR47" s="38"/>
      <c r="AS47" s="38"/>
      <c r="AT47" s="38"/>
      <c r="AU47" s="38"/>
      <c r="AV47" s="38"/>
      <c r="AW47" s="38">
        <v>45399</v>
      </c>
      <c r="AX47" s="38">
        <v>45419</v>
      </c>
      <c r="AY47" s="38"/>
      <c r="AZ47" s="38"/>
      <c r="BA47" s="39" t="str">
        <f>+IF(AY47="","",COUNTA(AN47:AV47)/(COUNTA(AN47:AV47)+COUNTBLANK(AN47:AV47)))</f>
        <v/>
      </c>
      <c r="BB47" s="38"/>
      <c r="BC47" s="11" t="s">
        <v>7</v>
      </c>
    </row>
    <row r="48" spans="1:55" x14ac:dyDescent="0.35">
      <c r="B48" s="16">
        <f>IF(D48=$A$516,1,IF(D48=$A$517,2,IF(D48=$A$518,3,IF(D48=$A$519,4,IF(D48=$A$520,5,IF(D48=$A$521,6))))))</f>
        <v>4</v>
      </c>
      <c r="D48" s="20" t="str">
        <f t="shared" si="12"/>
        <v>hld</v>
      </c>
      <c r="E48" s="20" t="s">
        <v>3633</v>
      </c>
      <c r="F48" s="13"/>
      <c r="G48" s="13" t="s">
        <v>103</v>
      </c>
      <c r="H48" s="14"/>
      <c r="I48" s="13"/>
      <c r="J48" s="13" t="s">
        <v>3638</v>
      </c>
      <c r="K48" s="467" t="s">
        <v>2724</v>
      </c>
      <c r="L48" s="15" t="s">
        <v>3636</v>
      </c>
      <c r="M48" s="15"/>
      <c r="N48" s="15"/>
      <c r="O48" s="15"/>
      <c r="P48" s="15"/>
      <c r="Q48" s="15"/>
      <c r="S48" s="35" t="s">
        <v>77</v>
      </c>
      <c r="T48" s="13"/>
      <c r="U48" s="17"/>
      <c r="V48" s="17"/>
      <c r="W48" s="36"/>
      <c r="X48" s="17"/>
      <c r="Y48" s="17"/>
      <c r="AA48" s="15" t="s">
        <v>60</v>
      </c>
      <c r="AB48" s="17"/>
      <c r="AC48" s="21" t="s">
        <v>86</v>
      </c>
      <c r="AD48" s="21"/>
      <c r="AE48" s="17"/>
      <c r="AF48" s="17"/>
      <c r="AG48" s="15"/>
      <c r="AI48" s="42">
        <f t="shared" ca="1" si="14"/>
        <v>260</v>
      </c>
      <c r="AJ48" s="42">
        <f t="shared" ca="1" si="15"/>
        <v>260</v>
      </c>
      <c r="AK48" s="13" t="s">
        <v>2725</v>
      </c>
      <c r="AL48" s="36" t="str">
        <f t="shared" si="16"/>
        <v>On-hold</v>
      </c>
      <c r="AM48" s="37">
        <v>45404</v>
      </c>
      <c r="AN48" s="37">
        <v>45404</v>
      </c>
      <c r="AO48" s="37">
        <v>45404</v>
      </c>
      <c r="AP48" s="37">
        <v>45404</v>
      </c>
      <c r="AQ48" s="37">
        <v>45404</v>
      </c>
      <c r="AR48" s="38"/>
      <c r="AS48" s="38"/>
      <c r="AT48" s="38"/>
      <c r="AU48" s="38"/>
      <c r="AV48" s="38"/>
      <c r="AW48" s="38">
        <v>45404</v>
      </c>
      <c r="AX48" s="38">
        <v>45404</v>
      </c>
      <c r="AY48" s="38"/>
      <c r="AZ48" s="38"/>
      <c r="BA48" s="39" t="str">
        <f>+IF(AY48="","",COUNTA(AN48:AV48)/(COUNTA(AN48:AV48)+COUNTBLANK(AN48:AV48)))</f>
        <v/>
      </c>
      <c r="BB48" s="38"/>
      <c r="BC48" s="11" t="s">
        <v>7</v>
      </c>
    </row>
    <row r="49" spans="1:55" x14ac:dyDescent="0.35">
      <c r="B49" s="16">
        <f>IF(D49=$A$516,1,IF(D49=$A$517,2,IF(D49=$A$518,3,IF(D49=$A$519,4,IF(D49=$A$520,5,IF(D49=$A$521,6))))))</f>
        <v>4</v>
      </c>
      <c r="D49" s="20" t="str">
        <f t="shared" si="12"/>
        <v>hld</v>
      </c>
      <c r="E49" s="20" t="s">
        <v>3639</v>
      </c>
      <c r="F49" s="13"/>
      <c r="G49" s="13" t="s">
        <v>103</v>
      </c>
      <c r="H49" s="14"/>
      <c r="I49" s="13"/>
      <c r="J49" s="13" t="s">
        <v>2690</v>
      </c>
      <c r="K49" s="467" t="s">
        <v>2724</v>
      </c>
      <c r="L49" s="15" t="s">
        <v>3640</v>
      </c>
      <c r="M49" s="15"/>
      <c r="N49" s="15"/>
      <c r="O49" s="15"/>
      <c r="P49" s="15"/>
      <c r="Q49" s="15"/>
      <c r="S49" s="35" t="s">
        <v>77</v>
      </c>
      <c r="T49" s="13"/>
      <c r="U49" s="17"/>
      <c r="V49" s="17"/>
      <c r="W49" s="36"/>
      <c r="X49" s="17"/>
      <c r="Y49" s="17"/>
      <c r="AA49" s="15" t="s">
        <v>60</v>
      </c>
      <c r="AB49" s="17"/>
      <c r="AC49" s="21" t="s">
        <v>86</v>
      </c>
      <c r="AD49" s="21"/>
      <c r="AE49" s="17"/>
      <c r="AF49" s="17"/>
      <c r="AG49" s="15"/>
      <c r="AI49" s="42">
        <f t="shared" ca="1" si="14"/>
        <v>252</v>
      </c>
      <c r="AJ49" s="42">
        <f t="shared" ca="1" si="15"/>
        <v>252</v>
      </c>
      <c r="AK49" s="13" t="s">
        <v>2725</v>
      </c>
      <c r="AL49" s="36" t="str">
        <f t="shared" si="16"/>
        <v>On-hold</v>
      </c>
      <c r="AM49" s="37">
        <v>45412</v>
      </c>
      <c r="AN49" s="37">
        <v>45412</v>
      </c>
      <c r="AO49" s="37">
        <v>45412</v>
      </c>
      <c r="AP49" s="37">
        <v>45412</v>
      </c>
      <c r="AQ49" s="37">
        <v>45412</v>
      </c>
      <c r="AR49" s="38"/>
      <c r="AS49" s="38"/>
      <c r="AT49" s="38"/>
      <c r="AU49" s="38"/>
      <c r="AV49" s="38"/>
      <c r="AW49" s="38">
        <v>45412</v>
      </c>
      <c r="AX49" s="38">
        <v>45412</v>
      </c>
      <c r="AY49" s="38"/>
      <c r="AZ49" s="38"/>
      <c r="BA49" s="39" t="str">
        <f>+IF(AY49="","",COUNTA(AN49:AV49)/(COUNTA(AN49:AV49)+COUNTBLANK(AN49:AV49)))</f>
        <v/>
      </c>
      <c r="BB49" s="38"/>
      <c r="BC49" s="11" t="s">
        <v>7</v>
      </c>
    </row>
    <row r="50" spans="1:55" x14ac:dyDescent="0.35">
      <c r="B50" s="533">
        <f>IF(D50=$A$516,1,IF(D50=$A$517,2,IF(D50=$A$518,3,IF(D50=$A$519,4,IF(D50=$A$520,5,IF(D50=$A$521,6))))))</f>
        <v>4</v>
      </c>
      <c r="C50" s="533"/>
      <c r="D50" s="711" t="str">
        <f t="shared" si="12"/>
        <v>hld</v>
      </c>
      <c r="E50" s="12" t="s">
        <v>3634</v>
      </c>
      <c r="F50" s="534"/>
      <c r="G50" s="13" t="s">
        <v>103</v>
      </c>
      <c r="H50" s="535"/>
      <c r="I50" s="534"/>
      <c r="J50" s="13" t="s">
        <v>3638</v>
      </c>
      <c r="K50" s="467" t="s">
        <v>2724</v>
      </c>
      <c r="L50" s="15" t="s">
        <v>3635</v>
      </c>
      <c r="M50" s="536"/>
      <c r="N50" s="536"/>
      <c r="O50" s="536"/>
      <c r="P50" s="536"/>
      <c r="Q50" s="536"/>
      <c r="R50" s="533"/>
      <c r="S50" s="35" t="s">
        <v>77</v>
      </c>
      <c r="T50" s="13"/>
      <c r="U50" s="537"/>
      <c r="V50" s="537"/>
      <c r="W50" s="36"/>
      <c r="X50" s="537"/>
      <c r="Y50" s="537"/>
      <c r="Z50" s="533"/>
      <c r="AA50" s="15" t="s">
        <v>60</v>
      </c>
      <c r="AB50" s="537"/>
      <c r="AC50" s="21" t="s">
        <v>86</v>
      </c>
      <c r="AD50" s="21"/>
      <c r="AE50" s="537"/>
      <c r="AF50" s="537"/>
      <c r="AG50" s="536"/>
      <c r="AH50" s="533"/>
      <c r="AI50" s="539">
        <f t="shared" ca="1" si="14"/>
        <v>260</v>
      </c>
      <c r="AJ50" s="539">
        <f t="shared" ca="1" si="15"/>
        <v>260</v>
      </c>
      <c r="AK50" s="534" t="s">
        <v>2725</v>
      </c>
      <c r="AL50" s="538" t="str">
        <f t="shared" si="16"/>
        <v>On-hold</v>
      </c>
      <c r="AM50" s="540">
        <v>45404</v>
      </c>
      <c r="AN50" s="540">
        <v>45404</v>
      </c>
      <c r="AO50" s="540">
        <v>45404</v>
      </c>
      <c r="AP50" s="540">
        <v>45404</v>
      </c>
      <c r="AQ50" s="540">
        <v>45404</v>
      </c>
      <c r="AR50" s="541"/>
      <c r="AS50" s="541"/>
      <c r="AT50" s="541"/>
      <c r="AU50" s="541"/>
      <c r="AV50" s="541"/>
      <c r="AW50" s="38">
        <v>45404</v>
      </c>
      <c r="AX50" s="38">
        <v>45404</v>
      </c>
      <c r="AY50" s="541"/>
      <c r="AZ50" s="541"/>
      <c r="BA50" s="542" t="str">
        <f>+IF(AY50="","",COUNTA(AN50:AV50)/(COUNTA(AN50:AV50)+COUNTBLANK(AN50:AV50)))</f>
        <v/>
      </c>
      <c r="BB50" s="541"/>
      <c r="BC50" s="11" t="s">
        <v>7</v>
      </c>
    </row>
    <row r="51" spans="1:55" x14ac:dyDescent="0.35">
      <c r="A51" s="533"/>
      <c r="B51" s="533">
        <f>IF(D51=$A$516,1,IF(D51=$A$517,2,IF(D51=$A$518,3,IF(D51=$A$519,4,IF(D51=$A$520,5,IF(D51=$A$521,6))))))</f>
        <v>4</v>
      </c>
      <c r="C51" s="533"/>
      <c r="D51" s="711" t="str">
        <f t="shared" si="12"/>
        <v>hld</v>
      </c>
      <c r="E51" s="12" t="s">
        <v>3641</v>
      </c>
      <c r="F51" s="534"/>
      <c r="G51" s="13" t="s">
        <v>103</v>
      </c>
      <c r="H51" s="535"/>
      <c r="I51" s="534"/>
      <c r="J51" s="13" t="s">
        <v>3638</v>
      </c>
      <c r="K51" s="467" t="s">
        <v>2724</v>
      </c>
      <c r="L51" s="15" t="s">
        <v>3123</v>
      </c>
      <c r="M51" s="536"/>
      <c r="N51" s="536"/>
      <c r="O51" s="536"/>
      <c r="P51" s="536"/>
      <c r="Q51" s="536"/>
      <c r="R51" s="533"/>
      <c r="S51" s="35" t="s">
        <v>77</v>
      </c>
      <c r="T51" s="13"/>
      <c r="U51" s="537"/>
      <c r="V51" s="537"/>
      <c r="W51" s="36"/>
      <c r="X51" s="537"/>
      <c r="Y51" s="537"/>
      <c r="Z51" s="533"/>
      <c r="AA51" s="15" t="s">
        <v>60</v>
      </c>
      <c r="AB51" s="537"/>
      <c r="AC51" s="21" t="s">
        <v>78</v>
      </c>
      <c r="AD51" s="21" t="s">
        <v>78</v>
      </c>
      <c r="AE51" s="17" t="s">
        <v>86</v>
      </c>
      <c r="AF51" s="537"/>
      <c r="AG51" s="536"/>
      <c r="AH51" s="533"/>
      <c r="AI51" s="539">
        <f t="shared" ca="1" si="14"/>
        <v>260</v>
      </c>
      <c r="AJ51" s="539">
        <f t="shared" ca="1" si="15"/>
        <v>260</v>
      </c>
      <c r="AK51" s="534" t="s">
        <v>2725</v>
      </c>
      <c r="AL51" s="538" t="str">
        <f t="shared" si="16"/>
        <v>On-hold</v>
      </c>
      <c r="AM51" s="540">
        <v>45404</v>
      </c>
      <c r="AN51" s="540">
        <v>45404</v>
      </c>
      <c r="AO51" s="540">
        <v>45404</v>
      </c>
      <c r="AP51" s="540">
        <v>45404</v>
      </c>
      <c r="AQ51" s="540">
        <v>45404</v>
      </c>
      <c r="AR51" s="541"/>
      <c r="AS51" s="541"/>
      <c r="AT51" s="541"/>
      <c r="AU51" s="541"/>
      <c r="AV51" s="541"/>
      <c r="AW51" s="38">
        <v>45404</v>
      </c>
      <c r="AX51" s="38">
        <v>45404</v>
      </c>
      <c r="AY51" s="541"/>
      <c r="AZ51" s="541"/>
      <c r="BA51" s="542"/>
      <c r="BB51" s="541"/>
      <c r="BC51" s="11" t="s">
        <v>7</v>
      </c>
    </row>
    <row r="52" spans="1:55" x14ac:dyDescent="0.35">
      <c r="A52" s="533"/>
      <c r="B52" s="16">
        <f>IF(D52=$A$516,1,IF(D52=$A$517,2,IF(D52=$A$518,3,IF(D52=$A$519,4,IF(D52=$A$520,5,IF(D52=$A$521,6))))))</f>
        <v>4</v>
      </c>
      <c r="D52" s="20" t="str">
        <f t="shared" si="12"/>
        <v>hld</v>
      </c>
      <c r="E52" s="20" t="s">
        <v>3599</v>
      </c>
      <c r="F52" s="13"/>
      <c r="G52" s="13" t="s">
        <v>68</v>
      </c>
      <c r="H52" s="14" t="s">
        <v>3605</v>
      </c>
      <c r="I52" s="13"/>
      <c r="J52" s="13" t="s">
        <v>3601</v>
      </c>
      <c r="K52" s="15" t="s">
        <v>3600</v>
      </c>
      <c r="L52" s="15" t="s">
        <v>3602</v>
      </c>
      <c r="M52" s="15"/>
      <c r="N52" s="15"/>
      <c r="O52" s="15"/>
      <c r="P52" s="15"/>
      <c r="Q52" s="15"/>
      <c r="S52" s="35" t="s">
        <v>77</v>
      </c>
      <c r="T52" s="13">
        <v>2023</v>
      </c>
      <c r="U52" s="17">
        <v>6.2450000000000001</v>
      </c>
      <c r="V52" s="17">
        <v>0.97699999999999998</v>
      </c>
      <c r="W52" s="36">
        <f>+V52/U52</f>
        <v>0.15644515612489993</v>
      </c>
      <c r="X52" s="17">
        <v>0.33500000000000002</v>
      </c>
      <c r="Y52" s="17">
        <v>1.5069999999999999</v>
      </c>
      <c r="AA52" s="15" t="s">
        <v>60</v>
      </c>
      <c r="AB52" s="17"/>
      <c r="AC52" s="21" t="s">
        <v>3598</v>
      </c>
      <c r="AD52" s="21" t="s">
        <v>3598</v>
      </c>
      <c r="AE52" s="17"/>
      <c r="AF52" s="17"/>
      <c r="AG52" s="15"/>
      <c r="AI52" s="42">
        <f t="shared" ca="1" si="14"/>
        <v>281</v>
      </c>
      <c r="AJ52" s="42">
        <f t="shared" ca="1" si="15"/>
        <v>252</v>
      </c>
      <c r="AK52" s="13" t="s">
        <v>87</v>
      </c>
      <c r="AL52" s="36" t="str">
        <f t="shared" si="16"/>
        <v>On-hold</v>
      </c>
      <c r="AM52" s="37">
        <v>45383</v>
      </c>
      <c r="AN52" s="37">
        <v>45383</v>
      </c>
      <c r="AO52" s="37" t="s">
        <v>65</v>
      </c>
      <c r="AP52" s="37">
        <v>44846</v>
      </c>
      <c r="AQ52" s="38">
        <v>45399</v>
      </c>
      <c r="AR52" s="38"/>
      <c r="AS52" s="38"/>
      <c r="AT52" s="38"/>
      <c r="AU52" s="38"/>
      <c r="AV52" s="38"/>
      <c r="AW52" s="38">
        <v>45399</v>
      </c>
      <c r="AX52" s="38">
        <v>45412</v>
      </c>
      <c r="AY52" s="38"/>
      <c r="AZ52" s="38"/>
      <c r="BA52" s="39" t="str">
        <f>+IF(AY52="","",COUNTA(AN52:AV52)/(COUNTA(AN52:AV52)+COUNTBLANK(AN52:AV52)))</f>
        <v/>
      </c>
      <c r="BB52" s="38"/>
      <c r="BC52" s="11" t="s">
        <v>7</v>
      </c>
    </row>
    <row r="53" spans="1:55" x14ac:dyDescent="0.35">
      <c r="B53" s="533">
        <f>IF(D53=$A$516,1,IF(D53=$A$517,2,IF(D53=$A$518,3,IF(D53=$A$519,4,IF(D53=$A$520,5,IF(D53=$A$521,6))))))</f>
        <v>4</v>
      </c>
      <c r="C53" s="533"/>
      <c r="D53" s="711" t="str">
        <f t="shared" si="12"/>
        <v>hld</v>
      </c>
      <c r="E53" s="12" t="s">
        <v>3603</v>
      </c>
      <c r="F53" s="534"/>
      <c r="G53" s="534" t="s">
        <v>760</v>
      </c>
      <c r="H53" s="535" t="s">
        <v>3607</v>
      </c>
      <c r="I53" s="534"/>
      <c r="J53" s="13" t="s">
        <v>3601</v>
      </c>
      <c r="K53" s="15" t="s">
        <v>3604</v>
      </c>
      <c r="L53" s="536"/>
      <c r="M53" s="536"/>
      <c r="N53" s="536"/>
      <c r="O53" s="536"/>
      <c r="P53" s="536"/>
      <c r="Q53" s="536"/>
      <c r="R53" s="533"/>
      <c r="S53" s="35" t="s">
        <v>77</v>
      </c>
      <c r="T53" s="13">
        <v>2022</v>
      </c>
      <c r="U53" s="537">
        <v>22.1</v>
      </c>
      <c r="V53" s="537">
        <v>9.5</v>
      </c>
      <c r="W53" s="36">
        <f>+V53/U53</f>
        <v>0.42986425339366513</v>
      </c>
      <c r="X53" s="537">
        <v>4.5</v>
      </c>
      <c r="Y53" s="537">
        <v>0.4</v>
      </c>
      <c r="Z53" s="533"/>
      <c r="AA53" s="15" t="s">
        <v>60</v>
      </c>
      <c r="AB53" s="537"/>
      <c r="AC53" s="21" t="s">
        <v>3598</v>
      </c>
      <c r="AD53" s="21" t="s">
        <v>3598</v>
      </c>
      <c r="AE53" s="537"/>
      <c r="AF53" s="537"/>
      <c r="AG53" s="536"/>
      <c r="AH53" s="533"/>
      <c r="AI53" s="539">
        <f t="shared" ca="1" si="14"/>
        <v>267</v>
      </c>
      <c r="AJ53" s="539">
        <f t="shared" ca="1" si="15"/>
        <v>265</v>
      </c>
      <c r="AK53" s="534" t="s">
        <v>87</v>
      </c>
      <c r="AL53" s="538" t="str">
        <f t="shared" si="16"/>
        <v>On-hold</v>
      </c>
      <c r="AM53" s="540">
        <v>45397</v>
      </c>
      <c r="AN53" s="540">
        <v>45397</v>
      </c>
      <c r="AO53" s="540">
        <v>45397</v>
      </c>
      <c r="AP53" s="540">
        <v>45397</v>
      </c>
      <c r="AQ53" s="541">
        <v>45399</v>
      </c>
      <c r="AR53" s="541"/>
      <c r="AS53" s="541"/>
      <c r="AT53" s="541"/>
      <c r="AU53" s="541"/>
      <c r="AV53" s="541"/>
      <c r="AW53" s="541">
        <v>45399</v>
      </c>
      <c r="AX53" s="541">
        <v>45399</v>
      </c>
      <c r="AY53" s="541"/>
      <c r="AZ53" s="541"/>
      <c r="BA53" s="542" t="str">
        <f>+IF(AY53="","",COUNTA(AN53:AV53)/(COUNTA(AN53:AV53)+COUNTBLANK(AN53:AV53)))</f>
        <v/>
      </c>
      <c r="BB53" s="541"/>
      <c r="BC53" s="11" t="s">
        <v>7</v>
      </c>
    </row>
    <row r="54" spans="1:55" x14ac:dyDescent="0.35">
      <c r="A54" s="533"/>
      <c r="B54" s="16">
        <f>IF(D54=$A$516,1,IF(D54=$A$517,2,IF(D54=$A$518,3,IF(D54=$A$519,4,IF(D54=$A$520,5,IF(D54=$A$521,6))))))</f>
        <v>4</v>
      </c>
      <c r="D54" s="711" t="str">
        <f t="shared" si="12"/>
        <v>hld</v>
      </c>
      <c r="E54" s="20" t="s">
        <v>3582</v>
      </c>
      <c r="F54" s="280"/>
      <c r="G54" s="13" t="s">
        <v>103</v>
      </c>
      <c r="H54" s="14" t="s">
        <v>3583</v>
      </c>
      <c r="I54" s="280">
        <v>236100</v>
      </c>
      <c r="J54" s="13" t="s">
        <v>111</v>
      </c>
      <c r="K54" s="15" t="s">
        <v>3585</v>
      </c>
      <c r="L54" s="15" t="s">
        <v>3584</v>
      </c>
      <c r="M54" s="15"/>
      <c r="N54" s="15"/>
      <c r="O54" s="282"/>
      <c r="P54" s="282"/>
      <c r="Q54" s="282"/>
      <c r="R54" s="277"/>
      <c r="S54" s="35" t="s">
        <v>77</v>
      </c>
      <c r="T54" s="280">
        <v>2022</v>
      </c>
      <c r="U54" s="17">
        <v>88.2</v>
      </c>
      <c r="V54" s="284">
        <v>5.133</v>
      </c>
      <c r="W54" s="36">
        <f>+V54/U54</f>
        <v>5.8197278911564627E-2</v>
      </c>
      <c r="X54" s="17">
        <v>2.5259999999999998</v>
      </c>
      <c r="Y54" s="284">
        <v>-2.157</v>
      </c>
      <c r="Z54" s="277"/>
      <c r="AA54" s="15" t="s">
        <v>99</v>
      </c>
      <c r="AB54" s="17" t="s">
        <v>1076</v>
      </c>
      <c r="AC54" s="21" t="s">
        <v>78</v>
      </c>
      <c r="AD54" s="21" t="s">
        <v>78</v>
      </c>
      <c r="AE54" s="13" t="s">
        <v>86</v>
      </c>
      <c r="AF54" s="284"/>
      <c r="AG54" s="282"/>
      <c r="AH54" s="277"/>
      <c r="AI54" s="42">
        <f t="shared" ca="1" si="14"/>
        <v>274</v>
      </c>
      <c r="AJ54" s="42">
        <f t="shared" ca="1" si="15"/>
        <v>253</v>
      </c>
      <c r="AK54" s="13" t="s">
        <v>87</v>
      </c>
      <c r="AL54" s="36" t="str">
        <f t="shared" si="16"/>
        <v>On-hold</v>
      </c>
      <c r="AM54" s="289">
        <v>45390</v>
      </c>
      <c r="AN54" s="289">
        <v>45390</v>
      </c>
      <c r="AO54" s="289">
        <v>45390</v>
      </c>
      <c r="AP54" s="289">
        <v>45390</v>
      </c>
      <c r="AQ54" s="38"/>
      <c r="AR54" s="38"/>
      <c r="AS54" s="38"/>
      <c r="AT54" s="38"/>
      <c r="AU54" s="38"/>
      <c r="AV54" s="38"/>
      <c r="AW54" s="38">
        <v>45390</v>
      </c>
      <c r="AX54" s="180">
        <v>45411</v>
      </c>
      <c r="AY54" s="290"/>
      <c r="AZ54" s="290"/>
      <c r="BA54" s="291"/>
      <c r="BB54" s="290"/>
      <c r="BC54" s="11" t="s">
        <v>7</v>
      </c>
    </row>
    <row r="55" spans="1:55" x14ac:dyDescent="0.35">
      <c r="A55" s="277"/>
      <c r="B55" s="398">
        <f>IF(D55=$A$516,1,IF(D55=$A$517,2,IF(D55=$A$518,3,IF(D55=$A$519,4,IF(D55=$A$520,5,IF(D55=$A$521,6))))))</f>
        <v>4</v>
      </c>
      <c r="D55" s="711" t="str">
        <f t="shared" si="12"/>
        <v>hld</v>
      </c>
      <c r="E55" s="400" t="s">
        <v>5582</v>
      </c>
      <c r="F55" s="402"/>
      <c r="G55" s="401" t="s">
        <v>463</v>
      </c>
      <c r="H55" s="402" t="s">
        <v>491</v>
      </c>
      <c r="I55" s="401">
        <v>110700</v>
      </c>
      <c r="J55" s="401" t="s">
        <v>744</v>
      </c>
      <c r="K55" s="403" t="s">
        <v>1125</v>
      </c>
      <c r="L55" s="403" t="s">
        <v>1126</v>
      </c>
      <c r="M55" s="403" t="s">
        <v>1126</v>
      </c>
      <c r="N55" s="403" t="s">
        <v>1127</v>
      </c>
      <c r="O55" s="403" t="s">
        <v>1126</v>
      </c>
      <c r="P55" s="403" t="s">
        <v>1128</v>
      </c>
      <c r="Q55" s="403" t="s">
        <v>1129</v>
      </c>
      <c r="R55" s="398"/>
      <c r="S55" s="35" t="s">
        <v>77</v>
      </c>
      <c r="T55" s="401">
        <v>2023</v>
      </c>
      <c r="U55" s="405">
        <v>55.084000000000003</v>
      </c>
      <c r="V55" s="405">
        <v>19</v>
      </c>
      <c r="W55" s="36">
        <f>+V55/U55</f>
        <v>0.34492774671410936</v>
      </c>
      <c r="X55" s="405">
        <v>12.129</v>
      </c>
      <c r="Y55" s="405">
        <v>-24.2</v>
      </c>
      <c r="Z55" s="398"/>
      <c r="AA55" s="403" t="s">
        <v>60</v>
      </c>
      <c r="AB55" s="405"/>
      <c r="AC55" s="407" t="s">
        <v>78</v>
      </c>
      <c r="AD55" s="405" t="s">
        <v>78</v>
      </c>
      <c r="AE55" s="405"/>
      <c r="AF55" s="405"/>
      <c r="AG55" s="403"/>
      <c r="AH55" s="398"/>
      <c r="AI55" s="408">
        <f t="shared" ca="1" si="14"/>
        <v>1351</v>
      </c>
      <c r="AJ55" s="408">
        <f t="shared" ca="1" si="15"/>
        <v>28</v>
      </c>
      <c r="AK55" s="401" t="s">
        <v>87</v>
      </c>
      <c r="AL55" s="417" t="str">
        <f t="shared" si="16"/>
        <v>On-hold</v>
      </c>
      <c r="AM55" s="410">
        <v>44313</v>
      </c>
      <c r="AN55" s="410">
        <v>44313</v>
      </c>
      <c r="AO55" s="410" t="s">
        <v>65</v>
      </c>
      <c r="AP55" s="410">
        <v>44313</v>
      </c>
      <c r="AQ55" s="38">
        <v>44375</v>
      </c>
      <c r="AR55" s="38"/>
      <c r="AS55" s="38"/>
      <c r="AT55" s="38"/>
      <c r="AU55" s="38"/>
      <c r="AV55" s="38"/>
      <c r="AW55" s="411">
        <v>45636</v>
      </c>
      <c r="AX55" s="411">
        <v>45291</v>
      </c>
      <c r="AY55" s="411"/>
      <c r="AZ55" s="411"/>
      <c r="BA55" s="418" t="str">
        <f>+IF(AY55="","",COUNTA(AN55:AV55)/(COUNTA(AN55:AV55)+COUNTBLANK(AN55:AV55)))</f>
        <v/>
      </c>
      <c r="BB55" s="411"/>
      <c r="BC55" s="11" t="s">
        <v>7</v>
      </c>
    </row>
    <row r="56" spans="1:55" x14ac:dyDescent="0.35">
      <c r="A56" s="398"/>
      <c r="B56" s="16">
        <f>IF(D56=$A$516,1,IF(D56=$A$517,2,IF(D56=$A$518,3,IF(D56=$A$519,4,IF(D56=$A$520,5,IF(D56=$A$521,6))))))</f>
        <v>4</v>
      </c>
      <c r="D56" s="20" t="str">
        <f t="shared" si="12"/>
        <v>hld</v>
      </c>
      <c r="E56" s="12" t="s">
        <v>454</v>
      </c>
      <c r="F56" s="14"/>
      <c r="G56" s="13" t="s">
        <v>226</v>
      </c>
      <c r="H56" s="14" t="s">
        <v>455</v>
      </c>
      <c r="I56" s="13">
        <v>265129</v>
      </c>
      <c r="J56" s="13" t="s">
        <v>111</v>
      </c>
      <c r="K56" s="15" t="s">
        <v>456</v>
      </c>
      <c r="L56" s="15" t="s">
        <v>457</v>
      </c>
      <c r="M56" s="15" t="s">
        <v>3985</v>
      </c>
      <c r="N56" s="15" t="s">
        <v>3986</v>
      </c>
      <c r="O56" s="15" t="s">
        <v>3987</v>
      </c>
      <c r="P56" s="15" t="s">
        <v>3988</v>
      </c>
      <c r="Q56" s="15"/>
      <c r="S56" s="35" t="s">
        <v>144</v>
      </c>
      <c r="T56" s="13">
        <v>2022</v>
      </c>
      <c r="U56" s="17">
        <v>132.49100000000001</v>
      </c>
      <c r="V56" s="17">
        <v>25</v>
      </c>
      <c r="W56" s="36">
        <f>+V56/U56</f>
        <v>0.18869206210233147</v>
      </c>
      <c r="X56" s="17">
        <v>10</v>
      </c>
      <c r="Y56" s="17">
        <v>-24</v>
      </c>
      <c r="AA56" s="15" t="s">
        <v>99</v>
      </c>
      <c r="AB56" s="17" t="s">
        <v>458</v>
      </c>
      <c r="AC56" s="21" t="s">
        <v>78</v>
      </c>
      <c r="AD56" s="21" t="s">
        <v>78</v>
      </c>
      <c r="AE56" s="17" t="s">
        <v>86</v>
      </c>
      <c r="AF56" s="17"/>
      <c r="AG56" s="15"/>
      <c r="AI56" s="42">
        <f t="shared" ca="1" si="14"/>
        <v>1267</v>
      </c>
      <c r="AJ56" s="42">
        <f t="shared" ca="1" si="15"/>
        <v>259</v>
      </c>
      <c r="AK56" s="13" t="s">
        <v>64</v>
      </c>
      <c r="AL56" s="36" t="str">
        <f t="shared" si="16"/>
        <v>On-hold</v>
      </c>
      <c r="AM56" s="37">
        <v>44397</v>
      </c>
      <c r="AN56" s="37">
        <v>44397</v>
      </c>
      <c r="AO56" s="37" t="s">
        <v>65</v>
      </c>
      <c r="AP56" s="37">
        <v>44446</v>
      </c>
      <c r="AQ56" s="38">
        <v>45366</v>
      </c>
      <c r="AR56" s="38">
        <v>45398</v>
      </c>
      <c r="AS56" s="38"/>
      <c r="AT56" s="38"/>
      <c r="AU56" s="38"/>
      <c r="AV56" s="38"/>
      <c r="AW56" s="38">
        <v>45398</v>
      </c>
      <c r="AX56" s="38">
        <v>45405</v>
      </c>
      <c r="AY56" s="38"/>
      <c r="AZ56" s="38"/>
      <c r="BA56" s="39" t="str">
        <f>+IF(AY56="","",COUNTA(AN56:AV56)/(COUNTA(AN56:AV56)+COUNTBLANK(AN56:AV56)))</f>
        <v/>
      </c>
      <c r="BB56" s="38"/>
      <c r="BC56" s="11" t="s">
        <v>7</v>
      </c>
    </row>
    <row r="57" spans="1:55" x14ac:dyDescent="0.35">
      <c r="B57" s="463">
        <f>IF(D57=$A$516,1,IF(D57=$A$517,2,IF(D57=$A$518,3,IF(D57=$A$519,4,IF(D57=$A$520,5,IF(D57=$A$521,6))))))</f>
        <v>4</v>
      </c>
      <c r="C57" s="463"/>
      <c r="D57" s="711" t="str">
        <f t="shared" si="12"/>
        <v>hld</v>
      </c>
      <c r="E57" s="465" t="s">
        <v>3559</v>
      </c>
      <c r="F57" s="466"/>
      <c r="G57" s="466" t="s">
        <v>634</v>
      </c>
      <c r="H57" s="477"/>
      <c r="I57" s="466"/>
      <c r="J57" s="466" t="s">
        <v>2690</v>
      </c>
      <c r="K57" s="467" t="s">
        <v>2724</v>
      </c>
      <c r="L57" s="467" t="s">
        <v>3547</v>
      </c>
      <c r="M57" s="467"/>
      <c r="N57" s="467"/>
      <c r="O57" s="467"/>
      <c r="P57" s="467"/>
      <c r="Q57" s="467"/>
      <c r="R57" s="463"/>
      <c r="S57" s="468"/>
      <c r="T57" s="466"/>
      <c r="U57" s="469"/>
      <c r="V57" s="469"/>
      <c r="W57" s="36"/>
      <c r="X57" s="469"/>
      <c r="Y57" s="469"/>
      <c r="Z57" s="463"/>
      <c r="AA57" s="467" t="s">
        <v>60</v>
      </c>
      <c r="AB57" s="469"/>
      <c r="AC57" s="478" t="s">
        <v>78</v>
      </c>
      <c r="AD57" s="478" t="s">
        <v>78</v>
      </c>
      <c r="AE57" s="466" t="s">
        <v>86</v>
      </c>
      <c r="AF57" s="469" t="s">
        <v>79</v>
      </c>
      <c r="AG57" s="467"/>
      <c r="AH57" s="677">
        <v>1</v>
      </c>
      <c r="AI57" s="471">
        <f t="shared" ca="1" si="14"/>
        <v>294</v>
      </c>
      <c r="AJ57" s="471">
        <f t="shared" ca="1" si="15"/>
        <v>260</v>
      </c>
      <c r="AK57" s="466" t="s">
        <v>2725</v>
      </c>
      <c r="AL57" s="480" t="str">
        <f t="shared" si="16"/>
        <v>On-hold</v>
      </c>
      <c r="AM57" s="473">
        <v>45370</v>
      </c>
      <c r="AN57" s="473">
        <v>45370</v>
      </c>
      <c r="AO57" s="473" t="s">
        <v>65</v>
      </c>
      <c r="AP57" s="473">
        <v>45370</v>
      </c>
      <c r="AQ57" s="38">
        <v>45370</v>
      </c>
      <c r="AR57" s="38">
        <v>45386</v>
      </c>
      <c r="AS57" s="38"/>
      <c r="AT57" s="38"/>
      <c r="AU57" s="38"/>
      <c r="AV57" s="38"/>
      <c r="AW57" s="449">
        <v>45386</v>
      </c>
      <c r="AX57" s="449">
        <v>45404</v>
      </c>
      <c r="AY57" s="449"/>
      <c r="AZ57" s="449"/>
      <c r="BA57" s="481"/>
      <c r="BB57" s="449"/>
      <c r="BC57" s="11" t="s">
        <v>7</v>
      </c>
    </row>
    <row r="58" spans="1:55" x14ac:dyDescent="0.35">
      <c r="A58" s="463"/>
      <c r="B58" s="277">
        <f>IF(D58=$A$516,1,IF(D58=$A$517,2,IF(D58=$A$518,3,IF(D58=$A$519,4,IF(D58=$A$520,5,IF(D58=$A$521,6))))))</f>
        <v>4</v>
      </c>
      <c r="C58" s="277"/>
      <c r="D58" s="711" t="str">
        <f t="shared" si="12"/>
        <v>hld</v>
      </c>
      <c r="E58" s="279" t="s">
        <v>2761</v>
      </c>
      <c r="F58" s="280"/>
      <c r="G58" s="280" t="s">
        <v>760</v>
      </c>
      <c r="H58" s="281" t="s">
        <v>4317</v>
      </c>
      <c r="I58" s="280"/>
      <c r="J58" s="13" t="s">
        <v>119</v>
      </c>
      <c r="K58" s="15" t="s">
        <v>2772</v>
      </c>
      <c r="L58" s="282" t="s">
        <v>2938</v>
      </c>
      <c r="M58" s="282" t="s">
        <v>2939</v>
      </c>
      <c r="N58" s="282"/>
      <c r="O58" s="282"/>
      <c r="P58" s="282"/>
      <c r="Q58" s="282"/>
      <c r="R58" s="277"/>
      <c r="S58" s="283" t="s">
        <v>77</v>
      </c>
      <c r="T58" s="280">
        <v>2022</v>
      </c>
      <c r="U58" s="284">
        <v>39.109000000000002</v>
      </c>
      <c r="V58" s="284">
        <v>5.6760000000000002</v>
      </c>
      <c r="W58" s="36">
        <f t="shared" ref="W58:W63" si="17">+V58/U58</f>
        <v>0.14513283387455572</v>
      </c>
      <c r="X58" s="284">
        <v>0.89300000000000002</v>
      </c>
      <c r="Y58" s="284">
        <v>20</v>
      </c>
      <c r="Z58" s="277"/>
      <c r="AA58" s="282" t="s">
        <v>140</v>
      </c>
      <c r="AB58" s="284"/>
      <c r="AC58" s="285" t="s">
        <v>153</v>
      </c>
      <c r="AD58" s="285" t="s">
        <v>153</v>
      </c>
      <c r="AE58" s="280" t="s">
        <v>273</v>
      </c>
      <c r="AF58" s="284"/>
      <c r="AG58" s="15"/>
      <c r="AH58" s="277"/>
      <c r="AI58" s="42">
        <f t="shared" ca="1" si="14"/>
        <v>351</v>
      </c>
      <c r="AJ58" s="42">
        <f t="shared" ref="AJ58:AJ121" ca="1" si="18">+(IF(AL58="Closed","-",IF(TODAY()-MAX(AN58:BA58)&gt;0,TODAY()-MAX(AN58:BA58),0)))</f>
        <v>259</v>
      </c>
      <c r="AK58" s="280" t="s">
        <v>87</v>
      </c>
      <c r="AL58" s="288" t="str">
        <f t="shared" si="16"/>
        <v>On-hold</v>
      </c>
      <c r="AM58" s="289">
        <v>45313</v>
      </c>
      <c r="AN58" s="289">
        <v>45316</v>
      </c>
      <c r="AO58" s="289" t="s">
        <v>65</v>
      </c>
      <c r="AP58" s="289">
        <v>45317</v>
      </c>
      <c r="AQ58" s="38">
        <v>45324</v>
      </c>
      <c r="AR58" s="38"/>
      <c r="AS58" s="38"/>
      <c r="AT58" s="38"/>
      <c r="AU58" s="38"/>
      <c r="AV58" s="38"/>
      <c r="AW58" s="290">
        <v>45324</v>
      </c>
      <c r="AX58" s="290">
        <v>45405</v>
      </c>
      <c r="AY58" s="290"/>
      <c r="AZ58" s="290"/>
      <c r="BA58" s="291"/>
      <c r="BB58" s="290"/>
      <c r="BC58" s="11" t="s">
        <v>7</v>
      </c>
    </row>
    <row r="59" spans="1:55" x14ac:dyDescent="0.35">
      <c r="A59" s="277"/>
      <c r="B59" s="16">
        <f>IF(D59=$A$516,1,IF(D59=$A$517,2,IF(D59=$A$518,3,IF(D59=$A$519,4,IF(D59=$A$520,5,IF(D59=$A$521,6))))))</f>
        <v>4</v>
      </c>
      <c r="D59" s="20" t="str">
        <f t="shared" si="12"/>
        <v>hld</v>
      </c>
      <c r="E59" s="20" t="s">
        <v>3520</v>
      </c>
      <c r="F59" s="280"/>
      <c r="G59" s="13" t="s">
        <v>174</v>
      </c>
      <c r="H59" s="14" t="s">
        <v>3476</v>
      </c>
      <c r="I59" s="280"/>
      <c r="J59" s="13" t="s">
        <v>1589</v>
      </c>
      <c r="K59" s="15" t="s">
        <v>3477</v>
      </c>
      <c r="L59" s="15" t="s">
        <v>3478</v>
      </c>
      <c r="M59" s="15"/>
      <c r="N59" s="15"/>
      <c r="O59" s="282"/>
      <c r="P59" s="282"/>
      <c r="Q59" s="282"/>
      <c r="R59" s="277"/>
      <c r="S59" s="35" t="s">
        <v>77</v>
      </c>
      <c r="T59" s="280">
        <v>2022</v>
      </c>
      <c r="U59" s="17">
        <v>50.055008000000001</v>
      </c>
      <c r="V59" s="284">
        <v>11.616712999999999</v>
      </c>
      <c r="W59" s="36">
        <f t="shared" si="17"/>
        <v>0.23207893603772869</v>
      </c>
      <c r="X59" s="17">
        <v>6</v>
      </c>
      <c r="Y59" s="284">
        <v>4</v>
      </c>
      <c r="Z59" s="277"/>
      <c r="AA59" s="15" t="s">
        <v>2901</v>
      </c>
      <c r="AB59" s="17"/>
      <c r="AC59" s="21" t="s">
        <v>78</v>
      </c>
      <c r="AD59" s="21" t="s">
        <v>78</v>
      </c>
      <c r="AE59" s="13" t="s">
        <v>79</v>
      </c>
      <c r="AF59" s="284"/>
      <c r="AG59" s="282"/>
      <c r="AH59" s="677">
        <v>1</v>
      </c>
      <c r="AI59" s="42">
        <f t="shared" ca="1" si="14"/>
        <v>300</v>
      </c>
      <c r="AJ59" s="42">
        <f t="shared" ca="1" si="18"/>
        <v>259</v>
      </c>
      <c r="AK59" s="13" t="s">
        <v>87</v>
      </c>
      <c r="AL59" s="288" t="str">
        <f t="shared" si="16"/>
        <v>On-hold</v>
      </c>
      <c r="AM59" s="289">
        <v>45364</v>
      </c>
      <c r="AN59" s="289">
        <v>45364</v>
      </c>
      <c r="AO59" s="289">
        <v>45364</v>
      </c>
      <c r="AP59" s="289">
        <v>45364</v>
      </c>
      <c r="AQ59" s="38">
        <v>45364</v>
      </c>
      <c r="AR59" s="38">
        <v>45380</v>
      </c>
      <c r="AS59" s="38">
        <v>45391</v>
      </c>
      <c r="AT59" s="38"/>
      <c r="AU59" s="38"/>
      <c r="AV59" s="38"/>
      <c r="AW59" s="38"/>
      <c r="AX59" s="290">
        <v>45405</v>
      </c>
      <c r="AY59" s="290"/>
      <c r="AZ59" s="290"/>
      <c r="BA59" s="291"/>
      <c r="BB59" s="290"/>
      <c r="BC59" s="11" t="s">
        <v>7</v>
      </c>
    </row>
    <row r="60" spans="1:55" x14ac:dyDescent="0.35">
      <c r="A60" s="277"/>
      <c r="B60" s="16">
        <f>IF(D60=$A$516,1,IF(D60=$A$517,2,IF(D60=$A$518,3,IF(D60=$A$519,4,IF(D60=$A$520,5,IF(D60=$A$521,6))))))</f>
        <v>4</v>
      </c>
      <c r="D60" s="20" t="str">
        <f t="shared" si="12"/>
        <v>hld</v>
      </c>
      <c r="E60" s="20" t="s">
        <v>3497</v>
      </c>
      <c r="F60" s="280"/>
      <c r="G60" s="13" t="s">
        <v>288</v>
      </c>
      <c r="H60" s="14" t="s">
        <v>4318</v>
      </c>
      <c r="I60" s="280"/>
      <c r="J60" s="13" t="s">
        <v>1589</v>
      </c>
      <c r="K60" s="15" t="s">
        <v>3498</v>
      </c>
      <c r="L60" s="15" t="s">
        <v>3499</v>
      </c>
      <c r="M60" s="15"/>
      <c r="N60" s="15"/>
      <c r="O60" s="282"/>
      <c r="P60" s="282"/>
      <c r="Q60" s="282"/>
      <c r="R60" s="277"/>
      <c r="S60" s="35" t="s">
        <v>77</v>
      </c>
      <c r="T60" s="280">
        <v>2022</v>
      </c>
      <c r="U60" s="17">
        <v>54.591000000000001</v>
      </c>
      <c r="V60" s="284">
        <v>5.0389999999999997</v>
      </c>
      <c r="W60" s="36">
        <f t="shared" si="17"/>
        <v>9.2304592332069377E-2</v>
      </c>
      <c r="X60" s="17">
        <v>2</v>
      </c>
      <c r="Y60" s="284">
        <v>12</v>
      </c>
      <c r="Z60" s="277"/>
      <c r="AA60" s="15" t="s">
        <v>2901</v>
      </c>
      <c r="AB60" s="17"/>
      <c r="AC60" s="21" t="s">
        <v>78</v>
      </c>
      <c r="AD60" s="21" t="s">
        <v>78</v>
      </c>
      <c r="AE60" s="13" t="s">
        <v>79</v>
      </c>
      <c r="AF60" s="284"/>
      <c r="AG60" s="282"/>
      <c r="AH60" s="677">
        <v>1</v>
      </c>
      <c r="AI60" s="42">
        <f t="shared" ca="1" si="14"/>
        <v>300</v>
      </c>
      <c r="AJ60" s="42">
        <f t="shared" ca="1" si="18"/>
        <v>259</v>
      </c>
      <c r="AK60" s="13" t="s">
        <v>87</v>
      </c>
      <c r="AL60" s="288" t="str">
        <f t="shared" si="16"/>
        <v>On-hold</v>
      </c>
      <c r="AM60" s="289">
        <v>45364</v>
      </c>
      <c r="AN60" s="289">
        <v>45364</v>
      </c>
      <c r="AO60" s="289">
        <v>45364</v>
      </c>
      <c r="AP60" s="289">
        <v>45364</v>
      </c>
      <c r="AQ60" s="38">
        <v>45364</v>
      </c>
      <c r="AR60" s="38"/>
      <c r="AS60" s="38"/>
      <c r="AT60" s="38"/>
      <c r="AU60" s="38"/>
      <c r="AV60" s="38"/>
      <c r="AW60" s="38"/>
      <c r="AX60" s="290">
        <v>45405</v>
      </c>
      <c r="AY60" s="290"/>
      <c r="AZ60" s="290"/>
      <c r="BA60" s="291"/>
      <c r="BB60" s="290"/>
      <c r="BC60" s="11" t="s">
        <v>7</v>
      </c>
    </row>
    <row r="61" spans="1:55" x14ac:dyDescent="0.35">
      <c r="A61" s="277"/>
      <c r="B61" s="16">
        <f>IF(D61=$A$516,1,IF(D61=$A$517,2,IF(D61=$A$518,3,IF(D61=$A$519,4,IF(D61=$A$520,5,IF(D61=$A$521,6))))))</f>
        <v>4</v>
      </c>
      <c r="D61" s="20" t="str">
        <f t="shared" si="12"/>
        <v>hld</v>
      </c>
      <c r="E61" s="20" t="s">
        <v>3606</v>
      </c>
      <c r="F61" s="280"/>
      <c r="G61" s="13" t="s">
        <v>166</v>
      </c>
      <c r="H61" s="14" t="s">
        <v>3538</v>
      </c>
      <c r="I61" s="280">
        <v>282500</v>
      </c>
      <c r="J61" s="13" t="s">
        <v>111</v>
      </c>
      <c r="K61" s="15" t="s">
        <v>3608</v>
      </c>
      <c r="L61" s="15" t="s">
        <v>3542</v>
      </c>
      <c r="M61" s="15"/>
      <c r="N61" s="15"/>
      <c r="O61" s="282"/>
      <c r="P61" s="282"/>
      <c r="Q61" s="282"/>
      <c r="R61" s="277"/>
      <c r="S61" s="35" t="s">
        <v>144</v>
      </c>
      <c r="T61" s="280">
        <v>2022</v>
      </c>
      <c r="U61" s="17">
        <v>320</v>
      </c>
      <c r="V61" s="284">
        <v>28</v>
      </c>
      <c r="W61" s="36">
        <f t="shared" si="17"/>
        <v>8.7499999999999994E-2</v>
      </c>
      <c r="X61" s="17">
        <v>20</v>
      </c>
      <c r="Y61" s="284">
        <v>4.2329999999999997</v>
      </c>
      <c r="Z61" s="277"/>
      <c r="AA61" s="15" t="s">
        <v>140</v>
      </c>
      <c r="AB61" s="17"/>
      <c r="AC61" s="21" t="s">
        <v>78</v>
      </c>
      <c r="AD61" s="21" t="s">
        <v>78</v>
      </c>
      <c r="AE61" s="13" t="s">
        <v>128</v>
      </c>
      <c r="AF61" s="284"/>
      <c r="AG61" s="282"/>
      <c r="AH61" s="277"/>
      <c r="AI61" s="42">
        <f t="shared" ca="1" si="14"/>
        <v>277</v>
      </c>
      <c r="AJ61" s="42">
        <f t="shared" ca="1" si="18"/>
        <v>273</v>
      </c>
      <c r="AK61" s="13" t="s">
        <v>720</v>
      </c>
      <c r="AL61" s="36" t="str">
        <f t="shared" si="16"/>
        <v>On-hold</v>
      </c>
      <c r="AM61" s="289">
        <v>45387</v>
      </c>
      <c r="AN61" s="289">
        <v>45387</v>
      </c>
      <c r="AO61" s="37" t="s">
        <v>65</v>
      </c>
      <c r="AP61" s="289">
        <v>45391</v>
      </c>
      <c r="AQ61" s="38"/>
      <c r="AR61" s="38"/>
      <c r="AS61" s="38"/>
      <c r="AT61" s="38"/>
      <c r="AU61" s="38"/>
      <c r="AV61" s="38"/>
      <c r="AW61" s="38">
        <v>45391</v>
      </c>
      <c r="AX61" s="290">
        <v>45391</v>
      </c>
      <c r="AY61" s="290"/>
      <c r="AZ61" s="290"/>
      <c r="BA61" s="291"/>
      <c r="BB61" s="290"/>
      <c r="BC61" s="11" t="s">
        <v>7</v>
      </c>
    </row>
    <row r="62" spans="1:55" x14ac:dyDescent="0.35">
      <c r="A62" s="277"/>
      <c r="B62" s="16">
        <f>IF(D62=$A$516,1,IF(D62=$A$517,2,IF(D62=$A$518,3,IF(D62=$A$519,4,IF(D62=$A$520,5,IF(D62=$A$521,6))))))</f>
        <v>4</v>
      </c>
      <c r="D62" s="20" t="str">
        <f t="shared" si="12"/>
        <v>hld</v>
      </c>
      <c r="E62" s="12" t="s">
        <v>250</v>
      </c>
      <c r="F62" s="14"/>
      <c r="G62" s="13" t="s">
        <v>91</v>
      </c>
      <c r="H62" s="12"/>
      <c r="I62" s="13"/>
      <c r="J62" s="13" t="s">
        <v>251</v>
      </c>
      <c r="K62" s="15" t="s">
        <v>252</v>
      </c>
      <c r="L62" s="15"/>
      <c r="M62" s="15"/>
      <c r="N62" s="15"/>
      <c r="O62" s="15"/>
      <c r="P62" s="15"/>
      <c r="Q62" s="15"/>
      <c r="S62" s="35" t="s">
        <v>77</v>
      </c>
      <c r="T62" s="13">
        <v>2022</v>
      </c>
      <c r="U62" s="17">
        <v>40</v>
      </c>
      <c r="V62" s="17"/>
      <c r="W62" s="36">
        <f t="shared" si="17"/>
        <v>0</v>
      </c>
      <c r="X62" s="17"/>
      <c r="Y62" s="17"/>
      <c r="AA62" s="15" t="s">
        <v>253</v>
      </c>
      <c r="AB62" s="17"/>
      <c r="AC62" s="21" t="s">
        <v>61</v>
      </c>
      <c r="AD62" s="21" t="s">
        <v>61</v>
      </c>
      <c r="AE62" s="17" t="s">
        <v>128</v>
      </c>
      <c r="AF62" s="17"/>
      <c r="AG62" s="15"/>
      <c r="AI62" s="42">
        <f t="shared" ca="1" si="14"/>
        <v>648</v>
      </c>
      <c r="AJ62" s="42">
        <f t="shared" ca="1" si="18"/>
        <v>271</v>
      </c>
      <c r="AK62" s="13" t="s">
        <v>64</v>
      </c>
      <c r="AL62" s="36" t="str">
        <f t="shared" si="16"/>
        <v>On-hold</v>
      </c>
      <c r="AM62" s="37">
        <v>45016</v>
      </c>
      <c r="AN62" s="172">
        <v>45016</v>
      </c>
      <c r="AO62" s="37" t="s">
        <v>65</v>
      </c>
      <c r="AP62" s="37" t="s">
        <v>65</v>
      </c>
      <c r="AQ62" s="38">
        <f>+AN62</f>
        <v>45016</v>
      </c>
      <c r="AR62" s="38" t="s">
        <v>65</v>
      </c>
      <c r="AS62" s="38" t="s">
        <v>65</v>
      </c>
      <c r="AT62" s="38">
        <v>45219</v>
      </c>
      <c r="AU62" s="38" t="s">
        <v>65</v>
      </c>
      <c r="AV62" s="38">
        <v>45236</v>
      </c>
      <c r="AW62" s="38"/>
      <c r="AX62" s="38">
        <v>45393</v>
      </c>
      <c r="AY62" s="38"/>
      <c r="AZ62" s="38"/>
      <c r="BA62" s="39" t="str">
        <f>+IF(AY62="","",COUNTA(AN62:AV62)/(COUNTA(AN62:AV62)+COUNTBLANK(AN62:AV62)))</f>
        <v/>
      </c>
      <c r="BB62" s="38"/>
      <c r="BC62" s="11" t="s">
        <v>7</v>
      </c>
    </row>
    <row r="63" spans="1:55" x14ac:dyDescent="0.35">
      <c r="B63" s="16">
        <f>IF(D63=$A$516,1,IF(D63=$A$517,2,IF(D63=$A$518,3,IF(D63=$A$519,4,IF(D63=$A$520,5,IF(D63=$A$521,6))))))</f>
        <v>4</v>
      </c>
      <c r="D63" s="20" t="str">
        <f t="shared" si="12"/>
        <v>hld</v>
      </c>
      <c r="E63" s="12" t="s">
        <v>3325</v>
      </c>
      <c r="F63" s="14"/>
      <c r="G63" s="13" t="s">
        <v>103</v>
      </c>
      <c r="H63" s="14" t="s">
        <v>3322</v>
      </c>
      <c r="I63" s="13"/>
      <c r="J63" s="268" t="s">
        <v>3170</v>
      </c>
      <c r="K63" s="15" t="s">
        <v>3323</v>
      </c>
      <c r="L63" s="15" t="s">
        <v>3324</v>
      </c>
      <c r="M63" s="15"/>
      <c r="N63" s="15"/>
      <c r="O63" s="15"/>
      <c r="P63" s="15"/>
      <c r="Q63" s="15"/>
      <c r="S63" s="35" t="s">
        <v>77</v>
      </c>
      <c r="T63" s="13">
        <v>2023</v>
      </c>
      <c r="U63" s="17">
        <v>595</v>
      </c>
      <c r="V63" s="17">
        <v>17</v>
      </c>
      <c r="W63" s="36">
        <f t="shared" si="17"/>
        <v>2.8571428571428571E-2</v>
      </c>
      <c r="X63" s="17">
        <v>13</v>
      </c>
      <c r="Y63" s="17">
        <v>-26</v>
      </c>
      <c r="AA63" s="15" t="s">
        <v>60</v>
      </c>
      <c r="AB63" s="17"/>
      <c r="AC63" s="21" t="s">
        <v>78</v>
      </c>
      <c r="AD63" s="17" t="s">
        <v>78</v>
      </c>
      <c r="AE63" s="17" t="s">
        <v>128</v>
      </c>
      <c r="AF63" s="17"/>
      <c r="AG63" s="15"/>
      <c r="AI63" s="42">
        <f t="shared" ca="1" si="14"/>
        <v>354</v>
      </c>
      <c r="AJ63" s="42">
        <f t="shared" ca="1" si="18"/>
        <v>15</v>
      </c>
      <c r="AK63" s="13" t="s">
        <v>64</v>
      </c>
      <c r="AL63" s="288" t="str">
        <f t="shared" si="16"/>
        <v>On-hold</v>
      </c>
      <c r="AM63" s="289">
        <v>45310</v>
      </c>
      <c r="AN63" s="289">
        <v>45310</v>
      </c>
      <c r="AO63" s="289" t="s">
        <v>65</v>
      </c>
      <c r="AP63" s="289">
        <v>45310</v>
      </c>
      <c r="AQ63" s="38">
        <v>45355</v>
      </c>
      <c r="AR63" s="38">
        <v>45364</v>
      </c>
      <c r="AS63" s="38"/>
      <c r="AT63" s="38"/>
      <c r="AU63" s="38"/>
      <c r="AV63" s="38"/>
      <c r="AW63" s="38">
        <v>45390</v>
      </c>
      <c r="AX63" s="38">
        <v>45649</v>
      </c>
      <c r="AY63" s="38"/>
      <c r="AZ63" s="38"/>
      <c r="BA63" s="39" t="str">
        <f>+IF(AY63="","",COUNTA(AN63:AV63)/(COUNTA(AN63:AV63)+COUNTBLANK(AN63:AV63)))</f>
        <v/>
      </c>
      <c r="BB63" s="38"/>
      <c r="BC63" s="11" t="s">
        <v>7</v>
      </c>
    </row>
    <row r="64" spans="1:55" x14ac:dyDescent="0.35">
      <c r="B64" s="358">
        <f>IF(D64=$A$516,1,IF(D64=$A$517,2,IF(D64=$A$518,3,IF(D64=$A$519,4,IF(D64=$A$520,5,IF(D64=$A$521,6))))))</f>
        <v>4</v>
      </c>
      <c r="D64" s="711" t="str">
        <f t="shared" si="12"/>
        <v>hld</v>
      </c>
      <c r="E64" s="359" t="s">
        <v>3183</v>
      </c>
      <c r="F64" s="360"/>
      <c r="G64" s="360" t="s">
        <v>2197</v>
      </c>
      <c r="H64" s="361"/>
      <c r="I64" s="360"/>
      <c r="J64" s="362" t="s">
        <v>2690</v>
      </c>
      <c r="K64" s="363" t="s">
        <v>2691</v>
      </c>
      <c r="L64" s="363"/>
      <c r="M64" s="363"/>
      <c r="N64" s="363" t="s">
        <v>3184</v>
      </c>
      <c r="O64" s="363"/>
      <c r="P64" s="363"/>
      <c r="Q64" s="363"/>
      <c r="R64" s="358"/>
      <c r="S64" s="364" t="s">
        <v>77</v>
      </c>
      <c r="T64" s="360"/>
      <c r="U64" s="365"/>
      <c r="V64" s="365"/>
      <c r="W64" s="36"/>
      <c r="X64" s="365"/>
      <c r="Y64" s="365"/>
      <c r="Z64" s="358"/>
      <c r="AA64" s="363" t="s">
        <v>927</v>
      </c>
      <c r="AB64" s="365"/>
      <c r="AC64" s="366" t="s">
        <v>78</v>
      </c>
      <c r="AD64" s="366" t="s">
        <v>78</v>
      </c>
      <c r="AE64" s="360" t="s">
        <v>86</v>
      </c>
      <c r="AF64" s="365" t="s">
        <v>79</v>
      </c>
      <c r="AG64" s="367"/>
      <c r="AH64" s="677">
        <v>1</v>
      </c>
      <c r="AI64" s="42">
        <f t="shared" ca="1" si="14"/>
        <v>390</v>
      </c>
      <c r="AJ64" s="42">
        <f t="shared" ca="1" si="18"/>
        <v>273</v>
      </c>
      <c r="AK64" s="360" t="s">
        <v>2725</v>
      </c>
      <c r="AL64" s="369" t="str">
        <f t="shared" si="16"/>
        <v>On-hold</v>
      </c>
      <c r="AM64" s="370">
        <v>45274</v>
      </c>
      <c r="AN64" s="370">
        <v>45274</v>
      </c>
      <c r="AO64" s="370" t="s">
        <v>65</v>
      </c>
      <c r="AP64" s="370">
        <v>45274</v>
      </c>
      <c r="AQ64" s="38">
        <v>45327</v>
      </c>
      <c r="AR64" s="38">
        <v>45329</v>
      </c>
      <c r="AS64" s="38">
        <v>45378</v>
      </c>
      <c r="AT64" s="38"/>
      <c r="AU64" s="38"/>
      <c r="AV64" s="38"/>
      <c r="AW64" s="371">
        <v>45384</v>
      </c>
      <c r="AX64" s="371">
        <v>45391</v>
      </c>
      <c r="AY64" s="371"/>
      <c r="AZ64" s="371"/>
      <c r="BA64" s="372"/>
      <c r="BB64" s="371"/>
      <c r="BC64" s="11" t="s">
        <v>7</v>
      </c>
    </row>
    <row r="65" spans="1:55" x14ac:dyDescent="0.35">
      <c r="A65" s="358"/>
      <c r="B65" s="16">
        <f>IF(D65=$A$516,1,IF(D65=$A$517,2,IF(D65=$A$518,3,IF(D65=$A$519,4,IF(D65=$A$520,5,IF(D65=$A$521,6))))))</f>
        <v>4</v>
      </c>
      <c r="D65" s="20" t="str">
        <f t="shared" si="12"/>
        <v>hld</v>
      </c>
      <c r="E65" s="20" t="s">
        <v>1487</v>
      </c>
      <c r="F65" s="14"/>
      <c r="G65" s="13" t="s">
        <v>103</v>
      </c>
      <c r="H65" s="14" t="s">
        <v>3313</v>
      </c>
      <c r="I65" s="13"/>
      <c r="J65" s="13" t="s">
        <v>473</v>
      </c>
      <c r="K65" s="15" t="s">
        <v>3314</v>
      </c>
      <c r="L65" s="15" t="s">
        <v>3315</v>
      </c>
      <c r="M65" s="15" t="s">
        <v>3989</v>
      </c>
      <c r="N65" s="15" t="s">
        <v>3990</v>
      </c>
      <c r="O65" s="15" t="s">
        <v>3315</v>
      </c>
      <c r="P65" s="15"/>
      <c r="Q65" s="15" t="s">
        <v>3991</v>
      </c>
      <c r="S65" s="17" t="s">
        <v>77</v>
      </c>
      <c r="T65" s="13">
        <v>2022</v>
      </c>
      <c r="U65" s="17">
        <v>88</v>
      </c>
      <c r="V65" s="17">
        <v>8</v>
      </c>
      <c r="W65" s="36">
        <f>+V65/U65</f>
        <v>9.0909090909090912E-2</v>
      </c>
      <c r="X65" s="17">
        <v>3.2</v>
      </c>
      <c r="Y65" s="17">
        <v>8.1999999999999993</v>
      </c>
      <c r="AA65" s="15" t="s">
        <v>60</v>
      </c>
      <c r="AB65" s="17"/>
      <c r="AC65" s="21" t="s">
        <v>78</v>
      </c>
      <c r="AD65" s="21" t="s">
        <v>78</v>
      </c>
      <c r="AE65" s="17" t="s">
        <v>86</v>
      </c>
      <c r="AF65" s="17"/>
      <c r="AG65" s="15"/>
      <c r="AI65" s="42">
        <f t="shared" ca="1" si="14"/>
        <v>348</v>
      </c>
      <c r="AJ65" s="42">
        <f t="shared" ca="1" si="18"/>
        <v>273</v>
      </c>
      <c r="AK65" s="13" t="s">
        <v>64</v>
      </c>
      <c r="AL65" s="288" t="str">
        <f t="shared" si="16"/>
        <v>On-hold</v>
      </c>
      <c r="AM65" s="289">
        <v>45316</v>
      </c>
      <c r="AN65" s="289">
        <f>+AM65</f>
        <v>45316</v>
      </c>
      <c r="AO65" s="289" t="s">
        <v>65</v>
      </c>
      <c r="AP65" s="289">
        <v>45344</v>
      </c>
      <c r="AQ65" s="38">
        <v>45344</v>
      </c>
      <c r="AR65" s="38">
        <v>45365</v>
      </c>
      <c r="AS65" s="38"/>
      <c r="AT65" s="38"/>
      <c r="AU65" s="38"/>
      <c r="AV65" s="38"/>
      <c r="AW65" s="38">
        <v>45386</v>
      </c>
      <c r="AX65" s="519">
        <v>45391</v>
      </c>
      <c r="AY65" s="38"/>
      <c r="AZ65" s="38"/>
      <c r="BA65" s="39" t="str">
        <f>+IF(AY65="","",COUNTA(AN65:AV65)/(COUNTA(AN65:AV65)+COUNTBLANK(AN65:AV65)))</f>
        <v/>
      </c>
      <c r="BB65" s="38"/>
      <c r="BC65" s="11" t="s">
        <v>7</v>
      </c>
    </row>
    <row r="66" spans="1:55" x14ac:dyDescent="0.35">
      <c r="B66" s="463">
        <f>IF(D66=$A$516,1,IF(D66=$A$517,2,IF(D66=$A$518,3,IF(D66=$A$519,4,IF(D66=$A$520,5,IF(D66=$A$521,6))))))</f>
        <v>4</v>
      </c>
      <c r="C66" s="463"/>
      <c r="D66" s="711" t="str">
        <f t="shared" si="12"/>
        <v>hld</v>
      </c>
      <c r="E66" s="465" t="s">
        <v>3570</v>
      </c>
      <c r="F66" s="466"/>
      <c r="G66" s="466" t="s">
        <v>712</v>
      </c>
      <c r="H66" s="477"/>
      <c r="I66" s="466"/>
      <c r="J66" s="466" t="s">
        <v>2663</v>
      </c>
      <c r="K66" s="467" t="s">
        <v>3571</v>
      </c>
      <c r="L66" s="467" t="s">
        <v>3572</v>
      </c>
      <c r="M66" s="467"/>
      <c r="N66" s="467"/>
      <c r="O66" s="467"/>
      <c r="P66" s="467"/>
      <c r="Q66" s="467"/>
      <c r="R66" s="463"/>
      <c r="S66" s="468" t="s">
        <v>144</v>
      </c>
      <c r="T66" s="466">
        <v>2023</v>
      </c>
      <c r="U66" s="469">
        <v>1200</v>
      </c>
      <c r="V66" s="469">
        <v>240</v>
      </c>
      <c r="W66" s="36">
        <f>+V66/U66</f>
        <v>0.2</v>
      </c>
      <c r="X66" s="469"/>
      <c r="Y66" s="469"/>
      <c r="Z66" s="463"/>
      <c r="AA66" s="467" t="s">
        <v>60</v>
      </c>
      <c r="AB66" s="469"/>
      <c r="AC66" s="478" t="s">
        <v>78</v>
      </c>
      <c r="AD66" s="478" t="s">
        <v>78</v>
      </c>
      <c r="AE66" s="469" t="s">
        <v>79</v>
      </c>
      <c r="AF66" s="469"/>
      <c r="AG66" s="467"/>
      <c r="AH66" s="677">
        <v>1</v>
      </c>
      <c r="AI66" s="471">
        <f t="shared" ca="1" si="14"/>
        <v>287</v>
      </c>
      <c r="AJ66" s="471">
        <f t="shared" ca="1" si="18"/>
        <v>273</v>
      </c>
      <c r="AK66" s="466" t="s">
        <v>87</v>
      </c>
      <c r="AL66" s="480" t="str">
        <f t="shared" si="16"/>
        <v>On-hold</v>
      </c>
      <c r="AM66" s="473">
        <v>45377</v>
      </c>
      <c r="AN66" s="473">
        <v>45370</v>
      </c>
      <c r="AO66" s="473">
        <v>45370</v>
      </c>
      <c r="AP66" s="473">
        <v>45370</v>
      </c>
      <c r="AQ66" s="38">
        <v>45370</v>
      </c>
      <c r="AR66" s="38">
        <v>45377</v>
      </c>
      <c r="AS66" s="38"/>
      <c r="AT66" s="38"/>
      <c r="AU66" s="38"/>
      <c r="AV66" s="38"/>
      <c r="AW66" s="449"/>
      <c r="AX66" s="449">
        <v>45391</v>
      </c>
      <c r="AY66" s="449"/>
      <c r="AZ66" s="449"/>
      <c r="BA66" s="481"/>
      <c r="BB66" s="449"/>
      <c r="BC66" s="11" t="s">
        <v>7</v>
      </c>
    </row>
    <row r="67" spans="1:55" x14ac:dyDescent="0.35">
      <c r="A67" s="463"/>
      <c r="B67" s="16">
        <f>IF(D67=$A$516,1,IF(D67=$A$517,2,IF(D67=$A$518,3,IF(D67=$A$519,4,IF(D67=$A$520,5,IF(D67=$A$521,6))))))</f>
        <v>4</v>
      </c>
      <c r="D67" s="20" t="str">
        <f t="shared" si="12"/>
        <v>hld</v>
      </c>
      <c r="E67" s="20" t="s">
        <v>3421</v>
      </c>
      <c r="F67" s="280"/>
      <c r="G67" s="13" t="s">
        <v>232</v>
      </c>
      <c r="H67" s="14" t="s">
        <v>4319</v>
      </c>
      <c r="I67" s="280"/>
      <c r="J67" s="13" t="s">
        <v>111</v>
      </c>
      <c r="K67" s="15" t="s">
        <v>3422</v>
      </c>
      <c r="L67" s="15" t="s">
        <v>3423</v>
      </c>
      <c r="M67" s="15"/>
      <c r="N67" s="15"/>
      <c r="O67" s="282"/>
      <c r="P67" s="282"/>
      <c r="Q67" s="282"/>
      <c r="R67" s="277"/>
      <c r="S67" s="35" t="s">
        <v>77</v>
      </c>
      <c r="T67" s="280">
        <v>2022</v>
      </c>
      <c r="U67" s="284">
        <v>16.5</v>
      </c>
      <c r="V67" s="284">
        <v>1.1599999999999999</v>
      </c>
      <c r="W67" s="36">
        <f>+V67/U67</f>
        <v>7.0303030303030298E-2</v>
      </c>
      <c r="X67" s="284">
        <v>0.30099999999999999</v>
      </c>
      <c r="Y67" s="284">
        <v>4</v>
      </c>
      <c r="Z67" s="277"/>
      <c r="AA67" s="15" t="s">
        <v>60</v>
      </c>
      <c r="AB67" s="17" t="s">
        <v>3423</v>
      </c>
      <c r="AC67" s="21" t="s">
        <v>153</v>
      </c>
      <c r="AD67" s="21" t="s">
        <v>153</v>
      </c>
      <c r="AE67" s="13" t="s">
        <v>273</v>
      </c>
      <c r="AF67" s="284"/>
      <c r="AG67" s="282"/>
      <c r="AH67" s="277"/>
      <c r="AI67" s="42">
        <f t="shared" ca="1" si="14"/>
        <v>319</v>
      </c>
      <c r="AJ67" s="42">
        <f t="shared" ca="1" si="18"/>
        <v>273</v>
      </c>
      <c r="AK67" s="13" t="s">
        <v>87</v>
      </c>
      <c r="AL67" s="288" t="str">
        <f t="shared" si="16"/>
        <v>On-hold</v>
      </c>
      <c r="AM67" s="289">
        <v>45345</v>
      </c>
      <c r="AN67" s="289">
        <v>45345</v>
      </c>
      <c r="AO67" s="289" t="s">
        <v>65</v>
      </c>
      <c r="AP67" s="289">
        <v>45345</v>
      </c>
      <c r="AQ67" s="38">
        <v>45345</v>
      </c>
      <c r="AR67" s="38"/>
      <c r="AS67" s="38"/>
      <c r="AT67" s="38"/>
      <c r="AU67" s="38"/>
      <c r="AV67" s="38"/>
      <c r="AW67" s="38">
        <v>45359</v>
      </c>
      <c r="AX67" s="290">
        <v>45391</v>
      </c>
      <c r="AY67" s="290"/>
      <c r="AZ67" s="290"/>
      <c r="BA67" s="291"/>
      <c r="BB67" s="290"/>
      <c r="BC67" s="11" t="s">
        <v>7</v>
      </c>
    </row>
    <row r="68" spans="1:55" x14ac:dyDescent="0.35">
      <c r="A68" s="277"/>
      <c r="B68" s="173">
        <f>IF(D68=$A$516,1,IF(D68=$A$517,2,IF(D68=$A$518,3,IF(D68=$A$519,4,IF(D68=$A$520,5,IF(D68=$A$521,6))))))</f>
        <v>4</v>
      </c>
      <c r="C68" s="173"/>
      <c r="D68" s="711" t="str">
        <f t="shared" si="12"/>
        <v>hld</v>
      </c>
      <c r="E68" s="20" t="s">
        <v>3037</v>
      </c>
      <c r="F68" s="174"/>
      <c r="G68" s="13" t="s">
        <v>91</v>
      </c>
      <c r="H68" s="295"/>
      <c r="I68" s="174"/>
      <c r="J68" s="268" t="s">
        <v>2690</v>
      </c>
      <c r="K68" s="15" t="s">
        <v>1010</v>
      </c>
      <c r="L68" s="15" t="s">
        <v>3038</v>
      </c>
      <c r="M68" s="175"/>
      <c r="N68" s="175"/>
      <c r="O68" s="175"/>
      <c r="P68" s="175"/>
      <c r="Q68" s="175"/>
      <c r="R68" s="173"/>
      <c r="S68" s="35" t="s">
        <v>77</v>
      </c>
      <c r="T68" s="174"/>
      <c r="U68" s="177"/>
      <c r="V68" s="177"/>
      <c r="W68" s="36"/>
      <c r="X68" s="177"/>
      <c r="Y68" s="177"/>
      <c r="Z68" s="173"/>
      <c r="AA68" s="15" t="s">
        <v>60</v>
      </c>
      <c r="AB68" s="177"/>
      <c r="AC68" s="21" t="s">
        <v>153</v>
      </c>
      <c r="AD68" s="21" t="s">
        <v>153</v>
      </c>
      <c r="AE68" s="13" t="s">
        <v>273</v>
      </c>
      <c r="AF68" s="177"/>
      <c r="AG68" s="15"/>
      <c r="AH68" s="173"/>
      <c r="AI68" s="42">
        <f t="shared" ca="1" si="14"/>
        <v>335</v>
      </c>
      <c r="AJ68" s="42">
        <f t="shared" ca="1" si="18"/>
        <v>274</v>
      </c>
      <c r="AK68" s="174" t="s">
        <v>64</v>
      </c>
      <c r="AL68" s="288" t="str">
        <f t="shared" si="16"/>
        <v>On-hold</v>
      </c>
      <c r="AM68" s="289">
        <v>45329</v>
      </c>
      <c r="AN68" s="289">
        <v>45329</v>
      </c>
      <c r="AO68" s="289" t="s">
        <v>65</v>
      </c>
      <c r="AP68" s="289">
        <v>45329</v>
      </c>
      <c r="AQ68" s="38">
        <v>45342</v>
      </c>
      <c r="AR68" s="38"/>
      <c r="AS68" s="38"/>
      <c r="AT68" s="38"/>
      <c r="AU68" s="38"/>
      <c r="AV68" s="38"/>
      <c r="AW68" s="290">
        <v>45359</v>
      </c>
      <c r="AX68" s="180">
        <v>45390</v>
      </c>
      <c r="AY68" s="180"/>
      <c r="AZ68" s="180"/>
      <c r="BA68" s="182"/>
      <c r="BB68" s="180"/>
      <c r="BC68" s="11" t="s">
        <v>7</v>
      </c>
    </row>
    <row r="69" spans="1:55" x14ac:dyDescent="0.35">
      <c r="A69" s="173"/>
      <c r="B69" s="173">
        <f>IF(D69=$A$516,1,IF(D69=$A$517,2,IF(D69=$A$518,3,IF(D69=$A$519,4,IF(D69=$A$520,5,IF(D69=$A$521,6))))))</f>
        <v>4</v>
      </c>
      <c r="C69" s="173"/>
      <c r="D69" s="711" t="str">
        <f t="shared" si="12"/>
        <v>hld</v>
      </c>
      <c r="E69" s="20" t="s">
        <v>3118</v>
      </c>
      <c r="F69" s="174"/>
      <c r="G69" s="13" t="s">
        <v>1911</v>
      </c>
      <c r="H69" s="295"/>
      <c r="I69" s="174"/>
      <c r="J69" s="268" t="s">
        <v>2690</v>
      </c>
      <c r="K69" s="15" t="s">
        <v>3308</v>
      </c>
      <c r="L69" s="15" t="s">
        <v>3309</v>
      </c>
      <c r="M69" s="175"/>
      <c r="N69" s="175"/>
      <c r="O69" s="175"/>
      <c r="P69" s="175"/>
      <c r="Q69" s="175"/>
      <c r="R69" s="173"/>
      <c r="S69" s="35" t="s">
        <v>77</v>
      </c>
      <c r="T69" s="174">
        <v>2022</v>
      </c>
      <c r="U69" s="177">
        <v>2.8</v>
      </c>
      <c r="V69" s="177">
        <v>0.17100000000000001</v>
      </c>
      <c r="W69" s="36">
        <f>+V69/U69</f>
        <v>6.1071428571428582E-2</v>
      </c>
      <c r="X69" s="177">
        <v>7.4999999999999997E-2</v>
      </c>
      <c r="Y69" s="177">
        <v>-4.3999999999999997E-2</v>
      </c>
      <c r="Z69" s="173"/>
      <c r="AA69" s="15" t="s">
        <v>60</v>
      </c>
      <c r="AB69" s="177"/>
      <c r="AC69" s="21" t="s">
        <v>153</v>
      </c>
      <c r="AD69" s="21" t="s">
        <v>153</v>
      </c>
      <c r="AE69" s="13" t="s">
        <v>273</v>
      </c>
      <c r="AF69" s="177"/>
      <c r="AG69" s="15"/>
      <c r="AH69" s="173"/>
      <c r="AI69" s="42">
        <f t="shared" ca="1" si="14"/>
        <v>335</v>
      </c>
      <c r="AJ69" s="42">
        <f t="shared" ca="1" si="18"/>
        <v>274</v>
      </c>
      <c r="AK69" s="174" t="s">
        <v>2725</v>
      </c>
      <c r="AL69" s="288" t="str">
        <f t="shared" si="16"/>
        <v>On-hold</v>
      </c>
      <c r="AM69" s="289">
        <v>45329</v>
      </c>
      <c r="AN69" s="289">
        <v>45329</v>
      </c>
      <c r="AO69" s="289" t="s">
        <v>65</v>
      </c>
      <c r="AP69" s="289">
        <v>45329</v>
      </c>
      <c r="AQ69" s="38">
        <v>45344</v>
      </c>
      <c r="AR69" s="38"/>
      <c r="AS69" s="38"/>
      <c r="AT69" s="38"/>
      <c r="AU69" s="38"/>
      <c r="AV69" s="38"/>
      <c r="AW69" s="290">
        <v>45344</v>
      </c>
      <c r="AX69" s="180">
        <v>45390</v>
      </c>
      <c r="AY69" s="180"/>
      <c r="AZ69" s="180"/>
      <c r="BA69" s="182"/>
      <c r="BB69" s="180"/>
      <c r="BC69" s="11" t="s">
        <v>7</v>
      </c>
    </row>
    <row r="70" spans="1:55" x14ac:dyDescent="0.35">
      <c r="A70" s="173"/>
      <c r="B70" s="16">
        <f>IF(D70=$A$516,1,IF(D70=$A$517,2,IF(D70=$A$518,3,IF(D70=$A$519,4,IF(D70=$A$520,5,IF(D70=$A$521,6))))))</f>
        <v>4</v>
      </c>
      <c r="D70" s="20" t="str">
        <f t="shared" si="12"/>
        <v>hld</v>
      </c>
      <c r="E70" s="20" t="s">
        <v>3506</v>
      </c>
      <c r="F70" s="280"/>
      <c r="G70" s="13" t="s">
        <v>91</v>
      </c>
      <c r="H70" s="14"/>
      <c r="I70" s="280"/>
      <c r="J70" s="13" t="s">
        <v>2690</v>
      </c>
      <c r="K70" s="15" t="s">
        <v>3507</v>
      </c>
      <c r="L70" s="15"/>
      <c r="M70" s="15"/>
      <c r="N70" s="15"/>
      <c r="O70" s="282"/>
      <c r="P70" s="282"/>
      <c r="Q70" s="282"/>
      <c r="R70" s="277"/>
      <c r="S70" s="35"/>
      <c r="T70" s="280"/>
      <c r="U70" s="17"/>
      <c r="V70" s="284"/>
      <c r="W70" s="36"/>
      <c r="X70" s="17"/>
      <c r="Y70" s="284"/>
      <c r="Z70" s="277"/>
      <c r="AA70" s="15" t="s">
        <v>60</v>
      </c>
      <c r="AB70" s="17"/>
      <c r="AC70" s="21" t="s">
        <v>153</v>
      </c>
      <c r="AD70" s="21" t="s">
        <v>153</v>
      </c>
      <c r="AE70" s="13"/>
      <c r="AF70" s="284"/>
      <c r="AG70" s="282"/>
      <c r="AH70" s="277"/>
      <c r="AI70" s="42">
        <f t="shared" ca="1" si="14"/>
        <v>294</v>
      </c>
      <c r="AJ70" s="42">
        <f t="shared" ca="1" si="18"/>
        <v>274</v>
      </c>
      <c r="AK70" s="13" t="s">
        <v>2725</v>
      </c>
      <c r="AL70" s="288" t="str">
        <f t="shared" si="16"/>
        <v>On-hold</v>
      </c>
      <c r="AM70" s="289">
        <v>45370</v>
      </c>
      <c r="AN70" s="473">
        <v>45370</v>
      </c>
      <c r="AO70" s="473" t="s">
        <v>65</v>
      </c>
      <c r="AP70" s="289">
        <v>45370</v>
      </c>
      <c r="AQ70" s="38">
        <v>45370</v>
      </c>
      <c r="AR70" s="38"/>
      <c r="AS70" s="38"/>
      <c r="AT70" s="38"/>
      <c r="AU70" s="38"/>
      <c r="AV70" s="38"/>
      <c r="AW70" s="38">
        <v>45370</v>
      </c>
      <c r="AX70" s="180">
        <v>45390</v>
      </c>
      <c r="AY70" s="290"/>
      <c r="AZ70" s="290"/>
      <c r="BA70" s="291"/>
      <c r="BB70" s="290"/>
      <c r="BC70" s="11" t="s">
        <v>7</v>
      </c>
    </row>
    <row r="71" spans="1:55" x14ac:dyDescent="0.35">
      <c r="A71" s="277"/>
      <c r="B71" s="173">
        <f>IF(D71=$A$516,1,IF(D71=$A$517,2,IF(D71=$A$518,3,IF(D71=$A$519,4,IF(D71=$A$520,5,IF(D71=$A$521,6))))))</f>
        <v>4</v>
      </c>
      <c r="C71" s="173"/>
      <c r="D71" s="711" t="str">
        <f t="shared" si="12"/>
        <v>hld</v>
      </c>
      <c r="E71" s="20" t="s">
        <v>3035</v>
      </c>
      <c r="F71" s="174"/>
      <c r="G71" s="13" t="s">
        <v>292</v>
      </c>
      <c r="H71" s="295"/>
      <c r="I71" s="174"/>
      <c r="J71" s="268" t="s">
        <v>2690</v>
      </c>
      <c r="K71" s="15" t="s">
        <v>2724</v>
      </c>
      <c r="L71" s="15" t="s">
        <v>3036</v>
      </c>
      <c r="M71" s="175"/>
      <c r="N71" s="175"/>
      <c r="O71" s="175"/>
      <c r="P71" s="175"/>
      <c r="Q71" s="175"/>
      <c r="R71" s="173"/>
      <c r="S71" s="35" t="s">
        <v>77</v>
      </c>
      <c r="T71" s="174">
        <v>2022</v>
      </c>
      <c r="U71" s="177">
        <v>1.5</v>
      </c>
      <c r="V71" s="177">
        <v>0.51900000000000002</v>
      </c>
      <c r="W71" s="36">
        <f>+V71/U71</f>
        <v>0.34600000000000003</v>
      </c>
      <c r="X71" s="177">
        <v>0.61899999999999999</v>
      </c>
      <c r="Y71" s="177">
        <v>-0.59199999999999997</v>
      </c>
      <c r="Z71" s="173"/>
      <c r="AA71" s="15" t="s">
        <v>60</v>
      </c>
      <c r="AB71" s="177"/>
      <c r="AC71" s="21" t="s">
        <v>153</v>
      </c>
      <c r="AD71" s="21" t="s">
        <v>153</v>
      </c>
      <c r="AE71" s="13" t="s">
        <v>273</v>
      </c>
      <c r="AF71" s="177"/>
      <c r="AG71" s="294"/>
      <c r="AH71" s="173"/>
      <c r="AI71" s="42">
        <f t="shared" ca="1" si="14"/>
        <v>335</v>
      </c>
      <c r="AJ71" s="42">
        <f t="shared" ca="1" si="18"/>
        <v>274</v>
      </c>
      <c r="AK71" s="174" t="s">
        <v>2725</v>
      </c>
      <c r="AL71" s="288" t="str">
        <f t="shared" si="16"/>
        <v>On-hold</v>
      </c>
      <c r="AM71" s="289">
        <v>45329</v>
      </c>
      <c r="AN71" s="289">
        <v>45329</v>
      </c>
      <c r="AO71" s="289" t="s">
        <v>65</v>
      </c>
      <c r="AP71" s="289">
        <v>45329</v>
      </c>
      <c r="AQ71" s="38"/>
      <c r="AR71" s="38"/>
      <c r="AS71" s="38"/>
      <c r="AT71" s="38"/>
      <c r="AU71" s="38"/>
      <c r="AV71" s="38"/>
      <c r="AW71" s="290">
        <v>45352</v>
      </c>
      <c r="AX71" s="180">
        <v>45390</v>
      </c>
      <c r="AY71" s="180"/>
      <c r="AZ71" s="180"/>
      <c r="BA71" s="182"/>
      <c r="BB71" s="180"/>
      <c r="BC71" s="11" t="s">
        <v>7</v>
      </c>
    </row>
    <row r="72" spans="1:55" x14ac:dyDescent="0.35">
      <c r="A72" s="173"/>
      <c r="B72" s="16">
        <f>IF(D72=$A$516,1,IF(D72=$A$517,2,IF(D72=$A$518,3,IF(D72=$A$519,4,IF(D72=$A$520,5,IF(D72=$A$521,6))))))</f>
        <v>4</v>
      </c>
      <c r="D72" s="20" t="str">
        <f t="shared" si="12"/>
        <v>hld</v>
      </c>
      <c r="E72" s="185" t="s">
        <v>2685</v>
      </c>
      <c r="F72" s="186"/>
      <c r="G72" s="186" t="s">
        <v>130</v>
      </c>
      <c r="H72" s="187"/>
      <c r="I72" s="186"/>
      <c r="J72" s="270" t="s">
        <v>377</v>
      </c>
      <c r="K72" s="189" t="s">
        <v>2686</v>
      </c>
      <c r="L72" s="189" t="s">
        <v>2687</v>
      </c>
      <c r="M72" s="189" t="s">
        <v>2688</v>
      </c>
      <c r="N72" s="189"/>
      <c r="O72" s="189"/>
      <c r="P72" s="189"/>
      <c r="Q72" s="189"/>
      <c r="R72" s="183"/>
      <c r="S72" s="35" t="s">
        <v>77</v>
      </c>
      <c r="T72" s="186">
        <v>2022</v>
      </c>
      <c r="U72" s="191">
        <v>61.219000000000001</v>
      </c>
      <c r="V72" s="191">
        <v>12.473000000000001</v>
      </c>
      <c r="W72" s="36">
        <f>+V72/U72</f>
        <v>0.203743935706235</v>
      </c>
      <c r="X72" s="191">
        <v>7.3479999999999999</v>
      </c>
      <c r="Y72" s="191">
        <v>21.254000000000001</v>
      </c>
      <c r="Z72" s="183"/>
      <c r="AA72" s="189" t="s">
        <v>60</v>
      </c>
      <c r="AB72" s="191"/>
      <c r="AC72" s="193" t="s">
        <v>78</v>
      </c>
      <c r="AD72" s="193" t="s">
        <v>78</v>
      </c>
      <c r="AE72" s="200"/>
      <c r="AF72" s="191"/>
      <c r="AG72" s="189" t="s">
        <v>3526</v>
      </c>
      <c r="AH72" s="183"/>
      <c r="AI72" s="195">
        <f t="shared" ca="1" si="14"/>
        <v>363</v>
      </c>
      <c r="AJ72" s="195">
        <f t="shared" ca="1" si="18"/>
        <v>280</v>
      </c>
      <c r="AK72" s="186" t="s">
        <v>720</v>
      </c>
      <c r="AL72" s="201" t="str">
        <f t="shared" si="16"/>
        <v>On-hold</v>
      </c>
      <c r="AM72" s="197">
        <v>45301</v>
      </c>
      <c r="AN72" s="172">
        <v>45301</v>
      </c>
      <c r="AO72" s="37" t="s">
        <v>65</v>
      </c>
      <c r="AP72" s="197">
        <v>45307</v>
      </c>
      <c r="AQ72" s="38">
        <v>45307</v>
      </c>
      <c r="AR72" s="38">
        <v>45370</v>
      </c>
      <c r="AS72" s="38"/>
      <c r="AT72" s="38"/>
      <c r="AU72" s="38"/>
      <c r="AV72" s="38"/>
      <c r="AW72" s="38">
        <v>45316</v>
      </c>
      <c r="AX72" s="38">
        <v>45384</v>
      </c>
      <c r="AY72" s="38"/>
      <c r="AZ72" s="198"/>
      <c r="BA72" s="202" t="str">
        <f>+IF(AY72="","",COUNTA(AN72:AV72)/(COUNTA(AN72:AV72)+COUNTBLANK(AN72:AV72)))</f>
        <v/>
      </c>
      <c r="BB72" s="198"/>
      <c r="BC72" s="11" t="s">
        <v>7</v>
      </c>
    </row>
    <row r="73" spans="1:55" x14ac:dyDescent="0.35">
      <c r="B73" s="497">
        <f>IF(D73=$A$516,1,IF(D73=$A$517,2,IF(D73=$A$518,3,IF(D73=$A$519,4,IF(D73=$A$520,5,IF(D73=$A$521,6))))))</f>
        <v>4</v>
      </c>
      <c r="C73" s="497"/>
      <c r="D73" s="711" t="str">
        <f t="shared" si="12"/>
        <v>hld</v>
      </c>
      <c r="E73" s="12" t="s">
        <v>3579</v>
      </c>
      <c r="F73" s="501"/>
      <c r="G73" s="769" t="s">
        <v>103</v>
      </c>
      <c r="H73" s="501"/>
      <c r="I73" s="499"/>
      <c r="J73" s="508" t="s">
        <v>2690</v>
      </c>
      <c r="K73" s="500" t="s">
        <v>2724</v>
      </c>
      <c r="L73" s="500"/>
      <c r="M73" s="500"/>
      <c r="N73" s="500"/>
      <c r="O73" s="500"/>
      <c r="P73" s="500"/>
      <c r="Q73" s="500"/>
      <c r="R73" s="497"/>
      <c r="S73" s="773" t="s">
        <v>77</v>
      </c>
      <c r="T73" s="499"/>
      <c r="U73" s="495"/>
      <c r="V73" s="495"/>
      <c r="W73" s="36"/>
      <c r="X73" s="495"/>
      <c r="Y73" s="495"/>
      <c r="Z73" s="497"/>
      <c r="AA73" s="500" t="s">
        <v>60</v>
      </c>
      <c r="AB73" s="495"/>
      <c r="AC73" s="21" t="s">
        <v>61</v>
      </c>
      <c r="AD73" s="21" t="s">
        <v>61</v>
      </c>
      <c r="AE73" s="17" t="s">
        <v>62</v>
      </c>
      <c r="AF73" s="495"/>
      <c r="AG73" s="500"/>
      <c r="AH73" s="497"/>
      <c r="AI73" s="504">
        <f t="shared" ca="1" si="14"/>
        <v>309</v>
      </c>
      <c r="AJ73" s="504">
        <f t="shared" ca="1" si="18"/>
        <v>309</v>
      </c>
      <c r="AK73" s="499" t="s">
        <v>2725</v>
      </c>
      <c r="AL73" s="503" t="str">
        <f t="shared" si="16"/>
        <v>On-hold</v>
      </c>
      <c r="AM73" s="498">
        <v>45355</v>
      </c>
      <c r="AN73" s="498">
        <v>45355</v>
      </c>
      <c r="AO73" s="37" t="s">
        <v>65</v>
      </c>
      <c r="AP73" s="498">
        <v>45355</v>
      </c>
      <c r="AQ73" s="38">
        <v>45355</v>
      </c>
      <c r="AR73" s="38"/>
      <c r="AS73" s="38"/>
      <c r="AT73" s="38"/>
      <c r="AU73" s="38"/>
      <c r="AV73" s="38"/>
      <c r="AW73" s="505">
        <v>44640</v>
      </c>
      <c r="AX73" s="505">
        <v>44640</v>
      </c>
      <c r="AY73" s="505"/>
      <c r="AZ73" s="505"/>
      <c r="BA73" s="506" t="str">
        <f>+IF(AY73="","",COUNTA(AN73:AV73)/(COUNTA(AN73:AV73)+COUNTBLANK(AN73:AV73)))</f>
        <v/>
      </c>
      <c r="BB73" s="505"/>
      <c r="BC73" s="11" t="s">
        <v>7</v>
      </c>
    </row>
    <row r="74" spans="1:55" x14ac:dyDescent="0.35">
      <c r="A74" s="497"/>
      <c r="B74" s="16">
        <f>IF(D74=$A$516,1,IF(D74=$A$517,2,IF(D74=$A$518,3,IF(D74=$A$519,4,IF(D74=$A$520,5,IF(D74=$A$521,6))))))</f>
        <v>4</v>
      </c>
      <c r="D74" s="20" t="str">
        <f t="shared" ref="D74:D137" si="19">IF(AL74="Closed","cls",IF(AL74=1,"sgn",IF(AL74="On-hold","hld",IF(AL74="Aborted","abt",IF(AL74&lt;1,"wip","RIP")))))</f>
        <v>hld</v>
      </c>
      <c r="E74" s="12" t="s">
        <v>2673</v>
      </c>
      <c r="F74" s="13"/>
      <c r="G74" s="13" t="s">
        <v>278</v>
      </c>
      <c r="H74" s="14" t="s">
        <v>3992</v>
      </c>
      <c r="I74" s="13"/>
      <c r="J74" s="13" t="s">
        <v>111</v>
      </c>
      <c r="K74" s="15" t="s">
        <v>2674</v>
      </c>
      <c r="L74" s="15" t="s">
        <v>2675</v>
      </c>
      <c r="M74" s="15" t="s">
        <v>2675</v>
      </c>
      <c r="N74" s="15"/>
      <c r="O74" s="15"/>
      <c r="P74" s="15"/>
      <c r="Q74" s="15"/>
      <c r="S74" s="17" t="s">
        <v>77</v>
      </c>
      <c r="T74" s="13">
        <v>2023</v>
      </c>
      <c r="U74" s="17">
        <v>30.24</v>
      </c>
      <c r="V74" s="17">
        <v>2.0369999999999999</v>
      </c>
      <c r="W74" s="36">
        <f>+V74/U74</f>
        <v>6.7361111111111108E-2</v>
      </c>
      <c r="X74" s="17">
        <v>0.505</v>
      </c>
      <c r="Y74" s="17">
        <v>4.6630000000000003</v>
      </c>
      <c r="AA74" s="15" t="s">
        <v>140</v>
      </c>
      <c r="AB74" s="15"/>
      <c r="AC74" s="21" t="s">
        <v>153</v>
      </c>
      <c r="AD74" s="21" t="s">
        <v>153</v>
      </c>
      <c r="AE74" s="13" t="s">
        <v>273</v>
      </c>
      <c r="AF74" s="17"/>
      <c r="AG74" s="15" t="s">
        <v>2676</v>
      </c>
      <c r="AI74" s="42">
        <f t="shared" ref="AI74:AI137" ca="1" si="20">+TODAY()-AM74</f>
        <v>477</v>
      </c>
      <c r="AJ74" s="42">
        <f t="shared" ca="1" si="18"/>
        <v>287</v>
      </c>
      <c r="AK74" s="13" t="s">
        <v>64</v>
      </c>
      <c r="AL74" s="36" t="str">
        <f t="shared" ref="AL74:AL137" si="21">+IF(BB74="",IF(AZ74="",IF(AY74="",IF(AX74="",COUNTA(AN74:AV74)/9,"On-hold"),"Aborted"),"Closed"),"RIP")</f>
        <v>On-hold</v>
      </c>
      <c r="AM74" s="37">
        <v>45187</v>
      </c>
      <c r="AN74" s="172">
        <v>45187</v>
      </c>
      <c r="AO74" s="37" t="s">
        <v>65</v>
      </c>
      <c r="AP74" s="37">
        <v>45187</v>
      </c>
      <c r="AQ74" s="38">
        <v>45195</v>
      </c>
      <c r="AR74" s="38">
        <v>45267</v>
      </c>
      <c r="AS74" s="38"/>
      <c r="AT74" s="38"/>
      <c r="AU74" s="38"/>
      <c r="AV74" s="38"/>
      <c r="AW74" s="38">
        <v>45350</v>
      </c>
      <c r="AX74" s="38">
        <v>45377</v>
      </c>
      <c r="AY74" s="38"/>
      <c r="AZ74" s="38"/>
      <c r="BA74" s="39"/>
      <c r="BB74" s="38"/>
      <c r="BC74" s="11" t="s">
        <v>7</v>
      </c>
    </row>
    <row r="75" spans="1:55" x14ac:dyDescent="0.35">
      <c r="B75" s="16">
        <f>IF(D75=$A$516,1,IF(D75=$A$517,2,IF(D75=$A$518,3,IF(D75=$A$519,4,IF(D75=$A$520,5,IF(D75=$A$521,6))))))</f>
        <v>4</v>
      </c>
      <c r="C75" s="255"/>
      <c r="D75" s="20" t="str">
        <f t="shared" si="19"/>
        <v>hld</v>
      </c>
      <c r="E75" s="20" t="s">
        <v>3245</v>
      </c>
      <c r="F75" s="13"/>
      <c r="G75" s="13" t="s">
        <v>288</v>
      </c>
      <c r="H75" s="374" t="s">
        <v>3246</v>
      </c>
      <c r="I75" s="13"/>
      <c r="J75" s="13" t="s">
        <v>149</v>
      </c>
      <c r="K75" s="15" t="s">
        <v>3247</v>
      </c>
      <c r="L75" s="15"/>
      <c r="M75" s="15" t="s">
        <v>4008</v>
      </c>
      <c r="N75" s="15" t="s">
        <v>3996</v>
      </c>
      <c r="O75" s="15" t="s">
        <v>3993</v>
      </c>
      <c r="P75" s="15" t="s">
        <v>3995</v>
      </c>
      <c r="Q75" s="15" t="s">
        <v>3994</v>
      </c>
      <c r="S75" s="35" t="s">
        <v>144</v>
      </c>
      <c r="T75" s="13">
        <v>2022</v>
      </c>
      <c r="U75" s="17">
        <v>263.69</v>
      </c>
      <c r="V75" s="17">
        <v>0.5</v>
      </c>
      <c r="W75" s="36">
        <f>+V75/U75</f>
        <v>1.8961659524441578E-3</v>
      </c>
      <c r="X75" s="17">
        <v>-12</v>
      </c>
      <c r="Y75" s="17">
        <v>2.14</v>
      </c>
      <c r="AA75" s="15" t="s">
        <v>99</v>
      </c>
      <c r="AB75" s="17" t="s">
        <v>3251</v>
      </c>
      <c r="AC75" s="21" t="s">
        <v>61</v>
      </c>
      <c r="AD75" s="17" t="s">
        <v>61</v>
      </c>
      <c r="AE75" s="366" t="s">
        <v>79</v>
      </c>
      <c r="AF75" s="17"/>
      <c r="AG75" s="15"/>
      <c r="AH75" s="677">
        <v>1</v>
      </c>
      <c r="AI75" s="42">
        <f t="shared" ca="1" si="20"/>
        <v>329</v>
      </c>
      <c r="AJ75" s="42">
        <f t="shared" ca="1" si="18"/>
        <v>287</v>
      </c>
      <c r="AK75" s="13" t="s">
        <v>64</v>
      </c>
      <c r="AL75" s="288" t="str">
        <f t="shared" si="21"/>
        <v>On-hold</v>
      </c>
      <c r="AM75" s="289">
        <v>45335</v>
      </c>
      <c r="AN75" s="289">
        <v>45335</v>
      </c>
      <c r="AO75" s="289" t="s">
        <v>65</v>
      </c>
      <c r="AP75" s="289">
        <v>45335</v>
      </c>
      <c r="AQ75" s="38">
        <v>45335</v>
      </c>
      <c r="AR75" s="38"/>
      <c r="AS75" s="38"/>
      <c r="AT75" s="38"/>
      <c r="AU75" s="38"/>
      <c r="AV75" s="38"/>
      <c r="AW75" s="38"/>
      <c r="AX75" s="38">
        <v>45377</v>
      </c>
      <c r="AY75" s="38"/>
      <c r="AZ75" s="38"/>
      <c r="BA75" s="39" t="str">
        <f>+IF(AY75="","",COUNTA(AN75:AV75)/(COUNTA(AN75:AV75)+COUNTBLANK(AN75:AV75)))</f>
        <v/>
      </c>
      <c r="BB75" s="38"/>
      <c r="BC75" s="11" t="s">
        <v>7</v>
      </c>
    </row>
    <row r="76" spans="1:55" x14ac:dyDescent="0.35">
      <c r="B76" s="16">
        <f>IF(D76=$A$516,1,IF(D76=$A$517,2,IF(D76=$A$518,3,IF(D76=$A$519,4,IF(D76=$A$520,5,IF(D76=$A$521,6))))))</f>
        <v>4</v>
      </c>
      <c r="D76" s="20" t="str">
        <f t="shared" si="19"/>
        <v>hld</v>
      </c>
      <c r="E76" s="20" t="s">
        <v>3415</v>
      </c>
      <c r="F76" s="280"/>
      <c r="G76" s="13" t="s">
        <v>760</v>
      </c>
      <c r="H76" s="14" t="s">
        <v>4320</v>
      </c>
      <c r="I76" s="280"/>
      <c r="J76" s="13" t="s">
        <v>111</v>
      </c>
      <c r="K76" s="15" t="s">
        <v>3417</v>
      </c>
      <c r="L76" s="15" t="s">
        <v>3418</v>
      </c>
      <c r="M76" s="15" t="s">
        <v>3420</v>
      </c>
      <c r="N76" s="15" t="s">
        <v>3419</v>
      </c>
      <c r="O76" s="282"/>
      <c r="P76" s="282"/>
      <c r="Q76" s="282"/>
      <c r="R76" s="277"/>
      <c r="S76" s="35" t="s">
        <v>144</v>
      </c>
      <c r="T76" s="280">
        <v>2022</v>
      </c>
      <c r="U76" s="284">
        <v>42.744999999999997</v>
      </c>
      <c r="V76" s="284">
        <v>9</v>
      </c>
      <c r="W76" s="36">
        <f>+V76/U76</f>
        <v>0.21055094163060009</v>
      </c>
      <c r="X76" s="284">
        <v>15</v>
      </c>
      <c r="Y76" s="284">
        <v>-5.5629999999999997</v>
      </c>
      <c r="Z76" s="277"/>
      <c r="AA76" s="15" t="s">
        <v>99</v>
      </c>
      <c r="AB76" s="17" t="s">
        <v>3418</v>
      </c>
      <c r="AC76" s="21" t="s">
        <v>153</v>
      </c>
      <c r="AD76" s="21" t="s">
        <v>153</v>
      </c>
      <c r="AE76" s="13" t="s">
        <v>273</v>
      </c>
      <c r="AF76" s="284"/>
      <c r="AG76" s="282"/>
      <c r="AH76" s="277"/>
      <c r="AI76" s="42">
        <f t="shared" ca="1" si="20"/>
        <v>302</v>
      </c>
      <c r="AJ76" s="42">
        <f t="shared" ca="1" si="18"/>
        <v>287</v>
      </c>
      <c r="AK76" s="13" t="s">
        <v>87</v>
      </c>
      <c r="AL76" s="288" t="str">
        <f t="shared" si="21"/>
        <v>On-hold</v>
      </c>
      <c r="AM76" s="289">
        <v>45362</v>
      </c>
      <c r="AN76" s="289">
        <v>45362</v>
      </c>
      <c r="AO76" s="289" t="s">
        <v>65</v>
      </c>
      <c r="AP76" s="289">
        <v>45362</v>
      </c>
      <c r="AQ76" s="38"/>
      <c r="AR76" s="38"/>
      <c r="AS76" s="38"/>
      <c r="AT76" s="38"/>
      <c r="AU76" s="38"/>
      <c r="AV76" s="38"/>
      <c r="AW76" s="38">
        <v>45362</v>
      </c>
      <c r="AX76" s="290">
        <v>45377</v>
      </c>
      <c r="AY76" s="290"/>
      <c r="AZ76" s="290"/>
      <c r="BA76" s="291"/>
      <c r="BB76" s="290"/>
      <c r="BC76" s="11" t="s">
        <v>7</v>
      </c>
    </row>
    <row r="77" spans="1:55" x14ac:dyDescent="0.35">
      <c r="A77" s="277"/>
      <c r="B77" s="463">
        <f>IF(D77=$A$516,1,IF(D77=$A$517,2,IF(D77=$A$518,3,IF(D77=$A$519,4,IF(D77=$A$520,5,IF(D77=$A$521,6))))))</f>
        <v>4</v>
      </c>
      <c r="C77" s="463"/>
      <c r="D77" s="711" t="str">
        <f t="shared" si="19"/>
        <v>hld</v>
      </c>
      <c r="E77" s="465" t="s">
        <v>1893</v>
      </c>
      <c r="F77" s="466"/>
      <c r="G77" s="466" t="s">
        <v>103</v>
      </c>
      <c r="H77" s="477">
        <v>10693910969</v>
      </c>
      <c r="I77" s="466"/>
      <c r="J77" s="466" t="s">
        <v>2690</v>
      </c>
      <c r="K77" s="467" t="s">
        <v>2724</v>
      </c>
      <c r="L77" s="467" t="s">
        <v>3555</v>
      </c>
      <c r="M77" s="467"/>
      <c r="N77" s="467"/>
      <c r="O77" s="467"/>
      <c r="P77" s="467"/>
      <c r="Q77" s="467"/>
      <c r="R77" s="463"/>
      <c r="S77" s="468"/>
      <c r="T77" s="466"/>
      <c r="U77" s="469"/>
      <c r="V77" s="469"/>
      <c r="W77" s="36"/>
      <c r="X77" s="469"/>
      <c r="Y77" s="469"/>
      <c r="Z77" s="463"/>
      <c r="AA77" s="500" t="s">
        <v>60</v>
      </c>
      <c r="AB77" s="469"/>
      <c r="AC77" s="478" t="s">
        <v>78</v>
      </c>
      <c r="AD77" s="478" t="s">
        <v>78</v>
      </c>
      <c r="AE77" s="466" t="s">
        <v>86</v>
      </c>
      <c r="AF77" s="469"/>
      <c r="AG77" s="467"/>
      <c r="AH77" s="463"/>
      <c r="AI77" s="42">
        <f t="shared" ca="1" si="20"/>
        <v>292</v>
      </c>
      <c r="AJ77" s="42">
        <f t="shared" ca="1" si="18"/>
        <v>292</v>
      </c>
      <c r="AK77" s="466" t="s">
        <v>2725</v>
      </c>
      <c r="AL77" s="480" t="str">
        <f t="shared" si="21"/>
        <v>On-hold</v>
      </c>
      <c r="AM77" s="473">
        <v>45372</v>
      </c>
      <c r="AN77" s="473">
        <v>45372</v>
      </c>
      <c r="AO77" s="473">
        <v>45372</v>
      </c>
      <c r="AP77" s="473">
        <v>45372</v>
      </c>
      <c r="AQ77" s="38">
        <v>45372</v>
      </c>
      <c r="AR77" s="38">
        <v>45372</v>
      </c>
      <c r="AS77" s="38"/>
      <c r="AT77" s="38"/>
      <c r="AU77" s="38"/>
      <c r="AV77" s="38"/>
      <c r="AW77" s="449">
        <v>45372</v>
      </c>
      <c r="AX77" s="449">
        <v>45372</v>
      </c>
      <c r="AY77" s="449"/>
      <c r="AZ77" s="449"/>
      <c r="BA77" s="481"/>
      <c r="BB77" s="449"/>
      <c r="BC77" s="11" t="s">
        <v>7</v>
      </c>
    </row>
    <row r="78" spans="1:55" x14ac:dyDescent="0.35">
      <c r="A78" s="255"/>
      <c r="B78" s="497">
        <f>IF(D78=$A$516,1,IF(D78=$A$517,2,IF(D78=$A$518,3,IF(D78=$A$519,4,IF(D78=$A$520,5,IF(D78=$A$521,6))))))</f>
        <v>4</v>
      </c>
      <c r="C78" s="497"/>
      <c r="D78" s="711" t="str">
        <f t="shared" si="19"/>
        <v>hld</v>
      </c>
      <c r="E78" s="507" t="s">
        <v>1964</v>
      </c>
      <c r="F78" s="501"/>
      <c r="G78" s="13" t="s">
        <v>103</v>
      </c>
      <c r="H78" s="501"/>
      <c r="I78" s="499"/>
      <c r="J78" s="508" t="s">
        <v>2690</v>
      </c>
      <c r="K78" s="500" t="s">
        <v>2724</v>
      </c>
      <c r="L78" s="500"/>
      <c r="M78" s="500"/>
      <c r="N78" s="500"/>
      <c r="O78" s="500"/>
      <c r="P78" s="500"/>
      <c r="Q78" s="500"/>
      <c r="R78" s="497"/>
      <c r="S78" s="502"/>
      <c r="T78" s="499"/>
      <c r="U78" s="495"/>
      <c r="V78" s="495"/>
      <c r="W78" s="36"/>
      <c r="X78" s="495"/>
      <c r="Y78" s="495"/>
      <c r="Z78" s="497"/>
      <c r="AA78" s="500" t="s">
        <v>60</v>
      </c>
      <c r="AB78" s="495"/>
      <c r="AC78" s="496" t="s">
        <v>78</v>
      </c>
      <c r="AD78" s="496" t="s">
        <v>78</v>
      </c>
      <c r="AE78" s="495" t="s">
        <v>86</v>
      </c>
      <c r="AF78" s="495" t="s">
        <v>3458</v>
      </c>
      <c r="AG78" s="500"/>
      <c r="AH78" s="497"/>
      <c r="AI78" s="504">
        <f t="shared" ca="1" si="20"/>
        <v>300</v>
      </c>
      <c r="AJ78" s="504">
        <f t="shared" ca="1" si="18"/>
        <v>300</v>
      </c>
      <c r="AK78" s="499" t="s">
        <v>2725</v>
      </c>
      <c r="AL78" s="503" t="str">
        <f t="shared" si="21"/>
        <v>On-hold</v>
      </c>
      <c r="AM78" s="498">
        <v>45364</v>
      </c>
      <c r="AN78" s="498">
        <v>45364</v>
      </c>
      <c r="AO78" s="498">
        <v>45364</v>
      </c>
      <c r="AP78" s="498">
        <v>45364</v>
      </c>
      <c r="AQ78" s="38">
        <v>45364</v>
      </c>
      <c r="AR78" s="38"/>
      <c r="AS78" s="38"/>
      <c r="AT78" s="38"/>
      <c r="AU78" s="38"/>
      <c r="AV78" s="38"/>
      <c r="AW78" s="505">
        <v>44640</v>
      </c>
      <c r="AX78" s="505">
        <v>44640</v>
      </c>
      <c r="AY78" s="505"/>
      <c r="AZ78" s="505"/>
      <c r="BA78" s="506" t="str">
        <f>+IF(AY78="","",COUNTA(AN78:AV78)/(COUNTA(AN78:AV78)+COUNTBLANK(AN78:AV78)))</f>
        <v/>
      </c>
      <c r="BB78" s="505"/>
      <c r="BC78" s="11" t="s">
        <v>7</v>
      </c>
    </row>
    <row r="79" spans="1:55" x14ac:dyDescent="0.35">
      <c r="A79" s="497"/>
      <c r="B79" s="16">
        <f>IF(D79=$A$516,1,IF(D79=$A$517,2,IF(D79=$A$518,3,IF(D79=$A$519,4,IF(D79=$A$520,5,IF(D79=$A$521,6))))))</f>
        <v>4</v>
      </c>
      <c r="D79" s="20" t="str">
        <f t="shared" si="19"/>
        <v>hld</v>
      </c>
      <c r="E79" s="20" t="s">
        <v>3241</v>
      </c>
      <c r="F79" s="13"/>
      <c r="G79" s="13" t="s">
        <v>1038</v>
      </c>
      <c r="H79" s="14"/>
      <c r="I79" s="13"/>
      <c r="J79" s="268" t="s">
        <v>2690</v>
      </c>
      <c r="K79" s="15" t="s">
        <v>2724</v>
      </c>
      <c r="L79" s="15" t="s">
        <v>3242</v>
      </c>
      <c r="M79" s="15"/>
      <c r="N79" s="15"/>
      <c r="O79" s="15"/>
      <c r="P79" s="15"/>
      <c r="Q79" s="15"/>
      <c r="S79" s="35" t="s">
        <v>77</v>
      </c>
      <c r="T79" s="13"/>
      <c r="U79" s="17"/>
      <c r="V79" s="17"/>
      <c r="W79" s="36"/>
      <c r="X79" s="17"/>
      <c r="Y79" s="17"/>
      <c r="AA79" s="15" t="s">
        <v>60</v>
      </c>
      <c r="AB79" s="17"/>
      <c r="AC79" s="21" t="s">
        <v>78</v>
      </c>
      <c r="AD79" s="21" t="s">
        <v>78</v>
      </c>
      <c r="AE79" s="13" t="s">
        <v>86</v>
      </c>
      <c r="AF79" s="17"/>
      <c r="AG79" s="139" t="s">
        <v>3260</v>
      </c>
      <c r="AI79" s="42">
        <f t="shared" ca="1" si="20"/>
        <v>341</v>
      </c>
      <c r="AJ79" s="42">
        <f t="shared" ca="1" si="18"/>
        <v>229</v>
      </c>
      <c r="AK79" s="13" t="s">
        <v>2725</v>
      </c>
      <c r="AL79" s="288" t="str">
        <f t="shared" si="21"/>
        <v>On-hold</v>
      </c>
      <c r="AM79" s="37">
        <v>45323</v>
      </c>
      <c r="AN79" s="37">
        <v>45323</v>
      </c>
      <c r="AO79" s="37" t="s">
        <v>65</v>
      </c>
      <c r="AP79" s="37">
        <v>45323</v>
      </c>
      <c r="AQ79" s="38">
        <v>45335</v>
      </c>
      <c r="AR79" s="38">
        <v>45355</v>
      </c>
      <c r="AS79" s="38"/>
      <c r="AT79" s="38"/>
      <c r="AU79" s="38"/>
      <c r="AV79" s="38"/>
      <c r="AW79" s="38">
        <v>45435</v>
      </c>
      <c r="AX79" s="38">
        <v>45363</v>
      </c>
      <c r="AY79" s="38"/>
      <c r="AZ79" s="38"/>
      <c r="BA79" s="39"/>
      <c r="BB79" s="38"/>
      <c r="BC79" s="11" t="s">
        <v>7</v>
      </c>
    </row>
    <row r="80" spans="1:55" x14ac:dyDescent="0.35">
      <c r="A80" s="358"/>
      <c r="B80" s="277">
        <f>IF(D80=$A$516,1,IF(D80=$A$517,2,IF(D80=$A$518,3,IF(D80=$A$519,4,IF(D80=$A$520,5,IF(D80=$A$521,6))))))</f>
        <v>4</v>
      </c>
      <c r="C80" s="277"/>
      <c r="D80" s="711" t="str">
        <f t="shared" si="19"/>
        <v>hld</v>
      </c>
      <c r="E80" s="279" t="s">
        <v>2906</v>
      </c>
      <c r="F80" s="280"/>
      <c r="G80" s="280" t="s">
        <v>68</v>
      </c>
      <c r="H80" s="281" t="s">
        <v>2911</v>
      </c>
      <c r="I80" s="280">
        <v>812202</v>
      </c>
      <c r="J80" s="280" t="s">
        <v>105</v>
      </c>
      <c r="K80" s="282" t="s">
        <v>2908</v>
      </c>
      <c r="L80" s="282" t="s">
        <v>2909</v>
      </c>
      <c r="M80" s="282" t="s">
        <v>2909</v>
      </c>
      <c r="N80" s="282"/>
      <c r="O80" s="282" t="s">
        <v>2909</v>
      </c>
      <c r="P80" s="282"/>
      <c r="Q80" s="282"/>
      <c r="R80" s="277"/>
      <c r="S80" s="283" t="s">
        <v>77</v>
      </c>
      <c r="T80" s="280">
        <v>2022</v>
      </c>
      <c r="U80" s="284">
        <v>16</v>
      </c>
      <c r="V80" s="284">
        <v>0.6</v>
      </c>
      <c r="W80" s="36">
        <f t="shared" ref="W80:W87" si="22">+V80/U80</f>
        <v>3.7499999999999999E-2</v>
      </c>
      <c r="X80" s="284">
        <v>0.217</v>
      </c>
      <c r="Y80" s="284">
        <v>0.60899999999999999</v>
      </c>
      <c r="Z80" s="277"/>
      <c r="AA80" s="282" t="s">
        <v>60</v>
      </c>
      <c r="AB80" s="284" t="s">
        <v>2907</v>
      </c>
      <c r="AC80" s="285" t="s">
        <v>153</v>
      </c>
      <c r="AD80" s="285" t="s">
        <v>153</v>
      </c>
      <c r="AE80" s="286" t="s">
        <v>155</v>
      </c>
      <c r="AF80" s="284" t="s">
        <v>154</v>
      </c>
      <c r="AG80" s="282"/>
      <c r="AH80" s="277"/>
      <c r="AI80" s="42">
        <f t="shared" ca="1" si="20"/>
        <v>350</v>
      </c>
      <c r="AJ80" s="42">
        <f t="shared" ca="1" si="18"/>
        <v>294</v>
      </c>
      <c r="AK80" s="280" t="s">
        <v>544</v>
      </c>
      <c r="AL80" s="288" t="str">
        <f t="shared" si="21"/>
        <v>On-hold</v>
      </c>
      <c r="AM80" s="289">
        <v>45314</v>
      </c>
      <c r="AN80" s="289">
        <v>45314</v>
      </c>
      <c r="AO80" s="289" t="s">
        <v>65</v>
      </c>
      <c r="AP80" s="289">
        <v>45314</v>
      </c>
      <c r="AQ80" s="38">
        <v>45315</v>
      </c>
      <c r="AR80" s="38"/>
      <c r="AS80" s="38"/>
      <c r="AT80" s="38"/>
      <c r="AU80" s="38"/>
      <c r="AV80" s="38"/>
      <c r="AW80" s="290">
        <v>45316</v>
      </c>
      <c r="AX80" s="290">
        <v>45370</v>
      </c>
      <c r="AY80" s="290"/>
      <c r="AZ80" s="290"/>
      <c r="BA80" s="291" t="str">
        <f>+IF(AY80="","",COUNTA(AN80:AV80)/(COUNTA(AN80:AV80)+COUNTBLANK(AN80:AV80)))</f>
        <v/>
      </c>
      <c r="BB80" s="290"/>
      <c r="BC80" s="11" t="s">
        <v>7</v>
      </c>
    </row>
    <row r="81" spans="1:55" x14ac:dyDescent="0.35">
      <c r="A81" s="277"/>
      <c r="B81" s="16">
        <f>IF(D81=$A$516,1,IF(D81=$A$517,2,IF(D81=$A$518,3,IF(D81=$A$519,4,IF(D81=$A$520,5,IF(D81=$A$521,6))))))</f>
        <v>4</v>
      </c>
      <c r="D81" s="20" t="str">
        <f t="shared" si="19"/>
        <v>hld</v>
      </c>
      <c r="E81" s="12" t="s">
        <v>641</v>
      </c>
      <c r="F81" s="14"/>
      <c r="G81" s="13" t="s">
        <v>326</v>
      </c>
      <c r="H81" s="14" t="s">
        <v>4321</v>
      </c>
      <c r="I81" s="13">
        <v>463100</v>
      </c>
      <c r="J81" s="13" t="s">
        <v>642</v>
      </c>
      <c r="K81" s="15" t="s">
        <v>643</v>
      </c>
      <c r="L81" s="15" t="s">
        <v>644</v>
      </c>
      <c r="M81" s="15"/>
      <c r="N81" s="15"/>
      <c r="O81" s="15"/>
      <c r="P81" s="15"/>
      <c r="Q81" s="15"/>
      <c r="S81" s="35" t="s">
        <v>77</v>
      </c>
      <c r="T81" s="13">
        <v>2022</v>
      </c>
      <c r="U81" s="17">
        <v>61</v>
      </c>
      <c r="V81" s="17">
        <v>-0.128</v>
      </c>
      <c r="W81" s="36">
        <f t="shared" si="22"/>
        <v>-2.0983606557377051E-3</v>
      </c>
      <c r="X81" s="17">
        <v>7.2999999999999995E-2</v>
      </c>
      <c r="Y81" s="17">
        <v>0.36699999999999999</v>
      </c>
      <c r="AA81" s="15" t="s">
        <v>60</v>
      </c>
      <c r="AB81" s="17"/>
      <c r="AC81" s="21" t="s">
        <v>61</v>
      </c>
      <c r="AD81" s="21" t="s">
        <v>61</v>
      </c>
      <c r="AE81" s="17" t="s">
        <v>86</v>
      </c>
      <c r="AF81" s="17" t="s">
        <v>128</v>
      </c>
      <c r="AG81" s="15"/>
      <c r="AI81" s="42">
        <f t="shared" ca="1" si="20"/>
        <v>554</v>
      </c>
      <c r="AJ81" s="42">
        <f t="shared" ca="1" si="18"/>
        <v>301</v>
      </c>
      <c r="AK81" s="13" t="s">
        <v>64</v>
      </c>
      <c r="AL81" s="288" t="str">
        <f t="shared" si="21"/>
        <v>On-hold</v>
      </c>
      <c r="AM81" s="37">
        <v>45110</v>
      </c>
      <c r="AN81" s="172">
        <f>+AM81</f>
        <v>45110</v>
      </c>
      <c r="AO81" s="37" t="s">
        <v>65</v>
      </c>
      <c r="AP81" s="37" t="s">
        <v>65</v>
      </c>
      <c r="AQ81" s="38">
        <f>+AN81</f>
        <v>45110</v>
      </c>
      <c r="AR81" s="38">
        <v>45114</v>
      </c>
      <c r="AS81" s="38"/>
      <c r="AT81" s="38"/>
      <c r="AU81" s="38"/>
      <c r="AV81" s="38"/>
      <c r="AW81" s="38">
        <v>45342</v>
      </c>
      <c r="AX81" s="38">
        <v>45363</v>
      </c>
      <c r="AY81" s="38"/>
      <c r="AZ81" s="38"/>
      <c r="BA81" s="39" t="str">
        <f>+IF(AY81="","",COUNTA(AN81:AV81)/(COUNTA(AN81:AV81)+COUNTBLANK(AN81:AV81)))</f>
        <v/>
      </c>
      <c r="BB81" s="38"/>
      <c r="BC81" s="11" t="s">
        <v>7</v>
      </c>
    </row>
    <row r="82" spans="1:55" x14ac:dyDescent="0.35">
      <c r="B82" s="16">
        <f>IF(D82=$A$516,1,IF(D82=$A$517,2,IF(D82=$A$518,3,IF(D82=$A$519,4,IF(D82=$A$520,5,IF(D82=$A$521,6))))))</f>
        <v>4</v>
      </c>
      <c r="D82" s="20" t="str">
        <f t="shared" si="19"/>
        <v>hld</v>
      </c>
      <c r="E82" s="20" t="s">
        <v>3030</v>
      </c>
      <c r="F82" s="14"/>
      <c r="G82" s="13" t="s">
        <v>130</v>
      </c>
      <c r="H82" s="14" t="s">
        <v>789</v>
      </c>
      <c r="I82" s="13"/>
      <c r="J82" s="13" t="s">
        <v>239</v>
      </c>
      <c r="K82" s="15" t="s">
        <v>790</v>
      </c>
      <c r="L82" s="15"/>
      <c r="M82" s="15"/>
      <c r="N82" s="15"/>
      <c r="O82" s="15"/>
      <c r="P82" s="15"/>
      <c r="Q82" s="15"/>
      <c r="S82" s="17" t="s">
        <v>77</v>
      </c>
      <c r="T82" s="13">
        <v>2022</v>
      </c>
      <c r="U82" s="17">
        <v>19</v>
      </c>
      <c r="V82" s="17">
        <v>2.2000000000000002</v>
      </c>
      <c r="W82" s="36">
        <f t="shared" si="22"/>
        <v>0.11578947368421054</v>
      </c>
      <c r="X82" s="17">
        <v>0.5</v>
      </c>
      <c r="Y82" s="17">
        <v>1.2</v>
      </c>
      <c r="AA82" s="15" t="s">
        <v>99</v>
      </c>
      <c r="AB82" s="17" t="s">
        <v>2983</v>
      </c>
      <c r="AC82" s="21" t="s">
        <v>78</v>
      </c>
      <c r="AD82" s="21" t="s">
        <v>78</v>
      </c>
      <c r="AE82" s="17"/>
      <c r="AF82" s="17"/>
      <c r="AG82" s="15"/>
      <c r="AI82" s="42">
        <f t="shared" ca="1" si="20"/>
        <v>348</v>
      </c>
      <c r="AJ82" s="42">
        <f t="shared" ca="1" si="18"/>
        <v>301</v>
      </c>
      <c r="AK82" s="13" t="s">
        <v>64</v>
      </c>
      <c r="AL82" s="288" t="str">
        <f t="shared" si="21"/>
        <v>On-hold</v>
      </c>
      <c r="AM82" s="289">
        <v>45316</v>
      </c>
      <c r="AN82" s="289">
        <f>+AM82</f>
        <v>45316</v>
      </c>
      <c r="AO82" s="289" t="s">
        <v>65</v>
      </c>
      <c r="AP82" s="289">
        <v>45344</v>
      </c>
      <c r="AQ82" s="38">
        <v>45344</v>
      </c>
      <c r="AR82" s="38"/>
      <c r="AS82" s="38"/>
      <c r="AT82" s="38"/>
      <c r="AU82" s="38"/>
      <c r="AV82" s="38"/>
      <c r="AW82" s="38"/>
      <c r="AX82" s="38">
        <v>45363</v>
      </c>
      <c r="AY82" s="38"/>
      <c r="AZ82" s="38"/>
      <c r="BA82" s="39" t="str">
        <f>+IF(AY82="","",COUNTA(AN82:AV82)/(COUNTA(AN82:AV82)+COUNTBLANK(AN82:AV82)))</f>
        <v/>
      </c>
      <c r="BB82" s="38"/>
      <c r="BC82" s="11" t="s">
        <v>7</v>
      </c>
    </row>
    <row r="83" spans="1:55" x14ac:dyDescent="0.35">
      <c r="B83" s="434">
        <f>IF(D83=$A$516,1,IF(D83=$A$517,2,IF(D83=$A$518,3,IF(D83=$A$519,4,IF(D83=$A$520,5,IF(D83=$A$521,6))))))</f>
        <v>4</v>
      </c>
      <c r="C83" s="434"/>
      <c r="D83" s="711" t="str">
        <f t="shared" si="19"/>
        <v>hld</v>
      </c>
      <c r="E83" s="20" t="s">
        <v>4002</v>
      </c>
      <c r="F83" s="435"/>
      <c r="G83" s="435" t="s">
        <v>103</v>
      </c>
      <c r="H83" s="14" t="s">
        <v>3997</v>
      </c>
      <c r="I83" s="435"/>
      <c r="J83" s="436" t="s">
        <v>3330</v>
      </c>
      <c r="K83" s="437" t="s">
        <v>3331</v>
      </c>
      <c r="L83" s="437" t="s">
        <v>3332</v>
      </c>
      <c r="M83" s="15" t="s">
        <v>3998</v>
      </c>
      <c r="N83" s="15" t="s">
        <v>3999</v>
      </c>
      <c r="O83" s="15" t="s">
        <v>4000</v>
      </c>
      <c r="P83" s="437"/>
      <c r="Q83" s="15" t="s">
        <v>4001</v>
      </c>
      <c r="R83" s="434"/>
      <c r="S83" s="438" t="s">
        <v>77</v>
      </c>
      <c r="T83" s="435">
        <v>2022</v>
      </c>
      <c r="U83" s="439">
        <v>13.58</v>
      </c>
      <c r="V83" s="439">
        <v>0</v>
      </c>
      <c r="W83" s="36">
        <f t="shared" si="22"/>
        <v>0</v>
      </c>
      <c r="X83" s="439">
        <v>1.72</v>
      </c>
      <c r="Y83" s="439">
        <v>0</v>
      </c>
      <c r="Z83" s="434"/>
      <c r="AA83" s="437" t="s">
        <v>60</v>
      </c>
      <c r="AB83" s="439"/>
      <c r="AC83" s="440" t="s">
        <v>78</v>
      </c>
      <c r="AD83" s="440" t="s">
        <v>78</v>
      </c>
      <c r="AE83" s="435"/>
      <c r="AF83" s="439"/>
      <c r="AG83" s="441"/>
      <c r="AH83" s="434"/>
      <c r="AI83" s="442">
        <f t="shared" ca="1" si="20"/>
        <v>320</v>
      </c>
      <c r="AJ83" s="442">
        <f t="shared" ca="1" si="18"/>
        <v>301</v>
      </c>
      <c r="AK83" s="435" t="s">
        <v>64</v>
      </c>
      <c r="AL83" s="443" t="str">
        <f t="shared" si="21"/>
        <v>On-hold</v>
      </c>
      <c r="AM83" s="444">
        <v>45344</v>
      </c>
      <c r="AN83" s="444">
        <v>45344</v>
      </c>
      <c r="AO83" s="444" t="s">
        <v>65</v>
      </c>
      <c r="AP83" s="444">
        <v>45344</v>
      </c>
      <c r="AQ83" s="38">
        <v>45355</v>
      </c>
      <c r="AR83" s="38"/>
      <c r="AS83" s="38"/>
      <c r="AT83" s="38"/>
      <c r="AU83" s="38"/>
      <c r="AV83" s="38"/>
      <c r="AW83" s="445"/>
      <c r="AX83" s="445">
        <v>45363</v>
      </c>
      <c r="AY83" s="445"/>
      <c r="AZ83" s="445"/>
      <c r="BA83" s="446"/>
      <c r="BB83" s="445"/>
      <c r="BC83" s="11" t="s">
        <v>7</v>
      </c>
    </row>
    <row r="84" spans="1:55" x14ac:dyDescent="0.35">
      <c r="A84" s="434"/>
      <c r="B84" s="173">
        <f>IF(D84=$A$516,1,IF(D84=$A$517,2,IF(D84=$A$518,3,IF(D84=$A$519,4,IF(D84=$A$520,5,IF(D84=$A$521,6))))))</f>
        <v>4</v>
      </c>
      <c r="D84" s="711" t="str">
        <f t="shared" si="19"/>
        <v>hld</v>
      </c>
      <c r="E84" s="20" t="s">
        <v>2984</v>
      </c>
      <c r="F84" s="174"/>
      <c r="G84" s="174" t="s">
        <v>524</v>
      </c>
      <c r="H84" s="295" t="s">
        <v>2985</v>
      </c>
      <c r="I84" s="174"/>
      <c r="J84" s="269" t="s">
        <v>83</v>
      </c>
      <c r="K84" s="175" t="s">
        <v>2986</v>
      </c>
      <c r="L84" s="15"/>
      <c r="M84" s="15" t="s">
        <v>4003</v>
      </c>
      <c r="N84" s="15" t="s">
        <v>4004</v>
      </c>
      <c r="O84" s="15" t="s">
        <v>4005</v>
      </c>
      <c r="P84" s="175"/>
      <c r="Q84" s="15" t="s">
        <v>4006</v>
      </c>
      <c r="R84" s="173"/>
      <c r="S84" s="176" t="s">
        <v>77</v>
      </c>
      <c r="T84" s="174">
        <v>2022</v>
      </c>
      <c r="U84" s="17">
        <v>12.3</v>
      </c>
      <c r="V84" s="177">
        <v>1.4</v>
      </c>
      <c r="W84" s="36">
        <f t="shared" si="22"/>
        <v>0.11382113821138209</v>
      </c>
      <c r="X84" s="177">
        <v>0.27200000000000002</v>
      </c>
      <c r="Y84" s="177">
        <v>1.7</v>
      </c>
      <c r="Z84" s="173"/>
      <c r="AA84" s="175" t="s">
        <v>99</v>
      </c>
      <c r="AB84" s="1433" t="s">
        <v>601</v>
      </c>
      <c r="AC84" s="178" t="s">
        <v>78</v>
      </c>
      <c r="AD84" s="178" t="s">
        <v>78</v>
      </c>
      <c r="AE84" s="13"/>
      <c r="AF84" s="177"/>
      <c r="AG84" s="294"/>
      <c r="AH84" s="173"/>
      <c r="AI84" s="42">
        <f t="shared" ca="1" si="20"/>
        <v>340</v>
      </c>
      <c r="AJ84" s="42">
        <f t="shared" ca="1" si="18"/>
        <v>301</v>
      </c>
      <c r="AK84" s="174" t="s">
        <v>64</v>
      </c>
      <c r="AL84" s="288" t="str">
        <f t="shared" si="21"/>
        <v>On-hold</v>
      </c>
      <c r="AM84" s="289">
        <v>45324</v>
      </c>
      <c r="AN84" s="448">
        <v>45324</v>
      </c>
      <c r="AO84" s="289" t="s">
        <v>65</v>
      </c>
      <c r="AP84" s="289">
        <v>45352</v>
      </c>
      <c r="AQ84" s="38"/>
      <c r="AR84" s="38"/>
      <c r="AS84" s="38"/>
      <c r="AT84" s="38"/>
      <c r="AU84" s="38"/>
      <c r="AV84" s="38"/>
      <c r="AW84" s="290"/>
      <c r="AX84" s="180">
        <v>45363</v>
      </c>
      <c r="AY84" s="180"/>
      <c r="AZ84" s="180"/>
      <c r="BA84" s="182"/>
      <c r="BB84" s="180"/>
      <c r="BC84" s="11" t="s">
        <v>7</v>
      </c>
    </row>
    <row r="85" spans="1:55" x14ac:dyDescent="0.35">
      <c r="A85" s="173"/>
      <c r="B85" s="16">
        <f>IF(D85=$A$516,1,IF(D85=$A$517,2,IF(D85=$A$518,3,IF(D85=$A$519,4,IF(D85=$A$520,5,IF(D85=$A$521,6))))))</f>
        <v>4</v>
      </c>
      <c r="D85" s="20" t="str">
        <f t="shared" si="19"/>
        <v>hld</v>
      </c>
      <c r="E85" s="12" t="s">
        <v>4323</v>
      </c>
      <c r="F85" s="13"/>
      <c r="G85" s="13" t="s">
        <v>103</v>
      </c>
      <c r="H85" s="14" t="s">
        <v>4322</v>
      </c>
      <c r="I85" s="13"/>
      <c r="J85" s="268" t="s">
        <v>2690</v>
      </c>
      <c r="K85" s="15" t="s">
        <v>2724</v>
      </c>
      <c r="L85" s="15" t="s">
        <v>3336</v>
      </c>
      <c r="M85" s="15"/>
      <c r="N85" s="15"/>
      <c r="O85" s="15"/>
      <c r="P85" s="15"/>
      <c r="Q85" s="15"/>
      <c r="S85" s="35" t="s">
        <v>77</v>
      </c>
      <c r="T85" s="13">
        <v>2023</v>
      </c>
      <c r="U85" s="17">
        <v>2.6179999999999999</v>
      </c>
      <c r="V85" s="17">
        <v>0.23699999999999999</v>
      </c>
      <c r="W85" s="36">
        <f t="shared" si="22"/>
        <v>9.052711993888464E-2</v>
      </c>
      <c r="X85" s="17">
        <v>0.11700000000000001</v>
      </c>
      <c r="Y85" s="17">
        <v>-0.57599999999999996</v>
      </c>
      <c r="AA85" s="15" t="s">
        <v>60</v>
      </c>
      <c r="AB85" s="17"/>
      <c r="AC85" s="178" t="s">
        <v>78</v>
      </c>
      <c r="AD85" s="178" t="s">
        <v>78</v>
      </c>
      <c r="AE85" s="17" t="s">
        <v>86</v>
      </c>
      <c r="AF85" s="13" t="s">
        <v>79</v>
      </c>
      <c r="AG85" s="15"/>
      <c r="AH85" s="677">
        <v>1</v>
      </c>
      <c r="AI85" s="42">
        <f t="shared" ca="1" si="20"/>
        <v>306</v>
      </c>
      <c r="AJ85" s="42">
        <f t="shared" ca="1" si="18"/>
        <v>302</v>
      </c>
      <c r="AK85" s="13" t="s">
        <v>2725</v>
      </c>
      <c r="AL85" s="288" t="str">
        <f t="shared" si="21"/>
        <v>On-hold</v>
      </c>
      <c r="AM85" s="289">
        <v>45358</v>
      </c>
      <c r="AN85" s="289">
        <v>45358</v>
      </c>
      <c r="AO85" s="289" t="s">
        <v>65</v>
      </c>
      <c r="AP85" s="289">
        <v>45358</v>
      </c>
      <c r="AQ85" s="38">
        <v>45358</v>
      </c>
      <c r="AR85" s="38"/>
      <c r="AS85" s="38"/>
      <c r="AT85" s="38"/>
      <c r="AU85" s="38"/>
      <c r="AV85" s="38"/>
      <c r="AW85" s="38"/>
      <c r="AX85" s="38">
        <v>45362</v>
      </c>
      <c r="AY85" s="38"/>
      <c r="AZ85" s="38"/>
      <c r="BA85" s="39" t="str">
        <f>+IF(AY85="","",COUNTA(AN85:AV85)/(COUNTA(AN85:AV85)+COUNTBLANK(AN85:AV85)))</f>
        <v/>
      </c>
      <c r="BB85" s="38"/>
      <c r="BC85" s="11" t="s">
        <v>7</v>
      </c>
    </row>
    <row r="86" spans="1:55" x14ac:dyDescent="0.35">
      <c r="B86" s="16">
        <f>IF(D86=$A$516,1,IF(D86=$A$517,2,IF(D86=$A$518,3,IF(D86=$A$519,4,IF(D86=$A$520,5,IF(D86=$A$521,6))))))</f>
        <v>4</v>
      </c>
      <c r="D86" s="20" t="str">
        <f t="shared" si="19"/>
        <v>hld</v>
      </c>
      <c r="E86" s="20" t="s">
        <v>552</v>
      </c>
      <c r="F86" s="13" t="s">
        <v>553</v>
      </c>
      <c r="G86" s="13" t="s">
        <v>554</v>
      </c>
      <c r="H86" s="14" t="s">
        <v>555</v>
      </c>
      <c r="I86" s="13">
        <v>465201</v>
      </c>
      <c r="J86" s="13" t="s">
        <v>111</v>
      </c>
      <c r="K86" s="15" t="s">
        <v>290</v>
      </c>
      <c r="L86" s="15" t="s">
        <v>556</v>
      </c>
      <c r="M86" s="15" t="s">
        <v>4007</v>
      </c>
      <c r="N86" s="15"/>
      <c r="O86" s="15" t="s">
        <v>557</v>
      </c>
      <c r="P86" s="15"/>
      <c r="Q86" s="15" t="s">
        <v>4009</v>
      </c>
      <c r="S86" s="35" t="s">
        <v>77</v>
      </c>
      <c r="T86" s="13">
        <v>2023</v>
      </c>
      <c r="U86" s="17">
        <v>83</v>
      </c>
      <c r="V86" s="17">
        <v>15</v>
      </c>
      <c r="W86" s="36">
        <f t="shared" si="22"/>
        <v>0.18072289156626506</v>
      </c>
      <c r="X86" s="17">
        <v>9</v>
      </c>
      <c r="Y86" s="17">
        <v>13.263999999999999</v>
      </c>
      <c r="AA86" s="15" t="s">
        <v>60</v>
      </c>
      <c r="AB86" s="17"/>
      <c r="AC86" s="21" t="s">
        <v>86</v>
      </c>
      <c r="AD86" s="17" t="s">
        <v>78</v>
      </c>
      <c r="AE86" s="17" t="s">
        <v>86</v>
      </c>
      <c r="AF86" s="17" t="s">
        <v>128</v>
      </c>
      <c r="AG86" s="15"/>
      <c r="AI86" s="42">
        <f t="shared" ca="1" si="20"/>
        <v>858</v>
      </c>
      <c r="AJ86" s="42">
        <f t="shared" ca="1" si="18"/>
        <v>313</v>
      </c>
      <c r="AK86" s="13" t="s">
        <v>64</v>
      </c>
      <c r="AL86" s="36" t="str">
        <f t="shared" si="21"/>
        <v>On-hold</v>
      </c>
      <c r="AM86" s="37">
        <v>44806</v>
      </c>
      <c r="AN86" s="37">
        <v>44806</v>
      </c>
      <c r="AO86" s="37" t="s">
        <v>65</v>
      </c>
      <c r="AP86" s="37">
        <v>44806</v>
      </c>
      <c r="AQ86" s="38">
        <v>44858</v>
      </c>
      <c r="AR86" s="38" t="s">
        <v>558</v>
      </c>
      <c r="AS86" s="38">
        <v>44960</v>
      </c>
      <c r="AT86" s="38"/>
      <c r="AU86" s="38"/>
      <c r="AV86" s="38"/>
      <c r="AW86" s="38">
        <v>45330</v>
      </c>
      <c r="AX86" s="38">
        <v>45351</v>
      </c>
      <c r="AY86" s="38"/>
      <c r="AZ86" s="38"/>
      <c r="BA86" s="39" t="str">
        <f>+IF(AY86="","",COUNTA(AN86:AV86)/(COUNTA(AN86:AV86)+COUNTBLANK(AN86:AV86)))</f>
        <v/>
      </c>
      <c r="BB86" s="38"/>
      <c r="BC86" s="11" t="s">
        <v>7</v>
      </c>
    </row>
    <row r="87" spans="1:55" x14ac:dyDescent="0.35">
      <c r="B87" s="16">
        <f>IF(D87=$A$516,1,IF(D87=$A$517,2,IF(D87=$A$518,3,IF(D87=$A$519,4,IF(D87=$A$520,5,IF(D87=$A$521,6))))))</f>
        <v>4</v>
      </c>
      <c r="D87" s="20" t="str">
        <f t="shared" si="19"/>
        <v>hld</v>
      </c>
      <c r="E87" s="20" t="s">
        <v>2636</v>
      </c>
      <c r="F87" s="13"/>
      <c r="G87" s="13" t="s">
        <v>68</v>
      </c>
      <c r="H87" s="14" t="s">
        <v>2637</v>
      </c>
      <c r="I87" s="13">
        <v>293100</v>
      </c>
      <c r="J87" s="13" t="s">
        <v>498</v>
      </c>
      <c r="K87" s="15" t="s">
        <v>2910</v>
      </c>
      <c r="L87" s="15" t="s">
        <v>2634</v>
      </c>
      <c r="M87" s="15" t="s">
        <v>2638</v>
      </c>
      <c r="N87" s="15"/>
      <c r="O87" s="15" t="s">
        <v>2635</v>
      </c>
      <c r="P87" s="15" t="s">
        <v>2912</v>
      </c>
      <c r="Q87" s="15"/>
      <c r="S87" s="17" t="s">
        <v>77</v>
      </c>
      <c r="T87" s="13">
        <v>2023</v>
      </c>
      <c r="U87" s="17">
        <v>10.4</v>
      </c>
      <c r="V87" s="17">
        <v>3.5</v>
      </c>
      <c r="W87" s="36">
        <f t="shared" si="22"/>
        <v>0.33653846153846151</v>
      </c>
      <c r="X87" s="17">
        <v>2.4</v>
      </c>
      <c r="Y87" s="17">
        <v>-5.5</v>
      </c>
      <c r="AA87" s="170" t="s">
        <v>299</v>
      </c>
      <c r="AB87" s="15"/>
      <c r="AC87" s="21" t="s">
        <v>154</v>
      </c>
      <c r="AD87" s="13" t="s">
        <v>154</v>
      </c>
      <c r="AE87" s="17" t="s">
        <v>155</v>
      </c>
      <c r="AF87" s="17"/>
      <c r="AG87" s="15"/>
      <c r="AI87" s="42">
        <f t="shared" ca="1" si="20"/>
        <v>399</v>
      </c>
      <c r="AJ87" s="42">
        <f t="shared" ca="1" si="18"/>
        <v>302</v>
      </c>
      <c r="AK87" s="13" t="s">
        <v>2672</v>
      </c>
      <c r="AL87" s="36" t="str">
        <f t="shared" si="21"/>
        <v>On-hold</v>
      </c>
      <c r="AM87" s="37">
        <v>45265</v>
      </c>
      <c r="AN87" s="172">
        <v>45265</v>
      </c>
      <c r="AO87" s="37" t="s">
        <v>65</v>
      </c>
      <c r="AP87" s="37">
        <v>45265</v>
      </c>
      <c r="AQ87" s="38">
        <v>45271</v>
      </c>
      <c r="AR87" s="38">
        <v>45314</v>
      </c>
      <c r="AS87" s="38"/>
      <c r="AT87" s="38"/>
      <c r="AU87" s="38"/>
      <c r="AV87" s="38"/>
      <c r="AW87" s="38"/>
      <c r="AX87" s="38">
        <v>45362</v>
      </c>
      <c r="AY87" s="38"/>
      <c r="AZ87" s="38"/>
      <c r="BA87" s="39" t="str">
        <f>+IF(AY87="","",COUNTA(AN87:AV87)/(COUNTA(AN87:AV87)+COUNTBLANK(AN87:AV87)))</f>
        <v/>
      </c>
      <c r="BB87" s="38"/>
      <c r="BC87" s="11" t="s">
        <v>7</v>
      </c>
    </row>
    <row r="88" spans="1:55" x14ac:dyDescent="0.35">
      <c r="B88" s="16">
        <f>IF(D88=$A$516,1,IF(D88=$A$517,2,IF(D88=$A$518,3,IF(D88=$A$519,4,IF(D88=$A$520,5,IF(D88=$A$521,6))))))</f>
        <v>4</v>
      </c>
      <c r="D88" s="20" t="str">
        <f t="shared" si="19"/>
        <v>hld</v>
      </c>
      <c r="E88" s="12" t="s">
        <v>3319</v>
      </c>
      <c r="F88" s="14"/>
      <c r="G88" s="13" t="s">
        <v>326</v>
      </c>
      <c r="H88" s="14"/>
      <c r="I88" s="13"/>
      <c r="J88" s="13" t="s">
        <v>57</v>
      </c>
      <c r="K88" s="15" t="s">
        <v>3320</v>
      </c>
      <c r="L88" s="15" t="s">
        <v>3321</v>
      </c>
      <c r="M88" s="15"/>
      <c r="N88" s="15"/>
      <c r="O88" s="15"/>
      <c r="P88" s="15"/>
      <c r="Q88" s="15"/>
      <c r="S88" s="35" t="s">
        <v>77</v>
      </c>
      <c r="T88" s="13"/>
      <c r="U88" s="17"/>
      <c r="V88" s="17"/>
      <c r="W88" s="36"/>
      <c r="X88" s="17"/>
      <c r="Y88" s="17"/>
      <c r="AA88" s="15" t="s">
        <v>60</v>
      </c>
      <c r="AB88" s="17"/>
      <c r="AC88" s="21" t="s">
        <v>61</v>
      </c>
      <c r="AD88" s="17" t="s">
        <v>61</v>
      </c>
      <c r="AE88" s="17" t="s">
        <v>62</v>
      </c>
      <c r="AF88" s="17"/>
      <c r="AG88" s="15"/>
      <c r="AI88" s="42">
        <f t="shared" ca="1" si="20"/>
        <v>337</v>
      </c>
      <c r="AJ88" s="42">
        <f t="shared" ca="1" si="18"/>
        <v>308</v>
      </c>
      <c r="AK88" s="13" t="s">
        <v>64</v>
      </c>
      <c r="AL88" s="288" t="str">
        <f t="shared" si="21"/>
        <v>On-hold</v>
      </c>
      <c r="AM88" s="289">
        <v>45327</v>
      </c>
      <c r="AN88" s="289">
        <v>45327</v>
      </c>
      <c r="AO88" s="289" t="s">
        <v>65</v>
      </c>
      <c r="AP88" s="289">
        <v>45327</v>
      </c>
      <c r="AQ88" s="38">
        <v>45352</v>
      </c>
      <c r="AR88" s="38"/>
      <c r="AS88" s="38"/>
      <c r="AT88" s="38"/>
      <c r="AU88" s="38"/>
      <c r="AV88" s="38"/>
      <c r="AW88" s="38">
        <v>45352</v>
      </c>
      <c r="AX88" s="38">
        <v>45356</v>
      </c>
      <c r="AY88" s="38"/>
      <c r="AZ88" s="38"/>
      <c r="BA88" s="39" t="str">
        <f>+IF(AY88="","",COUNTA(AN88:AV88)/(COUNTA(AN88:AV88)+COUNTBLANK(AN88:AV88)))</f>
        <v/>
      </c>
      <c r="BB88" s="38"/>
      <c r="BC88" s="11" t="s">
        <v>7</v>
      </c>
    </row>
    <row r="89" spans="1:55" x14ac:dyDescent="0.35">
      <c r="B89" s="16">
        <f>IF(D89=$A$516,1,IF(D89=$A$517,2,IF(D89=$A$518,3,IF(D89=$A$519,4,IF(D89=$A$520,5,IF(D89=$A$521,6))))))</f>
        <v>4</v>
      </c>
      <c r="D89" s="20" t="str">
        <f t="shared" si="19"/>
        <v>hld</v>
      </c>
      <c r="E89" s="20" t="s">
        <v>1581</v>
      </c>
      <c r="F89" s="13"/>
      <c r="G89" s="13" t="s">
        <v>3172</v>
      </c>
      <c r="H89" s="14"/>
      <c r="I89" s="13"/>
      <c r="J89" s="268" t="s">
        <v>3170</v>
      </c>
      <c r="K89" s="15" t="s">
        <v>3171</v>
      </c>
      <c r="L89" s="15"/>
      <c r="M89" s="15"/>
      <c r="N89" s="15"/>
      <c r="O89" s="15"/>
      <c r="P89" s="15"/>
      <c r="Q89" s="15"/>
      <c r="S89" s="35" t="s">
        <v>77</v>
      </c>
      <c r="T89" s="13"/>
      <c r="U89" s="17"/>
      <c r="V89" s="17"/>
      <c r="W89" s="36"/>
      <c r="X89" s="17"/>
      <c r="Y89" s="17"/>
      <c r="AA89" s="15" t="s">
        <v>253</v>
      </c>
      <c r="AB89" s="17"/>
      <c r="AC89" s="21" t="s">
        <v>78</v>
      </c>
      <c r="AD89" s="21" t="s">
        <v>78</v>
      </c>
      <c r="AE89" s="13" t="s">
        <v>128</v>
      </c>
      <c r="AF89" s="17"/>
      <c r="AG89" s="15"/>
      <c r="AI89" s="42">
        <f t="shared" ca="1" si="20"/>
        <v>333</v>
      </c>
      <c r="AJ89" s="42">
        <f t="shared" ca="1" si="18"/>
        <v>314</v>
      </c>
      <c r="AK89" s="13" t="s">
        <v>720</v>
      </c>
      <c r="AL89" s="288" t="str">
        <f t="shared" si="21"/>
        <v>On-hold</v>
      </c>
      <c r="AM89" s="289">
        <v>45331</v>
      </c>
      <c r="AN89" s="289">
        <f>+AM89</f>
        <v>45331</v>
      </c>
      <c r="AO89" s="289" t="s">
        <v>65</v>
      </c>
      <c r="AP89" s="289">
        <v>45331</v>
      </c>
      <c r="AQ89" s="38"/>
      <c r="AR89" s="38"/>
      <c r="AS89" s="38"/>
      <c r="AT89" s="38"/>
      <c r="AU89" s="38"/>
      <c r="AV89" s="38"/>
      <c r="AW89" s="38">
        <v>45331</v>
      </c>
      <c r="AX89" s="38">
        <v>45350</v>
      </c>
      <c r="AY89" s="38"/>
      <c r="AZ89" s="38"/>
      <c r="BA89" s="39"/>
      <c r="BB89" s="38"/>
      <c r="BC89" s="11" t="s">
        <v>7</v>
      </c>
    </row>
    <row r="90" spans="1:55" x14ac:dyDescent="0.35">
      <c r="B90" s="173">
        <f>IF(D90=$A$516,1,IF(D90=$A$517,2,IF(D90=$A$518,3,IF(D90=$A$519,4,IF(D90=$A$520,5,IF(D90=$A$521,6))))))</f>
        <v>4</v>
      </c>
      <c r="C90" s="173"/>
      <c r="D90" s="711" t="str">
        <f t="shared" si="19"/>
        <v>hld</v>
      </c>
      <c r="E90" s="20" t="s">
        <v>3327</v>
      </c>
      <c r="F90" s="174"/>
      <c r="G90" s="13" t="s">
        <v>103</v>
      </c>
      <c r="H90" s="174">
        <v>13253780962</v>
      </c>
      <c r="I90" s="174"/>
      <c r="J90" s="268" t="s">
        <v>433</v>
      </c>
      <c r="K90" s="15" t="s">
        <v>2724</v>
      </c>
      <c r="L90" s="15" t="s">
        <v>3328</v>
      </c>
      <c r="M90" s="175"/>
      <c r="N90" s="175"/>
      <c r="O90" s="175"/>
      <c r="P90" s="175"/>
      <c r="Q90" s="175"/>
      <c r="R90" s="173"/>
      <c r="S90" s="35" t="s">
        <v>77</v>
      </c>
      <c r="T90" s="174"/>
      <c r="U90" s="177"/>
      <c r="V90" s="177"/>
      <c r="W90" s="36"/>
      <c r="X90" s="177"/>
      <c r="Y90" s="177"/>
      <c r="Z90" s="173"/>
      <c r="AA90" s="15" t="s">
        <v>60</v>
      </c>
      <c r="AB90" s="177"/>
      <c r="AC90" s="21" t="s">
        <v>78</v>
      </c>
      <c r="AD90" s="21" t="s">
        <v>78</v>
      </c>
      <c r="AE90" s="13" t="s">
        <v>79</v>
      </c>
      <c r="AF90" s="17" t="s">
        <v>128</v>
      </c>
      <c r="AG90" s="294"/>
      <c r="AH90" s="677">
        <v>1</v>
      </c>
      <c r="AI90" s="42">
        <f t="shared" ca="1" si="20"/>
        <v>327</v>
      </c>
      <c r="AJ90" s="42">
        <f t="shared" ca="1" si="18"/>
        <v>225</v>
      </c>
      <c r="AK90" s="174" t="s">
        <v>2725</v>
      </c>
      <c r="AL90" s="288" t="str">
        <f t="shared" si="21"/>
        <v>On-hold</v>
      </c>
      <c r="AM90" s="289">
        <v>45337</v>
      </c>
      <c r="AN90" s="289">
        <v>45337</v>
      </c>
      <c r="AO90" s="289" t="s">
        <v>65</v>
      </c>
      <c r="AP90" s="289">
        <v>45337</v>
      </c>
      <c r="AQ90" s="38">
        <v>45351</v>
      </c>
      <c r="AR90" s="38">
        <v>45439</v>
      </c>
      <c r="AS90" s="38"/>
      <c r="AT90" s="38"/>
      <c r="AU90" s="38"/>
      <c r="AV90" s="38"/>
      <c r="AW90" s="290">
        <v>45436</v>
      </c>
      <c r="AX90" s="180">
        <v>45436</v>
      </c>
      <c r="AY90" s="180"/>
      <c r="AZ90" s="180"/>
      <c r="BA90" s="182"/>
      <c r="BB90" s="180"/>
      <c r="BC90" s="11" t="s">
        <v>7</v>
      </c>
    </row>
    <row r="91" spans="1:55" x14ac:dyDescent="0.35">
      <c r="A91" s="173"/>
      <c r="B91" s="358">
        <f>IF(D91=$A$516,1,IF(D91=$A$517,2,IF(D91=$A$518,3,IF(D91=$A$519,4,IF(D91=$A$520,5,IF(D91=$A$521,6))))))</f>
        <v>4</v>
      </c>
      <c r="D91" s="711" t="str">
        <f t="shared" si="19"/>
        <v>hld</v>
      </c>
      <c r="E91" s="20" t="s">
        <v>4010</v>
      </c>
      <c r="F91" s="360"/>
      <c r="G91" s="360" t="s">
        <v>822</v>
      </c>
      <c r="H91" s="361" t="s">
        <v>2799</v>
      </c>
      <c r="I91" s="360"/>
      <c r="J91" s="362" t="s">
        <v>377</v>
      </c>
      <c r="K91" s="363" t="s">
        <v>2982</v>
      </c>
      <c r="L91" s="363"/>
      <c r="M91" s="15" t="s">
        <v>4011</v>
      </c>
      <c r="N91" s="15" t="s">
        <v>4012</v>
      </c>
      <c r="O91" s="15" t="s">
        <v>4012</v>
      </c>
      <c r="P91" s="363"/>
      <c r="Q91" s="15" t="s">
        <v>4013</v>
      </c>
      <c r="R91" s="358"/>
      <c r="S91" s="364" t="s">
        <v>77</v>
      </c>
      <c r="T91" s="360">
        <v>2023</v>
      </c>
      <c r="U91" s="365">
        <v>26</v>
      </c>
      <c r="V91" s="365">
        <v>5</v>
      </c>
      <c r="W91" s="36">
        <f>+V91/U91</f>
        <v>0.19230769230769232</v>
      </c>
      <c r="X91" s="365">
        <v>2.4</v>
      </c>
      <c r="Y91" s="365">
        <v>-10</v>
      </c>
      <c r="Z91" s="358"/>
      <c r="AA91" s="363" t="s">
        <v>99</v>
      </c>
      <c r="AB91" s="365" t="s">
        <v>2983</v>
      </c>
      <c r="AC91" s="366" t="s">
        <v>78</v>
      </c>
      <c r="AD91" s="366" t="s">
        <v>78</v>
      </c>
      <c r="AE91" s="360"/>
      <c r="AF91" s="365"/>
      <c r="AG91" s="367"/>
      <c r="AH91" s="358"/>
      <c r="AI91" s="368">
        <f t="shared" ca="1" si="20"/>
        <v>341</v>
      </c>
      <c r="AJ91" s="368">
        <f t="shared" ca="1" si="18"/>
        <v>321</v>
      </c>
      <c r="AK91" s="360" t="s">
        <v>64</v>
      </c>
      <c r="AL91" s="288" t="str">
        <f t="shared" si="21"/>
        <v>On-hold</v>
      </c>
      <c r="AM91" s="289">
        <v>45323</v>
      </c>
      <c r="AN91" s="289">
        <v>45323</v>
      </c>
      <c r="AO91" s="289" t="s">
        <v>65</v>
      </c>
      <c r="AP91" s="289"/>
      <c r="AQ91" s="38"/>
      <c r="AR91" s="38"/>
      <c r="AS91" s="38"/>
      <c r="AT91" s="38"/>
      <c r="AU91" s="38"/>
      <c r="AV91" s="38"/>
      <c r="AW91" s="371"/>
      <c r="AX91" s="38">
        <v>45343</v>
      </c>
      <c r="AY91" s="371"/>
      <c r="AZ91" s="371"/>
      <c r="BA91" s="372"/>
      <c r="BB91" s="371"/>
      <c r="BC91" s="11" t="s">
        <v>7</v>
      </c>
    </row>
    <row r="92" spans="1:55" x14ac:dyDescent="0.35">
      <c r="A92" s="358"/>
      <c r="B92" s="150">
        <f>IF(D92=$A$516,1,IF(D92=$A$517,2,IF(D92=$A$518,3,IF(D92=$A$519,4,IF(D92=$A$520,5,IF(D92=$A$521,6))))))</f>
        <v>4</v>
      </c>
      <c r="D92" s="711" t="str">
        <f t="shared" si="19"/>
        <v>hld</v>
      </c>
      <c r="E92" s="159" t="s">
        <v>648</v>
      </c>
      <c r="F92" s="151"/>
      <c r="G92" s="151" t="s">
        <v>340</v>
      </c>
      <c r="H92" s="152" t="s">
        <v>649</v>
      </c>
      <c r="I92" s="151">
        <v>852000</v>
      </c>
      <c r="J92" s="151" t="s">
        <v>57</v>
      </c>
      <c r="K92" s="15" t="s">
        <v>650</v>
      </c>
      <c r="L92" s="153" t="s">
        <v>651</v>
      </c>
      <c r="M92" s="153"/>
      <c r="N92" s="153"/>
      <c r="O92" s="153"/>
      <c r="P92" s="153"/>
      <c r="Q92" s="153"/>
      <c r="R92" s="150"/>
      <c r="S92" s="154" t="s">
        <v>77</v>
      </c>
      <c r="T92" s="151">
        <v>2023</v>
      </c>
      <c r="U92" s="155">
        <v>0.74</v>
      </c>
      <c r="V92" s="155">
        <v>0.2</v>
      </c>
      <c r="W92" s="36">
        <f>+V92/U92</f>
        <v>0.27027027027027029</v>
      </c>
      <c r="X92" s="155">
        <v>0.92</v>
      </c>
      <c r="Y92" s="155">
        <v>0</v>
      </c>
      <c r="Z92" s="150"/>
      <c r="AA92" s="153" t="s">
        <v>140</v>
      </c>
      <c r="AB92" s="155"/>
      <c r="AC92" s="156" t="s">
        <v>61</v>
      </c>
      <c r="AD92" s="156" t="s">
        <v>61</v>
      </c>
      <c r="AE92" s="155" t="s">
        <v>62</v>
      </c>
      <c r="AF92" s="17" t="s">
        <v>128</v>
      </c>
      <c r="AG92" s="153"/>
      <c r="AH92" s="150"/>
      <c r="AI92" s="42">
        <f t="shared" ca="1" si="20"/>
        <v>725</v>
      </c>
      <c r="AJ92" s="42">
        <f t="shared" ca="1" si="18"/>
        <v>322</v>
      </c>
      <c r="AK92" s="151" t="s">
        <v>87</v>
      </c>
      <c r="AL92" s="288" t="str">
        <f t="shared" si="21"/>
        <v>On-hold</v>
      </c>
      <c r="AM92" s="289">
        <v>44939</v>
      </c>
      <c r="AN92" s="289">
        <f>+AM92</f>
        <v>44939</v>
      </c>
      <c r="AO92" s="289" t="s">
        <v>65</v>
      </c>
      <c r="AP92" s="289">
        <v>44946</v>
      </c>
      <c r="AQ92" s="38">
        <v>44946</v>
      </c>
      <c r="AR92" s="38">
        <v>44970</v>
      </c>
      <c r="AS92" s="38">
        <v>45021</v>
      </c>
      <c r="AT92" s="38">
        <v>45320</v>
      </c>
      <c r="AU92" s="38"/>
      <c r="AV92" s="38"/>
      <c r="AW92" s="157">
        <v>45320</v>
      </c>
      <c r="AX92" s="38">
        <v>45342</v>
      </c>
      <c r="AY92" s="157"/>
      <c r="AZ92" s="157"/>
      <c r="BA92" s="158"/>
      <c r="BB92" s="157"/>
      <c r="BC92" s="11" t="s">
        <v>7</v>
      </c>
    </row>
    <row r="93" spans="1:55" x14ac:dyDescent="0.35">
      <c r="A93" s="150"/>
      <c r="B93" s="255">
        <f>IF(D93=$A$516,1,IF(D93=$A$517,2,IF(D93=$A$518,3,IF(D93=$A$519,4,IF(D93=$A$520,5,IF(D93=$A$521,6))))))</f>
        <v>4</v>
      </c>
      <c r="D93" s="711" t="str">
        <f t="shared" si="19"/>
        <v>hld</v>
      </c>
      <c r="E93" s="12" t="s">
        <v>3254</v>
      </c>
      <c r="F93" s="252"/>
      <c r="G93" s="13" t="s">
        <v>326</v>
      </c>
      <c r="H93" s="14" t="s">
        <v>3255</v>
      </c>
      <c r="I93" s="252"/>
      <c r="J93" s="268" t="s">
        <v>3256</v>
      </c>
      <c r="K93" s="15" t="s">
        <v>3257</v>
      </c>
      <c r="L93" s="15" t="s">
        <v>3258</v>
      </c>
      <c r="M93" s="254"/>
      <c r="N93" s="254"/>
      <c r="O93" s="254"/>
      <c r="P93" s="254"/>
      <c r="Q93" s="254"/>
      <c r="R93" s="255"/>
      <c r="S93" s="256"/>
      <c r="T93" s="252"/>
      <c r="U93" s="257"/>
      <c r="V93" s="257"/>
      <c r="W93" s="36"/>
      <c r="X93" s="257"/>
      <c r="Y93" s="257"/>
      <c r="Z93" s="255"/>
      <c r="AA93" s="254" t="s">
        <v>60</v>
      </c>
      <c r="AB93" s="257"/>
      <c r="AC93" s="21" t="s">
        <v>62</v>
      </c>
      <c r="AD93" s="258" t="s">
        <v>61</v>
      </c>
      <c r="AE93" s="21" t="s">
        <v>62</v>
      </c>
      <c r="AF93" s="257"/>
      <c r="AG93" s="254"/>
      <c r="AH93" s="255"/>
      <c r="AI93" s="264">
        <f t="shared" ca="1" si="20"/>
        <v>350</v>
      </c>
      <c r="AJ93" s="264">
        <f t="shared" ca="1" si="18"/>
        <v>322</v>
      </c>
      <c r="AK93" s="252" t="s">
        <v>544</v>
      </c>
      <c r="AL93" s="288" t="str">
        <f t="shared" si="21"/>
        <v>On-hold</v>
      </c>
      <c r="AM93" s="289">
        <v>45314</v>
      </c>
      <c r="AN93" s="289">
        <v>45315</v>
      </c>
      <c r="AO93" s="289" t="s">
        <v>65</v>
      </c>
      <c r="AP93" s="289">
        <v>45315</v>
      </c>
      <c r="AQ93" s="38">
        <v>45316</v>
      </c>
      <c r="AR93" s="38">
        <v>45336</v>
      </c>
      <c r="AS93" s="38"/>
      <c r="AT93" s="38"/>
      <c r="AU93" s="38"/>
      <c r="AV93" s="38"/>
      <c r="AW93" s="263">
        <v>45338</v>
      </c>
      <c r="AX93" s="263">
        <v>45342</v>
      </c>
      <c r="AY93" s="263"/>
      <c r="AZ93" s="263"/>
      <c r="BA93" s="266" t="str">
        <f>+IF(AY93="","",COUNTA(AN93:AV93)/(COUNTA(AN93:AV93)+COUNTBLANK(AN93:AV93)))</f>
        <v/>
      </c>
      <c r="BB93" s="263"/>
      <c r="BC93" s="11" t="s">
        <v>7</v>
      </c>
    </row>
    <row r="94" spans="1:55" x14ac:dyDescent="0.35">
      <c r="A94" s="255"/>
      <c r="B94" s="16">
        <f>IF(D94=$A$516,1,IF(D94=$A$517,2,IF(D94=$A$518,3,IF(D94=$A$519,4,IF(D94=$A$520,5,IF(D94=$A$521,6))))))</f>
        <v>4</v>
      </c>
      <c r="D94" s="20" t="str">
        <f t="shared" si="19"/>
        <v>hld</v>
      </c>
      <c r="E94" s="12" t="s">
        <v>3031</v>
      </c>
      <c r="F94" s="13"/>
      <c r="G94" s="13" t="s">
        <v>103</v>
      </c>
      <c r="H94" s="14"/>
      <c r="I94" s="13"/>
      <c r="J94" s="268" t="s">
        <v>2690</v>
      </c>
      <c r="K94" s="15" t="s">
        <v>2724</v>
      </c>
      <c r="L94" s="15" t="s">
        <v>2916</v>
      </c>
      <c r="M94" s="15"/>
      <c r="N94" s="15"/>
      <c r="O94" s="15"/>
      <c r="P94" s="15"/>
      <c r="Q94" s="15"/>
      <c r="S94" s="35"/>
      <c r="T94" s="13"/>
      <c r="U94" s="17"/>
      <c r="V94" s="17"/>
      <c r="W94" s="36"/>
      <c r="X94" s="17"/>
      <c r="Y94" s="17"/>
      <c r="AA94" s="15" t="s">
        <v>60</v>
      </c>
      <c r="AB94" s="17"/>
      <c r="AC94" s="21" t="s">
        <v>61</v>
      </c>
      <c r="AD94" s="21" t="s">
        <v>61</v>
      </c>
      <c r="AE94" s="61" t="s">
        <v>79</v>
      </c>
      <c r="AF94" s="17"/>
      <c r="AG94" s="15"/>
      <c r="AH94" s="677">
        <v>1</v>
      </c>
      <c r="AI94" s="42">
        <f t="shared" ca="1" si="20"/>
        <v>350</v>
      </c>
      <c r="AJ94" s="42">
        <f t="shared" ca="1" si="18"/>
        <v>321</v>
      </c>
      <c r="AK94" s="13" t="s">
        <v>2725</v>
      </c>
      <c r="AL94" s="288" t="str">
        <f t="shared" si="21"/>
        <v>On-hold</v>
      </c>
      <c r="AM94" s="289">
        <v>45314</v>
      </c>
      <c r="AN94" s="289">
        <v>45314</v>
      </c>
      <c r="AO94" s="289" t="s">
        <v>65</v>
      </c>
      <c r="AP94" s="289">
        <v>45316</v>
      </c>
      <c r="AQ94" s="38">
        <v>45316</v>
      </c>
      <c r="AR94" s="38"/>
      <c r="AS94" s="38"/>
      <c r="AT94" s="38"/>
      <c r="AU94" s="38"/>
      <c r="AV94" s="38"/>
      <c r="AW94" s="38">
        <v>45327</v>
      </c>
      <c r="AX94" s="38">
        <v>45343</v>
      </c>
      <c r="AY94" s="38"/>
      <c r="AZ94" s="38"/>
      <c r="BA94" s="39" t="str">
        <f>+IF(AY94="","",COUNTA(AN94:AV94)/(COUNTA(AN94:AV94)+COUNTBLANK(AN94:AV94)))</f>
        <v/>
      </c>
      <c r="BB94" s="38"/>
      <c r="BC94" s="11" t="s">
        <v>7</v>
      </c>
    </row>
    <row r="95" spans="1:55" x14ac:dyDescent="0.35">
      <c r="B95" s="398">
        <f>IF(D95=$A$516,1,IF(D95=$A$517,2,IF(D95=$A$518,3,IF(D95=$A$519,4,IF(D95=$A$520,5,IF(D95=$A$521,6))))))</f>
        <v>4</v>
      </c>
      <c r="C95" s="398"/>
      <c r="D95" s="711" t="str">
        <f t="shared" si="19"/>
        <v>hld</v>
      </c>
      <c r="E95" s="414" t="s">
        <v>3243</v>
      </c>
      <c r="F95" s="401"/>
      <c r="G95" s="401" t="s">
        <v>2288</v>
      </c>
      <c r="H95" s="402"/>
      <c r="I95" s="401"/>
      <c r="J95" s="415" t="s">
        <v>3302</v>
      </c>
      <c r="K95" s="403" t="s">
        <v>3303</v>
      </c>
      <c r="L95" s="403" t="s">
        <v>3304</v>
      </c>
      <c r="M95" s="403"/>
      <c r="N95" s="403"/>
      <c r="O95" s="403"/>
      <c r="P95" s="403"/>
      <c r="Q95" s="403"/>
      <c r="R95" s="398"/>
      <c r="S95" s="404" t="s">
        <v>77</v>
      </c>
      <c r="T95" s="401"/>
      <c r="U95" s="405"/>
      <c r="V95" s="405"/>
      <c r="W95" s="36"/>
      <c r="X95" s="405"/>
      <c r="Y95" s="405"/>
      <c r="Z95" s="398"/>
      <c r="AA95" s="403" t="s">
        <v>140</v>
      </c>
      <c r="AB95" s="405"/>
      <c r="AC95" s="407" t="s">
        <v>78</v>
      </c>
      <c r="AD95" s="407" t="s">
        <v>78</v>
      </c>
      <c r="AE95" s="401" t="s">
        <v>128</v>
      </c>
      <c r="AF95" s="405"/>
      <c r="AG95" s="416"/>
      <c r="AH95" s="398"/>
      <c r="AI95" s="408">
        <f t="shared" ca="1" si="20"/>
        <v>341</v>
      </c>
      <c r="AJ95" s="408">
        <f t="shared" ca="1" si="18"/>
        <v>329</v>
      </c>
      <c r="AK95" s="401" t="s">
        <v>720</v>
      </c>
      <c r="AL95" s="417" t="str">
        <f t="shared" si="21"/>
        <v>On-hold</v>
      </c>
      <c r="AM95" s="410">
        <v>45323</v>
      </c>
      <c r="AN95" s="410">
        <v>45330</v>
      </c>
      <c r="AO95" s="410" t="s">
        <v>65</v>
      </c>
      <c r="AP95" s="410">
        <v>45335</v>
      </c>
      <c r="AQ95" s="38"/>
      <c r="AR95" s="38"/>
      <c r="AS95" s="38"/>
      <c r="AT95" s="38"/>
      <c r="AU95" s="38"/>
      <c r="AV95" s="38"/>
      <c r="AW95" s="411">
        <v>45335</v>
      </c>
      <c r="AX95" s="411">
        <v>45335</v>
      </c>
      <c r="AY95" s="411"/>
      <c r="AZ95" s="411"/>
      <c r="BA95" s="418"/>
      <c r="BB95" s="411"/>
      <c r="BC95" s="11" t="s">
        <v>7</v>
      </c>
    </row>
    <row r="96" spans="1:55" x14ac:dyDescent="0.35">
      <c r="A96" s="398"/>
      <c r="B96" s="277">
        <f>IF(D96=$A$516,1,IF(D96=$A$517,2,IF(D96=$A$518,3,IF(D96=$A$519,4,IF(D96=$A$520,5,IF(D96=$A$521,6))))))</f>
        <v>4</v>
      </c>
      <c r="C96" s="277"/>
      <c r="D96" s="711" t="str">
        <f t="shared" si="19"/>
        <v>hld</v>
      </c>
      <c r="E96" s="20" t="s">
        <v>4016</v>
      </c>
      <c r="F96" s="280"/>
      <c r="G96" s="280" t="s">
        <v>103</v>
      </c>
      <c r="H96" s="14" t="s">
        <v>4014</v>
      </c>
      <c r="I96" s="280"/>
      <c r="J96" s="268" t="s">
        <v>2690</v>
      </c>
      <c r="K96" s="15" t="s">
        <v>3834</v>
      </c>
      <c r="L96" s="282" t="s">
        <v>2922</v>
      </c>
      <c r="M96" s="15" t="s">
        <v>4017</v>
      </c>
      <c r="N96" s="15" t="s">
        <v>4015</v>
      </c>
      <c r="O96" s="15" t="s">
        <v>4018</v>
      </c>
      <c r="P96" s="15" t="s">
        <v>4020</v>
      </c>
      <c r="Q96" s="15" t="s">
        <v>4019</v>
      </c>
      <c r="R96" s="277"/>
      <c r="S96" s="283" t="s">
        <v>77</v>
      </c>
      <c r="T96" s="280"/>
      <c r="U96" s="284"/>
      <c r="V96" s="284"/>
      <c r="W96" s="36"/>
      <c r="X96" s="284"/>
      <c r="Y96" s="284"/>
      <c r="Z96" s="277"/>
      <c r="AA96" s="363" t="s">
        <v>927</v>
      </c>
      <c r="AB96" s="284"/>
      <c r="AC96" s="285" t="s">
        <v>61</v>
      </c>
      <c r="AD96" s="285" t="s">
        <v>61</v>
      </c>
      <c r="AE96" s="280" t="s">
        <v>62</v>
      </c>
      <c r="AF96" s="284"/>
      <c r="AG96" s="282"/>
      <c r="AH96" s="277"/>
      <c r="AI96" s="42">
        <f t="shared" ca="1" si="20"/>
        <v>370</v>
      </c>
      <c r="AJ96" s="42">
        <f t="shared" ca="1" si="18"/>
        <v>326</v>
      </c>
      <c r="AK96" s="280" t="s">
        <v>64</v>
      </c>
      <c r="AL96" s="288" t="str">
        <f t="shared" si="21"/>
        <v>On-hold</v>
      </c>
      <c r="AM96" s="289">
        <v>45294</v>
      </c>
      <c r="AN96" s="289">
        <v>45294</v>
      </c>
      <c r="AO96" s="289" t="s">
        <v>65</v>
      </c>
      <c r="AP96" s="289">
        <v>45294</v>
      </c>
      <c r="AQ96" s="38">
        <v>45321</v>
      </c>
      <c r="AR96" s="38"/>
      <c r="AS96" s="38"/>
      <c r="AT96" s="38"/>
      <c r="AU96" s="38"/>
      <c r="AV96" s="38"/>
      <c r="AW96" s="290">
        <v>45321</v>
      </c>
      <c r="AX96" s="290">
        <v>45338</v>
      </c>
      <c r="AY96" s="290"/>
      <c r="AZ96" s="290"/>
      <c r="BA96" s="291"/>
      <c r="BB96" s="290"/>
      <c r="BC96" s="11" t="s">
        <v>7</v>
      </c>
    </row>
    <row r="97" spans="1:55" x14ac:dyDescent="0.35">
      <c r="A97" s="277"/>
      <c r="B97" s="16">
        <f>IF(D97=$A$516,1,IF(D97=$A$517,2,IF(D97=$A$518,3,IF(D97=$A$519,4,IF(D97=$A$520,5,IF(D97=$A$521,6))))))</f>
        <v>4</v>
      </c>
      <c r="D97" s="20" t="str">
        <f t="shared" si="19"/>
        <v>hld</v>
      </c>
      <c r="E97" s="20" t="s">
        <v>2660</v>
      </c>
      <c r="F97" s="13"/>
      <c r="G97" s="13" t="s">
        <v>103</v>
      </c>
      <c r="H97" s="14" t="s">
        <v>1078</v>
      </c>
      <c r="I97" s="13">
        <v>243200</v>
      </c>
      <c r="J97" s="13" t="s">
        <v>111</v>
      </c>
      <c r="K97" s="15" t="s">
        <v>2661</v>
      </c>
      <c r="L97" s="15"/>
      <c r="M97" s="15" t="s">
        <v>2662</v>
      </c>
      <c r="N97" s="15"/>
      <c r="O97" s="15"/>
      <c r="P97" s="15"/>
      <c r="Q97" s="15"/>
      <c r="S97" s="17" t="s">
        <v>77</v>
      </c>
      <c r="T97" s="13">
        <v>2022</v>
      </c>
      <c r="U97" s="17">
        <v>26.566755000000001</v>
      </c>
      <c r="V97" s="17">
        <v>5.0843949999999998</v>
      </c>
      <c r="W97" s="36">
        <f>+V97/U97</f>
        <v>0.19138186052455408</v>
      </c>
      <c r="X97" s="17">
        <v>2.5072269999999999</v>
      </c>
      <c r="Y97" s="17">
        <v>1.764842</v>
      </c>
      <c r="AA97" s="15" t="s">
        <v>99</v>
      </c>
      <c r="AB97" s="15" t="s">
        <v>922</v>
      </c>
      <c r="AC97" s="21" t="s">
        <v>78</v>
      </c>
      <c r="AD97" s="21" t="s">
        <v>78</v>
      </c>
      <c r="AE97" s="13" t="s">
        <v>86</v>
      </c>
      <c r="AF97" s="17"/>
      <c r="AG97" s="15"/>
      <c r="AI97" s="42">
        <f t="shared" ca="1" si="20"/>
        <v>392</v>
      </c>
      <c r="AJ97" s="42">
        <f t="shared" ca="1" si="18"/>
        <v>326</v>
      </c>
      <c r="AK97" s="13" t="s">
        <v>87</v>
      </c>
      <c r="AL97" s="36" t="str">
        <f t="shared" si="21"/>
        <v>On-hold</v>
      </c>
      <c r="AM97" s="37">
        <v>45272</v>
      </c>
      <c r="AN97" s="172">
        <f>+AM97</f>
        <v>45272</v>
      </c>
      <c r="AO97" s="37" t="s">
        <v>65</v>
      </c>
      <c r="AP97" s="37" t="s">
        <v>65</v>
      </c>
      <c r="AQ97" s="38">
        <v>45316</v>
      </c>
      <c r="AR97" s="38"/>
      <c r="AS97" s="38"/>
      <c r="AT97" s="38"/>
      <c r="AU97" s="38"/>
      <c r="AV97" s="38"/>
      <c r="AW97" s="38">
        <v>45323</v>
      </c>
      <c r="AX97" s="38">
        <v>45338</v>
      </c>
      <c r="AY97" s="38"/>
      <c r="AZ97" s="38"/>
      <c r="BA97" s="39"/>
      <c r="BB97" s="38"/>
      <c r="BC97" s="11" t="s">
        <v>7</v>
      </c>
    </row>
    <row r="98" spans="1:55" x14ac:dyDescent="0.35">
      <c r="B98" s="16">
        <f>IF(D98=$A$516,1,IF(D98=$A$517,2,IF(D98=$A$518,3,IF(D98=$A$519,4,IF(D98=$A$520,5,IF(D98=$A$521,6))))))</f>
        <v>4</v>
      </c>
      <c r="D98" s="20" t="str">
        <f t="shared" si="19"/>
        <v>hld</v>
      </c>
      <c r="E98" s="20" t="s">
        <v>287</v>
      </c>
      <c r="F98" s="13"/>
      <c r="G98" s="13" t="s">
        <v>288</v>
      </c>
      <c r="H98" s="14" t="s">
        <v>289</v>
      </c>
      <c r="I98" s="13">
        <v>465201</v>
      </c>
      <c r="J98" s="13" t="s">
        <v>111</v>
      </c>
      <c r="K98" s="15" t="s">
        <v>290</v>
      </c>
      <c r="L98" s="15"/>
      <c r="M98" s="15"/>
      <c r="N98" s="15"/>
      <c r="O98" s="15"/>
      <c r="P98" s="15"/>
      <c r="Q98" s="15"/>
      <c r="S98" s="35" t="s">
        <v>144</v>
      </c>
      <c r="T98" s="13">
        <v>2022</v>
      </c>
      <c r="U98" s="17">
        <v>137.6</v>
      </c>
      <c r="V98" s="17">
        <v>11.97</v>
      </c>
      <c r="W98" s="36">
        <f>+V98/U98</f>
        <v>8.6991279069767447E-2</v>
      </c>
      <c r="X98" s="17">
        <v>-75.2</v>
      </c>
      <c r="Y98" s="17">
        <v>40.450000000000003</v>
      </c>
      <c r="AA98" s="15" t="s">
        <v>99</v>
      </c>
      <c r="AB98" s="17" t="s">
        <v>2903</v>
      </c>
      <c r="AC98" s="21" t="s">
        <v>78</v>
      </c>
      <c r="AD98" s="17" t="s">
        <v>78</v>
      </c>
      <c r="AE98" s="17" t="s">
        <v>86</v>
      </c>
      <c r="AF98" s="17"/>
      <c r="AG98" s="15"/>
      <c r="AI98" s="42">
        <f t="shared" ca="1" si="20"/>
        <v>355</v>
      </c>
      <c r="AJ98" s="42">
        <f t="shared" ca="1" si="18"/>
        <v>326</v>
      </c>
      <c r="AK98" s="13" t="s">
        <v>64</v>
      </c>
      <c r="AL98" s="288" t="str">
        <f t="shared" si="21"/>
        <v>On-hold</v>
      </c>
      <c r="AM98" s="37">
        <v>45309</v>
      </c>
      <c r="AN98" s="172">
        <v>45314</v>
      </c>
      <c r="AO98" s="37" t="s">
        <v>65</v>
      </c>
      <c r="AP98" s="37">
        <v>45314</v>
      </c>
      <c r="AQ98" s="38">
        <v>45315</v>
      </c>
      <c r="AR98" s="38"/>
      <c r="AS98" s="38"/>
      <c r="AT98" s="38"/>
      <c r="AU98" s="38"/>
      <c r="AV98" s="38"/>
      <c r="AW98" s="38">
        <v>45315</v>
      </c>
      <c r="AX98" s="38">
        <v>45338</v>
      </c>
      <c r="AY98" s="38"/>
      <c r="AZ98" s="38"/>
      <c r="BA98" s="39" t="str">
        <f>+IF(AY98="","",COUNTA(AN98:AV98)/(COUNTA(AN98:AV98)+COUNTBLANK(AN98:AV98)))</f>
        <v/>
      </c>
      <c r="BB98" s="38"/>
      <c r="BC98" s="11" t="s">
        <v>7</v>
      </c>
    </row>
    <row r="99" spans="1:55" x14ac:dyDescent="0.35">
      <c r="B99" s="16">
        <f>IF(D99=$A$516,1,IF(D99=$A$517,2,IF(D99=$A$518,3,IF(D99=$A$519,4,IF(D99=$A$520,5,IF(D99=$A$521,6))))))</f>
        <v>4</v>
      </c>
      <c r="D99" s="20" t="str">
        <f t="shared" si="19"/>
        <v>hld</v>
      </c>
      <c r="E99" s="20" t="s">
        <v>3039</v>
      </c>
      <c r="F99" s="13"/>
      <c r="G99" s="13" t="s">
        <v>103</v>
      </c>
      <c r="H99" s="14" t="s">
        <v>4324</v>
      </c>
      <c r="I99" s="13"/>
      <c r="J99" s="268" t="s">
        <v>2690</v>
      </c>
      <c r="K99" s="15" t="s">
        <v>2724</v>
      </c>
      <c r="L99" s="15" t="s">
        <v>3040</v>
      </c>
      <c r="M99" s="15"/>
      <c r="N99" s="15"/>
      <c r="O99" s="15"/>
      <c r="P99" s="15"/>
      <c r="Q99" s="15"/>
      <c r="S99" s="35" t="s">
        <v>77</v>
      </c>
      <c r="T99" s="13">
        <v>2022</v>
      </c>
      <c r="U99" s="17">
        <v>125</v>
      </c>
      <c r="V99" s="17">
        <v>21</v>
      </c>
      <c r="W99" s="36">
        <f>+V99/U99</f>
        <v>0.16800000000000001</v>
      </c>
      <c r="X99" s="17">
        <v>0.33300000000000002</v>
      </c>
      <c r="Y99" s="17">
        <v>44.3</v>
      </c>
      <c r="AA99" s="15" t="s">
        <v>60</v>
      </c>
      <c r="AB99" s="17"/>
      <c r="AC99" s="21" t="s">
        <v>78</v>
      </c>
      <c r="AD99" s="21" t="s">
        <v>78</v>
      </c>
      <c r="AE99" s="13"/>
      <c r="AF99" s="17"/>
      <c r="AG99" s="139" t="s">
        <v>3041</v>
      </c>
      <c r="AI99" s="42">
        <f t="shared" ca="1" si="20"/>
        <v>348</v>
      </c>
      <c r="AJ99" s="42">
        <f t="shared" ca="1" si="18"/>
        <v>326</v>
      </c>
      <c r="AK99" s="13" t="s">
        <v>2725</v>
      </c>
      <c r="AL99" s="288" t="str">
        <f t="shared" si="21"/>
        <v>On-hold</v>
      </c>
      <c r="AM99" s="37">
        <v>45316</v>
      </c>
      <c r="AN99" s="37">
        <f>+AM99</f>
        <v>45316</v>
      </c>
      <c r="AO99" s="37" t="s">
        <v>65</v>
      </c>
      <c r="AP99" s="37">
        <v>45323</v>
      </c>
      <c r="AQ99" s="38">
        <v>45324</v>
      </c>
      <c r="AR99" s="38"/>
      <c r="AS99" s="38"/>
      <c r="AT99" s="38"/>
      <c r="AU99" s="38"/>
      <c r="AV99" s="38"/>
      <c r="AW99" s="38">
        <v>45329</v>
      </c>
      <c r="AX99" s="38">
        <v>45338</v>
      </c>
      <c r="AY99" s="38"/>
      <c r="AZ99" s="38"/>
      <c r="BA99" s="39"/>
      <c r="BB99" s="38"/>
      <c r="BC99" s="11" t="s">
        <v>7</v>
      </c>
    </row>
    <row r="100" spans="1:55" x14ac:dyDescent="0.35">
      <c r="B100" s="255">
        <f>IF(D100=$A$516,1,IF(D100=$A$517,2,IF(D100=$A$518,3,IF(D100=$A$519,4,IF(D100=$A$520,5,IF(D100=$A$521,6))))))</f>
        <v>4</v>
      </c>
      <c r="D100" s="711" t="str">
        <f t="shared" si="19"/>
        <v>hld</v>
      </c>
      <c r="E100" s="260" t="s">
        <v>2722</v>
      </c>
      <c r="F100" s="252"/>
      <c r="G100" s="252" t="s">
        <v>103</v>
      </c>
      <c r="H100" s="253"/>
      <c r="I100" s="252"/>
      <c r="J100" s="267" t="s">
        <v>2690</v>
      </c>
      <c r="K100" s="254" t="s">
        <v>2724</v>
      </c>
      <c r="L100" s="254"/>
      <c r="M100" s="254"/>
      <c r="N100" s="254"/>
      <c r="O100" s="254"/>
      <c r="P100" s="254"/>
      <c r="Q100" s="254"/>
      <c r="R100" s="255"/>
      <c r="S100" s="256"/>
      <c r="T100" s="252"/>
      <c r="U100" s="257"/>
      <c r="V100" s="257"/>
      <c r="W100" s="36"/>
      <c r="X100" s="257"/>
      <c r="Y100" s="257"/>
      <c r="Z100" s="255"/>
      <c r="AA100" s="254" t="s">
        <v>60</v>
      </c>
      <c r="AB100" s="257"/>
      <c r="AC100" s="258" t="s">
        <v>61</v>
      </c>
      <c r="AD100" s="258" t="s">
        <v>61</v>
      </c>
      <c r="AE100" s="366" t="s">
        <v>79</v>
      </c>
      <c r="AF100" s="257"/>
      <c r="AG100" s="254"/>
      <c r="AH100" s="677">
        <v>1</v>
      </c>
      <c r="AI100" s="264">
        <f t="shared" ca="1" si="20"/>
        <v>659</v>
      </c>
      <c r="AJ100" s="264">
        <f t="shared" ca="1" si="18"/>
        <v>322</v>
      </c>
      <c r="AK100" s="252" t="s">
        <v>2725</v>
      </c>
      <c r="AL100" s="288" t="str">
        <f t="shared" si="21"/>
        <v>On-hold</v>
      </c>
      <c r="AM100" s="265">
        <v>45005</v>
      </c>
      <c r="AN100" s="172">
        <v>45301</v>
      </c>
      <c r="AO100" s="265" t="s">
        <v>65</v>
      </c>
      <c r="AP100" s="265" t="s">
        <v>65</v>
      </c>
      <c r="AQ100" s="38">
        <v>45300</v>
      </c>
      <c r="AR100" s="38"/>
      <c r="AS100" s="38"/>
      <c r="AT100" s="38"/>
      <c r="AU100" s="38"/>
      <c r="AV100" s="38"/>
      <c r="AW100" s="263">
        <v>45336</v>
      </c>
      <c r="AX100" s="263">
        <v>45342</v>
      </c>
      <c r="AY100" s="263"/>
      <c r="AZ100" s="263"/>
      <c r="BA100" s="266" t="str">
        <f>+IF(AY100="","",COUNTA(AN100:AV100)/(COUNTA(AN100:AV100)+COUNTBLANK(AN100:AV100)))</f>
        <v/>
      </c>
      <c r="BB100" s="263"/>
      <c r="BC100" s="11" t="s">
        <v>7</v>
      </c>
    </row>
    <row r="101" spans="1:55" x14ac:dyDescent="0.35">
      <c r="A101" s="255"/>
      <c r="B101" s="16">
        <f>IF(D101=$A$516,1,IF(D101=$A$517,2,IF(D101=$A$518,3,IF(D101=$A$519,4,IF(D101=$A$520,5,IF(D101=$A$521,6))))))</f>
        <v>4</v>
      </c>
      <c r="D101" s="20" t="str">
        <f t="shared" si="19"/>
        <v>hld</v>
      </c>
      <c r="E101" s="20" t="s">
        <v>619</v>
      </c>
      <c r="F101" s="13"/>
      <c r="G101" s="13" t="s">
        <v>333</v>
      </c>
      <c r="H101" s="14" t="s">
        <v>620</v>
      </c>
      <c r="I101" s="13">
        <v>204200</v>
      </c>
      <c r="J101" s="13" t="s">
        <v>621</v>
      </c>
      <c r="K101" s="15" t="s">
        <v>622</v>
      </c>
      <c r="L101" s="15"/>
      <c r="M101" s="15" t="s">
        <v>4021</v>
      </c>
      <c r="N101" s="15" t="s">
        <v>4022</v>
      </c>
      <c r="O101" s="15" t="s">
        <v>4023</v>
      </c>
      <c r="P101" s="15" t="s">
        <v>4025</v>
      </c>
      <c r="Q101" s="15" t="s">
        <v>4024</v>
      </c>
      <c r="S101" s="35" t="s">
        <v>77</v>
      </c>
      <c r="T101" s="13">
        <v>2023</v>
      </c>
      <c r="U101" s="17">
        <v>92.63</v>
      </c>
      <c r="V101" s="17">
        <v>16.84</v>
      </c>
      <c r="W101" s="36">
        <f>+V101/U101</f>
        <v>0.18179855338443271</v>
      </c>
      <c r="X101" s="17">
        <v>8.74</v>
      </c>
      <c r="Y101" s="17">
        <v>-14.38</v>
      </c>
      <c r="AA101" s="15" t="s">
        <v>623</v>
      </c>
      <c r="AB101" s="25"/>
      <c r="AC101" s="21" t="s">
        <v>61</v>
      </c>
      <c r="AD101" s="17" t="s">
        <v>61</v>
      </c>
      <c r="AE101" s="17" t="s">
        <v>86</v>
      </c>
      <c r="AF101" s="17"/>
      <c r="AG101" s="15"/>
      <c r="AI101" s="42">
        <f t="shared" ca="1" si="20"/>
        <v>968</v>
      </c>
      <c r="AJ101" s="42">
        <f t="shared" ca="1" si="18"/>
        <v>329</v>
      </c>
      <c r="AK101" s="13" t="s">
        <v>64</v>
      </c>
      <c r="AL101" s="288" t="str">
        <f t="shared" si="21"/>
        <v>On-hold</v>
      </c>
      <c r="AM101" s="37">
        <v>44696</v>
      </c>
      <c r="AN101" s="172">
        <v>44698</v>
      </c>
      <c r="AO101" s="37" t="s">
        <v>65</v>
      </c>
      <c r="AP101" s="37" t="s">
        <v>65</v>
      </c>
      <c r="AQ101" s="38">
        <v>44701</v>
      </c>
      <c r="AR101" s="38">
        <v>44736</v>
      </c>
      <c r="AS101" s="38">
        <v>44747</v>
      </c>
      <c r="AT101" s="38">
        <v>45169</v>
      </c>
      <c r="AU101" s="38"/>
      <c r="AV101" s="38"/>
      <c r="AW101" s="38">
        <v>45313</v>
      </c>
      <c r="AX101" s="38">
        <v>45335</v>
      </c>
      <c r="AY101" s="38"/>
      <c r="AZ101" s="38"/>
      <c r="BA101" s="39" t="str">
        <f>+IF(AY101="","",COUNTA(AN101:AV101)/(COUNTA(AN101:AV101)+COUNTBLANK(AN101:AV101)))</f>
        <v/>
      </c>
      <c r="BB101" s="38"/>
      <c r="BC101" s="11" t="s">
        <v>7</v>
      </c>
    </row>
    <row r="102" spans="1:55" x14ac:dyDescent="0.35">
      <c r="B102" s="173">
        <f>IF(D102=$A$516,1,IF(D102=$A$517,2,IF(D102=$A$518,3,IF(D102=$A$519,4,IF(D102=$A$520,5,IF(D102=$A$521,6))))))</f>
        <v>4</v>
      </c>
      <c r="C102" s="173"/>
      <c r="D102" s="711" t="str">
        <f t="shared" si="19"/>
        <v>hld</v>
      </c>
      <c r="E102" s="20" t="s">
        <v>2978</v>
      </c>
      <c r="F102" s="174"/>
      <c r="G102" s="174" t="s">
        <v>91</v>
      </c>
      <c r="H102" s="174">
        <v>453184806</v>
      </c>
      <c r="I102" s="174"/>
      <c r="J102" s="269" t="s">
        <v>2690</v>
      </c>
      <c r="K102" s="175" t="s">
        <v>2691</v>
      </c>
      <c r="L102" s="15" t="s">
        <v>2979</v>
      </c>
      <c r="M102" s="175"/>
      <c r="N102" s="175"/>
      <c r="O102" s="175"/>
      <c r="P102" s="175"/>
      <c r="Q102" s="175"/>
      <c r="R102" s="173"/>
      <c r="S102" s="176" t="s">
        <v>77</v>
      </c>
      <c r="T102" s="174"/>
      <c r="U102" s="177"/>
      <c r="V102" s="177"/>
      <c r="W102" s="36"/>
      <c r="X102" s="177"/>
      <c r="Y102" s="177"/>
      <c r="Z102" s="173"/>
      <c r="AA102" s="175" t="s">
        <v>60</v>
      </c>
      <c r="AB102" s="177"/>
      <c r="AC102" s="178" t="s">
        <v>78</v>
      </c>
      <c r="AD102" s="178" t="s">
        <v>78</v>
      </c>
      <c r="AE102" s="13" t="s">
        <v>86</v>
      </c>
      <c r="AF102" s="177"/>
      <c r="AG102" s="282"/>
      <c r="AH102" s="173"/>
      <c r="AI102" s="42">
        <f t="shared" ca="1" si="20"/>
        <v>344</v>
      </c>
      <c r="AJ102" s="42">
        <f t="shared" ca="1" si="18"/>
        <v>329</v>
      </c>
      <c r="AK102" s="174" t="s">
        <v>2725</v>
      </c>
      <c r="AL102" s="288" t="str">
        <f t="shared" si="21"/>
        <v>On-hold</v>
      </c>
      <c r="AM102" s="172">
        <v>45320</v>
      </c>
      <c r="AN102" s="172">
        <v>45320</v>
      </c>
      <c r="AO102" s="172" t="s">
        <v>65</v>
      </c>
      <c r="AP102" s="172">
        <v>45320</v>
      </c>
      <c r="AQ102" s="38">
        <v>45329</v>
      </c>
      <c r="AR102" s="38"/>
      <c r="AS102" s="38"/>
      <c r="AT102" s="38"/>
      <c r="AU102" s="38"/>
      <c r="AV102" s="38"/>
      <c r="AW102" s="290">
        <v>45323</v>
      </c>
      <c r="AX102" s="180">
        <v>45335</v>
      </c>
      <c r="AY102" s="180"/>
      <c r="AZ102" s="180"/>
      <c r="BA102" s="182"/>
      <c r="BB102" s="180"/>
      <c r="BC102" s="11" t="s">
        <v>7</v>
      </c>
    </row>
    <row r="103" spans="1:55" x14ac:dyDescent="0.35">
      <c r="A103" s="173"/>
      <c r="B103" s="16">
        <f>IF(D103=$A$516,1,IF(D103=$A$517,2,IF(D103=$A$518,3,IF(D103=$A$519,4,IF(D103=$A$520,5,IF(D103=$A$521,6))))))</f>
        <v>4</v>
      </c>
      <c r="D103" s="20" t="str">
        <f t="shared" si="19"/>
        <v>hld</v>
      </c>
      <c r="E103" s="12" t="s">
        <v>2737</v>
      </c>
      <c r="F103" s="186"/>
      <c r="G103" s="13" t="s">
        <v>278</v>
      </c>
      <c r="H103" s="14"/>
      <c r="I103" s="13"/>
      <c r="J103" s="268" t="s">
        <v>57</v>
      </c>
      <c r="K103" s="15" t="s">
        <v>2738</v>
      </c>
      <c r="L103" s="15" t="s">
        <v>2739</v>
      </c>
      <c r="M103" s="15"/>
      <c r="N103" s="15"/>
      <c r="O103" s="15"/>
      <c r="P103" s="15"/>
      <c r="Q103" s="15"/>
      <c r="S103" s="190"/>
      <c r="T103" s="13"/>
      <c r="U103" s="17"/>
      <c r="V103" s="17"/>
      <c r="W103" s="36"/>
      <c r="X103" s="17"/>
      <c r="Y103" s="17"/>
      <c r="AA103" s="15" t="s">
        <v>99</v>
      </c>
      <c r="AB103" s="17" t="s">
        <v>2740</v>
      </c>
      <c r="AC103" s="21" t="s">
        <v>61</v>
      </c>
      <c r="AD103" s="21" t="s">
        <v>61</v>
      </c>
      <c r="AE103" s="61" t="s">
        <v>62</v>
      </c>
      <c r="AF103" s="17"/>
      <c r="AG103" s="15"/>
      <c r="AI103" s="42">
        <f t="shared" ca="1" si="20"/>
        <v>361</v>
      </c>
      <c r="AJ103" s="42">
        <f t="shared" ca="1" si="18"/>
        <v>330</v>
      </c>
      <c r="AK103" s="186" t="s">
        <v>87</v>
      </c>
      <c r="AL103" s="36" t="str">
        <f t="shared" si="21"/>
        <v>On-hold</v>
      </c>
      <c r="AM103" s="197">
        <v>45303</v>
      </c>
      <c r="AN103" s="172">
        <v>45303</v>
      </c>
      <c r="AO103" s="37" t="s">
        <v>65</v>
      </c>
      <c r="AP103" s="197">
        <v>45303</v>
      </c>
      <c r="AQ103" s="38">
        <v>45322</v>
      </c>
      <c r="AR103" s="38"/>
      <c r="AS103" s="38"/>
      <c r="AT103" s="38"/>
      <c r="AU103" s="38"/>
      <c r="AV103" s="38"/>
      <c r="AW103" s="38">
        <v>45322</v>
      </c>
      <c r="AX103" s="38">
        <v>45334</v>
      </c>
      <c r="AY103" s="38"/>
      <c r="AZ103" s="198"/>
      <c r="BA103" s="202" t="str">
        <f>+IF(AY103="","",COUNTA(AN103:AV103)/(COUNTA(AN103:AV103)+COUNTBLANK(AN103:AV103)))</f>
        <v/>
      </c>
      <c r="BB103" s="198"/>
      <c r="BC103" s="11" t="s">
        <v>7</v>
      </c>
    </row>
    <row r="104" spans="1:55" x14ac:dyDescent="0.35">
      <c r="B104" s="173">
        <f>IF(D104=$A$516,1,IF(D104=$A$517,2,IF(D104=$A$518,3,IF(D104=$A$519,4,IF(D104=$A$520,5,IF(D104=$A$521,6))))))</f>
        <v>4</v>
      </c>
      <c r="C104" s="173"/>
      <c r="D104" s="711" t="str">
        <f t="shared" si="19"/>
        <v>hld</v>
      </c>
      <c r="E104" s="20" t="s">
        <v>2980</v>
      </c>
      <c r="F104" s="174"/>
      <c r="G104" s="174" t="s">
        <v>103</v>
      </c>
      <c r="H104" s="648" t="s">
        <v>4026</v>
      </c>
      <c r="I104" s="174"/>
      <c r="J104" s="269" t="s">
        <v>2690</v>
      </c>
      <c r="K104" s="175" t="s">
        <v>2691</v>
      </c>
      <c r="L104" s="15" t="s">
        <v>2981</v>
      </c>
      <c r="M104" s="649" t="s">
        <v>4027</v>
      </c>
      <c r="N104" s="175"/>
      <c r="O104" s="649" t="s">
        <v>4028</v>
      </c>
      <c r="P104" s="649" t="s">
        <v>4030</v>
      </c>
      <c r="Q104" s="649" t="s">
        <v>4029</v>
      </c>
      <c r="R104" s="173"/>
      <c r="S104" s="176" t="s">
        <v>77</v>
      </c>
      <c r="T104" s="174">
        <v>2022</v>
      </c>
      <c r="U104" s="177">
        <v>15.44</v>
      </c>
      <c r="V104" s="177">
        <v>0</v>
      </c>
      <c r="W104" s="36">
        <f>+V104/U104</f>
        <v>0</v>
      </c>
      <c r="X104" s="177">
        <v>2.0840000000000001</v>
      </c>
      <c r="Y104" s="177">
        <v>0</v>
      </c>
      <c r="Z104" s="173"/>
      <c r="AA104" s="175" t="s">
        <v>60</v>
      </c>
      <c r="AB104" s="177"/>
      <c r="AC104" s="178" t="s">
        <v>78</v>
      </c>
      <c r="AD104" s="178" t="s">
        <v>78</v>
      </c>
      <c r="AE104" s="13"/>
      <c r="AF104" s="177"/>
      <c r="AG104" s="294"/>
      <c r="AH104" s="173"/>
      <c r="AI104" s="42">
        <f t="shared" ca="1" si="20"/>
        <v>403</v>
      </c>
      <c r="AJ104" s="42">
        <f t="shared" ca="1" si="18"/>
        <v>329</v>
      </c>
      <c r="AK104" s="174" t="s">
        <v>64</v>
      </c>
      <c r="AL104" s="36" t="str">
        <f t="shared" si="21"/>
        <v>On-hold</v>
      </c>
      <c r="AM104" s="172">
        <v>45261</v>
      </c>
      <c r="AN104" s="172">
        <v>45261</v>
      </c>
      <c r="AO104" s="172" t="s">
        <v>65</v>
      </c>
      <c r="AP104" s="172">
        <v>45261</v>
      </c>
      <c r="AQ104" s="38">
        <v>45330</v>
      </c>
      <c r="AR104" s="38"/>
      <c r="AS104" s="38"/>
      <c r="AT104" s="38"/>
      <c r="AU104" s="38"/>
      <c r="AV104" s="38"/>
      <c r="AW104" s="290"/>
      <c r="AX104" s="180">
        <v>45335</v>
      </c>
      <c r="AY104" s="180"/>
      <c r="AZ104" s="180"/>
      <c r="BA104" s="182"/>
      <c r="BB104" s="180"/>
      <c r="BC104" s="11" t="s">
        <v>7</v>
      </c>
    </row>
    <row r="105" spans="1:55" x14ac:dyDescent="0.35">
      <c r="A105" s="173"/>
      <c r="B105" s="173">
        <f>IF(D105=$A$516,1,IF(D105=$A$517,2,IF(D105=$A$518,3,IF(D105=$A$519,4,IF(D105=$A$520,5,IF(D105=$A$521,6))))))</f>
        <v>4</v>
      </c>
      <c r="C105" s="173"/>
      <c r="D105" s="711" t="str">
        <f t="shared" si="19"/>
        <v>hld</v>
      </c>
      <c r="E105" s="20" t="s">
        <v>4031</v>
      </c>
      <c r="F105" s="174"/>
      <c r="G105" s="174" t="s">
        <v>103</v>
      </c>
      <c r="H105" s="174">
        <v>12483010968</v>
      </c>
      <c r="I105" s="174"/>
      <c r="J105" s="269" t="s">
        <v>2690</v>
      </c>
      <c r="K105" s="175" t="s">
        <v>2691</v>
      </c>
      <c r="L105" s="15" t="s">
        <v>2693</v>
      </c>
      <c r="M105" s="175"/>
      <c r="N105" s="175"/>
      <c r="O105" s="175"/>
      <c r="P105" s="175"/>
      <c r="Q105" s="175"/>
      <c r="R105" s="173"/>
      <c r="S105" s="176" t="s">
        <v>77</v>
      </c>
      <c r="T105" s="174"/>
      <c r="U105" s="177"/>
      <c r="V105" s="177"/>
      <c r="W105" s="36"/>
      <c r="X105" s="177"/>
      <c r="Y105" s="177"/>
      <c r="Z105" s="173"/>
      <c r="AA105" s="175" t="s">
        <v>60</v>
      </c>
      <c r="AB105" s="177"/>
      <c r="AC105" s="178" t="s">
        <v>78</v>
      </c>
      <c r="AD105" s="178" t="s">
        <v>78</v>
      </c>
      <c r="AE105" s="13" t="s">
        <v>86</v>
      </c>
      <c r="AF105" s="177"/>
      <c r="AG105" s="294" t="s">
        <v>2977</v>
      </c>
      <c r="AH105" s="173"/>
      <c r="AI105" s="42">
        <f t="shared" ca="1" si="20"/>
        <v>390</v>
      </c>
      <c r="AJ105" s="42">
        <f t="shared" ca="1" si="18"/>
        <v>333</v>
      </c>
      <c r="AK105" s="174" t="s">
        <v>64</v>
      </c>
      <c r="AL105" s="36" t="str">
        <f t="shared" si="21"/>
        <v>On-hold</v>
      </c>
      <c r="AM105" s="172">
        <v>45274</v>
      </c>
      <c r="AN105" s="172">
        <v>45274</v>
      </c>
      <c r="AO105" s="172" t="s">
        <v>65</v>
      </c>
      <c r="AP105" s="172">
        <v>45274</v>
      </c>
      <c r="AQ105" s="38">
        <v>45315</v>
      </c>
      <c r="AR105" s="38"/>
      <c r="AS105" s="38"/>
      <c r="AT105" s="38"/>
      <c r="AU105" s="38"/>
      <c r="AV105" s="38"/>
      <c r="AW105" s="180">
        <v>45331</v>
      </c>
      <c r="AX105" s="180">
        <v>45331</v>
      </c>
      <c r="AY105" s="180"/>
      <c r="AZ105" s="180"/>
      <c r="BA105" s="182"/>
      <c r="BB105" s="180"/>
      <c r="BC105" s="11" t="s">
        <v>7</v>
      </c>
    </row>
    <row r="106" spans="1:55" x14ac:dyDescent="0.35">
      <c r="A106" s="173"/>
      <c r="B106" s="173">
        <f>IF(D106=$A$516,1,IF(D106=$A$517,2,IF(D106=$A$518,3,IF(D106=$A$519,4,IF(D106=$A$520,5,IF(D106=$A$521,6))))))</f>
        <v>4</v>
      </c>
      <c r="C106" s="173"/>
      <c r="D106" s="711" t="str">
        <f t="shared" si="19"/>
        <v>hld</v>
      </c>
      <c r="E106" s="20" t="s">
        <v>4032</v>
      </c>
      <c r="F106" s="174"/>
      <c r="G106" s="174" t="s">
        <v>103</v>
      </c>
      <c r="H106" s="648" t="s">
        <v>4033</v>
      </c>
      <c r="I106" s="174"/>
      <c r="J106" s="268" t="s">
        <v>2690</v>
      </c>
      <c r="K106" s="649" t="s">
        <v>3834</v>
      </c>
      <c r="L106" s="15" t="s">
        <v>2695</v>
      </c>
      <c r="M106" s="649" t="s">
        <v>4034</v>
      </c>
      <c r="N106" s="175"/>
      <c r="O106" s="649" t="s">
        <v>4035</v>
      </c>
      <c r="P106" s="649" t="s">
        <v>4036</v>
      </c>
      <c r="Q106" s="649" t="s">
        <v>4037</v>
      </c>
      <c r="R106" s="173"/>
      <c r="S106" s="176" t="s">
        <v>77</v>
      </c>
      <c r="T106" s="174">
        <v>2022</v>
      </c>
      <c r="U106" s="177">
        <v>6.91</v>
      </c>
      <c r="V106" s="177">
        <v>0</v>
      </c>
      <c r="W106" s="36">
        <f>+V106/U106</f>
        <v>0</v>
      </c>
      <c r="X106" s="177">
        <v>3.11</v>
      </c>
      <c r="Y106" s="177">
        <v>0</v>
      </c>
      <c r="Z106" s="173"/>
      <c r="AA106" s="175" t="s">
        <v>60</v>
      </c>
      <c r="AB106" s="177"/>
      <c r="AC106" s="178" t="s">
        <v>78</v>
      </c>
      <c r="AD106" s="178" t="s">
        <v>78</v>
      </c>
      <c r="AE106" s="13" t="s">
        <v>86</v>
      </c>
      <c r="AF106" s="177"/>
      <c r="AG106" s="175"/>
      <c r="AH106" s="173"/>
      <c r="AI106" s="42">
        <f t="shared" ca="1" si="20"/>
        <v>361</v>
      </c>
      <c r="AJ106" s="42">
        <f t="shared" ca="1" si="18"/>
        <v>333</v>
      </c>
      <c r="AK106" s="174" t="s">
        <v>64</v>
      </c>
      <c r="AL106" s="36" t="str">
        <f t="shared" si="21"/>
        <v>On-hold</v>
      </c>
      <c r="AM106" s="172">
        <v>45303</v>
      </c>
      <c r="AN106" s="172">
        <v>45303</v>
      </c>
      <c r="AO106" s="172" t="s">
        <v>65</v>
      </c>
      <c r="AP106" s="172">
        <v>45303</v>
      </c>
      <c r="AQ106" s="38">
        <v>45331</v>
      </c>
      <c r="AR106" s="38"/>
      <c r="AS106" s="38"/>
      <c r="AT106" s="38"/>
      <c r="AU106" s="38"/>
      <c r="AV106" s="38"/>
      <c r="AW106" s="180">
        <v>45331</v>
      </c>
      <c r="AX106" s="180">
        <v>45331</v>
      </c>
      <c r="AY106" s="180"/>
      <c r="AZ106" s="180"/>
      <c r="BA106" s="182"/>
      <c r="BB106" s="180"/>
      <c r="BC106" s="11" t="s">
        <v>7</v>
      </c>
    </row>
    <row r="107" spans="1:55" x14ac:dyDescent="0.35">
      <c r="A107" s="173"/>
      <c r="B107" s="16">
        <f>IF(D107=$A$516,1,IF(D107=$A$517,2,IF(D107=$A$518,3,IF(D107=$A$519,4,IF(D107=$A$520,5,IF(D107=$A$521,6))))))</f>
        <v>4</v>
      </c>
      <c r="D107" s="20" t="str">
        <f t="shared" si="19"/>
        <v>hld</v>
      </c>
      <c r="E107" s="185" t="s">
        <v>2764</v>
      </c>
      <c r="F107" s="13"/>
      <c r="G107" s="13" t="s">
        <v>288</v>
      </c>
      <c r="H107" s="14" t="s">
        <v>4054</v>
      </c>
      <c r="I107" s="13"/>
      <c r="J107" s="268" t="s">
        <v>111</v>
      </c>
      <c r="K107" s="15" t="s">
        <v>2902</v>
      </c>
      <c r="L107" s="15" t="s">
        <v>2789</v>
      </c>
      <c r="M107" s="15" t="s">
        <v>4055</v>
      </c>
      <c r="N107" s="15"/>
      <c r="O107" s="15"/>
      <c r="P107" s="15" t="s">
        <v>4056</v>
      </c>
      <c r="Q107" s="15" t="s">
        <v>4057</v>
      </c>
      <c r="S107" s="35" t="s">
        <v>77</v>
      </c>
      <c r="T107" s="13">
        <v>2022</v>
      </c>
      <c r="U107" s="17">
        <v>41.6</v>
      </c>
      <c r="V107" s="17">
        <v>14.3</v>
      </c>
      <c r="W107" s="36">
        <f>+V107/U107</f>
        <v>0.34375</v>
      </c>
      <c r="X107" s="17">
        <v>10</v>
      </c>
      <c r="Y107" s="17">
        <v>-15</v>
      </c>
      <c r="AA107" s="15" t="s">
        <v>60</v>
      </c>
      <c r="AB107" s="17"/>
      <c r="AC107" s="21" t="s">
        <v>78</v>
      </c>
      <c r="AD107" s="21" t="s">
        <v>153</v>
      </c>
      <c r="AE107" s="61"/>
      <c r="AF107" s="17"/>
      <c r="AG107" s="15"/>
      <c r="AI107" s="42">
        <f t="shared" ca="1" si="20"/>
        <v>372</v>
      </c>
      <c r="AJ107" s="42">
        <f t="shared" ca="1" si="18"/>
        <v>28</v>
      </c>
      <c r="AK107" s="13" t="s">
        <v>2672</v>
      </c>
      <c r="AL107" s="36" t="str">
        <f t="shared" si="21"/>
        <v>On-hold</v>
      </c>
      <c r="AM107" s="37">
        <v>45292</v>
      </c>
      <c r="AN107" s="172">
        <v>45314</v>
      </c>
      <c r="AO107" s="37" t="s">
        <v>65</v>
      </c>
      <c r="AP107" s="37">
        <v>45314</v>
      </c>
      <c r="AQ107" s="38">
        <v>45315</v>
      </c>
      <c r="AR107" s="38"/>
      <c r="AS107" s="38"/>
      <c r="AT107" s="38"/>
      <c r="AU107" s="38"/>
      <c r="AV107" s="38"/>
      <c r="AW107" s="38">
        <v>45636</v>
      </c>
      <c r="AX107" s="38">
        <v>45328</v>
      </c>
      <c r="AY107" s="38"/>
      <c r="AZ107" s="38"/>
      <c r="BA107" s="39" t="str">
        <f t="shared" ref="BA107:BA121" si="23">+IF(AY107="","",COUNTA(AN107:AV107)/(COUNTA(AN107:AV107)+COUNTBLANK(AN107:AV107)))</f>
        <v/>
      </c>
      <c r="BB107" s="38"/>
      <c r="BC107" s="11" t="s">
        <v>7</v>
      </c>
    </row>
    <row r="108" spans="1:55" x14ac:dyDescent="0.35">
      <c r="B108" s="16">
        <f>IF(D108=$A$516,1,IF(D108=$A$517,2,IF(D108=$A$518,3,IF(D108=$A$519,4,IF(D108=$A$520,5,IF(D108=$A$521,6))))))</f>
        <v>4</v>
      </c>
      <c r="D108" s="20" t="str">
        <f t="shared" si="19"/>
        <v>hld</v>
      </c>
      <c r="E108" s="20" t="s">
        <v>2876</v>
      </c>
      <c r="F108" s="13"/>
      <c r="G108" s="13" t="s">
        <v>333</v>
      </c>
      <c r="H108" s="14" t="s">
        <v>4038</v>
      </c>
      <c r="I108" s="13"/>
      <c r="J108" s="13" t="s">
        <v>377</v>
      </c>
      <c r="K108" s="15" t="s">
        <v>2880</v>
      </c>
      <c r="L108" s="15" t="s">
        <v>2881</v>
      </c>
      <c r="M108" s="15" t="s">
        <v>4039</v>
      </c>
      <c r="N108" s="15"/>
      <c r="O108" s="15" t="s">
        <v>4040</v>
      </c>
      <c r="P108" s="15" t="s">
        <v>4041</v>
      </c>
      <c r="Q108" s="15" t="s">
        <v>4042</v>
      </c>
      <c r="S108" s="35" t="s">
        <v>77</v>
      </c>
      <c r="T108" s="13">
        <v>2022</v>
      </c>
      <c r="U108" s="17">
        <v>70</v>
      </c>
      <c r="V108" s="17">
        <v>12</v>
      </c>
      <c r="W108" s="36">
        <f>+V108/U108</f>
        <v>0.17142857142857143</v>
      </c>
      <c r="X108" s="17">
        <v>5.3</v>
      </c>
      <c r="Y108" s="17">
        <v>17.5</v>
      </c>
      <c r="AA108" s="15" t="s">
        <v>623</v>
      </c>
      <c r="AB108" s="17"/>
      <c r="AC108" s="21" t="s">
        <v>78</v>
      </c>
      <c r="AD108" s="21" t="s">
        <v>78</v>
      </c>
      <c r="AE108" s="21" t="s">
        <v>79</v>
      </c>
      <c r="AF108" s="17"/>
      <c r="AG108" s="15"/>
      <c r="AH108" s="677">
        <v>1</v>
      </c>
      <c r="AI108" s="42">
        <f t="shared" ca="1" si="20"/>
        <v>389</v>
      </c>
      <c r="AJ108" s="42">
        <f t="shared" ca="1" si="18"/>
        <v>336</v>
      </c>
      <c r="AK108" s="13" t="s">
        <v>64</v>
      </c>
      <c r="AL108" s="36" t="str">
        <f t="shared" si="21"/>
        <v>On-hold</v>
      </c>
      <c r="AM108" s="37">
        <v>45275</v>
      </c>
      <c r="AN108" s="172">
        <f>+AM108</f>
        <v>45275</v>
      </c>
      <c r="AO108" s="37" t="s">
        <v>65</v>
      </c>
      <c r="AP108" s="37" t="s">
        <v>65</v>
      </c>
      <c r="AQ108" s="38">
        <v>45275</v>
      </c>
      <c r="AR108" s="38"/>
      <c r="AS108" s="38"/>
      <c r="AT108" s="38"/>
      <c r="AU108" s="38"/>
      <c r="AV108" s="38"/>
      <c r="AW108" s="38">
        <v>45320</v>
      </c>
      <c r="AX108" s="38">
        <v>45328</v>
      </c>
      <c r="AY108" s="38"/>
      <c r="AZ108" s="38"/>
      <c r="BA108" s="39" t="str">
        <f t="shared" si="23"/>
        <v/>
      </c>
      <c r="BB108" s="38"/>
      <c r="BC108" s="11" t="s">
        <v>7</v>
      </c>
    </row>
    <row r="109" spans="1:55" x14ac:dyDescent="0.35">
      <c r="B109" s="16">
        <f>IF(D109=$A$516,1,IF(D109=$A$517,2,IF(D109=$A$518,3,IF(D109=$A$519,4,IF(D109=$A$520,5,IF(D109=$A$521,6))))))</f>
        <v>4</v>
      </c>
      <c r="D109" s="20" t="str">
        <f t="shared" si="19"/>
        <v>hld</v>
      </c>
      <c r="E109" s="20" t="s">
        <v>4058</v>
      </c>
      <c r="F109" s="13" t="s">
        <v>194</v>
      </c>
      <c r="G109" s="13" t="s">
        <v>195</v>
      </c>
      <c r="H109" s="14" t="s">
        <v>196</v>
      </c>
      <c r="I109" s="13"/>
      <c r="J109" s="13" t="s">
        <v>197</v>
      </c>
      <c r="K109" s="15" t="s">
        <v>198</v>
      </c>
      <c r="L109" s="15"/>
      <c r="M109" s="15" t="s">
        <v>3955</v>
      </c>
      <c r="N109" s="15"/>
      <c r="O109" s="15"/>
      <c r="P109" s="15" t="s">
        <v>3955</v>
      </c>
      <c r="Q109" s="15"/>
      <c r="S109" s="17" t="s">
        <v>77</v>
      </c>
      <c r="T109" s="13">
        <v>2022</v>
      </c>
      <c r="U109" s="17">
        <v>11.5</v>
      </c>
      <c r="V109" s="17">
        <v>1.45</v>
      </c>
      <c r="W109" s="36">
        <f>+V109/U109</f>
        <v>0.12608695652173912</v>
      </c>
      <c r="X109" s="17">
        <v>0.75</v>
      </c>
      <c r="Y109" s="17">
        <v>2.74</v>
      </c>
      <c r="AA109" s="15" t="s">
        <v>99</v>
      </c>
      <c r="AB109" s="17" t="s">
        <v>199</v>
      </c>
      <c r="AC109" s="21" t="s">
        <v>78</v>
      </c>
      <c r="AD109" s="21" t="s">
        <v>78</v>
      </c>
      <c r="AE109" s="17" t="s">
        <v>79</v>
      </c>
      <c r="AF109" s="17" t="s">
        <v>128</v>
      </c>
      <c r="AG109" s="15"/>
      <c r="AH109" s="677">
        <v>1</v>
      </c>
      <c r="AI109" s="42">
        <f t="shared" ca="1" si="20"/>
        <v>622</v>
      </c>
      <c r="AJ109" s="42">
        <f t="shared" ca="1" si="18"/>
        <v>41</v>
      </c>
      <c r="AK109" s="13" t="s">
        <v>87</v>
      </c>
      <c r="AL109" s="36" t="str">
        <f t="shared" si="21"/>
        <v>On-hold</v>
      </c>
      <c r="AM109" s="37">
        <v>45042</v>
      </c>
      <c r="AN109" s="172">
        <v>45042</v>
      </c>
      <c r="AO109" s="37" t="s">
        <v>65</v>
      </c>
      <c r="AP109" s="37">
        <v>45042</v>
      </c>
      <c r="AQ109" s="38" t="s">
        <v>65</v>
      </c>
      <c r="AR109" s="38">
        <v>45062</v>
      </c>
      <c r="AS109" s="38">
        <v>45068</v>
      </c>
      <c r="AT109" s="38">
        <v>45078</v>
      </c>
      <c r="AU109" s="38" t="s">
        <v>65</v>
      </c>
      <c r="AV109" s="38">
        <v>45082</v>
      </c>
      <c r="AW109" s="38">
        <v>45623</v>
      </c>
      <c r="AX109" s="38">
        <v>45272</v>
      </c>
      <c r="AY109" s="38"/>
      <c r="AZ109" s="38"/>
      <c r="BA109" s="39" t="str">
        <f t="shared" si="23"/>
        <v/>
      </c>
      <c r="BB109" s="38"/>
      <c r="BC109" s="11" t="s">
        <v>7</v>
      </c>
    </row>
    <row r="110" spans="1:55" x14ac:dyDescent="0.35">
      <c r="B110" s="277">
        <f>IF(D110=$A$516,1,IF(D110=$A$517,2,IF(D110=$A$518,3,IF(D110=$A$519,4,IF(D110=$A$520,5,IF(D110=$A$521,6))))))</f>
        <v>4</v>
      </c>
      <c r="C110" s="277"/>
      <c r="D110" s="711" t="str">
        <f t="shared" si="19"/>
        <v>hld</v>
      </c>
      <c r="E110" s="12" t="s">
        <v>2913</v>
      </c>
      <c r="F110" s="280"/>
      <c r="G110" s="13" t="s">
        <v>147</v>
      </c>
      <c r="H110" s="281"/>
      <c r="I110" s="280"/>
      <c r="J110" s="13" t="s">
        <v>57</v>
      </c>
      <c r="K110" s="15" t="s">
        <v>2914</v>
      </c>
      <c r="L110" s="15" t="s">
        <v>2915</v>
      </c>
      <c r="M110" s="282"/>
      <c r="N110" s="282"/>
      <c r="O110" s="282"/>
      <c r="P110" s="282"/>
      <c r="Q110" s="282"/>
      <c r="R110" s="277"/>
      <c r="S110" s="283" t="s">
        <v>77</v>
      </c>
      <c r="T110" s="280">
        <v>2023</v>
      </c>
      <c r="U110" s="284">
        <v>1.6</v>
      </c>
      <c r="V110" s="284">
        <v>0.123</v>
      </c>
      <c r="W110" s="36">
        <f>+V110/U110</f>
        <v>7.6874999999999999E-2</v>
      </c>
      <c r="X110" s="284">
        <v>0.04</v>
      </c>
      <c r="Y110" s="284">
        <v>0.76300000000000001</v>
      </c>
      <c r="Z110" s="277"/>
      <c r="AA110" s="15" t="s">
        <v>140</v>
      </c>
      <c r="AB110" s="284"/>
      <c r="AC110" s="21" t="s">
        <v>61</v>
      </c>
      <c r="AD110" s="21" t="s">
        <v>61</v>
      </c>
      <c r="AE110" s="61" t="s">
        <v>62</v>
      </c>
      <c r="AF110" s="17"/>
      <c r="AG110" s="282"/>
      <c r="AH110" s="277"/>
      <c r="AI110" s="42">
        <f t="shared" ca="1" si="20"/>
        <v>789</v>
      </c>
      <c r="AJ110" s="42">
        <f t="shared" ca="1" si="18"/>
        <v>341</v>
      </c>
      <c r="AK110" s="280" t="s">
        <v>87</v>
      </c>
      <c r="AL110" s="288" t="str">
        <f t="shared" si="21"/>
        <v>On-hold</v>
      </c>
      <c r="AM110" s="289">
        <v>44875</v>
      </c>
      <c r="AN110" s="289">
        <v>44882</v>
      </c>
      <c r="AO110" s="289">
        <v>45314</v>
      </c>
      <c r="AP110" s="289">
        <v>45315</v>
      </c>
      <c r="AQ110" s="38">
        <v>45323</v>
      </c>
      <c r="AR110" s="38"/>
      <c r="AS110" s="38"/>
      <c r="AT110" s="38"/>
      <c r="AU110" s="38"/>
      <c r="AV110" s="38"/>
      <c r="AW110" s="290">
        <v>45323</v>
      </c>
      <c r="AX110" s="290">
        <v>45323</v>
      </c>
      <c r="AY110" s="290"/>
      <c r="AZ110" s="290"/>
      <c r="BA110" s="291" t="str">
        <f t="shared" si="23"/>
        <v/>
      </c>
      <c r="BB110" s="290"/>
      <c r="BC110" s="11" t="s">
        <v>7</v>
      </c>
    </row>
    <row r="111" spans="1:55" x14ac:dyDescent="0.35">
      <c r="A111" s="277"/>
      <c r="B111" s="219">
        <f>IF(D111=$A$516,1,IF(D111=$A$517,2,IF(D111=$A$518,3,IF(D111=$A$519,4,IF(D111=$A$520,5,IF(D111=$A$521,6))))))</f>
        <v>4</v>
      </c>
      <c r="C111" s="219"/>
      <c r="D111" s="711" t="str">
        <f t="shared" si="19"/>
        <v>hld</v>
      </c>
      <c r="E111" s="220" t="s">
        <v>2973</v>
      </c>
      <c r="F111" s="221"/>
      <c r="G111" s="221" t="s">
        <v>634</v>
      </c>
      <c r="H111" s="221"/>
      <c r="I111" s="221"/>
      <c r="J111" s="293" t="s">
        <v>2690</v>
      </c>
      <c r="K111" s="222" t="s">
        <v>2974</v>
      </c>
      <c r="L111" s="282" t="s">
        <v>2971</v>
      </c>
      <c r="M111" s="222"/>
      <c r="N111" s="222"/>
      <c r="O111" s="222"/>
      <c r="P111" s="222"/>
      <c r="Q111" s="222"/>
      <c r="R111" s="219"/>
      <c r="S111" s="223"/>
      <c r="T111" s="221"/>
      <c r="U111" s="224"/>
      <c r="V111" s="224"/>
      <c r="W111" s="36"/>
      <c r="X111" s="224"/>
      <c r="Y111" s="224"/>
      <c r="Z111" s="219"/>
      <c r="AA111" s="222" t="s">
        <v>60</v>
      </c>
      <c r="AB111" s="224"/>
      <c r="AC111" s="225" t="s">
        <v>78</v>
      </c>
      <c r="AD111" s="225" t="s">
        <v>78</v>
      </c>
      <c r="AE111" s="286" t="s">
        <v>86</v>
      </c>
      <c r="AF111" s="284" t="s">
        <v>79</v>
      </c>
      <c r="AG111" s="222"/>
      <c r="AH111" s="677">
        <v>1</v>
      </c>
      <c r="AI111" s="42">
        <f t="shared" ca="1" si="20"/>
        <v>342</v>
      </c>
      <c r="AJ111" s="42">
        <f t="shared" ca="1" si="18"/>
        <v>342</v>
      </c>
      <c r="AK111" s="221" t="s">
        <v>2725</v>
      </c>
      <c r="AL111" s="288" t="str">
        <f t="shared" si="21"/>
        <v>On-hold</v>
      </c>
      <c r="AM111" s="289">
        <v>45322</v>
      </c>
      <c r="AN111" s="289">
        <v>45322</v>
      </c>
      <c r="AO111" s="37" t="s">
        <v>65</v>
      </c>
      <c r="AP111" s="289">
        <v>45322</v>
      </c>
      <c r="AQ111" s="38">
        <v>45322</v>
      </c>
      <c r="AR111" s="38"/>
      <c r="AS111" s="38"/>
      <c r="AT111" s="38"/>
      <c r="AU111" s="38"/>
      <c r="AV111" s="38"/>
      <c r="AW111" s="217">
        <v>45306</v>
      </c>
      <c r="AX111" s="217">
        <v>45322</v>
      </c>
      <c r="AY111" s="217"/>
      <c r="AZ111" s="217"/>
      <c r="BA111" s="229" t="str">
        <f t="shared" si="23"/>
        <v/>
      </c>
      <c r="BB111" s="217"/>
      <c r="BC111" s="11" t="s">
        <v>7</v>
      </c>
    </row>
    <row r="112" spans="1:55" x14ac:dyDescent="0.35">
      <c r="A112" s="219"/>
      <c r="B112" s="16">
        <f>IF(D112=$A$516,1,IF(D112=$A$517,2,IF(D112=$A$518,3,IF(D112=$A$519,4,IF(D112=$A$520,5,IF(D112=$A$521,6))))))</f>
        <v>4</v>
      </c>
      <c r="D112" s="20" t="str">
        <f t="shared" si="19"/>
        <v>hld</v>
      </c>
      <c r="E112" s="12" t="s">
        <v>2892</v>
      </c>
      <c r="G112" s="13" t="s">
        <v>130</v>
      </c>
      <c r="H112" s="14" t="s">
        <v>4062</v>
      </c>
      <c r="I112" s="13"/>
      <c r="J112" s="268" t="s">
        <v>57</v>
      </c>
      <c r="K112" s="15" t="s">
        <v>2893</v>
      </c>
      <c r="L112" s="15" t="s">
        <v>2894</v>
      </c>
      <c r="M112" s="15"/>
      <c r="N112" s="15"/>
      <c r="O112" s="15"/>
      <c r="P112" s="15"/>
      <c r="Q112" s="15"/>
      <c r="S112" s="35" t="s">
        <v>77</v>
      </c>
      <c r="T112" s="13"/>
      <c r="U112" s="17"/>
      <c r="V112" s="17"/>
      <c r="W112" s="36"/>
      <c r="X112" s="17"/>
      <c r="Y112" s="17"/>
      <c r="AA112" s="15" t="s">
        <v>140</v>
      </c>
      <c r="AB112" s="17"/>
      <c r="AC112" s="21" t="s">
        <v>61</v>
      </c>
      <c r="AD112" s="21" t="s">
        <v>61</v>
      </c>
      <c r="AE112" s="61" t="s">
        <v>62</v>
      </c>
      <c r="AF112" s="17" t="s">
        <v>128</v>
      </c>
      <c r="AG112" s="15"/>
      <c r="AI112" s="42">
        <f t="shared" ca="1" si="20"/>
        <v>637</v>
      </c>
      <c r="AJ112" s="42">
        <f t="shared" ca="1" si="18"/>
        <v>343</v>
      </c>
      <c r="AK112" s="13" t="s">
        <v>87</v>
      </c>
      <c r="AL112" s="36" t="str">
        <f t="shared" si="21"/>
        <v>On-hold</v>
      </c>
      <c r="AM112" s="37">
        <v>45027</v>
      </c>
      <c r="AN112" s="172">
        <v>45027</v>
      </c>
      <c r="AO112" s="37" t="s">
        <v>65</v>
      </c>
      <c r="AP112" s="37">
        <v>45027</v>
      </c>
      <c r="AQ112" s="38"/>
      <c r="AR112" s="38"/>
      <c r="AS112" s="38"/>
      <c r="AT112" s="38"/>
      <c r="AU112" s="38"/>
      <c r="AV112" s="38"/>
      <c r="AW112" s="38">
        <v>45314</v>
      </c>
      <c r="AX112" s="38">
        <v>45321</v>
      </c>
      <c r="AY112" s="38"/>
      <c r="AZ112" s="38"/>
      <c r="BA112" s="39" t="str">
        <f t="shared" si="23"/>
        <v/>
      </c>
      <c r="BB112" s="38"/>
      <c r="BC112" s="11" t="s">
        <v>7</v>
      </c>
    </row>
    <row r="113" spans="1:55" x14ac:dyDescent="0.35">
      <c r="B113" s="16">
        <f>IF(D113=$A$516,1,IF(D113=$A$517,2,IF(D113=$A$518,3,IF(D113=$A$519,4,IF(D113=$A$520,5,IF(D113=$A$521,6))))))</f>
        <v>4</v>
      </c>
      <c r="D113" s="20" t="str">
        <f t="shared" si="19"/>
        <v>hld</v>
      </c>
      <c r="E113" s="12" t="s">
        <v>2947</v>
      </c>
      <c r="G113" s="13" t="s">
        <v>340</v>
      </c>
      <c r="H113" s="14" t="s">
        <v>4325</v>
      </c>
      <c r="I113" s="13"/>
      <c r="J113" s="268" t="s">
        <v>1131</v>
      </c>
      <c r="K113" s="15" t="s">
        <v>2948</v>
      </c>
      <c r="L113" s="15" t="s">
        <v>2949</v>
      </c>
      <c r="M113" s="15" t="s">
        <v>4063</v>
      </c>
      <c r="N113" s="15" t="s">
        <v>4064</v>
      </c>
      <c r="O113" s="15" t="s">
        <v>4063</v>
      </c>
      <c r="P113" s="15" t="s">
        <v>4065</v>
      </c>
      <c r="Q113" s="15" t="s">
        <v>4066</v>
      </c>
      <c r="S113" s="35" t="s">
        <v>144</v>
      </c>
      <c r="T113" s="13">
        <v>2022</v>
      </c>
      <c r="U113" s="17">
        <v>498</v>
      </c>
      <c r="V113" s="17">
        <v>33</v>
      </c>
      <c r="W113" s="36">
        <f>+V113/U113</f>
        <v>6.6265060240963861E-2</v>
      </c>
      <c r="X113" s="17">
        <v>1</v>
      </c>
      <c r="Y113" s="17">
        <v>35</v>
      </c>
      <c r="AA113" s="15" t="s">
        <v>60</v>
      </c>
      <c r="AB113" s="17"/>
      <c r="AC113" s="21" t="s">
        <v>61</v>
      </c>
      <c r="AD113" s="21" t="s">
        <v>61</v>
      </c>
      <c r="AE113" s="61" t="s">
        <v>62</v>
      </c>
      <c r="AF113" s="17"/>
      <c r="AG113" s="15"/>
      <c r="AI113" s="42">
        <f t="shared" ca="1" si="20"/>
        <v>370</v>
      </c>
      <c r="AJ113" s="42">
        <f t="shared" ca="1" si="18"/>
        <v>343</v>
      </c>
      <c r="AK113" s="13" t="s">
        <v>70</v>
      </c>
      <c r="AL113" s="36" t="str">
        <f t="shared" si="21"/>
        <v>On-hold</v>
      </c>
      <c r="AM113" s="37">
        <v>45294</v>
      </c>
      <c r="AN113" s="172">
        <v>45294</v>
      </c>
      <c r="AO113" s="37">
        <v>45294</v>
      </c>
      <c r="AP113" s="37">
        <v>45294</v>
      </c>
      <c r="AQ113" s="38">
        <v>45320</v>
      </c>
      <c r="AR113" s="38"/>
      <c r="AS113" s="38"/>
      <c r="AT113" s="38"/>
      <c r="AU113" s="38"/>
      <c r="AV113" s="38"/>
      <c r="AW113" s="38">
        <v>45320</v>
      </c>
      <c r="AX113" s="38">
        <v>45321</v>
      </c>
      <c r="AY113" s="38"/>
      <c r="AZ113" s="38"/>
      <c r="BA113" s="39" t="str">
        <f t="shared" si="23"/>
        <v/>
      </c>
      <c r="BB113" s="38"/>
      <c r="BC113" s="11" t="s">
        <v>7</v>
      </c>
    </row>
    <row r="114" spans="1:55" x14ac:dyDescent="0.35">
      <c r="B114" s="16">
        <f>IF(D114=$A$516,1,IF(D114=$A$517,2,IF(D114=$A$518,3,IF(D114=$A$519,4,IF(D114=$A$520,5,IF(D114=$A$521,6))))))</f>
        <v>4</v>
      </c>
      <c r="D114" s="20" t="str">
        <f t="shared" si="19"/>
        <v>hld</v>
      </c>
      <c r="E114" s="20" t="s">
        <v>1091</v>
      </c>
      <c r="F114" s="13"/>
      <c r="G114" s="13" t="s">
        <v>103</v>
      </c>
      <c r="H114" s="13" t="s">
        <v>1092</v>
      </c>
      <c r="I114" s="13">
        <v>889100</v>
      </c>
      <c r="J114" s="13" t="s">
        <v>57</v>
      </c>
      <c r="K114" s="15" t="s">
        <v>1093</v>
      </c>
      <c r="L114" s="15"/>
      <c r="M114" s="15" t="s">
        <v>4043</v>
      </c>
      <c r="N114" s="15" t="s">
        <v>4044</v>
      </c>
      <c r="O114" s="15" t="s">
        <v>4043</v>
      </c>
      <c r="P114" s="15"/>
      <c r="Q114" s="15"/>
      <c r="S114" s="35" t="s">
        <v>77</v>
      </c>
      <c r="T114" s="13">
        <v>2023</v>
      </c>
      <c r="U114" s="17">
        <v>3.9</v>
      </c>
      <c r="V114" s="17">
        <v>0.17199999999999999</v>
      </c>
      <c r="W114" s="36">
        <f>+V114/U114</f>
        <v>4.41025641025641E-2</v>
      </c>
      <c r="X114" s="17">
        <v>2.8000000000000001E-2</v>
      </c>
      <c r="Y114" s="17">
        <v>-4.0000000000000001E-3</v>
      </c>
      <c r="AA114" s="15" t="s">
        <v>140</v>
      </c>
      <c r="AB114" s="17"/>
      <c r="AC114" s="21" t="s">
        <v>61</v>
      </c>
      <c r="AD114" s="21" t="s">
        <v>61</v>
      </c>
      <c r="AE114" s="17" t="s">
        <v>62</v>
      </c>
      <c r="AF114" s="17"/>
      <c r="AG114" s="15"/>
      <c r="AI114" s="42">
        <f t="shared" ca="1" si="20"/>
        <v>845</v>
      </c>
      <c r="AJ114" s="42">
        <f t="shared" ca="1" si="18"/>
        <v>343</v>
      </c>
      <c r="AK114" s="13" t="s">
        <v>64</v>
      </c>
      <c r="AL114" s="288" t="str">
        <f t="shared" si="21"/>
        <v>On-hold</v>
      </c>
      <c r="AM114" s="37">
        <v>44819</v>
      </c>
      <c r="AN114" s="172">
        <v>44819</v>
      </c>
      <c r="AO114" s="37" t="s">
        <v>65</v>
      </c>
      <c r="AP114" s="37">
        <v>44819</v>
      </c>
      <c r="AQ114" s="38">
        <v>45280</v>
      </c>
      <c r="AR114" s="38">
        <v>45314</v>
      </c>
      <c r="AS114" s="38"/>
      <c r="AT114" s="38"/>
      <c r="AU114" s="38"/>
      <c r="AV114" s="38"/>
      <c r="AW114" s="38">
        <v>45314</v>
      </c>
      <c r="AX114" s="38">
        <v>45321</v>
      </c>
      <c r="AY114" s="38"/>
      <c r="AZ114" s="38"/>
      <c r="BA114" s="39" t="str">
        <f t="shared" si="23"/>
        <v/>
      </c>
      <c r="BB114" s="38"/>
      <c r="BC114" s="11" t="s">
        <v>7</v>
      </c>
    </row>
    <row r="115" spans="1:55" x14ac:dyDescent="0.35">
      <c r="B115" s="16">
        <f>IF(D115=$A$516,1,IF(D115=$A$517,2,IF(D115=$A$518,3,IF(D115=$A$519,4,IF(D115=$A$520,5,IF(D115=$A$521,6))))))</f>
        <v>4</v>
      </c>
      <c r="D115" s="20" t="str">
        <f t="shared" si="19"/>
        <v>hld</v>
      </c>
      <c r="E115" s="185" t="s">
        <v>2904</v>
      </c>
      <c r="F115" s="13"/>
      <c r="G115" s="13" t="s">
        <v>712</v>
      </c>
      <c r="H115" s="14"/>
      <c r="I115" s="13"/>
      <c r="J115" s="13" t="s">
        <v>105</v>
      </c>
      <c r="K115" s="15" t="s">
        <v>234</v>
      </c>
      <c r="L115" s="15" t="s">
        <v>2905</v>
      </c>
      <c r="M115" s="15"/>
      <c r="N115" s="15"/>
      <c r="O115" s="15"/>
      <c r="P115" s="15"/>
      <c r="Q115" s="15"/>
      <c r="S115" s="35"/>
      <c r="T115" s="13"/>
      <c r="U115" s="17"/>
      <c r="V115" s="17"/>
      <c r="W115" s="36"/>
      <c r="X115" s="17"/>
      <c r="Y115" s="17"/>
      <c r="AA115" s="15" t="s">
        <v>60</v>
      </c>
      <c r="AB115" s="17"/>
      <c r="AC115" s="21" t="s">
        <v>78</v>
      </c>
      <c r="AD115" s="21" t="s">
        <v>78</v>
      </c>
      <c r="AE115" s="61" t="s">
        <v>128</v>
      </c>
      <c r="AF115" s="17"/>
      <c r="AG115" s="15"/>
      <c r="AI115" s="42">
        <f t="shared" ca="1" si="20"/>
        <v>350</v>
      </c>
      <c r="AJ115" s="42">
        <f t="shared" ca="1" si="18"/>
        <v>343</v>
      </c>
      <c r="AK115" s="13" t="s">
        <v>64</v>
      </c>
      <c r="AL115" s="36" t="str">
        <f t="shared" si="21"/>
        <v>On-hold</v>
      </c>
      <c r="AM115" s="37">
        <v>45314</v>
      </c>
      <c r="AN115" s="172">
        <v>45314</v>
      </c>
      <c r="AO115" s="37" t="s">
        <v>65</v>
      </c>
      <c r="AP115" s="37">
        <v>45314</v>
      </c>
      <c r="AQ115" s="38">
        <v>45317</v>
      </c>
      <c r="AR115" s="38"/>
      <c r="AS115" s="38"/>
      <c r="AT115" s="38"/>
      <c r="AU115" s="38"/>
      <c r="AV115" s="38"/>
      <c r="AW115" s="38">
        <v>45316</v>
      </c>
      <c r="AX115" s="38">
        <v>45321</v>
      </c>
      <c r="AY115" s="38"/>
      <c r="AZ115" s="38"/>
      <c r="BA115" s="39" t="str">
        <f t="shared" si="23"/>
        <v/>
      </c>
      <c r="BB115" s="38"/>
      <c r="BC115" s="11" t="s">
        <v>7</v>
      </c>
    </row>
    <row r="116" spans="1:55" x14ac:dyDescent="0.35">
      <c r="B116" s="16">
        <f>IF(D116=$A$516,1,IF(D116=$A$517,2,IF(D116=$A$518,3,IF(D116=$A$519,4,IF(D116=$A$520,5,IF(D116=$A$521,6))))))</f>
        <v>4</v>
      </c>
      <c r="D116" s="20" t="str">
        <f t="shared" si="19"/>
        <v>hld</v>
      </c>
      <c r="E116" s="12" t="s">
        <v>2966</v>
      </c>
      <c r="F116" s="13"/>
      <c r="G116" s="13" t="s">
        <v>712</v>
      </c>
      <c r="H116" s="14"/>
      <c r="I116" s="13"/>
      <c r="J116" s="13" t="s">
        <v>57</v>
      </c>
      <c r="K116" s="15" t="s">
        <v>2951</v>
      </c>
      <c r="L116" s="15" t="s">
        <v>2953</v>
      </c>
      <c r="M116" s="15"/>
      <c r="N116" s="15"/>
      <c r="O116" s="15"/>
      <c r="P116" s="15"/>
      <c r="Q116" s="15"/>
      <c r="S116" s="35"/>
      <c r="T116" s="13"/>
      <c r="U116" s="17"/>
      <c r="V116" s="17"/>
      <c r="W116" s="36"/>
      <c r="X116" s="17"/>
      <c r="Y116" s="17"/>
      <c r="AA116" s="15" t="s">
        <v>60</v>
      </c>
      <c r="AB116" s="17"/>
      <c r="AC116" s="21" t="s">
        <v>61</v>
      </c>
      <c r="AD116" s="21" t="s">
        <v>61</v>
      </c>
      <c r="AE116" s="61" t="s">
        <v>62</v>
      </c>
      <c r="AF116" s="17" t="s">
        <v>128</v>
      </c>
      <c r="AG116" s="15" t="s">
        <v>2954</v>
      </c>
      <c r="AI116" s="42">
        <f t="shared" ca="1" si="20"/>
        <v>433</v>
      </c>
      <c r="AJ116" s="42">
        <f t="shared" ca="1" si="18"/>
        <v>26</v>
      </c>
      <c r="AK116" s="13" t="s">
        <v>720</v>
      </c>
      <c r="AL116" s="288" t="str">
        <f t="shared" si="21"/>
        <v>On-hold</v>
      </c>
      <c r="AM116" s="37">
        <v>45231</v>
      </c>
      <c r="AN116" s="172">
        <v>45254</v>
      </c>
      <c r="AO116" s="37" t="s">
        <v>65</v>
      </c>
      <c r="AP116" s="37">
        <v>45624</v>
      </c>
      <c r="AQ116" s="38">
        <v>45626</v>
      </c>
      <c r="AR116" s="38">
        <v>45631</v>
      </c>
      <c r="AS116" s="38">
        <v>45638</v>
      </c>
      <c r="AT116" s="38">
        <v>45315</v>
      </c>
      <c r="AU116" s="38"/>
      <c r="AV116" s="38"/>
      <c r="AW116" s="38">
        <v>45320</v>
      </c>
      <c r="AX116" s="38">
        <v>45321</v>
      </c>
      <c r="AY116" s="38"/>
      <c r="AZ116" s="38"/>
      <c r="BA116" s="39" t="str">
        <f t="shared" si="23"/>
        <v/>
      </c>
      <c r="BB116" s="38"/>
      <c r="BC116" s="11" t="s">
        <v>7</v>
      </c>
    </row>
    <row r="117" spans="1:55" x14ac:dyDescent="0.35">
      <c r="B117" s="16">
        <f>IF(D117=$A$516,1,IF(D117=$A$517,2,IF(D117=$A$518,3,IF(D117=$A$519,4,IF(D117=$A$520,5,IF(D117=$A$521,6))))))</f>
        <v>4</v>
      </c>
      <c r="D117" s="20" t="str">
        <f t="shared" si="19"/>
        <v>hld</v>
      </c>
      <c r="E117" s="12" t="s">
        <v>2952</v>
      </c>
      <c r="F117" s="13"/>
      <c r="G117" s="13" t="s">
        <v>712</v>
      </c>
      <c r="H117" s="14"/>
      <c r="I117" s="13"/>
      <c r="J117" s="13" t="s">
        <v>57</v>
      </c>
      <c r="K117" s="15" t="s">
        <v>2951</v>
      </c>
      <c r="L117" s="15" t="s">
        <v>2955</v>
      </c>
      <c r="M117" s="15"/>
      <c r="N117" s="15"/>
      <c r="O117" s="15"/>
      <c r="P117" s="15"/>
      <c r="Q117" s="15"/>
      <c r="S117" s="35"/>
      <c r="T117" s="13"/>
      <c r="U117" s="17"/>
      <c r="V117" s="17"/>
      <c r="W117" s="36"/>
      <c r="X117" s="17"/>
      <c r="Y117" s="17"/>
      <c r="AA117" s="15" t="s">
        <v>60</v>
      </c>
      <c r="AB117" s="17"/>
      <c r="AC117" s="21" t="s">
        <v>61</v>
      </c>
      <c r="AD117" s="21" t="s">
        <v>61</v>
      </c>
      <c r="AE117" s="61" t="s">
        <v>62</v>
      </c>
      <c r="AF117" s="17" t="s">
        <v>128</v>
      </c>
      <c r="AG117" s="15" t="s">
        <v>2954</v>
      </c>
      <c r="AI117" s="42">
        <f t="shared" ca="1" si="20"/>
        <v>433</v>
      </c>
      <c r="AJ117" s="42">
        <f t="shared" ca="1" si="18"/>
        <v>346</v>
      </c>
      <c r="AK117" s="13" t="s">
        <v>720</v>
      </c>
      <c r="AL117" s="36" t="str">
        <f t="shared" si="21"/>
        <v>On-hold</v>
      </c>
      <c r="AM117" s="37">
        <v>45231</v>
      </c>
      <c r="AN117" s="172">
        <v>45254</v>
      </c>
      <c r="AO117" s="37" t="s">
        <v>65</v>
      </c>
      <c r="AP117" s="37">
        <v>45256</v>
      </c>
      <c r="AQ117" s="38">
        <v>45271</v>
      </c>
      <c r="AR117" s="38">
        <v>45260</v>
      </c>
      <c r="AS117" s="38">
        <v>45302</v>
      </c>
      <c r="AT117" s="38"/>
      <c r="AU117" s="38"/>
      <c r="AV117" s="38"/>
      <c r="AW117" s="38">
        <v>45318</v>
      </c>
      <c r="AX117" s="38">
        <v>45318</v>
      </c>
      <c r="AY117" s="38"/>
      <c r="AZ117" s="38"/>
      <c r="BA117" s="39" t="str">
        <f t="shared" si="23"/>
        <v/>
      </c>
      <c r="BB117" s="38"/>
      <c r="BC117" s="11" t="s">
        <v>7</v>
      </c>
    </row>
    <row r="118" spans="1:55" x14ac:dyDescent="0.35">
      <c r="B118" s="16">
        <f>IF(D118=$A$516,1,IF(D118=$A$517,2,IF(D118=$A$518,3,IF(D118=$A$519,4,IF(D118=$A$520,5,IF(D118=$A$521,6))))))</f>
        <v>4</v>
      </c>
      <c r="D118" s="20" t="str">
        <f t="shared" si="19"/>
        <v>hld</v>
      </c>
      <c r="E118" s="12" t="s">
        <v>2926</v>
      </c>
      <c r="F118" s="186"/>
      <c r="G118" s="13" t="s">
        <v>103</v>
      </c>
      <c r="H118" s="14" t="s">
        <v>2929</v>
      </c>
      <c r="I118" s="13"/>
      <c r="J118" s="13" t="s">
        <v>132</v>
      </c>
      <c r="K118" s="15" t="s">
        <v>956</v>
      </c>
      <c r="L118" s="15" t="s">
        <v>2933</v>
      </c>
      <c r="M118" s="15" t="s">
        <v>2934</v>
      </c>
      <c r="N118" s="15" t="s">
        <v>4067</v>
      </c>
      <c r="O118" s="15"/>
      <c r="P118" s="15" t="s">
        <v>2934</v>
      </c>
      <c r="Q118" s="15" t="s">
        <v>4068</v>
      </c>
      <c r="R118" s="183"/>
      <c r="S118" s="35" t="s">
        <v>77</v>
      </c>
      <c r="T118" s="186">
        <v>2023</v>
      </c>
      <c r="U118" s="191">
        <v>15.8</v>
      </c>
      <c r="V118" s="191">
        <v>5.5E-2</v>
      </c>
      <c r="W118" s="36">
        <f>+V118/U118</f>
        <v>3.481012658227848E-3</v>
      </c>
      <c r="X118" s="191">
        <v>0.10199999999999999</v>
      </c>
      <c r="Y118" s="191">
        <v>-1.236</v>
      </c>
      <c r="Z118" s="183"/>
      <c r="AA118" s="189" t="s">
        <v>60</v>
      </c>
      <c r="AB118" s="191"/>
      <c r="AC118" s="21" t="s">
        <v>86</v>
      </c>
      <c r="AD118" s="193" t="s">
        <v>78</v>
      </c>
      <c r="AE118" s="61" t="s">
        <v>86</v>
      </c>
      <c r="AF118" s="191"/>
      <c r="AG118" s="189"/>
      <c r="AH118" s="183"/>
      <c r="AI118" s="195">
        <f t="shared" ca="1" si="20"/>
        <v>347</v>
      </c>
      <c r="AJ118" s="195">
        <f t="shared" ca="1" si="18"/>
        <v>333</v>
      </c>
      <c r="AK118" s="186" t="s">
        <v>720</v>
      </c>
      <c r="AL118" s="201" t="str">
        <f t="shared" si="21"/>
        <v>On-hold</v>
      </c>
      <c r="AM118" s="197">
        <v>45317</v>
      </c>
      <c r="AN118" s="197">
        <v>45317</v>
      </c>
      <c r="AO118" s="37" t="s">
        <v>65</v>
      </c>
      <c r="AP118" s="197">
        <v>45307</v>
      </c>
      <c r="AQ118" s="38">
        <v>45317</v>
      </c>
      <c r="AR118" s="38">
        <v>45331</v>
      </c>
      <c r="AS118" s="38"/>
      <c r="AT118" s="38"/>
      <c r="AU118" s="38"/>
      <c r="AV118" s="38"/>
      <c r="AW118" s="38">
        <v>45317</v>
      </c>
      <c r="AX118" s="38">
        <v>45317</v>
      </c>
      <c r="AY118" s="38"/>
      <c r="AZ118" s="198"/>
      <c r="BA118" s="202" t="str">
        <f t="shared" si="23"/>
        <v/>
      </c>
      <c r="BB118" s="198"/>
      <c r="BC118" s="11" t="s">
        <v>7</v>
      </c>
    </row>
    <row r="119" spans="1:55" x14ac:dyDescent="0.35">
      <c r="B119" s="16">
        <f>IF(D119=$A$516,1,IF(D119=$A$517,2,IF(D119=$A$518,3,IF(D119=$A$519,4,IF(D119=$A$520,5,IF(D119=$A$521,6))))))</f>
        <v>4</v>
      </c>
      <c r="D119" s="20" t="str">
        <f t="shared" si="19"/>
        <v>hld</v>
      </c>
      <c r="E119" s="12" t="s">
        <v>2928</v>
      </c>
      <c r="F119" s="186"/>
      <c r="G119" s="13" t="s">
        <v>103</v>
      </c>
      <c r="H119" s="187" t="s">
        <v>2931</v>
      </c>
      <c r="I119" s="13"/>
      <c r="J119" s="13" t="s">
        <v>132</v>
      </c>
      <c r="K119" s="15" t="s">
        <v>956</v>
      </c>
      <c r="L119" s="15" t="s">
        <v>2932</v>
      </c>
      <c r="M119" s="15"/>
      <c r="N119" s="15"/>
      <c r="O119" s="15"/>
      <c r="P119" s="15"/>
      <c r="Q119" s="15"/>
      <c r="R119" s="183"/>
      <c r="S119" s="773" t="s">
        <v>77</v>
      </c>
      <c r="T119" s="186">
        <v>2022</v>
      </c>
      <c r="U119" s="191">
        <v>13.228</v>
      </c>
      <c r="V119" s="191">
        <v>0.73499999999999999</v>
      </c>
      <c r="W119" s="36">
        <f>+V119/U119</f>
        <v>5.5563955246446931E-2</v>
      </c>
      <c r="X119" s="191">
        <v>0.45900000000000002</v>
      </c>
      <c r="Y119" s="191">
        <v>0</v>
      </c>
      <c r="Z119" s="183"/>
      <c r="AA119" s="189" t="s">
        <v>60</v>
      </c>
      <c r="AB119" s="191"/>
      <c r="AC119" s="21" t="s">
        <v>86</v>
      </c>
      <c r="AD119" s="193" t="s">
        <v>78</v>
      </c>
      <c r="AE119" s="61" t="s">
        <v>86</v>
      </c>
      <c r="AF119" s="191"/>
      <c r="AG119" s="189"/>
      <c r="AH119" s="183"/>
      <c r="AI119" s="195">
        <f t="shared" ca="1" si="20"/>
        <v>347</v>
      </c>
      <c r="AJ119" s="195">
        <f t="shared" ca="1" si="18"/>
        <v>347</v>
      </c>
      <c r="AK119" s="186" t="s">
        <v>720</v>
      </c>
      <c r="AL119" s="201" t="str">
        <f t="shared" si="21"/>
        <v>On-hold</v>
      </c>
      <c r="AM119" s="197">
        <v>45317</v>
      </c>
      <c r="AN119" s="197">
        <v>45317</v>
      </c>
      <c r="AO119" s="37"/>
      <c r="AP119" s="197"/>
      <c r="AQ119" s="38"/>
      <c r="AR119" s="38"/>
      <c r="AS119" s="38"/>
      <c r="AT119" s="38"/>
      <c r="AU119" s="38"/>
      <c r="AV119" s="38"/>
      <c r="AW119" s="38">
        <v>45317</v>
      </c>
      <c r="AX119" s="38">
        <v>45317</v>
      </c>
      <c r="AY119" s="38"/>
      <c r="AZ119" s="198"/>
      <c r="BA119" s="202" t="str">
        <f t="shared" si="23"/>
        <v/>
      </c>
      <c r="BB119" s="198"/>
      <c r="BC119" s="11" t="s">
        <v>7</v>
      </c>
    </row>
    <row r="120" spans="1:55" x14ac:dyDescent="0.35">
      <c r="B120" s="16">
        <f>IF(D120=$A$516,1,IF(D120=$A$517,2,IF(D120=$A$518,3,IF(D120=$A$519,4,IF(D120=$A$520,5,IF(D120=$A$521,6))))))</f>
        <v>4</v>
      </c>
      <c r="D120" s="20" t="str">
        <f t="shared" si="19"/>
        <v>hld</v>
      </c>
      <c r="E120" s="12" t="s">
        <v>2927</v>
      </c>
      <c r="F120" s="186"/>
      <c r="G120" s="186" t="s">
        <v>130</v>
      </c>
      <c r="H120" s="14" t="s">
        <v>2930</v>
      </c>
      <c r="I120" s="13"/>
      <c r="J120" s="13" t="s">
        <v>132</v>
      </c>
      <c r="K120" s="15" t="s">
        <v>956</v>
      </c>
      <c r="L120" s="15" t="s">
        <v>2934</v>
      </c>
      <c r="M120" s="15"/>
      <c r="N120" s="15"/>
      <c r="O120" s="15"/>
      <c r="P120" s="15"/>
      <c r="Q120" s="15"/>
      <c r="R120" s="183"/>
      <c r="S120" s="35" t="s">
        <v>77</v>
      </c>
      <c r="T120" s="186">
        <v>2022</v>
      </c>
      <c r="U120" s="191">
        <v>21.44</v>
      </c>
      <c r="V120" s="191">
        <v>0.45700000000000002</v>
      </c>
      <c r="W120" s="36">
        <f>+V120/U120</f>
        <v>2.1315298507462686E-2</v>
      </c>
      <c r="X120" s="191">
        <v>0.28899999999999998</v>
      </c>
      <c r="Y120" s="191">
        <v>-1.7310000000000001</v>
      </c>
      <c r="Z120" s="183"/>
      <c r="AA120" s="189" t="s">
        <v>60</v>
      </c>
      <c r="AB120" s="191"/>
      <c r="AC120" s="21" t="s">
        <v>86</v>
      </c>
      <c r="AD120" s="193" t="s">
        <v>78</v>
      </c>
      <c r="AE120" s="61" t="s">
        <v>86</v>
      </c>
      <c r="AF120" s="191"/>
      <c r="AG120" s="189"/>
      <c r="AH120" s="183"/>
      <c r="AI120" s="195">
        <f t="shared" ca="1" si="20"/>
        <v>347</v>
      </c>
      <c r="AJ120" s="195">
        <f t="shared" ca="1" si="18"/>
        <v>347</v>
      </c>
      <c r="AK120" s="186" t="s">
        <v>720</v>
      </c>
      <c r="AL120" s="201" t="str">
        <f t="shared" si="21"/>
        <v>On-hold</v>
      </c>
      <c r="AM120" s="197">
        <v>45317</v>
      </c>
      <c r="AN120" s="197">
        <v>45317</v>
      </c>
      <c r="AO120" s="37" t="s">
        <v>65</v>
      </c>
      <c r="AP120" s="197">
        <v>45307</v>
      </c>
      <c r="AQ120" s="38">
        <v>45317</v>
      </c>
      <c r="AR120" s="38"/>
      <c r="AS120" s="38"/>
      <c r="AT120" s="38"/>
      <c r="AU120" s="38"/>
      <c r="AV120" s="38"/>
      <c r="AW120" s="38">
        <v>45317</v>
      </c>
      <c r="AX120" s="38">
        <v>45317</v>
      </c>
      <c r="AY120" s="38"/>
      <c r="AZ120" s="198"/>
      <c r="BA120" s="202" t="str">
        <f t="shared" si="23"/>
        <v/>
      </c>
      <c r="BB120" s="198"/>
      <c r="BC120" s="11" t="s">
        <v>7</v>
      </c>
    </row>
    <row r="121" spans="1:55" x14ac:dyDescent="0.35">
      <c r="B121" s="16">
        <f>IF(D121=$A$516,1,IF(D121=$A$517,2,IF(D121=$A$518,3,IF(D121=$A$519,4,IF(D121=$A$520,5,IF(D121=$A$521,6))))))</f>
        <v>4</v>
      </c>
      <c r="D121" s="20" t="str">
        <f t="shared" si="19"/>
        <v>hld</v>
      </c>
      <c r="E121" s="12" t="s">
        <v>2958</v>
      </c>
      <c r="F121" s="13"/>
      <c r="G121" s="13" t="s">
        <v>712</v>
      </c>
      <c r="H121" s="14"/>
      <c r="I121" s="13"/>
      <c r="J121" s="13" t="s">
        <v>57</v>
      </c>
      <c r="K121" s="15" t="s">
        <v>2951</v>
      </c>
      <c r="L121" s="15" t="s">
        <v>2959</v>
      </c>
      <c r="M121" s="15"/>
      <c r="N121" s="15"/>
      <c r="O121" s="15"/>
      <c r="P121" s="15"/>
      <c r="Q121" s="15"/>
      <c r="S121" s="35"/>
      <c r="T121" s="13"/>
      <c r="U121" s="17"/>
      <c r="V121" s="17"/>
      <c r="W121" s="36"/>
      <c r="X121" s="17"/>
      <c r="Y121" s="17"/>
      <c r="AA121" s="15" t="s">
        <v>60</v>
      </c>
      <c r="AB121" s="17"/>
      <c r="AC121" s="21" t="s">
        <v>61</v>
      </c>
      <c r="AD121" s="21" t="s">
        <v>61</v>
      </c>
      <c r="AE121" s="61" t="s">
        <v>62</v>
      </c>
      <c r="AF121" s="17" t="s">
        <v>128</v>
      </c>
      <c r="AG121" s="15" t="s">
        <v>2954</v>
      </c>
      <c r="AI121" s="42">
        <f t="shared" ca="1" si="20"/>
        <v>433</v>
      </c>
      <c r="AJ121" s="42">
        <f t="shared" ca="1" si="18"/>
        <v>347</v>
      </c>
      <c r="AK121" s="13" t="s">
        <v>720</v>
      </c>
      <c r="AL121" s="36" t="str">
        <f t="shared" si="21"/>
        <v>On-hold</v>
      </c>
      <c r="AM121" s="37">
        <v>45231</v>
      </c>
      <c r="AN121" s="172">
        <v>45254</v>
      </c>
      <c r="AO121" s="37" t="s">
        <v>65</v>
      </c>
      <c r="AP121" s="37">
        <v>45256</v>
      </c>
      <c r="AQ121" s="38">
        <v>45271</v>
      </c>
      <c r="AR121" s="38">
        <v>45309</v>
      </c>
      <c r="AS121" s="38">
        <v>45307</v>
      </c>
      <c r="AT121" s="38"/>
      <c r="AU121" s="38"/>
      <c r="AV121" s="38"/>
      <c r="AW121" s="38">
        <v>45317</v>
      </c>
      <c r="AX121" s="38">
        <v>45317</v>
      </c>
      <c r="AY121" s="38"/>
      <c r="AZ121" s="38"/>
      <c r="BA121" s="39" t="str">
        <f t="shared" si="23"/>
        <v/>
      </c>
      <c r="BB121" s="38"/>
      <c r="BC121" s="11" t="s">
        <v>7</v>
      </c>
    </row>
    <row r="122" spans="1:55" x14ac:dyDescent="0.35">
      <c r="B122" s="277">
        <f>IF(D122=$A$516,1,IF(D122=$A$517,2,IF(D122=$A$518,3,IF(D122=$A$519,4,IF(D122=$A$520,5,IF(D122=$A$521,6))))))</f>
        <v>4</v>
      </c>
      <c r="C122" s="277"/>
      <c r="D122" s="711" t="str">
        <f t="shared" si="19"/>
        <v>hld</v>
      </c>
      <c r="E122" s="764" t="s">
        <v>2917</v>
      </c>
      <c r="F122" s="280"/>
      <c r="G122" s="280" t="s">
        <v>103</v>
      </c>
      <c r="H122" s="770" t="s">
        <v>4326</v>
      </c>
      <c r="I122" s="280"/>
      <c r="J122" s="292" t="s">
        <v>2921</v>
      </c>
      <c r="K122" s="282" t="s">
        <v>2918</v>
      </c>
      <c r="L122" s="282" t="s">
        <v>2919</v>
      </c>
      <c r="M122" s="649" t="s">
        <v>4045</v>
      </c>
      <c r="N122" s="282"/>
      <c r="O122" s="649" t="s">
        <v>4046</v>
      </c>
      <c r="P122" s="649" t="s">
        <v>4048</v>
      </c>
      <c r="Q122" s="649" t="s">
        <v>4047</v>
      </c>
      <c r="R122" s="277"/>
      <c r="S122" s="283" t="s">
        <v>77</v>
      </c>
      <c r="T122" s="280"/>
      <c r="U122" s="284"/>
      <c r="V122" s="284"/>
      <c r="W122" s="36"/>
      <c r="X122" s="284"/>
      <c r="Y122" s="284"/>
      <c r="Z122" s="277"/>
      <c r="AA122" s="282" t="s">
        <v>60</v>
      </c>
      <c r="AB122" s="284"/>
      <c r="AC122" s="285" t="s">
        <v>62</v>
      </c>
      <c r="AD122" s="285" t="s">
        <v>61</v>
      </c>
      <c r="AE122" s="280" t="s">
        <v>62</v>
      </c>
      <c r="AF122" s="284"/>
      <c r="AG122" s="282"/>
      <c r="AH122" s="277"/>
      <c r="AI122" s="287">
        <f t="shared" ca="1" si="20"/>
        <v>370</v>
      </c>
      <c r="AJ122" s="42">
        <f t="shared" ref="AJ122:AJ162" ca="1" si="24">+(IF(AL122="Closed","-",IF(TODAY()-MAX(AN122:BA122)&gt;0,TODAY()-MAX(AN122:BA122),0)))</f>
        <v>349</v>
      </c>
      <c r="AK122" s="280" t="s">
        <v>64</v>
      </c>
      <c r="AL122" s="288" t="str">
        <f t="shared" si="21"/>
        <v>On-hold</v>
      </c>
      <c r="AM122" s="289">
        <v>45294</v>
      </c>
      <c r="AN122" s="289">
        <v>45302</v>
      </c>
      <c r="AO122" s="289" t="s">
        <v>65</v>
      </c>
      <c r="AP122" s="289">
        <v>45302</v>
      </c>
      <c r="AQ122" s="38">
        <v>45314</v>
      </c>
      <c r="AR122" s="38"/>
      <c r="AS122" s="38"/>
      <c r="AT122" s="38"/>
      <c r="AU122" s="38"/>
      <c r="AV122" s="38"/>
      <c r="AW122" s="290">
        <v>45315</v>
      </c>
      <c r="AX122" s="290">
        <v>45315</v>
      </c>
      <c r="AY122" s="290"/>
      <c r="AZ122" s="290"/>
      <c r="BA122" s="291"/>
      <c r="BB122" s="290"/>
      <c r="BC122" s="11" t="s">
        <v>7</v>
      </c>
    </row>
    <row r="123" spans="1:55" x14ac:dyDescent="0.35">
      <c r="A123" s="277"/>
      <c r="B123" s="219">
        <f>IF(D123=$A$516,1,IF(D123=$A$517,2,IF(D123=$A$518,3,IF(D123=$A$519,4,IF(D123=$A$520,5,IF(D123=$A$521,6))))))</f>
        <v>4</v>
      </c>
      <c r="C123" s="219"/>
      <c r="D123" s="711" t="str">
        <f t="shared" si="19"/>
        <v>hld</v>
      </c>
      <c r="E123" s="220" t="s">
        <v>2741</v>
      </c>
      <c r="F123" s="221"/>
      <c r="G123" s="221" t="s">
        <v>425</v>
      </c>
      <c r="H123" s="221"/>
      <c r="I123" s="221"/>
      <c r="J123" s="293" t="s">
        <v>2690</v>
      </c>
      <c r="K123" s="222" t="s">
        <v>2724</v>
      </c>
      <c r="L123" s="222"/>
      <c r="M123" s="222"/>
      <c r="N123" s="222"/>
      <c r="O123" s="222"/>
      <c r="P123" s="222"/>
      <c r="Q123" s="222"/>
      <c r="R123" s="219"/>
      <c r="S123" s="223"/>
      <c r="T123" s="221"/>
      <c r="U123" s="224"/>
      <c r="V123" s="224"/>
      <c r="W123" s="36"/>
      <c r="X123" s="224"/>
      <c r="Y123" s="224"/>
      <c r="Z123" s="219"/>
      <c r="AA123" s="222" t="s">
        <v>60</v>
      </c>
      <c r="AB123" s="224"/>
      <c r="AC123" s="225" t="s">
        <v>78</v>
      </c>
      <c r="AD123" s="225" t="s">
        <v>78</v>
      </c>
      <c r="AE123" s="226"/>
      <c r="AF123" s="224"/>
      <c r="AG123" s="222"/>
      <c r="AH123" s="219"/>
      <c r="AI123" s="227">
        <f t="shared" ca="1" si="20"/>
        <v>659</v>
      </c>
      <c r="AJ123" s="227">
        <f t="shared" ca="1" si="24"/>
        <v>350</v>
      </c>
      <c r="AK123" s="221" t="s">
        <v>2725</v>
      </c>
      <c r="AL123" s="228" t="str">
        <f t="shared" si="21"/>
        <v>On-hold</v>
      </c>
      <c r="AM123" s="218">
        <v>45005</v>
      </c>
      <c r="AN123" s="172">
        <v>45301</v>
      </c>
      <c r="AO123" s="218" t="s">
        <v>65</v>
      </c>
      <c r="AP123" s="218" t="s">
        <v>65</v>
      </c>
      <c r="AQ123" s="38">
        <v>45275</v>
      </c>
      <c r="AR123" s="38">
        <v>45301</v>
      </c>
      <c r="AS123" s="38"/>
      <c r="AT123" s="38"/>
      <c r="AU123" s="38"/>
      <c r="AV123" s="38"/>
      <c r="AW123" s="217">
        <v>45306</v>
      </c>
      <c r="AX123" s="217">
        <v>45314</v>
      </c>
      <c r="AY123" s="217"/>
      <c r="AZ123" s="217"/>
      <c r="BA123" s="229" t="str">
        <f>+IF(AY123="","",COUNTA(AN123:AV123)/(COUNTA(AN123:AV123)+COUNTBLANK(AN123:AV123)))</f>
        <v/>
      </c>
      <c r="BB123" s="217"/>
      <c r="BC123" s="11" t="s">
        <v>7</v>
      </c>
    </row>
    <row r="124" spans="1:55" x14ac:dyDescent="0.35">
      <c r="A124" s="219"/>
      <c r="B124" s="16">
        <f>IF(D124=$A$516,1,IF(D124=$A$517,2,IF(D124=$A$518,3,IF(D124=$A$519,4,IF(D124=$A$520,5,IF(D124=$A$521,6))))))</f>
        <v>4</v>
      </c>
      <c r="D124" s="20" t="str">
        <f t="shared" si="19"/>
        <v>hld</v>
      </c>
      <c r="E124" s="12" t="s">
        <v>2721</v>
      </c>
      <c r="F124" s="13"/>
      <c r="G124" s="13" t="s">
        <v>103</v>
      </c>
      <c r="H124" s="13"/>
      <c r="I124" s="13"/>
      <c r="J124" s="268" t="s">
        <v>2690</v>
      </c>
      <c r="K124" s="15" t="s">
        <v>2724</v>
      </c>
      <c r="L124" s="15"/>
      <c r="M124" s="15"/>
      <c r="N124" s="15"/>
      <c r="O124" s="15"/>
      <c r="P124" s="15"/>
      <c r="Q124" s="15"/>
      <c r="S124" s="35"/>
      <c r="T124" s="13"/>
      <c r="U124" s="17"/>
      <c r="V124" s="17"/>
      <c r="W124" s="36"/>
      <c r="X124" s="17"/>
      <c r="Y124" s="17"/>
      <c r="AA124" s="15" t="s">
        <v>60</v>
      </c>
      <c r="AB124" s="17"/>
      <c r="AC124" s="21" t="s">
        <v>61</v>
      </c>
      <c r="AD124" s="21" t="s">
        <v>61</v>
      </c>
      <c r="AE124" s="366" t="s">
        <v>79</v>
      </c>
      <c r="AF124" s="17"/>
      <c r="AG124" s="15"/>
      <c r="AH124" s="677">
        <v>1</v>
      </c>
      <c r="AI124" s="42">
        <f t="shared" ca="1" si="20"/>
        <v>659</v>
      </c>
      <c r="AJ124" s="42">
        <f t="shared" ca="1" si="24"/>
        <v>350</v>
      </c>
      <c r="AK124" s="13" t="s">
        <v>2725</v>
      </c>
      <c r="AL124" s="36" t="str">
        <f t="shared" si="21"/>
        <v>On-hold</v>
      </c>
      <c r="AM124" s="37">
        <v>45005</v>
      </c>
      <c r="AN124" s="172">
        <v>45301</v>
      </c>
      <c r="AO124" s="37" t="s">
        <v>65</v>
      </c>
      <c r="AP124" s="37" t="s">
        <v>65</v>
      </c>
      <c r="AQ124" s="38">
        <v>45303</v>
      </c>
      <c r="AR124" s="38"/>
      <c r="AS124" s="38"/>
      <c r="AT124" s="38"/>
      <c r="AU124" s="38"/>
      <c r="AV124" s="38"/>
      <c r="AW124" s="38">
        <v>45303</v>
      </c>
      <c r="AX124" s="38">
        <v>45314</v>
      </c>
      <c r="AY124" s="38"/>
      <c r="AZ124" s="38"/>
      <c r="BA124" s="39" t="str">
        <f>+IF(AY124="","",COUNTA(AN124:AV124)/(COUNTA(AN124:AV124)+COUNTBLANK(AN124:AV124)))</f>
        <v/>
      </c>
      <c r="BB124" s="38"/>
      <c r="BC124" s="11" t="s">
        <v>7</v>
      </c>
    </row>
    <row r="125" spans="1:55" x14ac:dyDescent="0.35">
      <c r="B125" s="173">
        <f>IF(D125=$A$516,1,IF(D125=$A$517,2,IF(D125=$A$518,3,IF(D125=$A$519,4,IF(D125=$A$520,5,IF(D125=$A$521,6))))))</f>
        <v>4</v>
      </c>
      <c r="C125" s="173"/>
      <c r="D125" s="711" t="str">
        <f t="shared" si="19"/>
        <v>hld</v>
      </c>
      <c r="E125" s="650" t="s">
        <v>2689</v>
      </c>
      <c r="F125" s="174"/>
      <c r="G125" s="174" t="s">
        <v>103</v>
      </c>
      <c r="H125" s="14" t="s">
        <v>4069</v>
      </c>
      <c r="I125" s="174"/>
      <c r="J125" s="269" t="s">
        <v>2690</v>
      </c>
      <c r="K125" s="175" t="s">
        <v>2691</v>
      </c>
      <c r="L125" s="175" t="s">
        <v>2692</v>
      </c>
      <c r="M125" s="15"/>
      <c r="N125" s="15"/>
      <c r="O125" s="15"/>
      <c r="P125" s="15"/>
      <c r="Q125" s="15"/>
      <c r="R125" s="173"/>
      <c r="S125" s="176" t="s">
        <v>77</v>
      </c>
      <c r="T125" s="174">
        <v>2022</v>
      </c>
      <c r="U125" s="177">
        <v>3.1</v>
      </c>
      <c r="V125" s="177">
        <v>0</v>
      </c>
      <c r="W125" s="36">
        <f>+V125/U125</f>
        <v>0</v>
      </c>
      <c r="X125" s="177">
        <v>0</v>
      </c>
      <c r="Y125" s="177">
        <v>0</v>
      </c>
      <c r="Z125" s="173"/>
      <c r="AA125" s="175" t="s">
        <v>60</v>
      </c>
      <c r="AB125" s="177"/>
      <c r="AC125" s="178" t="s">
        <v>78</v>
      </c>
      <c r="AD125" s="178" t="s">
        <v>78</v>
      </c>
      <c r="AE125" s="252" t="s">
        <v>86</v>
      </c>
      <c r="AF125" s="177"/>
      <c r="AG125" s="175"/>
      <c r="AH125" s="173"/>
      <c r="AI125" s="195">
        <f t="shared" ca="1" si="20"/>
        <v>362</v>
      </c>
      <c r="AJ125" s="195">
        <f t="shared" ca="1" si="24"/>
        <v>350</v>
      </c>
      <c r="AK125" s="174" t="s">
        <v>64</v>
      </c>
      <c r="AL125" s="201" t="str">
        <f t="shared" si="21"/>
        <v>On-hold</v>
      </c>
      <c r="AM125" s="172">
        <v>45302</v>
      </c>
      <c r="AN125" s="172">
        <v>45302</v>
      </c>
      <c r="AO125" s="172" t="s">
        <v>65</v>
      </c>
      <c r="AP125" s="172">
        <v>45302</v>
      </c>
      <c r="AQ125" s="38">
        <v>45309</v>
      </c>
      <c r="AR125" s="38"/>
      <c r="AS125" s="38"/>
      <c r="AT125" s="38"/>
      <c r="AU125" s="38"/>
      <c r="AV125" s="38"/>
      <c r="AW125" s="180">
        <v>45308</v>
      </c>
      <c r="AX125" s="180">
        <v>45314</v>
      </c>
      <c r="AY125" s="180"/>
      <c r="AZ125" s="180"/>
      <c r="BA125" s="182"/>
      <c r="BB125" s="180"/>
      <c r="BC125" s="11" t="s">
        <v>7</v>
      </c>
    </row>
    <row r="126" spans="1:55" x14ac:dyDescent="0.35">
      <c r="A126" s="173"/>
      <c r="B126" s="173">
        <f>IF(D126=$A$516,1,IF(D126=$A$517,2,IF(D126=$A$518,3,IF(D126=$A$519,4,IF(D126=$A$520,5,IF(D126=$A$521,6))))))</f>
        <v>4</v>
      </c>
      <c r="C126" s="173"/>
      <c r="D126" s="711" t="str">
        <f t="shared" si="19"/>
        <v>hld</v>
      </c>
      <c r="E126" s="20" t="s">
        <v>4070</v>
      </c>
      <c r="F126" s="174"/>
      <c r="G126" s="174" t="s">
        <v>371</v>
      </c>
      <c r="H126" s="14" t="s">
        <v>4071</v>
      </c>
      <c r="I126" s="174"/>
      <c r="J126" s="269" t="s">
        <v>132</v>
      </c>
      <c r="K126" s="175" t="s">
        <v>739</v>
      </c>
      <c r="L126" s="175" t="s">
        <v>1824</v>
      </c>
      <c r="M126" s="175"/>
      <c r="N126" s="175"/>
      <c r="O126" s="175"/>
      <c r="P126" s="175"/>
      <c r="Q126" s="175"/>
      <c r="R126" s="173"/>
      <c r="S126" s="176" t="s">
        <v>77</v>
      </c>
      <c r="T126" s="174">
        <v>2023</v>
      </c>
      <c r="U126" s="177">
        <v>59</v>
      </c>
      <c r="V126" s="177">
        <v>2.2709999999999999</v>
      </c>
      <c r="W126" s="36">
        <f>+V126/U126</f>
        <v>3.8491525423728815E-2</v>
      </c>
      <c r="X126" s="177">
        <v>0.88800000000000001</v>
      </c>
      <c r="Y126" s="177">
        <v>2.073</v>
      </c>
      <c r="Z126" s="173"/>
      <c r="AA126" s="175" t="s">
        <v>60</v>
      </c>
      <c r="AB126" s="177"/>
      <c r="AC126" s="178" t="s">
        <v>78</v>
      </c>
      <c r="AD126" s="178" t="s">
        <v>78</v>
      </c>
      <c r="AE126" s="252" t="s">
        <v>86</v>
      </c>
      <c r="AF126" s="177"/>
      <c r="AG126" s="175"/>
      <c r="AH126" s="173"/>
      <c r="AI126" s="195">
        <f t="shared" ca="1" si="20"/>
        <v>652</v>
      </c>
      <c r="AJ126" s="195">
        <f t="shared" ca="1" si="24"/>
        <v>354</v>
      </c>
      <c r="AK126" s="174" t="s">
        <v>64</v>
      </c>
      <c r="AL126" s="201" t="str">
        <f t="shared" si="21"/>
        <v>On-hold</v>
      </c>
      <c r="AM126" s="172">
        <v>45012</v>
      </c>
      <c r="AN126" s="172">
        <v>45205</v>
      </c>
      <c r="AO126" s="172">
        <v>45217</v>
      </c>
      <c r="AP126" s="172">
        <v>45219</v>
      </c>
      <c r="AQ126" s="38">
        <v>45310</v>
      </c>
      <c r="AR126" s="38"/>
      <c r="AS126" s="38"/>
      <c r="AT126" s="38"/>
      <c r="AU126" s="38"/>
      <c r="AV126" s="38"/>
      <c r="AW126" s="180">
        <v>45301</v>
      </c>
      <c r="AX126" s="180">
        <v>45310</v>
      </c>
      <c r="AY126" s="180"/>
      <c r="AZ126" s="180"/>
      <c r="BA126" s="182"/>
      <c r="BB126" s="180"/>
      <c r="BC126" s="11" t="s">
        <v>7</v>
      </c>
    </row>
    <row r="127" spans="1:55" x14ac:dyDescent="0.35">
      <c r="A127" s="173"/>
      <c r="B127" s="16">
        <f>IF(D127=$A$516,1,IF(D127=$A$517,2,IF(D127=$A$518,3,IF(D127=$A$519,4,IF(D127=$A$520,5,IF(D127=$A$521,6))))))</f>
        <v>4</v>
      </c>
      <c r="D127" s="20" t="str">
        <f t="shared" si="19"/>
        <v>hld</v>
      </c>
      <c r="E127" s="12" t="s">
        <v>2962</v>
      </c>
      <c r="F127" s="13"/>
      <c r="G127" s="13" t="s">
        <v>712</v>
      </c>
      <c r="H127" s="14"/>
      <c r="I127" s="13"/>
      <c r="J127" s="13" t="s">
        <v>57</v>
      </c>
      <c r="K127" s="15" t="s">
        <v>2951</v>
      </c>
      <c r="L127" s="15" t="s">
        <v>2963</v>
      </c>
      <c r="M127" s="15"/>
      <c r="N127" s="15"/>
      <c r="O127" s="15"/>
      <c r="P127" s="15"/>
      <c r="Q127" s="15"/>
      <c r="S127" s="35"/>
      <c r="T127" s="13"/>
      <c r="U127" s="17"/>
      <c r="V127" s="17"/>
      <c r="W127" s="36"/>
      <c r="X127" s="17"/>
      <c r="Y127" s="17"/>
      <c r="AA127" s="15" t="s">
        <v>140</v>
      </c>
      <c r="AB127" s="17"/>
      <c r="AC127" s="21" t="s">
        <v>61</v>
      </c>
      <c r="AD127" s="21" t="s">
        <v>61</v>
      </c>
      <c r="AE127" s="61" t="s">
        <v>62</v>
      </c>
      <c r="AF127" s="17" t="s">
        <v>128</v>
      </c>
      <c r="AG127" s="15" t="s">
        <v>2954</v>
      </c>
      <c r="AI127" s="42">
        <f t="shared" ca="1" si="20"/>
        <v>433</v>
      </c>
      <c r="AJ127" s="42">
        <f t="shared" ca="1" si="24"/>
        <v>356</v>
      </c>
      <c r="AK127" s="13" t="s">
        <v>720</v>
      </c>
      <c r="AL127" s="36" t="str">
        <f t="shared" si="21"/>
        <v>On-hold</v>
      </c>
      <c r="AM127" s="37">
        <v>45231</v>
      </c>
      <c r="AN127" s="172">
        <v>45254</v>
      </c>
      <c r="AO127" s="37" t="s">
        <v>65</v>
      </c>
      <c r="AP127" s="37">
        <v>45257</v>
      </c>
      <c r="AQ127" s="38">
        <v>45257</v>
      </c>
      <c r="AR127" s="38">
        <v>45294</v>
      </c>
      <c r="AS127" s="38">
        <v>45308</v>
      </c>
      <c r="AT127" s="38"/>
      <c r="AU127" s="38"/>
      <c r="AV127" s="38"/>
      <c r="AW127" s="38">
        <v>45308</v>
      </c>
      <c r="AX127" s="38">
        <v>45308</v>
      </c>
      <c r="AY127" s="38"/>
      <c r="AZ127" s="38"/>
      <c r="BA127" s="39" t="str">
        <f t="shared" ref="BA127:BA142" si="25">+IF(AY127="","",COUNTA(AN127:AV127)/(COUNTA(AN127:AV127)+COUNTBLANK(AN127:AV127)))</f>
        <v/>
      </c>
      <c r="BB127" s="38"/>
      <c r="BC127" s="11" t="s">
        <v>7</v>
      </c>
    </row>
    <row r="128" spans="1:55" x14ac:dyDescent="0.35">
      <c r="B128" s="16">
        <f>IF(D128=$A$516,1,IF(D128=$A$517,2,IF(D128=$A$518,3,IF(D128=$A$519,4,IF(D128=$A$520,5,IF(D128=$A$521,6))))))</f>
        <v>4</v>
      </c>
      <c r="D128" s="20" t="str">
        <f t="shared" si="19"/>
        <v>hld</v>
      </c>
      <c r="E128" s="12" t="s">
        <v>2964</v>
      </c>
      <c r="F128" s="13"/>
      <c r="G128" s="13" t="s">
        <v>890</v>
      </c>
      <c r="H128" s="14"/>
      <c r="I128" s="13"/>
      <c r="J128" s="13" t="s">
        <v>57</v>
      </c>
      <c r="K128" s="15" t="s">
        <v>2967</v>
      </c>
      <c r="L128" s="15" t="s">
        <v>2965</v>
      </c>
      <c r="M128" s="15" t="s">
        <v>4072</v>
      </c>
      <c r="N128" s="15" t="s">
        <v>4073</v>
      </c>
      <c r="O128" s="15"/>
      <c r="P128" s="15"/>
      <c r="Q128" s="15"/>
      <c r="S128" s="35"/>
      <c r="T128" s="13"/>
      <c r="U128" s="17"/>
      <c r="V128" s="17"/>
      <c r="W128" s="36"/>
      <c r="X128" s="17"/>
      <c r="Y128" s="17"/>
      <c r="AA128" s="15" t="s">
        <v>60</v>
      </c>
      <c r="AB128" s="17"/>
      <c r="AC128" s="21" t="s">
        <v>61</v>
      </c>
      <c r="AD128" s="21" t="s">
        <v>61</v>
      </c>
      <c r="AE128" s="61" t="s">
        <v>62</v>
      </c>
      <c r="AF128" s="17" t="s">
        <v>128</v>
      </c>
      <c r="AG128" s="15" t="s">
        <v>2954</v>
      </c>
      <c r="AI128" s="42">
        <f t="shared" ca="1" si="20"/>
        <v>433</v>
      </c>
      <c r="AJ128" s="42">
        <f t="shared" ca="1" si="24"/>
        <v>358</v>
      </c>
      <c r="AK128" s="13" t="s">
        <v>720</v>
      </c>
      <c r="AL128" s="36" t="str">
        <f t="shared" si="21"/>
        <v>On-hold</v>
      </c>
      <c r="AM128" s="37">
        <v>45231</v>
      </c>
      <c r="AN128" s="172">
        <v>45254</v>
      </c>
      <c r="AO128" s="37" t="s">
        <v>65</v>
      </c>
      <c r="AP128" s="37">
        <v>45257</v>
      </c>
      <c r="AQ128" s="38" t="s">
        <v>65</v>
      </c>
      <c r="AR128" s="38" t="s">
        <v>65</v>
      </c>
      <c r="AS128" s="38">
        <v>45306</v>
      </c>
      <c r="AT128" s="38"/>
      <c r="AU128" s="38"/>
      <c r="AV128" s="38"/>
      <c r="AW128" s="38">
        <v>45306</v>
      </c>
      <c r="AX128" s="38">
        <v>45306</v>
      </c>
      <c r="AY128" s="38"/>
      <c r="AZ128" s="38"/>
      <c r="BA128" s="39" t="str">
        <f t="shared" si="25"/>
        <v/>
      </c>
      <c r="BB128" s="38"/>
      <c r="BC128" s="11" t="s">
        <v>7</v>
      </c>
    </row>
    <row r="129" spans="1:55" x14ac:dyDescent="0.35">
      <c r="B129" s="16">
        <f>IF(D129=$A$516,1,IF(D129=$A$517,2,IF(D129=$A$518,3,IF(D129=$A$519,4,IF(D129=$A$520,5,IF(D129=$A$521,6))))))</f>
        <v>4</v>
      </c>
      <c r="D129" s="20" t="str">
        <f t="shared" si="19"/>
        <v>hld</v>
      </c>
      <c r="E129" s="20" t="s">
        <v>4074</v>
      </c>
      <c r="F129" s="14"/>
      <c r="G129" s="13" t="s">
        <v>259</v>
      </c>
      <c r="H129" s="14" t="s">
        <v>260</v>
      </c>
      <c r="I129" s="13"/>
      <c r="J129" s="13" t="s">
        <v>239</v>
      </c>
      <c r="K129" s="15" t="s">
        <v>261</v>
      </c>
      <c r="L129" s="15"/>
      <c r="M129" s="15"/>
      <c r="N129" s="15"/>
      <c r="O129" s="15"/>
      <c r="P129" s="15"/>
      <c r="Q129" s="15"/>
      <c r="S129" s="17" t="s">
        <v>77</v>
      </c>
      <c r="T129" s="13">
        <v>2022</v>
      </c>
      <c r="U129" s="17">
        <v>127</v>
      </c>
      <c r="V129" s="17">
        <v>36</v>
      </c>
      <c r="W129" s="36">
        <f t="shared" ref="W129:W135" si="26">+V129/U129</f>
        <v>0.28346456692913385</v>
      </c>
      <c r="X129" s="17">
        <v>25.210999999999999</v>
      </c>
      <c r="Y129" s="17">
        <v>-12.416</v>
      </c>
      <c r="AA129" s="15" t="s">
        <v>60</v>
      </c>
      <c r="AB129" s="17"/>
      <c r="AC129" s="21" t="s">
        <v>153</v>
      </c>
      <c r="AD129" s="21" t="s">
        <v>153</v>
      </c>
      <c r="AE129" s="17"/>
      <c r="AF129" s="17"/>
      <c r="AG129" s="15"/>
      <c r="AI129" s="42">
        <f t="shared" ca="1" si="20"/>
        <v>706</v>
      </c>
      <c r="AJ129" s="42">
        <f t="shared" ca="1" si="24"/>
        <v>361</v>
      </c>
      <c r="AK129" s="13" t="s">
        <v>64</v>
      </c>
      <c r="AL129" s="36" t="str">
        <f t="shared" si="21"/>
        <v>On-hold</v>
      </c>
      <c r="AM129" s="37">
        <v>44958</v>
      </c>
      <c r="AN129" s="172">
        <f>+AM129</f>
        <v>44958</v>
      </c>
      <c r="AO129" s="37" t="s">
        <v>65</v>
      </c>
      <c r="AP129" s="37" t="s">
        <v>65</v>
      </c>
      <c r="AQ129" s="38">
        <v>45013</v>
      </c>
      <c r="AR129" s="38">
        <v>45210</v>
      </c>
      <c r="AS129" s="38">
        <v>45252</v>
      </c>
      <c r="AT129" s="38"/>
      <c r="AU129" s="38"/>
      <c r="AV129" s="38"/>
      <c r="AW129" s="38">
        <v>45303</v>
      </c>
      <c r="AX129" s="38">
        <v>45300</v>
      </c>
      <c r="AY129" s="38"/>
      <c r="AZ129" s="38"/>
      <c r="BA129" s="39" t="str">
        <f t="shared" si="25"/>
        <v/>
      </c>
      <c r="BB129" s="38"/>
      <c r="BC129" s="11" t="s">
        <v>7</v>
      </c>
    </row>
    <row r="130" spans="1:55" x14ac:dyDescent="0.35">
      <c r="B130" s="16">
        <f>IF(D130=$A$516,1,IF(D130=$A$517,2,IF(D130=$A$518,3,IF(D130=$A$519,4,IF(D130=$A$520,5,IF(D130=$A$521,6))))))</f>
        <v>4</v>
      </c>
      <c r="D130" s="20" t="str">
        <f t="shared" si="19"/>
        <v>hld</v>
      </c>
      <c r="E130" s="20" t="s">
        <v>262</v>
      </c>
      <c r="F130" s="13"/>
      <c r="G130" s="13" t="s">
        <v>147</v>
      </c>
      <c r="H130" s="14" t="s">
        <v>263</v>
      </c>
      <c r="I130" s="13">
        <v>851000</v>
      </c>
      <c r="J130" s="13" t="s">
        <v>57</v>
      </c>
      <c r="K130" s="15" t="s">
        <v>58</v>
      </c>
      <c r="L130" s="15" t="s">
        <v>264</v>
      </c>
      <c r="M130" s="15" t="s">
        <v>264</v>
      </c>
      <c r="N130" s="15" t="s">
        <v>4075</v>
      </c>
      <c r="O130" s="15"/>
      <c r="P130" s="15" t="s">
        <v>264</v>
      </c>
      <c r="Q130" s="15"/>
      <c r="S130" s="17" t="s">
        <v>77</v>
      </c>
      <c r="T130" s="13">
        <v>2022</v>
      </c>
      <c r="U130" s="17">
        <v>1.3</v>
      </c>
      <c r="V130" s="17">
        <v>0.112</v>
      </c>
      <c r="W130" s="36">
        <f t="shared" si="26"/>
        <v>8.615384615384615E-2</v>
      </c>
      <c r="X130" s="17">
        <v>0.27</v>
      </c>
      <c r="Y130" s="17">
        <v>0</v>
      </c>
      <c r="AA130" s="15" t="s">
        <v>140</v>
      </c>
      <c r="AB130" s="15"/>
      <c r="AC130" s="21" t="s">
        <v>61</v>
      </c>
      <c r="AD130" s="21" t="s">
        <v>61</v>
      </c>
      <c r="AE130" s="13" t="s">
        <v>62</v>
      </c>
      <c r="AF130" s="17"/>
      <c r="AG130" s="15"/>
      <c r="AI130" s="42">
        <f t="shared" ca="1" si="20"/>
        <v>481</v>
      </c>
      <c r="AJ130" s="42">
        <f t="shared" ca="1" si="24"/>
        <v>364</v>
      </c>
      <c r="AK130" s="13" t="s">
        <v>87</v>
      </c>
      <c r="AL130" s="36" t="str">
        <f t="shared" si="21"/>
        <v>On-hold</v>
      </c>
      <c r="AM130" s="37">
        <v>45183</v>
      </c>
      <c r="AN130" s="172">
        <v>45183</v>
      </c>
      <c r="AO130" s="37" t="s">
        <v>65</v>
      </c>
      <c r="AP130" s="37">
        <v>45188</v>
      </c>
      <c r="AQ130" s="38">
        <v>45196</v>
      </c>
      <c r="AR130" s="38">
        <v>45222</v>
      </c>
      <c r="AS130" s="38">
        <v>45267</v>
      </c>
      <c r="AT130" s="38"/>
      <c r="AU130" s="38"/>
      <c r="AV130" s="38"/>
      <c r="AW130" s="38">
        <v>45267</v>
      </c>
      <c r="AX130" s="38">
        <v>45300</v>
      </c>
      <c r="AY130" s="38"/>
      <c r="AZ130" s="38"/>
      <c r="BA130" s="39" t="str">
        <f t="shared" si="25"/>
        <v/>
      </c>
      <c r="BB130" s="38"/>
      <c r="BC130" s="11" t="s">
        <v>7</v>
      </c>
    </row>
    <row r="131" spans="1:55" x14ac:dyDescent="0.35">
      <c r="B131" s="16">
        <f>IF(D131=$A$516,1,IF(D131=$A$517,2,IF(D131=$A$518,3,IF(D131=$A$519,4,IF(D131=$A$520,5,IF(D131=$A$521,6))))))</f>
        <v>4</v>
      </c>
      <c r="D131" s="20" t="str">
        <f t="shared" si="19"/>
        <v>hld</v>
      </c>
      <c r="E131" s="20" t="s">
        <v>4327</v>
      </c>
      <c r="F131" s="13"/>
      <c r="G131" s="13" t="s">
        <v>715</v>
      </c>
      <c r="H131" s="14" t="s">
        <v>4328</v>
      </c>
      <c r="I131" s="13"/>
      <c r="J131" s="13" t="s">
        <v>2663</v>
      </c>
      <c r="K131" s="15" t="s">
        <v>2664</v>
      </c>
      <c r="L131" s="15"/>
      <c r="M131" s="15"/>
      <c r="N131" s="15"/>
      <c r="O131" s="15"/>
      <c r="P131" s="15"/>
      <c r="Q131" s="15"/>
      <c r="S131" s="17" t="s">
        <v>77</v>
      </c>
      <c r="T131" s="13">
        <v>2022</v>
      </c>
      <c r="U131" s="17">
        <v>105.30500000000001</v>
      </c>
      <c r="V131" s="17">
        <v>-2.46</v>
      </c>
      <c r="W131" s="36">
        <f t="shared" si="26"/>
        <v>-2.3360714116138832E-2</v>
      </c>
      <c r="X131" s="17">
        <v>-9.6150000000000002</v>
      </c>
      <c r="Y131" s="17">
        <v>-12.117000000000001</v>
      </c>
      <c r="AA131" s="15" t="s">
        <v>299</v>
      </c>
      <c r="AB131" s="15"/>
      <c r="AC131" s="21" t="s">
        <v>61</v>
      </c>
      <c r="AD131" s="21" t="s">
        <v>61</v>
      </c>
      <c r="AE131" s="13" t="s">
        <v>86</v>
      </c>
      <c r="AF131" s="21" t="s">
        <v>79</v>
      </c>
      <c r="AG131" s="15"/>
      <c r="AH131" s="677">
        <v>1</v>
      </c>
      <c r="AI131" s="42">
        <f t="shared" ca="1" si="20"/>
        <v>403</v>
      </c>
      <c r="AJ131" s="42">
        <f t="shared" ca="1" si="24"/>
        <v>364</v>
      </c>
      <c r="AK131" s="13" t="s">
        <v>64</v>
      </c>
      <c r="AL131" s="36" t="str">
        <f t="shared" si="21"/>
        <v>On-hold</v>
      </c>
      <c r="AM131" s="37">
        <v>45261</v>
      </c>
      <c r="AN131" s="172">
        <v>45261</v>
      </c>
      <c r="AO131" s="37" t="s">
        <v>65</v>
      </c>
      <c r="AP131" s="37">
        <v>45261</v>
      </c>
      <c r="AQ131" s="38">
        <v>45267</v>
      </c>
      <c r="AR131" s="38"/>
      <c r="AS131" s="38"/>
      <c r="AT131" s="38"/>
      <c r="AU131" s="38"/>
      <c r="AV131" s="38"/>
      <c r="AW131" s="38">
        <v>45112</v>
      </c>
      <c r="AX131" s="38">
        <v>45300</v>
      </c>
      <c r="AY131" s="38"/>
      <c r="AZ131" s="38"/>
      <c r="BA131" s="39" t="str">
        <f t="shared" si="25"/>
        <v/>
      </c>
      <c r="BB131" s="38"/>
      <c r="BC131" s="11" t="s">
        <v>7</v>
      </c>
    </row>
    <row r="132" spans="1:55" x14ac:dyDescent="0.35">
      <c r="B132" s="16">
        <f>IF(D132=$A$516,1,IF(D132=$A$517,2,IF(D132=$A$518,3,IF(D132=$A$519,4,IF(D132=$A$520,5,IF(D132=$A$521,6))))))</f>
        <v>4</v>
      </c>
      <c r="D132" s="20" t="str">
        <f t="shared" si="19"/>
        <v>hld</v>
      </c>
      <c r="E132" s="20" t="s">
        <v>4076</v>
      </c>
      <c r="F132" s="13"/>
      <c r="G132" s="13" t="s">
        <v>2626</v>
      </c>
      <c r="H132" s="14"/>
      <c r="I132" s="13"/>
      <c r="J132" s="13" t="s">
        <v>294</v>
      </c>
      <c r="K132" s="15" t="s">
        <v>2627</v>
      </c>
      <c r="L132" s="15"/>
      <c r="M132" s="15" t="s">
        <v>4077</v>
      </c>
      <c r="N132" s="15" t="s">
        <v>4078</v>
      </c>
      <c r="O132" s="15" t="s">
        <v>4077</v>
      </c>
      <c r="P132" s="15"/>
      <c r="Q132" s="15"/>
      <c r="S132" s="17"/>
      <c r="T132" s="13">
        <v>2022</v>
      </c>
      <c r="U132" s="17">
        <v>2.2999999999999998</v>
      </c>
      <c r="V132" s="17">
        <v>0.2</v>
      </c>
      <c r="W132" s="36">
        <f t="shared" si="26"/>
        <v>8.6956521739130446E-2</v>
      </c>
      <c r="X132" s="17">
        <v>0</v>
      </c>
      <c r="Y132" s="17">
        <v>3.2</v>
      </c>
      <c r="AA132" s="15" t="s">
        <v>299</v>
      </c>
      <c r="AB132" s="15"/>
      <c r="AC132" s="21" t="s">
        <v>61</v>
      </c>
      <c r="AD132" s="21" t="s">
        <v>61</v>
      </c>
      <c r="AE132" s="13"/>
      <c r="AF132" s="17"/>
      <c r="AG132" s="15"/>
      <c r="AI132" s="42">
        <f t="shared" ca="1" si="20"/>
        <v>441</v>
      </c>
      <c r="AJ132" s="42">
        <f t="shared" ca="1" si="24"/>
        <v>364</v>
      </c>
      <c r="AK132" s="13" t="s">
        <v>64</v>
      </c>
      <c r="AL132" s="36" t="str">
        <f t="shared" si="21"/>
        <v>On-hold</v>
      </c>
      <c r="AM132" s="37">
        <v>45223</v>
      </c>
      <c r="AN132" s="172">
        <v>45223</v>
      </c>
      <c r="AO132" s="37" t="s">
        <v>65</v>
      </c>
      <c r="AP132" s="37">
        <v>45224</v>
      </c>
      <c r="AQ132" s="38">
        <v>45224</v>
      </c>
      <c r="AR132" s="38">
        <v>45259</v>
      </c>
      <c r="AS132" s="38"/>
      <c r="AT132" s="38"/>
      <c r="AU132" s="38"/>
      <c r="AV132" s="38"/>
      <c r="AW132" s="38">
        <v>45259</v>
      </c>
      <c r="AX132" s="38">
        <v>45300</v>
      </c>
      <c r="AY132" s="38"/>
      <c r="AZ132" s="38"/>
      <c r="BA132" s="39" t="str">
        <f t="shared" si="25"/>
        <v/>
      </c>
      <c r="BB132" s="38"/>
      <c r="BC132" s="11" t="s">
        <v>7</v>
      </c>
    </row>
    <row r="133" spans="1:55" x14ac:dyDescent="0.35">
      <c r="B133" s="16">
        <f>IF(D133=$A$516,1,IF(D133=$A$517,2,IF(D133=$A$518,3,IF(D133=$A$519,4,IF(D133=$A$520,5,IF(D133=$A$521,6))))))</f>
        <v>4</v>
      </c>
      <c r="D133" s="20" t="str">
        <f t="shared" si="19"/>
        <v>hld</v>
      </c>
      <c r="E133" s="20" t="s">
        <v>4245</v>
      </c>
      <c r="F133" s="13"/>
      <c r="G133" s="13" t="s">
        <v>103</v>
      </c>
      <c r="H133" s="14" t="s">
        <v>4244</v>
      </c>
      <c r="I133" s="13"/>
      <c r="J133" s="13" t="s">
        <v>596</v>
      </c>
      <c r="K133" s="15" t="s">
        <v>4247</v>
      </c>
      <c r="L133" s="170" t="s">
        <v>275</v>
      </c>
      <c r="M133" s="15" t="s">
        <v>4248</v>
      </c>
      <c r="N133" s="15"/>
      <c r="O133" s="15" t="s">
        <v>275</v>
      </c>
      <c r="P133" s="15"/>
      <c r="Q133" s="15" t="s">
        <v>4249</v>
      </c>
      <c r="S133" s="17" t="s">
        <v>77</v>
      </c>
      <c r="T133" s="13">
        <v>2022</v>
      </c>
      <c r="U133" s="17">
        <v>16.855</v>
      </c>
      <c r="V133" s="17">
        <v>7.0510000000000002</v>
      </c>
      <c r="W133" s="36">
        <f t="shared" si="26"/>
        <v>0.41833283892020173</v>
      </c>
      <c r="X133" s="17">
        <v>4.0330000000000004</v>
      </c>
      <c r="Y133" s="17">
        <v>-0.89400000000000002</v>
      </c>
      <c r="AA133" s="170" t="s">
        <v>299</v>
      </c>
      <c r="AB133" s="15"/>
      <c r="AC133" s="171" t="s">
        <v>153</v>
      </c>
      <c r="AD133" s="21" t="s">
        <v>153</v>
      </c>
      <c r="AE133" s="13" t="s">
        <v>79</v>
      </c>
      <c r="AF133" s="17"/>
      <c r="AG133" s="15"/>
      <c r="AH133" s="677">
        <v>1</v>
      </c>
      <c r="AI133" s="42">
        <f t="shared" ca="1" si="20"/>
        <v>628</v>
      </c>
      <c r="AJ133" s="42">
        <f t="shared" ca="1" si="24"/>
        <v>364</v>
      </c>
      <c r="AK133" s="13" t="s">
        <v>87</v>
      </c>
      <c r="AL133" s="36" t="str">
        <f t="shared" si="21"/>
        <v>On-hold</v>
      </c>
      <c r="AM133" s="37">
        <v>45036</v>
      </c>
      <c r="AN133" s="172">
        <v>45037</v>
      </c>
      <c r="AO133" s="37" t="s">
        <v>65</v>
      </c>
      <c r="AP133" s="37">
        <v>45037</v>
      </c>
      <c r="AQ133" s="38">
        <v>45085</v>
      </c>
      <c r="AR133" s="38"/>
      <c r="AS133" s="38"/>
      <c r="AT133" s="38"/>
      <c r="AU133" s="38"/>
      <c r="AV133" s="38"/>
      <c r="AW133" s="38">
        <v>45225</v>
      </c>
      <c r="AX133" s="38">
        <v>45300</v>
      </c>
      <c r="AY133" s="38"/>
      <c r="AZ133" s="38"/>
      <c r="BA133" s="39" t="str">
        <f t="shared" si="25"/>
        <v/>
      </c>
      <c r="BB133" s="38"/>
      <c r="BC133" s="11" t="s">
        <v>7</v>
      </c>
    </row>
    <row r="134" spans="1:55" x14ac:dyDescent="0.35">
      <c r="B134" s="16">
        <f>IF(D134=$A$516,1,IF(D134=$A$517,2,IF(D134=$A$518,3,IF(D134=$A$519,4,IF(D134=$A$520,5,IF(D134=$A$521,6))))))</f>
        <v>4</v>
      </c>
      <c r="D134" s="20" t="str">
        <f t="shared" si="19"/>
        <v>hld</v>
      </c>
      <c r="E134" s="20" t="s">
        <v>285</v>
      </c>
      <c r="F134" s="13"/>
      <c r="G134" s="13" t="s">
        <v>208</v>
      </c>
      <c r="H134" s="14" t="s">
        <v>4329</v>
      </c>
      <c r="I134" s="13">
        <v>103900</v>
      </c>
      <c r="J134" s="13" t="s">
        <v>111</v>
      </c>
      <c r="K134" s="15" t="s">
        <v>286</v>
      </c>
      <c r="L134" s="15"/>
      <c r="M134" s="15" t="s">
        <v>4079</v>
      </c>
      <c r="N134" s="15" t="s">
        <v>4080</v>
      </c>
      <c r="O134" s="15" t="s">
        <v>4081</v>
      </c>
      <c r="P134" s="15" t="s">
        <v>4083</v>
      </c>
      <c r="Q134" s="15" t="s">
        <v>4082</v>
      </c>
      <c r="S134" s="17" t="s">
        <v>183</v>
      </c>
      <c r="T134" s="13">
        <v>2022</v>
      </c>
      <c r="U134" s="17">
        <v>30.6</v>
      </c>
      <c r="V134" s="17">
        <v>2.6</v>
      </c>
      <c r="W134" s="36">
        <f t="shared" si="26"/>
        <v>8.4967320261437912E-2</v>
      </c>
      <c r="X134" s="17">
        <v>1.7999999999999999E-2</v>
      </c>
      <c r="Y134" s="17">
        <v>10.5</v>
      </c>
      <c r="AA134" s="15" t="s">
        <v>60</v>
      </c>
      <c r="AB134" s="15"/>
      <c r="AC134" s="21" t="s">
        <v>153</v>
      </c>
      <c r="AD134" s="21" t="s">
        <v>153</v>
      </c>
      <c r="AE134" s="13"/>
      <c r="AF134" s="17"/>
      <c r="AG134" s="15"/>
      <c r="AI134" s="42">
        <f t="shared" ca="1" si="20"/>
        <v>556</v>
      </c>
      <c r="AJ134" s="42">
        <f t="shared" ca="1" si="24"/>
        <v>364</v>
      </c>
      <c r="AK134" s="13" t="s">
        <v>64</v>
      </c>
      <c r="AL134" s="36" t="str">
        <f t="shared" si="21"/>
        <v>On-hold</v>
      </c>
      <c r="AM134" s="37">
        <v>45108</v>
      </c>
      <c r="AN134" s="172">
        <f>+AM134</f>
        <v>45108</v>
      </c>
      <c r="AO134" s="37" t="s">
        <v>65</v>
      </c>
      <c r="AP134" s="37">
        <v>45090</v>
      </c>
      <c r="AQ134" s="38"/>
      <c r="AR134" s="38"/>
      <c r="AS134" s="38"/>
      <c r="AT134" s="38"/>
      <c r="AU134" s="38"/>
      <c r="AV134" s="38"/>
      <c r="AW134" s="38">
        <v>45112</v>
      </c>
      <c r="AX134" s="38">
        <v>45300</v>
      </c>
      <c r="AY134" s="38"/>
      <c r="AZ134" s="38"/>
      <c r="BA134" s="39" t="str">
        <f t="shared" si="25"/>
        <v/>
      </c>
      <c r="BB134" s="38"/>
      <c r="BC134" s="11" t="s">
        <v>7</v>
      </c>
    </row>
    <row r="135" spans="1:55" x14ac:dyDescent="0.35">
      <c r="B135" s="16">
        <f>IF(D135=$A$516,1,IF(D135=$A$517,2,IF(D135=$A$518,3,IF(D135=$A$519,4,IF(D135=$A$520,5,IF(D135=$A$521,6))))))</f>
        <v>4</v>
      </c>
      <c r="D135" s="20" t="str">
        <f t="shared" si="19"/>
        <v>hld</v>
      </c>
      <c r="E135" s="20" t="s">
        <v>291</v>
      </c>
      <c r="F135" s="14"/>
      <c r="G135" s="13" t="s">
        <v>292</v>
      </c>
      <c r="H135" s="14" t="s">
        <v>293</v>
      </c>
      <c r="I135" s="13">
        <v>310910</v>
      </c>
      <c r="J135" s="13" t="s">
        <v>294</v>
      </c>
      <c r="K135" s="15" t="s">
        <v>295</v>
      </c>
      <c r="L135" s="15"/>
      <c r="M135" s="15" t="s">
        <v>4084</v>
      </c>
      <c r="N135" s="15" t="s">
        <v>4085</v>
      </c>
      <c r="O135" s="15" t="s">
        <v>4084</v>
      </c>
      <c r="P135" s="15" t="s">
        <v>4084</v>
      </c>
      <c r="Q135" s="15"/>
      <c r="S135" s="17" t="s">
        <v>77</v>
      </c>
      <c r="T135" s="13">
        <v>2022</v>
      </c>
      <c r="U135" s="17">
        <v>14.36</v>
      </c>
      <c r="V135" s="17">
        <v>1.31</v>
      </c>
      <c r="W135" s="36">
        <f t="shared" si="26"/>
        <v>9.1225626740947086E-2</v>
      </c>
      <c r="X135" s="17">
        <v>0.105</v>
      </c>
      <c r="Y135" s="17">
        <v>6.7240000000000002</v>
      </c>
      <c r="AA135" s="15" t="s">
        <v>60</v>
      </c>
      <c r="AB135" s="15"/>
      <c r="AC135" s="21" t="s">
        <v>153</v>
      </c>
      <c r="AD135" s="21" t="s">
        <v>153</v>
      </c>
      <c r="AE135" s="13"/>
      <c r="AF135" s="17"/>
      <c r="AG135" s="15"/>
      <c r="AI135" s="42">
        <f t="shared" ca="1" si="20"/>
        <v>586</v>
      </c>
      <c r="AJ135" s="42">
        <f t="shared" ca="1" si="24"/>
        <v>392</v>
      </c>
      <c r="AK135" s="13" t="s">
        <v>64</v>
      </c>
      <c r="AL135" s="36" t="str">
        <f t="shared" si="21"/>
        <v>On-hold</v>
      </c>
      <c r="AM135" s="37">
        <v>45078</v>
      </c>
      <c r="AN135" s="172">
        <v>45113</v>
      </c>
      <c r="AO135" s="37" t="s">
        <v>65</v>
      </c>
      <c r="AP135" s="37"/>
      <c r="AQ135" s="38"/>
      <c r="AR135" s="38"/>
      <c r="AS135" s="38"/>
      <c r="AT135" s="38"/>
      <c r="AU135" s="38"/>
      <c r="AV135" s="38"/>
      <c r="AW135" s="38">
        <v>45194</v>
      </c>
      <c r="AX135" s="38">
        <v>45272</v>
      </c>
      <c r="AY135" s="38"/>
      <c r="AZ135" s="38"/>
      <c r="BA135" s="39" t="str">
        <f t="shared" si="25"/>
        <v/>
      </c>
      <c r="BB135" s="38"/>
      <c r="BC135" s="11" t="s">
        <v>7</v>
      </c>
    </row>
    <row r="136" spans="1:55" x14ac:dyDescent="0.35">
      <c r="B136" s="16">
        <f>IF(D136=$A$516,1,IF(D136=$A$517,2,IF(D136=$A$518,3,IF(D136=$A$519,4,IF(D136=$A$520,5,IF(D136=$A$521,6))))))</f>
        <v>4</v>
      </c>
      <c r="D136" s="20" t="str">
        <f t="shared" si="19"/>
        <v>hld</v>
      </c>
      <c r="E136" s="12" t="s">
        <v>2960</v>
      </c>
      <c r="F136" s="13"/>
      <c r="G136" s="13" t="s">
        <v>712</v>
      </c>
      <c r="H136" s="14"/>
      <c r="I136" s="13"/>
      <c r="J136" s="13" t="s">
        <v>57</v>
      </c>
      <c r="K136" s="15" t="s">
        <v>2951</v>
      </c>
      <c r="L136" s="15" t="s">
        <v>2961</v>
      </c>
      <c r="M136" s="15"/>
      <c r="N136" s="15"/>
      <c r="O136" s="15"/>
      <c r="P136" s="15"/>
      <c r="Q136" s="15"/>
      <c r="S136" s="35"/>
      <c r="T136" s="13"/>
      <c r="U136" s="17"/>
      <c r="V136" s="17"/>
      <c r="W136" s="36"/>
      <c r="X136" s="17"/>
      <c r="Y136" s="17"/>
      <c r="AA136" s="15" t="s">
        <v>140</v>
      </c>
      <c r="AB136" s="17"/>
      <c r="AC136" s="21" t="s">
        <v>61</v>
      </c>
      <c r="AD136" s="21" t="s">
        <v>61</v>
      </c>
      <c r="AE136" s="61" t="s">
        <v>62</v>
      </c>
      <c r="AF136" s="17" t="s">
        <v>128</v>
      </c>
      <c r="AG136" s="15" t="s">
        <v>2954</v>
      </c>
      <c r="AI136" s="42">
        <f t="shared" ca="1" si="20"/>
        <v>433</v>
      </c>
      <c r="AJ136" s="42">
        <f t="shared" ca="1" si="24"/>
        <v>400</v>
      </c>
      <c r="AK136" s="13" t="s">
        <v>720</v>
      </c>
      <c r="AL136" s="36" t="str">
        <f t="shared" si="21"/>
        <v>On-hold</v>
      </c>
      <c r="AM136" s="37">
        <v>45231</v>
      </c>
      <c r="AN136" s="172">
        <v>45254</v>
      </c>
      <c r="AO136" s="37" t="s">
        <v>65</v>
      </c>
      <c r="AP136" s="37">
        <v>45258</v>
      </c>
      <c r="AQ136" s="38">
        <v>45264</v>
      </c>
      <c r="AR136" s="38"/>
      <c r="AS136" s="38"/>
      <c r="AT136" s="38"/>
      <c r="AU136" s="38"/>
      <c r="AV136" s="38"/>
      <c r="AW136" s="38">
        <v>45264</v>
      </c>
      <c r="AX136" s="38">
        <v>45264</v>
      </c>
      <c r="AY136" s="38"/>
      <c r="AZ136" s="38"/>
      <c r="BA136" s="39" t="str">
        <f t="shared" si="25"/>
        <v/>
      </c>
      <c r="BB136" s="38"/>
      <c r="BC136" s="11" t="s">
        <v>7</v>
      </c>
    </row>
    <row r="137" spans="1:55" x14ac:dyDescent="0.35">
      <c r="B137" s="16">
        <f>IF(D137=$A$516,1,IF(D137=$A$517,2,IF(D137=$A$518,3,IF(D137=$A$519,4,IF(D137=$A$520,5,IF(D137=$A$521,6))))))</f>
        <v>4</v>
      </c>
      <c r="D137" s="20" t="str">
        <f t="shared" si="19"/>
        <v>hld</v>
      </c>
      <c r="E137" s="20" t="s">
        <v>282</v>
      </c>
      <c r="F137" s="13"/>
      <c r="G137" s="13" t="s">
        <v>147</v>
      </c>
      <c r="H137" s="14" t="s">
        <v>4086</v>
      </c>
      <c r="I137" s="13"/>
      <c r="J137" s="13" t="s">
        <v>283</v>
      </c>
      <c r="K137" s="15" t="s">
        <v>284</v>
      </c>
      <c r="L137" s="15"/>
      <c r="M137" s="15" t="s">
        <v>4087</v>
      </c>
      <c r="N137" s="15" t="s">
        <v>4088</v>
      </c>
      <c r="O137" s="15"/>
      <c r="P137" s="15" t="s">
        <v>4089</v>
      </c>
      <c r="Q137" s="15" t="s">
        <v>4090</v>
      </c>
      <c r="S137" s="35" t="s">
        <v>77</v>
      </c>
      <c r="T137" s="13">
        <v>2022</v>
      </c>
      <c r="U137" s="17">
        <v>31.6</v>
      </c>
      <c r="V137" s="17">
        <v>5.9</v>
      </c>
      <c r="W137" s="36">
        <f t="shared" ref="W137:W162" si="27">+V137/U137</f>
        <v>0.18670886075949367</v>
      </c>
      <c r="X137" s="17">
        <v>3.21</v>
      </c>
      <c r="Y137" s="17">
        <v>-9.9</v>
      </c>
      <c r="AA137" s="15" t="s">
        <v>60</v>
      </c>
      <c r="AB137" s="17"/>
      <c r="AC137" s="21" t="s">
        <v>153</v>
      </c>
      <c r="AD137" s="21" t="s">
        <v>153</v>
      </c>
      <c r="AE137" s="17"/>
      <c r="AF137" s="17"/>
      <c r="AG137" s="15"/>
      <c r="AI137" s="42">
        <f t="shared" ca="1" si="20"/>
        <v>474</v>
      </c>
      <c r="AJ137" s="42">
        <f t="shared" ca="1" si="24"/>
        <v>405</v>
      </c>
      <c r="AK137" s="13"/>
      <c r="AL137" s="36" t="str">
        <f t="shared" si="21"/>
        <v>On-hold</v>
      </c>
      <c r="AM137" s="37">
        <v>45190</v>
      </c>
      <c r="AN137" s="37">
        <v>45190</v>
      </c>
      <c r="AO137" s="37"/>
      <c r="AP137" s="37">
        <v>45190</v>
      </c>
      <c r="AQ137" s="38">
        <v>45202</v>
      </c>
      <c r="AR137" s="38"/>
      <c r="AS137" s="38"/>
      <c r="AT137" s="38"/>
      <c r="AU137" s="38"/>
      <c r="AV137" s="38"/>
      <c r="AW137" s="38">
        <v>45191</v>
      </c>
      <c r="AX137" s="38">
        <v>45259</v>
      </c>
      <c r="AY137" s="38"/>
      <c r="AZ137" s="38"/>
      <c r="BA137" s="39" t="str">
        <f t="shared" si="25"/>
        <v/>
      </c>
      <c r="BB137" s="38"/>
      <c r="BC137" s="11" t="s">
        <v>7</v>
      </c>
    </row>
    <row r="138" spans="1:55" x14ac:dyDescent="0.35">
      <c r="B138" s="16">
        <f>IF(D138=$A$516,1,IF(D138=$A$517,2,IF(D138=$A$518,3,IF(D138=$A$519,4,IF(D138=$A$520,5,IF(D138=$A$521,6))))))</f>
        <v>4</v>
      </c>
      <c r="D138" s="20" t="str">
        <f t="shared" ref="D138:D162" si="28">IF(AL138="Closed","cls",IF(AL138=1,"sgn",IF(AL138="On-hold","hld",IF(AL138="Aborted","abt",IF(AL138&lt;1,"wip","RIP")))))</f>
        <v>hld</v>
      </c>
      <c r="E138" s="20" t="s">
        <v>277</v>
      </c>
      <c r="F138" s="13"/>
      <c r="G138" s="13" t="s">
        <v>278</v>
      </c>
      <c r="H138" s="14" t="s">
        <v>279</v>
      </c>
      <c r="I138" s="13"/>
      <c r="J138" s="13" t="s">
        <v>111</v>
      </c>
      <c r="K138" s="15" t="s">
        <v>280</v>
      </c>
      <c r="L138" s="15"/>
      <c r="M138" s="15" t="s">
        <v>281</v>
      </c>
      <c r="N138" s="15"/>
      <c r="O138" s="15"/>
      <c r="P138" s="15"/>
      <c r="Q138" s="15"/>
      <c r="S138" s="35" t="s">
        <v>77</v>
      </c>
      <c r="T138" s="13">
        <v>2022</v>
      </c>
      <c r="U138" s="17">
        <v>16.963999999999999</v>
      </c>
      <c r="V138" s="17">
        <v>4.1580000000000004</v>
      </c>
      <c r="W138" s="36">
        <f t="shared" si="27"/>
        <v>0.24510728601744874</v>
      </c>
      <c r="X138" s="17">
        <v>2.8260000000000001</v>
      </c>
      <c r="Y138" s="17">
        <v>-2.2000000000000002</v>
      </c>
      <c r="AA138" s="15" t="s">
        <v>140</v>
      </c>
      <c r="AB138" s="17"/>
      <c r="AC138" s="21" t="s">
        <v>78</v>
      </c>
      <c r="AD138" s="17" t="s">
        <v>78</v>
      </c>
      <c r="AE138" s="17" t="s">
        <v>128</v>
      </c>
      <c r="AF138" s="17"/>
      <c r="AG138" s="15"/>
      <c r="AI138" s="42">
        <f t="shared" ref="AI138:AI162" ca="1" si="29">+TODAY()-AM138</f>
        <v>477</v>
      </c>
      <c r="AJ138" s="42">
        <f t="shared" ca="1" si="24"/>
        <v>418</v>
      </c>
      <c r="AK138" s="13" t="s">
        <v>87</v>
      </c>
      <c r="AL138" s="36" t="str">
        <f t="shared" ref="AL138:AL162" si="30">+IF(BB138="",IF(AZ138="",IF(AY138="",IF(AX138="",COUNTA(AN138:AV138)/9,"On-hold"),"Aborted"),"Closed"),"RIP")</f>
        <v>On-hold</v>
      </c>
      <c r="AM138" s="37">
        <v>45187</v>
      </c>
      <c r="AN138" s="37">
        <v>45188</v>
      </c>
      <c r="AO138" s="37">
        <v>45194</v>
      </c>
      <c r="AP138" s="37">
        <v>45202</v>
      </c>
      <c r="AQ138" s="38">
        <v>45240</v>
      </c>
      <c r="AR138" s="38"/>
      <c r="AS138" s="38"/>
      <c r="AT138" s="38"/>
      <c r="AU138" s="38"/>
      <c r="AV138" s="38"/>
      <c r="AW138" s="38">
        <v>45246</v>
      </c>
      <c r="AX138" s="38">
        <v>45246</v>
      </c>
      <c r="AY138" s="38"/>
      <c r="AZ138" s="38"/>
      <c r="BA138" s="39" t="str">
        <f t="shared" si="25"/>
        <v/>
      </c>
      <c r="BB138" s="38"/>
      <c r="BC138" s="11" t="s">
        <v>7</v>
      </c>
    </row>
    <row r="139" spans="1:55" x14ac:dyDescent="0.35">
      <c r="B139" s="16">
        <f>IF(D139=$A$516,1,IF(D139=$A$517,2,IF(D139=$A$518,3,IF(D139=$A$519,4,IF(D139=$A$520,5,IF(D139=$A$521,6))))))</f>
        <v>4</v>
      </c>
      <c r="D139" s="20" t="str">
        <f t="shared" si="28"/>
        <v>hld</v>
      </c>
      <c r="E139" s="12" t="s">
        <v>300</v>
      </c>
      <c r="F139" s="14"/>
      <c r="G139" s="13" t="s">
        <v>68</v>
      </c>
      <c r="H139" s="14" t="s">
        <v>4091</v>
      </c>
      <c r="I139" s="13"/>
      <c r="J139" s="13" t="s">
        <v>57</v>
      </c>
      <c r="K139" s="15" t="s">
        <v>58</v>
      </c>
      <c r="L139" s="15"/>
      <c r="M139" s="15"/>
      <c r="N139" s="15"/>
      <c r="O139" s="15"/>
      <c r="P139" s="15"/>
      <c r="Q139" s="15"/>
      <c r="S139" s="35" t="s">
        <v>77</v>
      </c>
      <c r="T139" s="13">
        <v>2023</v>
      </c>
      <c r="U139" s="17">
        <v>4.5999999999999996</v>
      </c>
      <c r="V139" s="17">
        <v>-1.52</v>
      </c>
      <c r="W139" s="36">
        <f t="shared" si="27"/>
        <v>-0.33043478260869569</v>
      </c>
      <c r="X139" s="17">
        <v>-2.2149999999999999</v>
      </c>
      <c r="Y139" s="17">
        <v>3.6339999999999999</v>
      </c>
      <c r="AA139" s="631" t="s">
        <v>99</v>
      </c>
      <c r="AB139" s="15" t="s">
        <v>301</v>
      </c>
      <c r="AC139" s="21" t="s">
        <v>61</v>
      </c>
      <c r="AD139" s="21" t="s">
        <v>61</v>
      </c>
      <c r="AE139" s="17" t="s">
        <v>62</v>
      </c>
      <c r="AF139" s="17"/>
      <c r="AG139" s="15"/>
      <c r="AI139" s="42">
        <f t="shared" ca="1" si="29"/>
        <v>459</v>
      </c>
      <c r="AJ139" s="42">
        <f t="shared" ca="1" si="24"/>
        <v>420</v>
      </c>
      <c r="AK139" s="13"/>
      <c r="AL139" s="36" t="str">
        <f t="shared" si="30"/>
        <v>On-hold</v>
      </c>
      <c r="AM139" s="37">
        <v>45205</v>
      </c>
      <c r="AN139" s="37">
        <v>45205</v>
      </c>
      <c r="AO139" s="37" t="s">
        <v>65</v>
      </c>
      <c r="AP139" s="37" t="s">
        <v>65</v>
      </c>
      <c r="AQ139" s="38">
        <v>45205</v>
      </c>
      <c r="AR139" s="38">
        <v>45210</v>
      </c>
      <c r="AS139" s="38"/>
      <c r="AT139" s="38"/>
      <c r="AU139" s="38"/>
      <c r="AV139" s="38"/>
      <c r="AW139" s="38">
        <v>45211</v>
      </c>
      <c r="AX139" s="38">
        <v>45244</v>
      </c>
      <c r="AY139" s="38"/>
      <c r="AZ139" s="38"/>
      <c r="BA139" s="39" t="str">
        <f t="shared" si="25"/>
        <v/>
      </c>
      <c r="BB139" s="38"/>
      <c r="BC139" s="11" t="s">
        <v>7</v>
      </c>
    </row>
    <row r="140" spans="1:55" x14ac:dyDescent="0.35">
      <c r="B140" s="16">
        <f>IF(D140=$A$516,1,IF(D140=$A$517,2,IF(D140=$A$518,3,IF(D140=$A$519,4,IF(D140=$A$520,5,IF(D140=$A$521,6))))))</f>
        <v>4</v>
      </c>
      <c r="D140" s="20" t="str">
        <f t="shared" si="28"/>
        <v>hld</v>
      </c>
      <c r="E140" s="20" t="s">
        <v>296</v>
      </c>
      <c r="F140" s="13"/>
      <c r="G140" s="13" t="s">
        <v>68</v>
      </c>
      <c r="H140" s="14" t="s">
        <v>297</v>
      </c>
      <c r="I140" s="13">
        <v>282209</v>
      </c>
      <c r="J140" s="13" t="s">
        <v>111</v>
      </c>
      <c r="K140" s="15" t="s">
        <v>298</v>
      </c>
      <c r="L140" s="15" t="s">
        <v>299</v>
      </c>
      <c r="M140" s="15" t="s">
        <v>4092</v>
      </c>
      <c r="N140" s="15" t="s">
        <v>4093</v>
      </c>
      <c r="O140" s="15" t="s">
        <v>4093</v>
      </c>
      <c r="P140" s="15" t="s">
        <v>4093</v>
      </c>
      <c r="Q140" s="15" t="s">
        <v>4094</v>
      </c>
      <c r="S140" s="35" t="s">
        <v>77</v>
      </c>
      <c r="T140" s="13">
        <v>2022</v>
      </c>
      <c r="U140" s="17">
        <v>31</v>
      </c>
      <c r="V140" s="17">
        <v>2</v>
      </c>
      <c r="W140" s="36">
        <f t="shared" si="27"/>
        <v>6.4516129032258063E-2</v>
      </c>
      <c r="X140" s="17">
        <v>0.81599999999999995</v>
      </c>
      <c r="Y140" s="17">
        <v>6.3</v>
      </c>
      <c r="AA140" s="15" t="s">
        <v>299</v>
      </c>
      <c r="AB140" s="17"/>
      <c r="AC140" s="21" t="s">
        <v>61</v>
      </c>
      <c r="AD140" s="21" t="s">
        <v>61</v>
      </c>
      <c r="AE140" s="17" t="s">
        <v>128</v>
      </c>
      <c r="AF140" s="17"/>
      <c r="AG140" s="15"/>
      <c r="AI140" s="42">
        <f t="shared" ca="1" si="29"/>
        <v>968</v>
      </c>
      <c r="AJ140" s="42">
        <f t="shared" ca="1" si="24"/>
        <v>420</v>
      </c>
      <c r="AK140" s="13" t="s">
        <v>87</v>
      </c>
      <c r="AL140" s="36" t="str">
        <f t="shared" si="30"/>
        <v>On-hold</v>
      </c>
      <c r="AM140" s="37">
        <v>44696</v>
      </c>
      <c r="AN140" s="172">
        <v>44755</v>
      </c>
      <c r="AO140" s="37" t="s">
        <v>65</v>
      </c>
      <c r="AP140" s="37">
        <v>44755</v>
      </c>
      <c r="AQ140" s="38">
        <v>44880</v>
      </c>
      <c r="AR140" s="38">
        <v>45141</v>
      </c>
      <c r="AS140" s="38">
        <v>45202</v>
      </c>
      <c r="AT140" s="38"/>
      <c r="AU140" s="38"/>
      <c r="AV140" s="38"/>
      <c r="AW140" s="38">
        <v>45202</v>
      </c>
      <c r="AX140" s="38">
        <v>45244</v>
      </c>
      <c r="AY140" s="106"/>
      <c r="AZ140" s="106"/>
      <c r="BA140" s="39" t="str">
        <f t="shared" si="25"/>
        <v/>
      </c>
      <c r="BB140" s="38"/>
      <c r="BC140" s="11" t="s">
        <v>7</v>
      </c>
    </row>
    <row r="141" spans="1:55" x14ac:dyDescent="0.35">
      <c r="B141" s="16">
        <f>IF(D141=$A$516,1,IF(D141=$A$517,2,IF(D141=$A$518,3,IF(D141=$A$519,4,IF(D141=$A$520,5,IF(D141=$A$521,6))))))</f>
        <v>4</v>
      </c>
      <c r="D141" s="20" t="str">
        <f t="shared" si="28"/>
        <v>hld</v>
      </c>
      <c r="E141" s="20" t="s">
        <v>302</v>
      </c>
      <c r="F141" s="13"/>
      <c r="G141" s="13" t="s">
        <v>103</v>
      </c>
      <c r="H141" s="14">
        <v>10468520159</v>
      </c>
      <c r="I141" s="13"/>
      <c r="J141" s="13" t="s">
        <v>111</v>
      </c>
      <c r="K141" s="15" t="s">
        <v>303</v>
      </c>
      <c r="L141" s="15" t="s">
        <v>304</v>
      </c>
      <c r="M141" s="15" t="s">
        <v>304</v>
      </c>
      <c r="N141" s="15" t="s">
        <v>4095</v>
      </c>
      <c r="O141" s="15"/>
      <c r="P141" s="15" t="s">
        <v>4095</v>
      </c>
      <c r="Q141" s="15"/>
      <c r="S141" s="17" t="s">
        <v>77</v>
      </c>
      <c r="T141" s="13">
        <v>2023</v>
      </c>
      <c r="U141" s="17">
        <v>7.4429999999999996</v>
      </c>
      <c r="V141" s="17">
        <v>0.47599999999999998</v>
      </c>
      <c r="W141" s="36">
        <f t="shared" si="27"/>
        <v>6.3952707241703613E-2</v>
      </c>
      <c r="X141" s="17">
        <v>0.3</v>
      </c>
      <c r="Y141" s="17">
        <v>1.319</v>
      </c>
      <c r="AA141" s="15" t="s">
        <v>99</v>
      </c>
      <c r="AB141" s="15" t="s">
        <v>305</v>
      </c>
      <c r="AC141" s="21" t="s">
        <v>86</v>
      </c>
      <c r="AD141" s="21" t="s">
        <v>61</v>
      </c>
      <c r="AE141" s="21" t="s">
        <v>86</v>
      </c>
      <c r="AF141" s="17"/>
      <c r="AG141" s="15"/>
      <c r="AI141" s="42">
        <f t="shared" ca="1" si="29"/>
        <v>445</v>
      </c>
      <c r="AJ141" s="42">
        <f t="shared" ca="1" si="24"/>
        <v>439</v>
      </c>
      <c r="AK141" s="13" t="s">
        <v>87</v>
      </c>
      <c r="AL141" s="36" t="str">
        <f t="shared" si="30"/>
        <v>On-hold</v>
      </c>
      <c r="AM141" s="37">
        <v>45219</v>
      </c>
      <c r="AN141" s="37">
        <v>45219</v>
      </c>
      <c r="AO141" s="37">
        <v>45219</v>
      </c>
      <c r="AP141" s="37">
        <v>45222</v>
      </c>
      <c r="AQ141" s="38">
        <v>45223</v>
      </c>
      <c r="AR141" s="38"/>
      <c r="AS141" s="38"/>
      <c r="AT141" s="38"/>
      <c r="AU141" s="38"/>
      <c r="AV141" s="38"/>
      <c r="AW141" s="38">
        <v>45223</v>
      </c>
      <c r="AX141" s="38">
        <v>45225</v>
      </c>
      <c r="AY141" s="38"/>
      <c r="AZ141" s="38"/>
      <c r="BA141" s="39" t="str">
        <f t="shared" si="25"/>
        <v/>
      </c>
      <c r="BB141" s="38"/>
      <c r="BC141" s="11" t="s">
        <v>7</v>
      </c>
    </row>
    <row r="142" spans="1:55" x14ac:dyDescent="0.35">
      <c r="B142" s="16">
        <f>IF(D142=$A$516,1,IF(D142=$A$517,2,IF(D142=$A$518,3,IF(D142=$A$519,4,IF(D142=$A$520,5,IF(D142=$A$521,6))))))</f>
        <v>4</v>
      </c>
      <c r="D142" s="20" t="str">
        <f t="shared" si="28"/>
        <v>hld</v>
      </c>
      <c r="E142" s="12" t="s">
        <v>306</v>
      </c>
      <c r="F142" s="14" t="s">
        <v>307</v>
      </c>
      <c r="G142" s="13" t="s">
        <v>308</v>
      </c>
      <c r="H142" s="14" t="s">
        <v>309</v>
      </c>
      <c r="I142" s="13">
        <v>109100</v>
      </c>
      <c r="J142" s="13" t="s">
        <v>310</v>
      </c>
      <c r="K142" s="15" t="s">
        <v>311</v>
      </c>
      <c r="L142" s="15"/>
      <c r="M142" s="15" t="s">
        <v>4096</v>
      </c>
      <c r="N142" s="15" t="s">
        <v>4097</v>
      </c>
      <c r="O142" s="15" t="s">
        <v>4098</v>
      </c>
      <c r="P142" s="15" t="s">
        <v>4099</v>
      </c>
      <c r="Q142" s="15" t="s">
        <v>4100</v>
      </c>
      <c r="S142" s="35" t="s">
        <v>77</v>
      </c>
      <c r="T142" s="13">
        <v>2023</v>
      </c>
      <c r="U142" s="17">
        <v>174</v>
      </c>
      <c r="V142" s="17">
        <v>8</v>
      </c>
      <c r="W142" s="36">
        <f t="shared" si="27"/>
        <v>4.5977011494252873E-2</v>
      </c>
      <c r="X142" s="17">
        <v>3.1</v>
      </c>
      <c r="Y142" s="17">
        <v>33</v>
      </c>
      <c r="AA142" s="15" t="s">
        <v>99</v>
      </c>
      <c r="AB142" s="17" t="s">
        <v>312</v>
      </c>
      <c r="AC142" s="21" t="s">
        <v>61</v>
      </c>
      <c r="AD142" s="21" t="s">
        <v>61</v>
      </c>
      <c r="AE142" s="17" t="s">
        <v>86</v>
      </c>
      <c r="AF142" s="17" t="s">
        <v>313</v>
      </c>
      <c r="AG142" s="15"/>
      <c r="AI142" s="42">
        <f t="shared" ca="1" si="29"/>
        <v>1176</v>
      </c>
      <c r="AJ142" s="42">
        <f t="shared" ca="1" si="24"/>
        <v>439</v>
      </c>
      <c r="AK142" s="13" t="s">
        <v>87</v>
      </c>
      <c r="AL142" s="36" t="str">
        <f t="shared" si="30"/>
        <v>On-hold</v>
      </c>
      <c r="AM142" s="37">
        <v>44488</v>
      </c>
      <c r="AN142" s="37">
        <v>44488</v>
      </c>
      <c r="AO142" s="37">
        <v>44988</v>
      </c>
      <c r="AP142" s="37">
        <v>44988</v>
      </c>
      <c r="AQ142" s="38">
        <v>45195</v>
      </c>
      <c r="AR142" s="38"/>
      <c r="AS142" s="38"/>
      <c r="AT142" s="38"/>
      <c r="AU142" s="38"/>
      <c r="AV142" s="38"/>
      <c r="AW142" s="38">
        <v>45195</v>
      </c>
      <c r="AX142" s="38">
        <v>45225</v>
      </c>
      <c r="AY142" s="38"/>
      <c r="AZ142" s="38"/>
      <c r="BA142" s="39" t="str">
        <f t="shared" si="25"/>
        <v/>
      </c>
      <c r="BB142" s="38"/>
      <c r="BC142" s="11" t="s">
        <v>7</v>
      </c>
    </row>
    <row r="143" spans="1:55" x14ac:dyDescent="0.35">
      <c r="B143" s="16">
        <f>IF(D143=$A$516,1,IF(D143=$A$517,2,IF(D143=$A$518,3,IF(D143=$A$519,4,IF(D143=$A$520,5,IF(D143=$A$521,6))))))</f>
        <v>4</v>
      </c>
      <c r="D143" s="20" t="str">
        <f t="shared" si="28"/>
        <v>hld</v>
      </c>
      <c r="E143" s="20" t="s">
        <v>4442</v>
      </c>
      <c r="F143" s="13"/>
      <c r="G143" s="13" t="s">
        <v>103</v>
      </c>
      <c r="H143" s="14" t="s">
        <v>4443</v>
      </c>
      <c r="I143" s="14" t="s">
        <v>4444</v>
      </c>
      <c r="J143" s="13" t="s">
        <v>321</v>
      </c>
      <c r="K143" s="15" t="s">
        <v>4445</v>
      </c>
      <c r="L143" s="15" t="s">
        <v>4446</v>
      </c>
      <c r="M143" s="15"/>
      <c r="N143" s="15"/>
      <c r="O143" s="282"/>
      <c r="P143" s="15" t="s">
        <v>4447</v>
      </c>
      <c r="Q143" s="282"/>
      <c r="R143" s="277"/>
      <c r="S143" s="35" t="s">
        <v>77</v>
      </c>
      <c r="T143" s="280">
        <v>2023</v>
      </c>
      <c r="U143" s="17">
        <v>84.8</v>
      </c>
      <c r="V143" s="284">
        <v>7.2</v>
      </c>
      <c r="W143" s="36">
        <f t="shared" si="27"/>
        <v>8.4905660377358499E-2</v>
      </c>
      <c r="X143" s="17">
        <v>6.8</v>
      </c>
      <c r="Y143" s="284">
        <v>-0.9</v>
      </c>
      <c r="Z143" s="277"/>
      <c r="AA143" s="15" t="s">
        <v>60</v>
      </c>
      <c r="AB143" s="17"/>
      <c r="AC143" s="21" t="s">
        <v>154</v>
      </c>
      <c r="AD143" s="21" t="s">
        <v>154</v>
      </c>
      <c r="AE143" s="13"/>
      <c r="AF143" s="284"/>
      <c r="AG143" s="282"/>
      <c r="AH143" s="277"/>
      <c r="AI143" s="42">
        <f t="shared" ca="1" si="29"/>
        <v>116</v>
      </c>
      <c r="AJ143" s="42">
        <f t="shared" ca="1" si="24"/>
        <v>102</v>
      </c>
      <c r="AK143" s="13" t="s">
        <v>2672</v>
      </c>
      <c r="AL143" s="288" t="str">
        <f t="shared" si="30"/>
        <v>On-hold</v>
      </c>
      <c r="AM143" s="289">
        <v>45548</v>
      </c>
      <c r="AN143" s="289">
        <v>45548</v>
      </c>
      <c r="AO143" s="37" t="s">
        <v>65</v>
      </c>
      <c r="AP143" s="289">
        <f>+AM143</f>
        <v>45548</v>
      </c>
      <c r="AQ143" s="38">
        <v>45554</v>
      </c>
      <c r="AR143" s="38"/>
      <c r="AS143" s="38"/>
      <c r="AT143" s="38"/>
      <c r="AU143" s="38"/>
      <c r="AV143" s="38"/>
      <c r="AW143" s="38">
        <v>45554</v>
      </c>
      <c r="AX143" s="290">
        <v>45562</v>
      </c>
      <c r="AY143" s="290"/>
      <c r="AZ143" s="290"/>
      <c r="BA143" s="291"/>
      <c r="BB143" s="290"/>
      <c r="BC143" s="11" t="s">
        <v>7</v>
      </c>
    </row>
    <row r="144" spans="1:55" x14ac:dyDescent="0.35">
      <c r="A144" s="277"/>
      <c r="B144" s="16">
        <f>IF(D144=$A$516,1,IF(D144=$A$517,2,IF(D144=$A$518,3,IF(D144=$A$519,4,IF(D144=$A$520,5,IF(D144=$A$521,6))))))</f>
        <v>4</v>
      </c>
      <c r="D144" s="20" t="str">
        <f t="shared" si="28"/>
        <v>hld</v>
      </c>
      <c r="E144" s="12" t="s">
        <v>319</v>
      </c>
      <c r="F144" s="13"/>
      <c r="G144" s="13" t="s">
        <v>174</v>
      </c>
      <c r="H144" s="14" t="s">
        <v>320</v>
      </c>
      <c r="I144" s="13">
        <v>279009</v>
      </c>
      <c r="J144" s="13" t="s">
        <v>321</v>
      </c>
      <c r="K144" s="15" t="s">
        <v>322</v>
      </c>
      <c r="L144" s="15" t="s">
        <v>323</v>
      </c>
      <c r="M144" s="15" t="s">
        <v>4101</v>
      </c>
      <c r="N144" s="15" t="s">
        <v>4102</v>
      </c>
      <c r="O144" s="15" t="s">
        <v>4103</v>
      </c>
      <c r="P144" s="15" t="s">
        <v>4105</v>
      </c>
      <c r="Q144" s="15" t="s">
        <v>4104</v>
      </c>
      <c r="S144" s="17" t="s">
        <v>77</v>
      </c>
      <c r="T144" s="13">
        <v>2022</v>
      </c>
      <c r="U144" s="17">
        <v>143</v>
      </c>
      <c r="V144" s="17">
        <v>15.3</v>
      </c>
      <c r="W144" s="36">
        <f t="shared" si="27"/>
        <v>0.106993006993007</v>
      </c>
      <c r="X144" s="17">
        <v>9.3000000000000007</v>
      </c>
      <c r="Y144" s="17">
        <v>415</v>
      </c>
      <c r="AA144" s="15" t="s">
        <v>140</v>
      </c>
      <c r="AB144" s="15"/>
      <c r="AC144" s="21" t="s">
        <v>154</v>
      </c>
      <c r="AD144" s="21" t="s">
        <v>154</v>
      </c>
      <c r="AE144" s="17" t="s">
        <v>155</v>
      </c>
      <c r="AF144" s="17"/>
      <c r="AG144" s="15" t="s">
        <v>2609</v>
      </c>
      <c r="AI144" s="42">
        <f t="shared" ca="1" si="29"/>
        <v>462</v>
      </c>
      <c r="AJ144" s="42">
        <f t="shared" ca="1" si="24"/>
        <v>440</v>
      </c>
      <c r="AK144" s="13"/>
      <c r="AL144" s="36" t="str">
        <f t="shared" si="30"/>
        <v>On-hold</v>
      </c>
      <c r="AM144" s="37">
        <v>45202</v>
      </c>
      <c r="AN144" s="37">
        <f>+AM144</f>
        <v>45202</v>
      </c>
      <c r="AO144" s="37" t="s">
        <v>65</v>
      </c>
      <c r="AP144" s="37">
        <f>+AN144</f>
        <v>45202</v>
      </c>
      <c r="AQ144" s="38">
        <f>+AP144</f>
        <v>45202</v>
      </c>
      <c r="AR144" s="38"/>
      <c r="AS144" s="38"/>
      <c r="AT144" s="38"/>
      <c r="AU144" s="38"/>
      <c r="AV144" s="38"/>
      <c r="AW144" s="38">
        <v>45209</v>
      </c>
      <c r="AX144" s="38">
        <v>45224</v>
      </c>
      <c r="AY144" s="38"/>
      <c r="AZ144" s="38"/>
      <c r="BA144" s="39" t="str">
        <f t="shared" ref="BA144:BA162" si="31">+IF(AY144="","",COUNTA(AN144:AV144)/(COUNTA(AN144:AV144)+COUNTBLANK(AN144:AV144)))</f>
        <v/>
      </c>
      <c r="BB144" s="38"/>
      <c r="BC144" s="11" t="s">
        <v>7</v>
      </c>
    </row>
    <row r="145" spans="2:55" x14ac:dyDescent="0.35">
      <c r="B145" s="16">
        <f>IF(D145=$A$516,1,IF(D145=$A$517,2,IF(D145=$A$518,3,IF(D145=$A$519,4,IF(D145=$A$520,5,IF(D145=$A$521,6))))))</f>
        <v>4</v>
      </c>
      <c r="D145" s="20" t="str">
        <f t="shared" si="28"/>
        <v>hld</v>
      </c>
      <c r="E145" s="12" t="s">
        <v>2604</v>
      </c>
      <c r="F145" s="13"/>
      <c r="G145" s="13" t="s">
        <v>278</v>
      </c>
      <c r="H145" s="14" t="s">
        <v>2605</v>
      </c>
      <c r="I145" s="14" t="s">
        <v>2606</v>
      </c>
      <c r="J145" s="13" t="s">
        <v>1081</v>
      </c>
      <c r="K145" s="15" t="s">
        <v>2607</v>
      </c>
      <c r="L145" s="15" t="s">
        <v>2608</v>
      </c>
      <c r="M145" s="15" t="s">
        <v>4106</v>
      </c>
      <c r="N145" s="15" t="s">
        <v>4107</v>
      </c>
      <c r="O145" s="15"/>
      <c r="P145" s="15" t="s">
        <v>4106</v>
      </c>
      <c r="Q145" s="15"/>
      <c r="S145" s="17" t="s">
        <v>77</v>
      </c>
      <c r="T145" s="13">
        <v>2022</v>
      </c>
      <c r="U145" s="17">
        <v>23.390999999999998</v>
      </c>
      <c r="V145" s="17">
        <v>0.61899999999999999</v>
      </c>
      <c r="W145" s="36">
        <f t="shared" si="27"/>
        <v>2.6463169595143433E-2</v>
      </c>
      <c r="X145" s="17">
        <v>5.6000000000000001E-2</v>
      </c>
      <c r="Y145" s="17">
        <v>2.1160000000000001</v>
      </c>
      <c r="AA145" s="15" t="s">
        <v>140</v>
      </c>
      <c r="AB145" s="15"/>
      <c r="AC145" s="21" t="s">
        <v>154</v>
      </c>
      <c r="AD145" s="21" t="s">
        <v>154</v>
      </c>
      <c r="AE145" s="17" t="s">
        <v>155</v>
      </c>
      <c r="AF145" s="17"/>
      <c r="AG145" s="15" t="s">
        <v>2609</v>
      </c>
      <c r="AI145" s="42">
        <f t="shared" ca="1" si="29"/>
        <v>467</v>
      </c>
      <c r="AJ145" s="42">
        <f t="shared" ca="1" si="24"/>
        <v>440</v>
      </c>
      <c r="AK145" s="13"/>
      <c r="AL145" s="36" t="str">
        <f t="shared" si="30"/>
        <v>On-hold</v>
      </c>
      <c r="AM145" s="37">
        <v>45197</v>
      </c>
      <c r="AN145" s="37">
        <v>45197</v>
      </c>
      <c r="AO145" s="37" t="s">
        <v>65</v>
      </c>
      <c r="AP145" s="37">
        <v>45197</v>
      </c>
      <c r="AQ145" s="38">
        <v>45197</v>
      </c>
      <c r="AR145" s="38" t="s">
        <v>65</v>
      </c>
      <c r="AS145" s="38"/>
      <c r="AT145" s="38"/>
      <c r="AU145" s="38"/>
      <c r="AV145" s="38"/>
      <c r="AW145" s="38">
        <v>45197</v>
      </c>
      <c r="AX145" s="38">
        <v>45224</v>
      </c>
      <c r="AY145" s="38"/>
      <c r="AZ145" s="38"/>
      <c r="BA145" s="39" t="str">
        <f t="shared" si="31"/>
        <v/>
      </c>
      <c r="BB145" s="38"/>
      <c r="BC145" s="11" t="s">
        <v>7</v>
      </c>
    </row>
    <row r="146" spans="2:55" x14ac:dyDescent="0.35">
      <c r="B146" s="16">
        <f>IF(D146=$A$516,1,IF(D146=$A$517,2,IF(D146=$A$518,3,IF(D146=$A$519,4,IF(D146=$A$520,5,IF(D146=$A$521,6))))))</f>
        <v>4</v>
      </c>
      <c r="D146" s="20" t="str">
        <f t="shared" si="28"/>
        <v>hld</v>
      </c>
      <c r="E146" s="20" t="s">
        <v>324</v>
      </c>
      <c r="F146" s="13" t="s">
        <v>325</v>
      </c>
      <c r="G146" s="13" t="s">
        <v>326</v>
      </c>
      <c r="H146" s="14" t="s">
        <v>4108</v>
      </c>
      <c r="I146" s="13"/>
      <c r="J146" s="13" t="s">
        <v>327</v>
      </c>
      <c r="K146" s="15" t="s">
        <v>328</v>
      </c>
      <c r="L146" s="15" t="s">
        <v>329</v>
      </c>
      <c r="M146" s="15" t="s">
        <v>4109</v>
      </c>
      <c r="N146" s="15"/>
      <c r="O146" s="15"/>
      <c r="P146" s="15" t="s">
        <v>330</v>
      </c>
      <c r="Q146" s="15" t="s">
        <v>4110</v>
      </c>
      <c r="S146" s="17" t="s">
        <v>77</v>
      </c>
      <c r="T146" s="13">
        <v>2023</v>
      </c>
      <c r="U146" s="17">
        <v>28</v>
      </c>
      <c r="V146" s="17">
        <v>3.8</v>
      </c>
      <c r="W146" s="36">
        <f t="shared" si="27"/>
        <v>0.1357142857142857</v>
      </c>
      <c r="X146" s="17">
        <v>2</v>
      </c>
      <c r="Y146" s="17">
        <v>4.62</v>
      </c>
      <c r="AA146" s="15" t="s">
        <v>60</v>
      </c>
      <c r="AB146" s="17"/>
      <c r="AC146" s="21" t="s">
        <v>153</v>
      </c>
      <c r="AD146" s="21" t="s">
        <v>153</v>
      </c>
      <c r="AE146" s="17" t="s">
        <v>79</v>
      </c>
      <c r="AF146" s="17" t="s">
        <v>128</v>
      </c>
      <c r="AG146" s="15"/>
      <c r="AH146" s="677">
        <v>1</v>
      </c>
      <c r="AI146" s="42">
        <f t="shared" ca="1" si="29"/>
        <v>678</v>
      </c>
      <c r="AJ146" s="42">
        <f t="shared" ca="1" si="24"/>
        <v>447</v>
      </c>
      <c r="AK146" s="13" t="s">
        <v>87</v>
      </c>
      <c r="AL146" s="36" t="str">
        <f t="shared" si="30"/>
        <v>On-hold</v>
      </c>
      <c r="AM146" s="37">
        <v>44986</v>
      </c>
      <c r="AN146" s="37">
        <v>44991</v>
      </c>
      <c r="AO146" s="37" t="s">
        <v>65</v>
      </c>
      <c r="AP146" s="37">
        <v>44991</v>
      </c>
      <c r="AQ146" s="38">
        <v>44991</v>
      </c>
      <c r="AR146" s="38">
        <v>45057</v>
      </c>
      <c r="AS146" s="38" t="s">
        <v>65</v>
      </c>
      <c r="AT146" s="38">
        <v>45105</v>
      </c>
      <c r="AU146" s="38"/>
      <c r="AV146" s="38"/>
      <c r="AW146" s="38">
        <v>45184</v>
      </c>
      <c r="AX146" s="38">
        <v>45217</v>
      </c>
      <c r="AY146" s="38"/>
      <c r="AZ146" s="38"/>
      <c r="BA146" s="39" t="str">
        <f t="shared" si="31"/>
        <v/>
      </c>
      <c r="BB146" s="38"/>
      <c r="BC146" s="11" t="s">
        <v>7</v>
      </c>
    </row>
    <row r="147" spans="2:55" x14ac:dyDescent="0.35">
      <c r="B147" s="16">
        <f>IF(D147=$A$516,1,IF(D147=$A$517,2,IF(D147=$A$518,3,IF(D147=$A$519,4,IF(D147=$A$520,5,IF(D147=$A$521,6))))))</f>
        <v>4</v>
      </c>
      <c r="D147" s="20" t="str">
        <f t="shared" si="28"/>
        <v>hld</v>
      </c>
      <c r="E147" s="20" t="s">
        <v>351</v>
      </c>
      <c r="F147" s="13" t="s">
        <v>352</v>
      </c>
      <c r="G147" s="13" t="s">
        <v>208</v>
      </c>
      <c r="H147" s="14" t="s">
        <v>4111</v>
      </c>
      <c r="I147" s="13"/>
      <c r="J147" s="13" t="s">
        <v>149</v>
      </c>
      <c r="K147" s="15" t="s">
        <v>353</v>
      </c>
      <c r="L147" s="15" t="s">
        <v>354</v>
      </c>
      <c r="M147" s="15" t="s">
        <v>4112</v>
      </c>
      <c r="N147" s="15"/>
      <c r="O147" s="15" t="s">
        <v>4113</v>
      </c>
      <c r="P147" s="15"/>
      <c r="Q147" s="15" t="s">
        <v>355</v>
      </c>
      <c r="S147" s="35" t="s">
        <v>77</v>
      </c>
      <c r="T147" s="13">
        <v>2022</v>
      </c>
      <c r="U147" s="17">
        <v>181</v>
      </c>
      <c r="V147" s="17">
        <v>7.7</v>
      </c>
      <c r="W147" s="36">
        <f t="shared" si="27"/>
        <v>4.2541436464088402E-2</v>
      </c>
      <c r="X147" s="17">
        <v>4.5</v>
      </c>
      <c r="Y147" s="17">
        <v>7.5</v>
      </c>
      <c r="AA147" s="15" t="s">
        <v>99</v>
      </c>
      <c r="AB147" s="17" t="s">
        <v>355</v>
      </c>
      <c r="AC147" s="21" t="s">
        <v>153</v>
      </c>
      <c r="AD147" s="21" t="s">
        <v>153</v>
      </c>
      <c r="AE147" s="17"/>
      <c r="AF147" s="17"/>
      <c r="AG147" s="15"/>
      <c r="AI147" s="42">
        <f t="shared" ca="1" si="29"/>
        <v>617</v>
      </c>
      <c r="AJ147" s="42">
        <f t="shared" ca="1" si="24"/>
        <v>448</v>
      </c>
      <c r="AK147" s="13" t="s">
        <v>87</v>
      </c>
      <c r="AL147" s="36" t="str">
        <f t="shared" si="30"/>
        <v>On-hold</v>
      </c>
      <c r="AM147" s="37">
        <v>45047</v>
      </c>
      <c r="AN147" s="37">
        <v>45056</v>
      </c>
      <c r="AO147" s="37" t="s">
        <v>65</v>
      </c>
      <c r="AP147" s="37">
        <v>45056</v>
      </c>
      <c r="AQ147" s="38">
        <v>45056</v>
      </c>
      <c r="AR147" s="38">
        <v>45086</v>
      </c>
      <c r="AS147" s="38"/>
      <c r="AT147" s="38"/>
      <c r="AU147" s="38"/>
      <c r="AV147" s="38"/>
      <c r="AW147" s="38">
        <v>45184</v>
      </c>
      <c r="AX147" s="38">
        <v>45216</v>
      </c>
      <c r="AY147" s="38"/>
      <c r="AZ147" s="38"/>
      <c r="BA147" s="39" t="str">
        <f t="shared" si="31"/>
        <v/>
      </c>
      <c r="BB147" s="38"/>
      <c r="BC147" s="11" t="s">
        <v>7</v>
      </c>
    </row>
    <row r="148" spans="2:55" x14ac:dyDescent="0.35">
      <c r="B148" s="16">
        <f>IF(D148=$A$516,1,IF(D148=$A$517,2,IF(D148=$A$518,3,IF(D148=$A$519,4,IF(D148=$A$520,5,IF(D148=$A$521,6))))))</f>
        <v>4</v>
      </c>
      <c r="D148" s="20" t="str">
        <f t="shared" si="28"/>
        <v>hld</v>
      </c>
      <c r="E148" s="12" t="s">
        <v>360</v>
      </c>
      <c r="F148" s="13"/>
      <c r="G148" s="14" t="s">
        <v>147</v>
      </c>
      <c r="H148" s="14" t="s">
        <v>361</v>
      </c>
      <c r="I148" s="13">
        <v>701000</v>
      </c>
      <c r="J148" s="13" t="s">
        <v>111</v>
      </c>
      <c r="K148" s="15" t="s">
        <v>362</v>
      </c>
      <c r="L148" s="15"/>
      <c r="M148" s="15"/>
      <c r="N148" s="15"/>
      <c r="O148" s="15"/>
      <c r="P148" s="15"/>
      <c r="Q148" s="15"/>
      <c r="S148" s="35" t="s">
        <v>144</v>
      </c>
      <c r="T148" s="13">
        <v>2022</v>
      </c>
      <c r="U148" s="17">
        <v>315.928</v>
      </c>
      <c r="V148" s="17">
        <v>31.565999999999999</v>
      </c>
      <c r="W148" s="36">
        <f t="shared" si="27"/>
        <v>9.9915170545187504E-2</v>
      </c>
      <c r="X148" s="17">
        <v>17.834</v>
      </c>
      <c r="Y148" s="17">
        <v>20.8</v>
      </c>
      <c r="AA148" s="15" t="s">
        <v>99</v>
      </c>
      <c r="AB148" s="17" t="s">
        <v>363</v>
      </c>
      <c r="AC148" s="21" t="s">
        <v>78</v>
      </c>
      <c r="AD148" s="21" t="s">
        <v>78</v>
      </c>
      <c r="AE148" s="61" t="s">
        <v>86</v>
      </c>
      <c r="AF148" s="17"/>
      <c r="AG148" s="15"/>
      <c r="AI148" s="42">
        <f t="shared" ca="1" si="29"/>
        <v>460</v>
      </c>
      <c r="AJ148" s="42">
        <f t="shared" ca="1" si="24"/>
        <v>448</v>
      </c>
      <c r="AK148" s="13"/>
      <c r="AL148" s="36" t="str">
        <f t="shared" si="30"/>
        <v>On-hold</v>
      </c>
      <c r="AM148" s="37">
        <v>45204</v>
      </c>
      <c r="AN148" s="37">
        <f>+AM148</f>
        <v>45204</v>
      </c>
      <c r="AO148" s="37" t="s">
        <v>65</v>
      </c>
      <c r="AP148" s="37" t="s">
        <v>65</v>
      </c>
      <c r="AQ148" s="38"/>
      <c r="AR148" s="38"/>
      <c r="AS148" s="38"/>
      <c r="AT148" s="38"/>
      <c r="AU148" s="38"/>
      <c r="AV148" s="38"/>
      <c r="AW148" s="38">
        <v>45208</v>
      </c>
      <c r="AX148" s="38">
        <v>45216</v>
      </c>
      <c r="AY148" s="38"/>
      <c r="AZ148" s="38"/>
      <c r="BA148" s="39" t="str">
        <f t="shared" si="31"/>
        <v/>
      </c>
      <c r="BB148" s="38"/>
      <c r="BC148" s="11" t="s">
        <v>7</v>
      </c>
    </row>
    <row r="149" spans="2:55" x14ac:dyDescent="0.35">
      <c r="B149" s="16">
        <f>IF(D149=$A$516,1,IF(D149=$A$517,2,IF(D149=$A$518,3,IF(D149=$A$519,4,IF(D149=$A$520,5,IF(D149=$A$521,6))))))</f>
        <v>4</v>
      </c>
      <c r="D149" s="20" t="str">
        <f t="shared" si="28"/>
        <v>hld</v>
      </c>
      <c r="E149" s="20" t="s">
        <v>374</v>
      </c>
      <c r="F149" s="13" t="s">
        <v>375</v>
      </c>
      <c r="G149" s="13" t="s">
        <v>376</v>
      </c>
      <c r="H149" s="14" t="s">
        <v>4118</v>
      </c>
      <c r="I149" s="13"/>
      <c r="J149" s="13" t="s">
        <v>4119</v>
      </c>
      <c r="K149" s="15" t="s">
        <v>378</v>
      </c>
      <c r="L149" s="15" t="s">
        <v>379</v>
      </c>
      <c r="M149" s="15" t="s">
        <v>4120</v>
      </c>
      <c r="N149" s="15" t="s">
        <v>379</v>
      </c>
      <c r="O149" s="15"/>
      <c r="P149" s="15" t="s">
        <v>380</v>
      </c>
      <c r="Q149" s="15"/>
      <c r="S149" s="17" t="s">
        <v>77</v>
      </c>
      <c r="T149" s="13">
        <v>2023</v>
      </c>
      <c r="U149" s="17">
        <v>26.54</v>
      </c>
      <c r="V149" s="17">
        <v>13.941000000000001</v>
      </c>
      <c r="W149" s="36">
        <f t="shared" si="27"/>
        <v>0.52528259231348917</v>
      </c>
      <c r="X149" s="17">
        <v>9.1</v>
      </c>
      <c r="Y149" s="17">
        <v>1.5720000000000001</v>
      </c>
      <c r="AA149" s="15" t="s">
        <v>60</v>
      </c>
      <c r="AB149" s="17"/>
      <c r="AC149" s="21" t="s">
        <v>153</v>
      </c>
      <c r="AD149" s="21" t="s">
        <v>153</v>
      </c>
      <c r="AE149" s="17" t="s">
        <v>56</v>
      </c>
      <c r="AF149" s="17"/>
      <c r="AG149" s="15"/>
      <c r="AI149" s="42">
        <f t="shared" ca="1" si="29"/>
        <v>651</v>
      </c>
      <c r="AJ149" s="42">
        <f t="shared" ca="1" si="24"/>
        <v>449</v>
      </c>
      <c r="AK149" s="13"/>
      <c r="AL149" s="36" t="str">
        <f t="shared" si="30"/>
        <v>On-hold</v>
      </c>
      <c r="AM149" s="37">
        <v>45013</v>
      </c>
      <c r="AN149" s="37">
        <v>45013</v>
      </c>
      <c r="AO149" s="37" t="s">
        <v>65</v>
      </c>
      <c r="AP149" s="37">
        <v>45013</v>
      </c>
      <c r="AQ149" s="38">
        <v>45027</v>
      </c>
      <c r="AR149" s="38"/>
      <c r="AS149" s="38"/>
      <c r="AT149" s="38"/>
      <c r="AU149" s="38"/>
      <c r="AV149" s="38"/>
      <c r="AW149" s="38">
        <v>45027</v>
      </c>
      <c r="AX149" s="38">
        <v>45215</v>
      </c>
      <c r="AY149" s="38"/>
      <c r="AZ149" s="38"/>
      <c r="BA149" s="39" t="str">
        <f t="shared" si="31"/>
        <v/>
      </c>
      <c r="BB149" s="38"/>
      <c r="BC149" s="11" t="s">
        <v>7</v>
      </c>
    </row>
    <row r="150" spans="2:55" x14ac:dyDescent="0.35">
      <c r="B150" s="16">
        <f>IF(D150=$A$516,1,IF(D150=$A$517,2,IF(D150=$A$518,3,IF(D150=$A$519,4,IF(D150=$A$520,5,IF(D150=$A$521,6))))))</f>
        <v>4</v>
      </c>
      <c r="D150" s="20" t="str">
        <f t="shared" si="28"/>
        <v>hld</v>
      </c>
      <c r="E150" s="20" t="s">
        <v>370</v>
      </c>
      <c r="F150" s="14"/>
      <c r="G150" s="13" t="s">
        <v>371</v>
      </c>
      <c r="H150" s="14" t="s">
        <v>372</v>
      </c>
      <c r="I150" s="13">
        <v>222000</v>
      </c>
      <c r="J150" s="13" t="s">
        <v>96</v>
      </c>
      <c r="K150" s="15" t="s">
        <v>97</v>
      </c>
      <c r="L150" s="15"/>
      <c r="M150" s="15" t="s">
        <v>4121</v>
      </c>
      <c r="N150" s="15" t="s">
        <v>4122</v>
      </c>
      <c r="O150" s="15"/>
      <c r="P150" s="15" t="s">
        <v>4121</v>
      </c>
      <c r="Q150" s="15"/>
      <c r="S150" s="35" t="s">
        <v>77</v>
      </c>
      <c r="T150" s="13">
        <v>2023</v>
      </c>
      <c r="U150" s="17">
        <v>37.444000000000003</v>
      </c>
      <c r="V150" s="17">
        <v>10.305</v>
      </c>
      <c r="W150" s="36">
        <f t="shared" si="27"/>
        <v>0.27521098173272085</v>
      </c>
      <c r="X150" s="17">
        <v>7.1760000000000002</v>
      </c>
      <c r="Y150" s="17">
        <v>-5</v>
      </c>
      <c r="AA150" s="15" t="s">
        <v>99</v>
      </c>
      <c r="AB150" s="17" t="s">
        <v>373</v>
      </c>
      <c r="AC150" s="21" t="s">
        <v>78</v>
      </c>
      <c r="AD150" s="21" t="s">
        <v>78</v>
      </c>
      <c r="AE150" s="17" t="s">
        <v>128</v>
      </c>
      <c r="AF150" s="17"/>
      <c r="AG150" s="15"/>
      <c r="AI150" s="42">
        <f t="shared" ca="1" si="29"/>
        <v>777</v>
      </c>
      <c r="AJ150" s="42">
        <f t="shared" ca="1" si="24"/>
        <v>175</v>
      </c>
      <c r="AK150" s="13" t="s">
        <v>87</v>
      </c>
      <c r="AL150" s="36" t="str">
        <f t="shared" si="30"/>
        <v>On-hold</v>
      </c>
      <c r="AM150" s="37">
        <v>44887</v>
      </c>
      <c r="AN150" s="37">
        <f>+AM150</f>
        <v>44887</v>
      </c>
      <c r="AO150" s="37" t="s">
        <v>65</v>
      </c>
      <c r="AP150" s="37" t="s">
        <v>65</v>
      </c>
      <c r="AQ150" s="38">
        <v>44956</v>
      </c>
      <c r="AR150" s="38">
        <v>44993</v>
      </c>
      <c r="AS150" s="38"/>
      <c r="AT150" s="38"/>
      <c r="AU150" s="38"/>
      <c r="AV150" s="38"/>
      <c r="AW150" s="38">
        <v>45489</v>
      </c>
      <c r="AX150" s="38">
        <v>45215</v>
      </c>
      <c r="AY150" s="38"/>
      <c r="AZ150" s="38"/>
      <c r="BA150" s="39" t="str">
        <f t="shared" si="31"/>
        <v/>
      </c>
      <c r="BB150" s="38"/>
      <c r="BC150" s="11" t="s">
        <v>7</v>
      </c>
    </row>
    <row r="151" spans="2:55" x14ac:dyDescent="0.35">
      <c r="B151" s="16">
        <f>IF(D151=$A$516,1,IF(D151=$A$517,2,IF(D151=$A$518,3,IF(D151=$A$519,4,IF(D151=$A$520,5,IF(D151=$A$521,6))))))</f>
        <v>4</v>
      </c>
      <c r="D151" s="20" t="str">
        <f t="shared" si="28"/>
        <v>hld</v>
      </c>
      <c r="E151" s="12" t="s">
        <v>364</v>
      </c>
      <c r="F151" s="13"/>
      <c r="G151" s="13" t="s">
        <v>226</v>
      </c>
      <c r="H151" s="14" t="s">
        <v>365</v>
      </c>
      <c r="I151" s="13"/>
      <c r="J151" s="13" t="s">
        <v>255</v>
      </c>
      <c r="K151" s="15" t="s">
        <v>256</v>
      </c>
      <c r="L151" s="15" t="s">
        <v>366</v>
      </c>
      <c r="M151" s="15" t="s">
        <v>366</v>
      </c>
      <c r="N151" s="15" t="s">
        <v>4123</v>
      </c>
      <c r="O151" s="15" t="s">
        <v>366</v>
      </c>
      <c r="P151" s="15"/>
      <c r="Q151" s="15" t="s">
        <v>4124</v>
      </c>
      <c r="S151" s="35" t="s">
        <v>77</v>
      </c>
      <c r="T151" s="13">
        <v>2022</v>
      </c>
      <c r="U151" s="17">
        <v>161</v>
      </c>
      <c r="V151" s="17">
        <v>32</v>
      </c>
      <c r="W151" s="36">
        <f t="shared" si="27"/>
        <v>0.19875776397515527</v>
      </c>
      <c r="X151" s="17">
        <v>21.72</v>
      </c>
      <c r="Y151" s="17">
        <v>26.123999999999999</v>
      </c>
      <c r="AA151" s="15" t="s">
        <v>60</v>
      </c>
      <c r="AB151" s="17"/>
      <c r="AC151" s="21" t="s">
        <v>78</v>
      </c>
      <c r="AD151" s="21" t="s">
        <v>78</v>
      </c>
      <c r="AE151" s="17" t="s">
        <v>86</v>
      </c>
      <c r="AF151" s="17"/>
      <c r="AG151" s="15"/>
      <c r="AI151" s="42">
        <f t="shared" ca="1" si="29"/>
        <v>680</v>
      </c>
      <c r="AJ151" s="42">
        <f t="shared" ca="1" si="24"/>
        <v>449</v>
      </c>
      <c r="AK151" s="13"/>
      <c r="AL151" s="36" t="str">
        <f t="shared" si="30"/>
        <v>On-hold</v>
      </c>
      <c r="AM151" s="37">
        <v>44984</v>
      </c>
      <c r="AN151" s="37">
        <v>44984</v>
      </c>
      <c r="AO151" s="37" t="s">
        <v>65</v>
      </c>
      <c r="AP151" s="37" t="s">
        <v>65</v>
      </c>
      <c r="AQ151" s="38">
        <v>44995</v>
      </c>
      <c r="AR151" s="38">
        <v>45215</v>
      </c>
      <c r="AS151" s="38"/>
      <c r="AT151" s="38"/>
      <c r="AU151" s="38"/>
      <c r="AV151" s="38"/>
      <c r="AW151" s="38">
        <v>45215</v>
      </c>
      <c r="AX151" s="38">
        <v>45215</v>
      </c>
      <c r="AY151" s="38"/>
      <c r="AZ151" s="38"/>
      <c r="BA151" s="39" t="str">
        <f t="shared" si="31"/>
        <v/>
      </c>
      <c r="BB151" s="38"/>
      <c r="BC151" s="11" t="s">
        <v>7</v>
      </c>
    </row>
    <row r="152" spans="2:55" x14ac:dyDescent="0.35">
      <c r="B152" s="16">
        <f>IF(D152=$A$516,1,IF(D152=$A$517,2,IF(D152=$A$518,3,IF(D152=$A$519,4,IF(D152=$A$520,5,IF(D152=$A$521,6))))))</f>
        <v>4</v>
      </c>
      <c r="D152" s="20" t="str">
        <f t="shared" si="28"/>
        <v>hld</v>
      </c>
      <c r="E152" s="12" t="s">
        <v>339</v>
      </c>
      <c r="F152" s="13"/>
      <c r="G152" s="13" t="s">
        <v>340</v>
      </c>
      <c r="H152" s="14" t="s">
        <v>341</v>
      </c>
      <c r="I152" s="13">
        <v>255000</v>
      </c>
      <c r="J152" s="13" t="s">
        <v>342</v>
      </c>
      <c r="K152" s="15" t="s">
        <v>343</v>
      </c>
      <c r="L152" s="15" t="s">
        <v>344</v>
      </c>
      <c r="M152" s="15" t="s">
        <v>4125</v>
      </c>
      <c r="N152" s="15" t="s">
        <v>4126</v>
      </c>
      <c r="O152" s="15" t="s">
        <v>4127</v>
      </c>
      <c r="P152" s="15" t="s">
        <v>344</v>
      </c>
      <c r="Q152" s="15"/>
      <c r="S152" s="35" t="s">
        <v>77</v>
      </c>
      <c r="T152" s="13">
        <v>2022</v>
      </c>
      <c r="U152" s="17">
        <v>20</v>
      </c>
      <c r="V152" s="17">
        <v>4.22</v>
      </c>
      <c r="W152" s="36">
        <f t="shared" si="27"/>
        <v>0.21099999999999999</v>
      </c>
      <c r="X152" s="17">
        <v>2</v>
      </c>
      <c r="Y152" s="17">
        <v>-3.9</v>
      </c>
      <c r="AA152" s="15" t="s">
        <v>60</v>
      </c>
      <c r="AB152" s="17"/>
      <c r="AC152" s="21" t="s">
        <v>78</v>
      </c>
      <c r="AD152" s="21" t="s">
        <v>78</v>
      </c>
      <c r="AE152" s="17" t="s">
        <v>86</v>
      </c>
      <c r="AF152" s="17"/>
      <c r="AG152" s="15"/>
      <c r="AI152" s="42">
        <f t="shared" ca="1" si="29"/>
        <v>1016</v>
      </c>
      <c r="AJ152" s="42">
        <f t="shared" ca="1" si="24"/>
        <v>28</v>
      </c>
      <c r="AK152" s="13" t="s">
        <v>87</v>
      </c>
      <c r="AL152" s="36" t="str">
        <f t="shared" si="30"/>
        <v>On-hold</v>
      </c>
      <c r="AM152" s="37">
        <v>44648</v>
      </c>
      <c r="AN152" s="37">
        <v>44637</v>
      </c>
      <c r="AO152" s="37" t="s">
        <v>65</v>
      </c>
      <c r="AP152" s="37" t="s">
        <v>65</v>
      </c>
      <c r="AQ152" s="38">
        <v>44659</v>
      </c>
      <c r="AR152" s="38">
        <v>44697</v>
      </c>
      <c r="AS152" s="38">
        <v>45215</v>
      </c>
      <c r="AT152" s="38"/>
      <c r="AU152" s="38"/>
      <c r="AV152" s="38"/>
      <c r="AW152" s="38">
        <v>45636</v>
      </c>
      <c r="AX152" s="38">
        <v>45215</v>
      </c>
      <c r="AY152" s="38"/>
      <c r="AZ152" s="38"/>
      <c r="BA152" s="39" t="str">
        <f t="shared" si="31"/>
        <v/>
      </c>
      <c r="BB152" s="38"/>
      <c r="BC152" s="11" t="s">
        <v>7</v>
      </c>
    </row>
    <row r="153" spans="2:55" x14ac:dyDescent="0.35">
      <c r="B153" s="16">
        <f>IF(D153=$A$516,1,IF(D153=$A$517,2,IF(D153=$A$518,3,IF(D153=$A$519,4,IF(D153=$A$520,5,IF(D153=$A$521,6))))))</f>
        <v>4</v>
      </c>
      <c r="D153" s="20" t="str">
        <f t="shared" si="28"/>
        <v>hld</v>
      </c>
      <c r="E153" s="12" t="s">
        <v>385</v>
      </c>
      <c r="F153" s="13"/>
      <c r="G153" s="13" t="s">
        <v>386</v>
      </c>
      <c r="H153" s="14" t="s">
        <v>387</v>
      </c>
      <c r="I153" s="13"/>
      <c r="J153" s="13" t="s">
        <v>111</v>
      </c>
      <c r="K153" s="15" t="s">
        <v>388</v>
      </c>
      <c r="L153" s="15" t="s">
        <v>389</v>
      </c>
      <c r="M153" s="15" t="s">
        <v>4134</v>
      </c>
      <c r="N153" s="15" t="s">
        <v>4135</v>
      </c>
      <c r="O153" s="15" t="s">
        <v>389</v>
      </c>
      <c r="P153" s="15" t="s">
        <v>389</v>
      </c>
      <c r="Q153" s="15" t="s">
        <v>4136</v>
      </c>
      <c r="S153" s="17" t="s">
        <v>77</v>
      </c>
      <c r="T153" s="13">
        <v>2022</v>
      </c>
      <c r="U153" s="17">
        <v>25.573</v>
      </c>
      <c r="V153" s="17">
        <v>2.14</v>
      </c>
      <c r="W153" s="36">
        <f t="shared" si="27"/>
        <v>8.3682008368200847E-2</v>
      </c>
      <c r="X153" s="17">
        <v>1.4470000000000001</v>
      </c>
      <c r="Y153" s="17">
        <v>-1.728</v>
      </c>
      <c r="AA153" s="15" t="s">
        <v>140</v>
      </c>
      <c r="AB153" s="15"/>
      <c r="AC153" s="21" t="s">
        <v>78</v>
      </c>
      <c r="AD153" s="21" t="s">
        <v>78</v>
      </c>
      <c r="AE153" s="13" t="s">
        <v>62</v>
      </c>
      <c r="AF153" s="17"/>
      <c r="AG153" s="15" t="s">
        <v>318</v>
      </c>
      <c r="AI153" s="42">
        <f t="shared" ca="1" si="29"/>
        <v>495</v>
      </c>
      <c r="AJ153" s="42">
        <f t="shared" ca="1" si="24"/>
        <v>455</v>
      </c>
      <c r="AK153" s="13"/>
      <c r="AL153" s="36" t="str">
        <f t="shared" si="30"/>
        <v>On-hold</v>
      </c>
      <c r="AM153" s="37">
        <v>45169</v>
      </c>
      <c r="AN153" s="37">
        <v>45170</v>
      </c>
      <c r="AO153" s="37" t="s">
        <v>65</v>
      </c>
      <c r="AP153" s="37">
        <v>45170</v>
      </c>
      <c r="AQ153" s="38">
        <v>45174</v>
      </c>
      <c r="AR153" s="38"/>
      <c r="AS153" s="38"/>
      <c r="AT153" s="38"/>
      <c r="AU153" s="38"/>
      <c r="AV153" s="38"/>
      <c r="AW153" s="38">
        <v>45184</v>
      </c>
      <c r="AX153" s="38">
        <v>45209</v>
      </c>
      <c r="AY153" s="38"/>
      <c r="AZ153" s="38"/>
      <c r="BA153" s="39" t="str">
        <f t="shared" si="31"/>
        <v/>
      </c>
      <c r="BB153" s="38"/>
      <c r="BC153" s="11" t="s">
        <v>7</v>
      </c>
    </row>
    <row r="154" spans="2:55" x14ac:dyDescent="0.35">
      <c r="B154" s="16">
        <f>IF(D154=$A$516,1,IF(D154=$A$517,2,IF(D154=$A$518,3,IF(D154=$A$519,4,IF(D154=$A$520,5,IF(D154=$A$521,6))))))</f>
        <v>4</v>
      </c>
      <c r="D154" s="20" t="str">
        <f t="shared" si="28"/>
        <v>hld</v>
      </c>
      <c r="E154" s="20" t="s">
        <v>487</v>
      </c>
      <c r="F154" s="13"/>
      <c r="G154" s="13" t="s">
        <v>271</v>
      </c>
      <c r="H154" s="14" t="s">
        <v>488</v>
      </c>
      <c r="I154" s="13">
        <v>162200</v>
      </c>
      <c r="J154" s="13" t="s">
        <v>452</v>
      </c>
      <c r="K154" s="15" t="s">
        <v>489</v>
      </c>
      <c r="L154" s="15" t="s">
        <v>490</v>
      </c>
      <c r="M154" s="15" t="s">
        <v>4137</v>
      </c>
      <c r="N154" s="15"/>
      <c r="O154" s="15" t="s">
        <v>4138</v>
      </c>
      <c r="P154" s="15" t="s">
        <v>490</v>
      </c>
      <c r="Q154" s="15" t="s">
        <v>4139</v>
      </c>
      <c r="S154" s="17" t="s">
        <v>77</v>
      </c>
      <c r="T154" s="13">
        <v>2022</v>
      </c>
      <c r="U154" s="17">
        <v>66.055000000000007</v>
      </c>
      <c r="V154" s="17">
        <v>17.071000000000002</v>
      </c>
      <c r="W154" s="36">
        <f t="shared" si="27"/>
        <v>0.25843615169177203</v>
      </c>
      <c r="X154" s="17">
        <v>21.225000000000001</v>
      </c>
      <c r="Y154" s="17">
        <v>6.4569999999999999</v>
      </c>
      <c r="AA154" s="15" t="s">
        <v>60</v>
      </c>
      <c r="AB154" s="15"/>
      <c r="AC154" s="17" t="s">
        <v>78</v>
      </c>
      <c r="AD154" s="21" t="s">
        <v>78</v>
      </c>
      <c r="AE154" s="13"/>
      <c r="AF154" s="17"/>
      <c r="AG154" s="15"/>
      <c r="AI154" s="42">
        <f t="shared" ca="1" si="29"/>
        <v>550</v>
      </c>
      <c r="AJ154" s="42">
        <f t="shared" ca="1" si="24"/>
        <v>28</v>
      </c>
      <c r="AK154" s="13"/>
      <c r="AL154" s="36" t="str">
        <f t="shared" si="30"/>
        <v>On-hold</v>
      </c>
      <c r="AM154" s="37">
        <v>45114</v>
      </c>
      <c r="AN154" s="37">
        <v>45114</v>
      </c>
      <c r="AO154" s="37" t="s">
        <v>65</v>
      </c>
      <c r="AP154" s="37">
        <v>45114</v>
      </c>
      <c r="AQ154" s="38">
        <v>45114</v>
      </c>
      <c r="AR154" s="38"/>
      <c r="AS154" s="38"/>
      <c r="AT154" s="38"/>
      <c r="AU154" s="38"/>
      <c r="AV154" s="38"/>
      <c r="AW154" s="38">
        <v>45636</v>
      </c>
      <c r="AX154" s="38">
        <v>45204</v>
      </c>
      <c r="AY154" s="38"/>
      <c r="AZ154" s="38"/>
      <c r="BA154" s="39" t="str">
        <f t="shared" si="31"/>
        <v/>
      </c>
      <c r="BB154" s="38"/>
      <c r="BC154" s="11" t="s">
        <v>7</v>
      </c>
    </row>
    <row r="155" spans="2:55" x14ac:dyDescent="0.35">
      <c r="B155" s="16">
        <f>IF(D155=$A$516,1,IF(D155=$A$517,2,IF(D155=$A$518,3,IF(D155=$A$519,4,IF(D155=$A$520,5,IF(D155=$A$521,6))))))</f>
        <v>4</v>
      </c>
      <c r="D155" s="20" t="str">
        <f t="shared" si="28"/>
        <v>hld</v>
      </c>
      <c r="E155" s="20" t="s">
        <v>398</v>
      </c>
      <c r="F155" s="13" t="s">
        <v>399</v>
      </c>
      <c r="G155" s="13" t="s">
        <v>400</v>
      </c>
      <c r="H155" s="14"/>
      <c r="I155" s="13"/>
      <c r="J155" s="13" t="s">
        <v>83</v>
      </c>
      <c r="K155" s="15" t="s">
        <v>401</v>
      </c>
      <c r="L155" s="15"/>
      <c r="M155" s="15"/>
      <c r="N155" s="15"/>
      <c r="O155" s="15"/>
      <c r="P155" s="15"/>
      <c r="Q155" s="15"/>
      <c r="S155" s="17"/>
      <c r="T155" s="13">
        <v>2023</v>
      </c>
      <c r="U155" s="17">
        <v>86</v>
      </c>
      <c r="V155" s="17">
        <v>29</v>
      </c>
      <c r="W155" s="36">
        <f t="shared" si="27"/>
        <v>0.33720930232558138</v>
      </c>
      <c r="X155" s="17"/>
      <c r="Y155" s="17"/>
      <c r="AA155" s="15" t="s">
        <v>253</v>
      </c>
      <c r="AB155" s="15"/>
      <c r="AC155" s="17" t="s">
        <v>61</v>
      </c>
      <c r="AD155" s="21" t="s">
        <v>61</v>
      </c>
      <c r="AE155" s="13" t="s">
        <v>62</v>
      </c>
      <c r="AF155" s="13"/>
      <c r="AG155" s="15"/>
      <c r="AI155" s="42">
        <f t="shared" ca="1" si="29"/>
        <v>480</v>
      </c>
      <c r="AJ155" s="42">
        <f t="shared" ca="1" si="24"/>
        <v>462</v>
      </c>
      <c r="AK155" s="13" t="s">
        <v>87</v>
      </c>
      <c r="AL155" s="36" t="str">
        <f t="shared" si="30"/>
        <v>On-hold</v>
      </c>
      <c r="AM155" s="37">
        <v>45184</v>
      </c>
      <c r="AN155" s="37">
        <v>45184</v>
      </c>
      <c r="AO155" s="37" t="s">
        <v>65</v>
      </c>
      <c r="AP155" s="37" t="s">
        <v>65</v>
      </c>
      <c r="AQ155" s="38">
        <v>45184</v>
      </c>
      <c r="AR155" s="38" t="s">
        <v>65</v>
      </c>
      <c r="AS155" s="38" t="s">
        <v>65</v>
      </c>
      <c r="AT155" s="38" t="s">
        <v>65</v>
      </c>
      <c r="AU155" s="38" t="s">
        <v>65</v>
      </c>
      <c r="AV155" s="38">
        <v>45184</v>
      </c>
      <c r="AW155" s="38"/>
      <c r="AX155" s="38">
        <v>45202</v>
      </c>
      <c r="AY155" s="38"/>
      <c r="AZ155" s="38"/>
      <c r="BA155" s="39" t="str">
        <f t="shared" si="31"/>
        <v/>
      </c>
      <c r="BB155" s="38"/>
      <c r="BC155" s="11" t="s">
        <v>7</v>
      </c>
    </row>
    <row r="156" spans="2:55" x14ac:dyDescent="0.35">
      <c r="B156" s="16">
        <f>IF(D156=$A$516,1,IF(D156=$A$517,2,IF(D156=$A$518,3,IF(D156=$A$519,4,IF(D156=$A$520,5,IF(D156=$A$521,6))))))</f>
        <v>4</v>
      </c>
      <c r="D156" s="20" t="str">
        <f t="shared" si="28"/>
        <v>hld</v>
      </c>
      <c r="E156" s="20" t="s">
        <v>402</v>
      </c>
      <c r="F156" s="13"/>
      <c r="G156" s="13" t="s">
        <v>340</v>
      </c>
      <c r="H156" s="14" t="s">
        <v>4140</v>
      </c>
      <c r="I156" s="13">
        <v>221909</v>
      </c>
      <c r="J156" s="13" t="s">
        <v>111</v>
      </c>
      <c r="K156" s="15" t="s">
        <v>403</v>
      </c>
      <c r="L156" s="15" t="s">
        <v>404</v>
      </c>
      <c r="M156" s="15" t="s">
        <v>4141</v>
      </c>
      <c r="N156" s="15" t="s">
        <v>4142</v>
      </c>
      <c r="O156" s="15" t="s">
        <v>4143</v>
      </c>
      <c r="P156" s="15"/>
      <c r="Q156" s="15" t="s">
        <v>4144</v>
      </c>
      <c r="S156" s="17" t="s">
        <v>405</v>
      </c>
      <c r="T156" s="13">
        <v>2023</v>
      </c>
      <c r="U156" s="17">
        <v>90.085999999999999</v>
      </c>
      <c r="V156" s="17">
        <v>14.481999999999999</v>
      </c>
      <c r="W156" s="36">
        <f t="shared" si="27"/>
        <v>0.16075749839042691</v>
      </c>
      <c r="X156" s="17">
        <v>5.7329999999999997</v>
      </c>
      <c r="Y156" s="17">
        <v>-14</v>
      </c>
      <c r="AA156" s="15" t="s">
        <v>140</v>
      </c>
      <c r="AB156" s="15"/>
      <c r="AC156" s="21" t="s">
        <v>154</v>
      </c>
      <c r="AD156" s="13" t="s">
        <v>154</v>
      </c>
      <c r="AE156" s="17" t="s">
        <v>155</v>
      </c>
      <c r="AF156" s="17"/>
      <c r="AG156" s="15" t="s">
        <v>406</v>
      </c>
      <c r="AI156" s="42">
        <f t="shared" ca="1" si="29"/>
        <v>559</v>
      </c>
      <c r="AJ156" s="42">
        <f t="shared" ca="1" si="24"/>
        <v>463</v>
      </c>
      <c r="AK156" s="13" t="s">
        <v>70</v>
      </c>
      <c r="AL156" s="36" t="str">
        <f t="shared" si="30"/>
        <v>On-hold</v>
      </c>
      <c r="AM156" s="37">
        <v>45105</v>
      </c>
      <c r="AN156" s="37">
        <v>45105</v>
      </c>
      <c r="AO156" s="37">
        <v>45176</v>
      </c>
      <c r="AP156" s="37">
        <v>45094</v>
      </c>
      <c r="AQ156" s="38">
        <v>45105</v>
      </c>
      <c r="AR156" s="38"/>
      <c r="AS156" s="38"/>
      <c r="AT156" s="38"/>
      <c r="AU156" s="38"/>
      <c r="AV156" s="38"/>
      <c r="AW156" s="38">
        <v>45113</v>
      </c>
      <c r="AX156" s="38">
        <v>45201</v>
      </c>
      <c r="AY156" s="38"/>
      <c r="AZ156" s="38"/>
      <c r="BA156" s="39" t="str">
        <f t="shared" si="31"/>
        <v/>
      </c>
      <c r="BB156" s="38"/>
      <c r="BC156" s="11" t="s">
        <v>7</v>
      </c>
    </row>
    <row r="157" spans="2:55" x14ac:dyDescent="0.35">
      <c r="B157" s="16">
        <f>IF(D157=$A$516,1,IF(D157=$A$517,2,IF(D157=$A$518,3,IF(D157=$A$519,4,IF(D157=$A$520,5,IF(D157=$A$521,6))))))</f>
        <v>4</v>
      </c>
      <c r="D157" s="20" t="str">
        <f t="shared" si="28"/>
        <v>hld</v>
      </c>
      <c r="E157" s="20" t="s">
        <v>4148</v>
      </c>
      <c r="F157" s="13"/>
      <c r="G157" s="13" t="s">
        <v>413</v>
      </c>
      <c r="H157" s="14" t="s">
        <v>408</v>
      </c>
      <c r="I157" s="13">
        <v>620200</v>
      </c>
      <c r="J157" s="13" t="s">
        <v>83</v>
      </c>
      <c r="K157" s="15" t="s">
        <v>417</v>
      </c>
      <c r="L157" s="15"/>
      <c r="M157" s="15" t="s">
        <v>4145</v>
      </c>
      <c r="N157" s="15" t="s">
        <v>4146</v>
      </c>
      <c r="O157" s="15" t="s">
        <v>4147</v>
      </c>
      <c r="P157" s="15"/>
      <c r="Q157" s="15" t="s">
        <v>4149</v>
      </c>
      <c r="S157" s="35" t="s">
        <v>77</v>
      </c>
      <c r="T157" s="13">
        <v>2022</v>
      </c>
      <c r="U157" s="17">
        <v>25.75</v>
      </c>
      <c r="V157" s="17">
        <v>2.8109999999999999</v>
      </c>
      <c r="W157" s="36">
        <f t="shared" si="27"/>
        <v>0.10916504854368932</v>
      </c>
      <c r="X157" s="17">
        <v>0.95499999999999996</v>
      </c>
      <c r="Y157" s="17">
        <v>-1.6359999999999999</v>
      </c>
      <c r="AA157" s="15" t="s">
        <v>99</v>
      </c>
      <c r="AB157" s="17" t="s">
        <v>418</v>
      </c>
      <c r="AC157" s="21" t="s">
        <v>61</v>
      </c>
      <c r="AD157" s="21" t="s">
        <v>61</v>
      </c>
      <c r="AE157" s="17" t="s">
        <v>86</v>
      </c>
      <c r="AF157" s="17" t="s">
        <v>128</v>
      </c>
      <c r="AG157" s="15"/>
      <c r="AI157" s="42">
        <f t="shared" ca="1" si="29"/>
        <v>757</v>
      </c>
      <c r="AJ157" s="42">
        <f t="shared" ca="1" si="24"/>
        <v>469</v>
      </c>
      <c r="AK157" s="13" t="s">
        <v>87</v>
      </c>
      <c r="AL157" s="36" t="str">
        <f t="shared" si="30"/>
        <v>On-hold</v>
      </c>
      <c r="AM157" s="37">
        <v>44907</v>
      </c>
      <c r="AN157" s="37">
        <v>44984</v>
      </c>
      <c r="AO157" s="37">
        <v>45181</v>
      </c>
      <c r="AP157" s="37"/>
      <c r="AQ157" s="38"/>
      <c r="AR157" s="38"/>
      <c r="AS157" s="38"/>
      <c r="AT157" s="38"/>
      <c r="AU157" s="38"/>
      <c r="AV157" s="38"/>
      <c r="AW157" s="38">
        <v>45181</v>
      </c>
      <c r="AX157" s="38">
        <v>45195</v>
      </c>
      <c r="AY157" s="38"/>
      <c r="AZ157" s="38"/>
      <c r="BA157" s="39" t="str">
        <f t="shared" si="31"/>
        <v/>
      </c>
      <c r="BB157" s="38"/>
      <c r="BC157" s="11" t="s">
        <v>7</v>
      </c>
    </row>
    <row r="158" spans="2:55" x14ac:dyDescent="0.35">
      <c r="B158" s="16">
        <f>IF(D158=$A$516,1,IF(D158=$A$517,2,IF(D158=$A$518,3,IF(D158=$A$519,4,IF(D158=$A$520,5,IF(D158=$A$521,6))))))</f>
        <v>4</v>
      </c>
      <c r="D158" s="20" t="str">
        <f t="shared" si="28"/>
        <v>hld</v>
      </c>
      <c r="E158" s="12" t="s">
        <v>412</v>
      </c>
      <c r="F158" s="13"/>
      <c r="G158" s="13" t="s">
        <v>413</v>
      </c>
      <c r="H158" s="14" t="s">
        <v>414</v>
      </c>
      <c r="I158" s="13">
        <v>101200</v>
      </c>
      <c r="J158" s="13" t="s">
        <v>83</v>
      </c>
      <c r="K158" s="15" t="s">
        <v>415</v>
      </c>
      <c r="L158" s="15" t="s">
        <v>4150</v>
      </c>
      <c r="M158" s="15" t="s">
        <v>4150</v>
      </c>
      <c r="N158" s="15"/>
      <c r="O158" s="15" t="s">
        <v>4151</v>
      </c>
      <c r="P158" s="15"/>
      <c r="Q158" s="15" t="s">
        <v>4152</v>
      </c>
      <c r="S158" s="35" t="s">
        <v>77</v>
      </c>
      <c r="T158" s="13">
        <v>2023</v>
      </c>
      <c r="U158" s="17">
        <v>47</v>
      </c>
      <c r="V158" s="17">
        <v>2.1320000000000001</v>
      </c>
      <c r="W158" s="36">
        <f t="shared" si="27"/>
        <v>4.5361702127659574E-2</v>
      </c>
      <c r="X158" s="17">
        <v>0.995</v>
      </c>
      <c r="Y158" s="17">
        <v>-0.52300000000000002</v>
      </c>
      <c r="AA158" s="15" t="s">
        <v>99</v>
      </c>
      <c r="AB158" s="17" t="s">
        <v>416</v>
      </c>
      <c r="AC158" s="21" t="s">
        <v>78</v>
      </c>
      <c r="AD158" s="21" t="s">
        <v>78</v>
      </c>
      <c r="AE158" s="17" t="s">
        <v>86</v>
      </c>
      <c r="AF158" s="17"/>
      <c r="AG158" s="15"/>
      <c r="AI158" s="42">
        <f t="shared" ca="1" si="29"/>
        <v>489</v>
      </c>
      <c r="AJ158" s="42">
        <f t="shared" ca="1" si="24"/>
        <v>469</v>
      </c>
      <c r="AK158" s="13" t="s">
        <v>87</v>
      </c>
      <c r="AL158" s="36" t="str">
        <f t="shared" si="30"/>
        <v>On-hold</v>
      </c>
      <c r="AM158" s="37">
        <v>45175</v>
      </c>
      <c r="AN158" s="37">
        <v>45175</v>
      </c>
      <c r="AO158" s="37">
        <v>45175</v>
      </c>
      <c r="AP158" s="37">
        <v>45175</v>
      </c>
      <c r="AQ158" s="38">
        <v>45194</v>
      </c>
      <c r="AR158" s="38"/>
      <c r="AS158" s="38"/>
      <c r="AT158" s="38"/>
      <c r="AU158" s="38"/>
      <c r="AV158" s="38"/>
      <c r="AW158" s="38">
        <v>45194</v>
      </c>
      <c r="AX158" s="38">
        <v>45195</v>
      </c>
      <c r="AY158" s="38"/>
      <c r="AZ158" s="38"/>
      <c r="BA158" s="39" t="str">
        <f t="shared" si="31"/>
        <v/>
      </c>
      <c r="BB158" s="38"/>
      <c r="BC158" s="11" t="s">
        <v>7</v>
      </c>
    </row>
    <row r="159" spans="2:55" x14ac:dyDescent="0.35">
      <c r="B159" s="16">
        <f>IF(D159=$A$516,1,IF(D159=$A$517,2,IF(D159=$A$518,3,IF(D159=$A$519,4,IF(D159=$A$520,5,IF(D159=$A$521,6))))))</f>
        <v>4</v>
      </c>
      <c r="D159" s="20" t="str">
        <f t="shared" si="28"/>
        <v>hld</v>
      </c>
      <c r="E159" s="20" t="s">
        <v>419</v>
      </c>
      <c r="F159" s="13"/>
      <c r="G159" s="13" t="s">
        <v>103</v>
      </c>
      <c r="H159" s="14" t="s">
        <v>4153</v>
      </c>
      <c r="I159" s="13">
        <v>139620</v>
      </c>
      <c r="J159" s="13" t="s">
        <v>420</v>
      </c>
      <c r="K159" s="15" t="s">
        <v>421</v>
      </c>
      <c r="L159" s="15" t="s">
        <v>422</v>
      </c>
      <c r="M159" s="15" t="s">
        <v>4154</v>
      </c>
      <c r="N159" s="15" t="s">
        <v>4155</v>
      </c>
      <c r="O159" s="15" t="s">
        <v>4154</v>
      </c>
      <c r="P159" s="15"/>
      <c r="Q159" s="15"/>
      <c r="S159" s="17" t="s">
        <v>77</v>
      </c>
      <c r="T159" s="13">
        <v>2022</v>
      </c>
      <c r="U159" s="17">
        <v>16.085999999999999</v>
      </c>
      <c r="V159" s="17">
        <v>0.56000000000000005</v>
      </c>
      <c r="W159" s="36">
        <f t="shared" si="27"/>
        <v>3.4812880765883382E-2</v>
      </c>
      <c r="X159" s="17">
        <v>-0.41199999999999998</v>
      </c>
      <c r="Y159" s="17">
        <v>8.9529999999999994</v>
      </c>
      <c r="AA159" s="15" t="s">
        <v>140</v>
      </c>
      <c r="AB159" s="15"/>
      <c r="AC159" s="21" t="s">
        <v>154</v>
      </c>
      <c r="AD159" s="13" t="s">
        <v>154</v>
      </c>
      <c r="AE159" s="17" t="s">
        <v>155</v>
      </c>
      <c r="AF159" s="17"/>
      <c r="AG159" s="15"/>
      <c r="AI159" s="42">
        <f t="shared" ca="1" si="29"/>
        <v>607</v>
      </c>
      <c r="AJ159" s="42">
        <f t="shared" ca="1" si="24"/>
        <v>476</v>
      </c>
      <c r="AK159" s="13" t="s">
        <v>70</v>
      </c>
      <c r="AL159" s="36" t="str">
        <f t="shared" si="30"/>
        <v>On-hold</v>
      </c>
      <c r="AM159" s="37">
        <v>45057</v>
      </c>
      <c r="AN159" s="37">
        <v>45057</v>
      </c>
      <c r="AO159" s="37">
        <v>45061</v>
      </c>
      <c r="AP159" s="37">
        <v>45051</v>
      </c>
      <c r="AQ159" s="38">
        <v>45057</v>
      </c>
      <c r="AR159" s="38">
        <v>45117</v>
      </c>
      <c r="AS159" s="38"/>
      <c r="AT159" s="38"/>
      <c r="AU159" s="38"/>
      <c r="AV159" s="38"/>
      <c r="AW159" s="38">
        <v>45113</v>
      </c>
      <c r="AX159" s="38">
        <v>45188</v>
      </c>
      <c r="AY159" s="38"/>
      <c r="AZ159" s="38"/>
      <c r="BA159" s="39" t="str">
        <f t="shared" si="31"/>
        <v/>
      </c>
      <c r="BB159" s="38"/>
      <c r="BC159" s="11" t="s">
        <v>7</v>
      </c>
    </row>
    <row r="160" spans="2:55" x14ac:dyDescent="0.35">
      <c r="B160" s="16">
        <f>IF(D160=$A$516,1,IF(D160=$A$517,2,IF(D160=$A$518,3,IF(D160=$A$519,4,IF(D160=$A$520,5,IF(D160=$A$521,6))))))</f>
        <v>4</v>
      </c>
      <c r="D160" s="20" t="str">
        <f t="shared" si="28"/>
        <v>hld</v>
      </c>
      <c r="E160" s="20" t="s">
        <v>423</v>
      </c>
      <c r="F160" s="13" t="s">
        <v>424</v>
      </c>
      <c r="G160" s="13" t="s">
        <v>425</v>
      </c>
      <c r="H160" s="14"/>
      <c r="I160" s="13"/>
      <c r="J160" s="13" t="s">
        <v>83</v>
      </c>
      <c r="K160" s="15" t="s">
        <v>426</v>
      </c>
      <c r="L160" s="15"/>
      <c r="M160" s="15"/>
      <c r="N160" s="15"/>
      <c r="O160" s="15"/>
      <c r="P160" s="15"/>
      <c r="Q160" s="15"/>
      <c r="S160" s="17"/>
      <c r="T160" s="13">
        <v>2023</v>
      </c>
      <c r="U160" s="17">
        <v>150</v>
      </c>
      <c r="V160" s="17">
        <v>25</v>
      </c>
      <c r="W160" s="36">
        <f t="shared" si="27"/>
        <v>0.16666666666666666</v>
      </c>
      <c r="X160" s="17"/>
      <c r="Y160" s="17"/>
      <c r="AA160" s="15" t="s">
        <v>253</v>
      </c>
      <c r="AB160" s="15"/>
      <c r="AC160" s="17" t="s">
        <v>153</v>
      </c>
      <c r="AD160" s="21" t="s">
        <v>153</v>
      </c>
      <c r="AE160" s="13"/>
      <c r="AF160" s="13"/>
      <c r="AG160" s="15"/>
      <c r="AI160" s="42">
        <f t="shared" ca="1" si="29"/>
        <v>531</v>
      </c>
      <c r="AJ160" s="42">
        <f t="shared" ca="1" si="24"/>
        <v>483</v>
      </c>
      <c r="AK160" s="13" t="s">
        <v>87</v>
      </c>
      <c r="AL160" s="36" t="str">
        <f t="shared" si="30"/>
        <v>On-hold</v>
      </c>
      <c r="AM160" s="37">
        <v>45133</v>
      </c>
      <c r="AN160" s="37">
        <v>45133</v>
      </c>
      <c r="AO160" s="37" t="s">
        <v>65</v>
      </c>
      <c r="AP160" s="37" t="s">
        <v>65</v>
      </c>
      <c r="AQ160" s="38">
        <v>45140</v>
      </c>
      <c r="AR160" s="38" t="s">
        <v>65</v>
      </c>
      <c r="AS160" s="38" t="s">
        <v>65</v>
      </c>
      <c r="AT160" s="38" t="s">
        <v>65</v>
      </c>
      <c r="AU160" s="38" t="s">
        <v>65</v>
      </c>
      <c r="AV160" s="38">
        <v>45133</v>
      </c>
      <c r="AW160" s="38"/>
      <c r="AX160" s="38">
        <v>45181</v>
      </c>
      <c r="AY160" s="38"/>
      <c r="AZ160" s="38"/>
      <c r="BA160" s="39" t="str">
        <f t="shared" si="31"/>
        <v/>
      </c>
      <c r="BB160" s="38"/>
      <c r="BC160" s="11" t="s">
        <v>7</v>
      </c>
    </row>
    <row r="161" spans="1:55" x14ac:dyDescent="0.35">
      <c r="B161" s="16">
        <f>IF(D161=$A$516,1,IF(D161=$A$517,2,IF(D161=$A$518,3,IF(D161=$A$519,4,IF(D161=$A$520,5,IF(D161=$A$521,6))))))</f>
        <v>4</v>
      </c>
      <c r="D161" s="20" t="str">
        <f t="shared" si="28"/>
        <v>hld</v>
      </c>
      <c r="E161" s="20" t="s">
        <v>448</v>
      </c>
      <c r="F161" s="13"/>
      <c r="G161" s="13" t="s">
        <v>208</v>
      </c>
      <c r="H161" s="14" t="s">
        <v>4156</v>
      </c>
      <c r="I161" s="13"/>
      <c r="J161" s="13" t="s">
        <v>149</v>
      </c>
      <c r="K161" s="15" t="s">
        <v>449</v>
      </c>
      <c r="L161" s="15"/>
      <c r="M161" s="15"/>
      <c r="N161" s="15"/>
      <c r="O161" s="15"/>
      <c r="P161" s="15"/>
      <c r="Q161" s="15"/>
      <c r="S161" s="17" t="s">
        <v>77</v>
      </c>
      <c r="T161" s="13">
        <v>2022</v>
      </c>
      <c r="U161" s="17">
        <v>10.209</v>
      </c>
      <c r="V161" s="17">
        <v>0.38200000000000001</v>
      </c>
      <c r="W161" s="36">
        <f t="shared" si="27"/>
        <v>3.7417964541091198E-2</v>
      </c>
      <c r="X161" s="17">
        <v>0.224</v>
      </c>
      <c r="Y161" s="17">
        <v>0.127</v>
      </c>
      <c r="AA161" s="15" t="s">
        <v>60</v>
      </c>
      <c r="AB161" s="15"/>
      <c r="AC161" s="21" t="s">
        <v>153</v>
      </c>
      <c r="AD161" s="21" t="s">
        <v>153</v>
      </c>
      <c r="AE161" s="13"/>
      <c r="AF161" s="17"/>
      <c r="AG161" s="15"/>
      <c r="AI161" s="42">
        <f t="shared" ca="1" si="29"/>
        <v>556</v>
      </c>
      <c r="AJ161" s="42">
        <f t="shared" ca="1" si="24"/>
        <v>483</v>
      </c>
      <c r="AK161" s="13" t="s">
        <v>87</v>
      </c>
      <c r="AL161" s="36" t="str">
        <f t="shared" si="30"/>
        <v>On-hold</v>
      </c>
      <c r="AM161" s="37">
        <v>45108</v>
      </c>
      <c r="AN161" s="37">
        <f>+AM161</f>
        <v>45108</v>
      </c>
      <c r="AO161" s="37" t="s">
        <v>65</v>
      </c>
      <c r="AP161" s="37">
        <v>45091</v>
      </c>
      <c r="AQ161" s="38"/>
      <c r="AR161" s="38"/>
      <c r="AS161" s="38"/>
      <c r="AT161" s="38"/>
      <c r="AU161" s="38"/>
      <c r="AV161" s="38"/>
      <c r="AW161" s="38">
        <v>45112</v>
      </c>
      <c r="AX161" s="38">
        <v>45181</v>
      </c>
      <c r="AY161" s="38"/>
      <c r="AZ161" s="38"/>
      <c r="BA161" s="39" t="str">
        <f t="shared" si="31"/>
        <v/>
      </c>
      <c r="BB161" s="38"/>
      <c r="BC161" s="11" t="s">
        <v>7</v>
      </c>
    </row>
    <row r="162" spans="1:55" x14ac:dyDescent="0.35">
      <c r="B162" s="16">
        <f>IF(D162=$A$516,1,IF(D162=$A$517,2,IF(D162=$A$518,3,IF(D162=$A$519,4,IF(D162=$A$520,5,IF(D162=$A$521,6))))))</f>
        <v>4</v>
      </c>
      <c r="D162" s="20" t="str">
        <f t="shared" si="28"/>
        <v>hld</v>
      </c>
      <c r="E162" s="20" t="s">
        <v>450</v>
      </c>
      <c r="F162" s="13"/>
      <c r="G162" s="13" t="s">
        <v>572</v>
      </c>
      <c r="H162" s="14" t="s">
        <v>451</v>
      </c>
      <c r="I162" s="13">
        <v>464940</v>
      </c>
      <c r="J162" s="13" t="s">
        <v>452</v>
      </c>
      <c r="K162" s="15" t="s">
        <v>453</v>
      </c>
      <c r="L162" s="15"/>
      <c r="M162" s="15" t="s">
        <v>4158</v>
      </c>
      <c r="N162" s="15"/>
      <c r="O162" s="15" t="s">
        <v>4157</v>
      </c>
      <c r="P162" s="15"/>
      <c r="Q162" s="15"/>
      <c r="S162" s="17" t="s">
        <v>77</v>
      </c>
      <c r="T162" s="13">
        <v>2022</v>
      </c>
      <c r="U162" s="17">
        <v>13.561</v>
      </c>
      <c r="V162" s="17">
        <v>2.0390000000000001</v>
      </c>
      <c r="W162" s="36">
        <f t="shared" si="27"/>
        <v>0.15035764324164885</v>
      </c>
      <c r="X162" s="17">
        <v>0.89300000000000002</v>
      </c>
      <c r="Y162" s="17">
        <v>4.5339999999999998</v>
      </c>
      <c r="AA162" s="15" t="s">
        <v>60</v>
      </c>
      <c r="AB162" s="15"/>
      <c r="AC162" s="17" t="s">
        <v>61</v>
      </c>
      <c r="AD162" s="21" t="s">
        <v>61</v>
      </c>
      <c r="AE162" s="13"/>
      <c r="AF162" s="17"/>
      <c r="AG162" s="15"/>
      <c r="AI162" s="42">
        <f t="shared" ca="1" si="29"/>
        <v>567</v>
      </c>
      <c r="AJ162" s="42">
        <f t="shared" ca="1" si="24"/>
        <v>483</v>
      </c>
      <c r="AK162" s="13"/>
      <c r="AL162" s="36" t="str">
        <f t="shared" si="30"/>
        <v>On-hold</v>
      </c>
      <c r="AM162" s="37">
        <v>45097</v>
      </c>
      <c r="AN162" s="37">
        <v>45097</v>
      </c>
      <c r="AO162" s="37" t="s">
        <v>65</v>
      </c>
      <c r="AP162" s="37"/>
      <c r="AQ162" s="38"/>
      <c r="AR162" s="38"/>
      <c r="AS162" s="38"/>
      <c r="AT162" s="38"/>
      <c r="AU162" s="38"/>
      <c r="AV162" s="38"/>
      <c r="AW162" s="38">
        <v>45097</v>
      </c>
      <c r="AX162" s="38">
        <v>45181</v>
      </c>
      <c r="AY162" s="38"/>
      <c r="AZ162" s="38"/>
      <c r="BA162" s="39" t="str">
        <f t="shared" si="31"/>
        <v/>
      </c>
      <c r="BB162" s="38"/>
      <c r="BC162" s="11" t="s">
        <v>7</v>
      </c>
    </row>
    <row r="163" spans="1:55" x14ac:dyDescent="0.35">
      <c r="A163" s="765"/>
      <c r="B163" s="765">
        <f>IF(D163=$A$516,1,IF(D163=$A$517,2,IF(D163=$A$518,3,IF(D163=$A$519,4,IF(D163=$A$520,5,IF(D163=$A$521,6))))))</f>
        <v>4</v>
      </c>
      <c r="C163" s="765"/>
      <c r="D163" s="764" t="str">
        <f t="shared" ref="D163:D204" si="32">IF(AL163="Closed","cls",IF(AL163=1,"sgn",IF(AL163="On-hold","hld",IF(AL163="Aborted","abt",IF(AL163&lt;1,"wip","RIP")))))</f>
        <v>hld</v>
      </c>
      <c r="E163" s="12" t="s">
        <v>5137</v>
      </c>
      <c r="F163" s="769"/>
      <c r="G163" s="13" t="s">
        <v>94</v>
      </c>
      <c r="H163" s="14" t="s">
        <v>5122</v>
      </c>
      <c r="I163" s="13" t="s">
        <v>5159</v>
      </c>
      <c r="J163" s="15" t="s">
        <v>1589</v>
      </c>
      <c r="K163" s="15" t="s">
        <v>5158</v>
      </c>
      <c r="L163" s="15" t="s">
        <v>5174</v>
      </c>
      <c r="M163" s="15"/>
      <c r="N163" s="15"/>
      <c r="O163" s="15"/>
      <c r="P163" s="15"/>
      <c r="Q163" s="772"/>
      <c r="R163" s="765"/>
      <c r="S163" s="35" t="s">
        <v>77</v>
      </c>
      <c r="T163" s="13">
        <v>2023</v>
      </c>
      <c r="U163" s="17">
        <v>20.9</v>
      </c>
      <c r="V163" s="17"/>
      <c r="W163" s="248">
        <f t="shared" ref="W163:W168" si="33">+V163/U163</f>
        <v>0</v>
      </c>
      <c r="X163" s="17"/>
      <c r="Y163" s="17"/>
      <c r="Z163" s="765"/>
      <c r="AA163" s="15" t="s">
        <v>140</v>
      </c>
      <c r="AB163" s="798"/>
      <c r="AC163" s="21" t="s">
        <v>154</v>
      </c>
      <c r="AD163" s="21" t="s">
        <v>154</v>
      </c>
      <c r="AE163" s="13"/>
      <c r="AF163" s="774"/>
      <c r="AG163" s="15" t="s">
        <v>5647</v>
      </c>
      <c r="AH163" s="767"/>
      <c r="AI163" s="42">
        <f t="shared" ref="AI163:AI201" ca="1" si="34">+TODAY()-AM163</f>
        <v>64</v>
      </c>
      <c r="AJ163" s="42">
        <f t="shared" ref="AJ163:AJ185" ca="1" si="35">+(IF(AL163="Closed","-",IF(TODAY()-MAX(AN163:BA163)&gt;0,TODAY()-MAX(AN163:BA163),0)))</f>
        <v>21</v>
      </c>
      <c r="AK163" s="604" t="s">
        <v>2672</v>
      </c>
      <c r="AL163" s="993" t="str">
        <f t="shared" ref="AL163:AL201" si="36">+IF(BB163="",IF(AZ163="",IF(AY163="",IF(AX163="",COUNTA(AN163:AV163)/9,"On-hold"),"Aborted"),"Closed"),"RIP")</f>
        <v>On-hold</v>
      </c>
      <c r="AM163" s="776">
        <v>45600</v>
      </c>
      <c r="AN163" s="776">
        <v>45600</v>
      </c>
      <c r="AO163" s="1009" t="s">
        <v>65</v>
      </c>
      <c r="AP163" s="776">
        <v>45600</v>
      </c>
      <c r="AQ163" s="776">
        <v>45600</v>
      </c>
      <c r="AR163" s="1009"/>
      <c r="AS163" s="777"/>
      <c r="AT163" s="777"/>
      <c r="AU163" s="777"/>
      <c r="AV163" s="777"/>
      <c r="AW163" s="776">
        <v>45643</v>
      </c>
      <c r="AX163" s="776">
        <v>45643</v>
      </c>
      <c r="AY163" s="777"/>
      <c r="AZ163" s="777"/>
      <c r="BA163" s="778"/>
      <c r="BB163" s="777"/>
      <c r="BC163" s="11" t="s">
        <v>7</v>
      </c>
    </row>
    <row r="164" spans="1:55" x14ac:dyDescent="0.35">
      <c r="A164" s="765"/>
      <c r="B164" s="765">
        <f>IF(D164=$A$516,1,IF(D164=$A$517,2,IF(D164=$A$518,3,IF(D164=$A$519,4,IF(D164=$A$520,5,IF(D164=$A$521,6))))))</f>
        <v>4</v>
      </c>
      <c r="C164" s="765"/>
      <c r="D164" s="764" t="str">
        <f t="shared" si="32"/>
        <v>hld</v>
      </c>
      <c r="E164" s="12" t="s">
        <v>5138</v>
      </c>
      <c r="F164" s="769"/>
      <c r="G164" s="13" t="s">
        <v>838</v>
      </c>
      <c r="H164" s="14" t="s">
        <v>5123</v>
      </c>
      <c r="I164" s="13" t="s">
        <v>5161</v>
      </c>
      <c r="J164" s="15" t="s">
        <v>2769</v>
      </c>
      <c r="K164" s="15" t="s">
        <v>5160</v>
      </c>
      <c r="L164" s="15" t="s">
        <v>5175</v>
      </c>
      <c r="M164" s="15"/>
      <c r="N164" s="15"/>
      <c r="O164" s="15"/>
      <c r="P164" s="15"/>
      <c r="Q164" s="772"/>
      <c r="R164" s="765"/>
      <c r="S164" s="35" t="s">
        <v>77</v>
      </c>
      <c r="T164" s="13">
        <v>2023</v>
      </c>
      <c r="U164" s="17">
        <v>80.400000000000006</v>
      </c>
      <c r="V164" s="17"/>
      <c r="W164" s="248">
        <f t="shared" si="33"/>
        <v>0</v>
      </c>
      <c r="X164" s="17"/>
      <c r="Y164" s="17"/>
      <c r="Z164" s="765"/>
      <c r="AA164" s="15" t="s">
        <v>140</v>
      </c>
      <c r="AB164" s="798"/>
      <c r="AC164" s="21" t="s">
        <v>154</v>
      </c>
      <c r="AD164" s="21" t="s">
        <v>154</v>
      </c>
      <c r="AE164" s="13"/>
      <c r="AF164" s="774"/>
      <c r="AG164" s="15" t="s">
        <v>5647</v>
      </c>
      <c r="AH164" s="767"/>
      <c r="AI164" s="42">
        <f t="shared" ca="1" si="34"/>
        <v>64</v>
      </c>
      <c r="AJ164" s="42">
        <f t="shared" ca="1" si="35"/>
        <v>21</v>
      </c>
      <c r="AK164" s="604" t="s">
        <v>2672</v>
      </c>
      <c r="AL164" s="993" t="str">
        <f t="shared" si="36"/>
        <v>On-hold</v>
      </c>
      <c r="AM164" s="776">
        <v>45600</v>
      </c>
      <c r="AN164" s="776">
        <v>45600</v>
      </c>
      <c r="AO164" s="1009" t="s">
        <v>65</v>
      </c>
      <c r="AP164" s="776">
        <v>45600</v>
      </c>
      <c r="AQ164" s="776">
        <v>45600</v>
      </c>
      <c r="AR164" s="1009"/>
      <c r="AS164" s="777"/>
      <c r="AT164" s="777"/>
      <c r="AU164" s="777"/>
      <c r="AV164" s="777"/>
      <c r="AW164" s="776">
        <v>45643</v>
      </c>
      <c r="AX164" s="776">
        <v>45643</v>
      </c>
      <c r="AY164" s="777"/>
      <c r="AZ164" s="777"/>
      <c r="BA164" s="778"/>
      <c r="BB164" s="777"/>
      <c r="BC164" s="11" t="s">
        <v>7</v>
      </c>
    </row>
    <row r="165" spans="1:55" x14ac:dyDescent="0.35">
      <c r="A165" s="765"/>
      <c r="B165" s="765">
        <f>IF(D165=$A$516,1,IF(D165=$A$517,2,IF(D165=$A$518,3,IF(D165=$A$519,4,IF(D165=$A$520,5,IF(D165=$A$521,6))))))</f>
        <v>4</v>
      </c>
      <c r="C165" s="765"/>
      <c r="D165" s="764" t="str">
        <f t="shared" si="32"/>
        <v>hld</v>
      </c>
      <c r="E165" s="12" t="s">
        <v>5648</v>
      </c>
      <c r="F165" s="769"/>
      <c r="G165" s="13" t="s">
        <v>386</v>
      </c>
      <c r="H165" s="14" t="s">
        <v>5117</v>
      </c>
      <c r="I165" s="13" t="s">
        <v>5148</v>
      </c>
      <c r="J165" s="15" t="s">
        <v>2769</v>
      </c>
      <c r="K165" s="15" t="s">
        <v>5147</v>
      </c>
      <c r="L165" s="1317" t="s">
        <v>5358</v>
      </c>
      <c r="M165" s="15"/>
      <c r="N165" s="15"/>
      <c r="O165" s="15"/>
      <c r="P165" s="15"/>
      <c r="Q165" s="772"/>
      <c r="R165" s="765"/>
      <c r="S165" s="35" t="s">
        <v>77</v>
      </c>
      <c r="T165" s="13">
        <v>2023</v>
      </c>
      <c r="U165" s="17">
        <v>11.1</v>
      </c>
      <c r="V165" s="17"/>
      <c r="W165" s="248">
        <f t="shared" si="33"/>
        <v>0</v>
      </c>
      <c r="X165" s="17"/>
      <c r="Y165" s="17"/>
      <c r="Z165" s="765"/>
      <c r="AA165" s="15" t="s">
        <v>60</v>
      </c>
      <c r="AB165" s="1317" t="s">
        <v>5358</v>
      </c>
      <c r="AC165" s="21" t="s">
        <v>78</v>
      </c>
      <c r="AD165" s="21" t="s">
        <v>154</v>
      </c>
      <c r="AE165" s="13"/>
      <c r="AF165" s="774"/>
      <c r="AG165" s="15" t="s">
        <v>5647</v>
      </c>
      <c r="AH165" s="767"/>
      <c r="AI165" s="42">
        <f t="shared" ca="1" si="34"/>
        <v>64</v>
      </c>
      <c r="AJ165" s="42">
        <f t="shared" ca="1" si="35"/>
        <v>21</v>
      </c>
      <c r="AK165" s="604" t="s">
        <v>2672</v>
      </c>
      <c r="AL165" s="993" t="str">
        <f t="shared" si="36"/>
        <v>On-hold</v>
      </c>
      <c r="AM165" s="776">
        <v>45600</v>
      </c>
      <c r="AN165" s="776">
        <v>45600</v>
      </c>
      <c r="AO165" s="1009" t="s">
        <v>65</v>
      </c>
      <c r="AP165" s="776">
        <v>45600</v>
      </c>
      <c r="AQ165" s="776">
        <v>45600</v>
      </c>
      <c r="AR165" s="1009"/>
      <c r="AS165" s="777"/>
      <c r="AT165" s="777"/>
      <c r="AU165" s="777"/>
      <c r="AV165" s="777"/>
      <c r="AW165" s="776">
        <v>45643</v>
      </c>
      <c r="AX165" s="776">
        <v>45643</v>
      </c>
      <c r="AY165" s="777"/>
      <c r="AZ165" s="777"/>
      <c r="BA165" s="778"/>
      <c r="BB165" s="777"/>
      <c r="BC165" s="11" t="s">
        <v>7</v>
      </c>
    </row>
    <row r="166" spans="1:55" x14ac:dyDescent="0.35">
      <c r="A166" s="765"/>
      <c r="B166" s="1115">
        <f>IF(D166=$A$516,1,IF(D166=$A$517,2,IF(D166=$A$518,3,IF(D166=$A$519,4,IF(D166=$A$520,5,IF(D166=$A$521,6))))))</f>
        <v>5</v>
      </c>
      <c r="C166" s="44">
        <f>+COUNTIF(D:D,"abt")</f>
        <v>345</v>
      </c>
      <c r="D166" s="1116" t="str">
        <f t="shared" si="32"/>
        <v>abt</v>
      </c>
      <c r="E166" s="20" t="s">
        <v>5219</v>
      </c>
      <c r="F166" s="1117"/>
      <c r="G166" s="1117" t="s">
        <v>226</v>
      </c>
      <c r="H166" s="1118" t="s">
        <v>4885</v>
      </c>
      <c r="I166" s="1165"/>
      <c r="J166" s="1117" t="s">
        <v>2769</v>
      </c>
      <c r="K166" s="1114" t="s">
        <v>4883</v>
      </c>
      <c r="L166" s="1114"/>
      <c r="M166" s="1114" t="s">
        <v>4884</v>
      </c>
      <c r="N166" s="1114" t="s">
        <v>4889</v>
      </c>
      <c r="O166" s="1114" t="s">
        <v>4886</v>
      </c>
      <c r="P166" s="1114" t="s">
        <v>4887</v>
      </c>
      <c r="Q166" s="1114" t="s">
        <v>4888</v>
      </c>
      <c r="R166" s="1115"/>
      <c r="S166" s="1119" t="s">
        <v>144</v>
      </c>
      <c r="T166" s="1117">
        <v>2023</v>
      </c>
      <c r="U166" s="1120">
        <v>55.4</v>
      </c>
      <c r="V166" s="1120">
        <v>8.6</v>
      </c>
      <c r="W166" s="1121">
        <f t="shared" si="33"/>
        <v>0.15523465703971118</v>
      </c>
      <c r="X166" s="1120">
        <v>3.2</v>
      </c>
      <c r="Y166" s="1120">
        <v>-3.4</v>
      </c>
      <c r="Z166" s="1115"/>
      <c r="AA166" s="1114" t="s">
        <v>60</v>
      </c>
      <c r="AB166" s="1120"/>
      <c r="AC166" s="1122" t="s">
        <v>3598</v>
      </c>
      <c r="AD166" s="1122" t="s">
        <v>3598</v>
      </c>
      <c r="AE166" s="1117" t="s">
        <v>4423</v>
      </c>
      <c r="AF166" s="17" t="s">
        <v>3458</v>
      </c>
      <c r="AG166" s="1114"/>
      <c r="AH166" s="1138"/>
      <c r="AI166" s="1169">
        <f t="shared" ca="1" si="34"/>
        <v>88</v>
      </c>
      <c r="AJ166" s="1169">
        <f t="shared" ca="1" si="35"/>
        <v>22</v>
      </c>
      <c r="AK166" s="1117" t="s">
        <v>64</v>
      </c>
      <c r="AL166" s="1167" t="str">
        <f t="shared" si="36"/>
        <v>Aborted</v>
      </c>
      <c r="AM166" s="1124">
        <v>45576</v>
      </c>
      <c r="AN166" s="1124">
        <v>45576</v>
      </c>
      <c r="AO166" s="1124" t="s">
        <v>65</v>
      </c>
      <c r="AP166" s="1124">
        <v>45576</v>
      </c>
      <c r="AQ166" s="1125"/>
      <c r="AR166" s="1125"/>
      <c r="AS166" s="1125"/>
      <c r="AT166" s="1125"/>
      <c r="AU166" s="1125"/>
      <c r="AV166" s="1125"/>
      <c r="AW166" s="1125">
        <v>45621</v>
      </c>
      <c r="AX166" s="1125"/>
      <c r="AY166" s="1125">
        <v>45642</v>
      </c>
      <c r="AZ166" s="1125"/>
      <c r="BA166" s="1126"/>
      <c r="BB166" s="1125"/>
      <c r="BC166" s="11" t="s">
        <v>7</v>
      </c>
    </row>
    <row r="167" spans="1:55" x14ac:dyDescent="0.35">
      <c r="A167" s="765"/>
      <c r="B167" s="792">
        <f>IF(D167=$A$516,1,IF(D167=$A$517,2,IF(D167=$A$518,3,IF(D167=$A$519,4,IF(D167=$A$520,5,IF(D167=$A$521,6))))))</f>
        <v>5</v>
      </c>
      <c r="D167" s="793" t="str">
        <f t="shared" si="32"/>
        <v>abt</v>
      </c>
      <c r="E167" s="793" t="s">
        <v>4310</v>
      </c>
      <c r="F167" s="794"/>
      <c r="G167" s="794" t="s">
        <v>333</v>
      </c>
      <c r="H167" s="795" t="s">
        <v>4312</v>
      </c>
      <c r="I167" s="1165"/>
      <c r="J167" s="794" t="s">
        <v>251</v>
      </c>
      <c r="K167" s="796" t="s">
        <v>4311</v>
      </c>
      <c r="L167" s="796"/>
      <c r="M167" s="796"/>
      <c r="N167" s="796"/>
      <c r="O167" s="796"/>
      <c r="P167" s="796"/>
      <c r="Q167" s="796"/>
      <c r="R167" s="792"/>
      <c r="S167" s="797" t="s">
        <v>77</v>
      </c>
      <c r="T167" s="794">
        <v>2023</v>
      </c>
      <c r="U167" s="17">
        <v>1.5580000000000001</v>
      </c>
      <c r="V167" s="17">
        <v>0.17899999999999999</v>
      </c>
      <c r="W167" s="36">
        <f t="shared" si="33"/>
        <v>0.11489088575096276</v>
      </c>
      <c r="X167" s="17">
        <v>0.112</v>
      </c>
      <c r="Y167" s="17">
        <v>0.38900000000000001</v>
      </c>
      <c r="Z167" s="792"/>
      <c r="AA167" s="796" t="s">
        <v>99</v>
      </c>
      <c r="AB167" s="798" t="s">
        <v>4313</v>
      </c>
      <c r="AC167" s="799" t="s">
        <v>3598</v>
      </c>
      <c r="AD167" s="799" t="s">
        <v>3598</v>
      </c>
      <c r="AE167" s="794" t="s">
        <v>128</v>
      </c>
      <c r="AF167" s="798"/>
      <c r="AG167" s="796"/>
      <c r="AH167" s="800"/>
      <c r="AI167" s="1169">
        <f t="shared" ca="1" si="34"/>
        <v>180</v>
      </c>
      <c r="AJ167" s="1169">
        <f t="shared" ca="1" si="35"/>
        <v>40</v>
      </c>
      <c r="AK167" s="794" t="s">
        <v>87</v>
      </c>
      <c r="AL167" s="1167" t="str">
        <f t="shared" si="36"/>
        <v>Aborted</v>
      </c>
      <c r="AM167" s="802">
        <v>45484</v>
      </c>
      <c r="AN167" s="802">
        <v>45484</v>
      </c>
      <c r="AO167" s="802" t="s">
        <v>65</v>
      </c>
      <c r="AP167" s="802">
        <v>45484</v>
      </c>
      <c r="AQ167" s="997"/>
      <c r="AR167" s="803"/>
      <c r="AS167" s="803"/>
      <c r="AT167" s="803"/>
      <c r="AU167" s="803"/>
      <c r="AV167" s="803"/>
      <c r="AW167" s="803">
        <v>45606</v>
      </c>
      <c r="AX167" s="803"/>
      <c r="AY167" s="803">
        <v>45624</v>
      </c>
      <c r="AZ167" s="803"/>
      <c r="BA167" s="804"/>
      <c r="BB167" s="803"/>
      <c r="BC167" s="11" t="s">
        <v>7</v>
      </c>
    </row>
    <row r="168" spans="1:55" x14ac:dyDescent="0.35">
      <c r="A168" s="765"/>
      <c r="B168" s="1115">
        <f>IF(D168=$A$516,1,IF(D168=$A$517,2,IF(D168=$A$518,3,IF(D168=$A$519,4,IF(D168=$A$520,5,IF(D168=$A$521,6))))))</f>
        <v>5</v>
      </c>
      <c r="D168" s="1116" t="str">
        <f t="shared" si="32"/>
        <v>abt</v>
      </c>
      <c r="E168" s="1116" t="s">
        <v>4854</v>
      </c>
      <c r="F168" s="1117" t="s">
        <v>207</v>
      </c>
      <c r="G168" s="1117" t="s">
        <v>208</v>
      </c>
      <c r="H168" s="1118"/>
      <c r="I168" s="1117"/>
      <c r="J168" s="1117" t="s">
        <v>209</v>
      </c>
      <c r="K168" s="1114" t="s">
        <v>210</v>
      </c>
      <c r="L168" s="1114" t="s">
        <v>211</v>
      </c>
      <c r="M168" s="1114"/>
      <c r="N168" s="1114"/>
      <c r="O168" s="1114"/>
      <c r="P168" s="1114"/>
      <c r="Q168" s="1114"/>
      <c r="R168" s="1115"/>
      <c r="S168" s="1119" t="s">
        <v>77</v>
      </c>
      <c r="T168" s="1117">
        <v>2023</v>
      </c>
      <c r="U168" s="1120">
        <v>15.3</v>
      </c>
      <c r="V168" s="1120">
        <v>2.2000000000000002</v>
      </c>
      <c r="W168" s="1121">
        <f t="shared" si="33"/>
        <v>0.14379084967320263</v>
      </c>
      <c r="X168" s="1120">
        <v>1.7</v>
      </c>
      <c r="Y168" s="1120">
        <v>-0.7</v>
      </c>
      <c r="Z168" s="1115"/>
      <c r="AA168" s="1114" t="s">
        <v>99</v>
      </c>
      <c r="AB168" s="1120" t="s">
        <v>212</v>
      </c>
      <c r="AC168" s="1122" t="s">
        <v>153</v>
      </c>
      <c r="AD168" s="1122" t="s">
        <v>153</v>
      </c>
      <c r="AE168" s="1120" t="s">
        <v>273</v>
      </c>
      <c r="AF168" s="1120"/>
      <c r="AG168" s="1114"/>
      <c r="AH168" s="1115"/>
      <c r="AI168" s="1123">
        <f t="shared" ca="1" si="34"/>
        <v>82</v>
      </c>
      <c r="AJ168" s="1123">
        <f t="shared" ca="1" si="35"/>
        <v>0</v>
      </c>
      <c r="AK168" s="1117" t="s">
        <v>64</v>
      </c>
      <c r="AL168" s="1121" t="str">
        <f t="shared" si="36"/>
        <v>Aborted</v>
      </c>
      <c r="AM168" s="1124">
        <v>45582</v>
      </c>
      <c r="AN168" s="1124">
        <v>45582</v>
      </c>
      <c r="AO168" s="1124" t="s">
        <v>65</v>
      </c>
      <c r="AP168" s="1124">
        <v>45582</v>
      </c>
      <c r="AQ168" s="1125">
        <v>45586</v>
      </c>
      <c r="AR168" s="1125" t="s">
        <v>65</v>
      </c>
      <c r="AS168" s="1125" t="s">
        <v>65</v>
      </c>
      <c r="AT168" s="1125" t="s">
        <v>65</v>
      </c>
      <c r="AU168" s="1125" t="s">
        <v>65</v>
      </c>
      <c r="AV168" s="1125">
        <v>45117</v>
      </c>
      <c r="AW168" s="1125">
        <f ca="1">TODAY()</f>
        <v>45664</v>
      </c>
      <c r="AX168" s="1125"/>
      <c r="AY168" s="1125">
        <v>45614</v>
      </c>
      <c r="AZ168" s="1125"/>
      <c r="BA168" s="1126"/>
      <c r="BB168" s="1125"/>
      <c r="BC168" s="11" t="s">
        <v>7</v>
      </c>
    </row>
    <row r="169" spans="1:55" x14ac:dyDescent="0.35">
      <c r="A169" s="765"/>
      <c r="B169" s="921">
        <f>IF(D169=$A$516,1,IF(D169=$A$517,2,IF(D169=$A$518,3,IF(D169=$A$519,4,IF(D169=$A$520,5,IF(D169=$A$521,6))))))</f>
        <v>5</v>
      </c>
      <c r="D169" s="924" t="str">
        <f t="shared" si="32"/>
        <v>abt</v>
      </c>
      <c r="E169" s="924" t="s">
        <v>4273</v>
      </c>
      <c r="F169" s="908"/>
      <c r="G169" s="13" t="s">
        <v>2030</v>
      </c>
      <c r="H169" s="910"/>
      <c r="I169" s="908"/>
      <c r="J169" s="908" t="s">
        <v>111</v>
      </c>
      <c r="K169" s="907" t="s">
        <v>4276</v>
      </c>
      <c r="L169" s="907"/>
      <c r="M169" s="907"/>
      <c r="N169" s="907"/>
      <c r="O169" s="907"/>
      <c r="P169" s="907"/>
      <c r="Q169" s="907"/>
      <c r="R169" s="921"/>
      <c r="S169" s="909"/>
      <c r="T169" s="908"/>
      <c r="U169" s="925"/>
      <c r="V169" s="925"/>
      <c r="W169" s="934"/>
      <c r="X169" s="925"/>
      <c r="Y169" s="925"/>
      <c r="Z169" s="921"/>
      <c r="AA169" s="907"/>
      <c r="AB169" s="925"/>
      <c r="AC169" s="927" t="s">
        <v>78</v>
      </c>
      <c r="AD169" s="927" t="s">
        <v>78</v>
      </c>
      <c r="AE169" s="927" t="s">
        <v>62</v>
      </c>
      <c r="AF169" s="925"/>
      <c r="AG169" s="907"/>
      <c r="AH169" s="921"/>
      <c r="AI169" s="949">
        <f t="shared" ca="1" si="34"/>
        <v>196</v>
      </c>
      <c r="AJ169" s="995">
        <f t="shared" ca="1" si="35"/>
        <v>60</v>
      </c>
      <c r="AK169" s="908" t="s">
        <v>87</v>
      </c>
      <c r="AL169" s="934" t="str">
        <f t="shared" si="36"/>
        <v>Aborted</v>
      </c>
      <c r="AM169" s="930">
        <v>45468</v>
      </c>
      <c r="AN169" s="930">
        <v>45468</v>
      </c>
      <c r="AO169" s="930" t="s">
        <v>65</v>
      </c>
      <c r="AP169" s="930">
        <v>45468</v>
      </c>
      <c r="AQ169" s="997">
        <v>45532</v>
      </c>
      <c r="AR169" s="931"/>
      <c r="AS169" s="931"/>
      <c r="AT169" s="931"/>
      <c r="AU169" s="931"/>
      <c r="AV169" s="931"/>
      <c r="AW169" s="931">
        <v>45586</v>
      </c>
      <c r="AX169" s="1228"/>
      <c r="AY169" s="931">
        <v>45604</v>
      </c>
      <c r="AZ169" s="931"/>
      <c r="BA169" s="935"/>
      <c r="BB169" s="931"/>
      <c r="BC169" s="11" t="s">
        <v>7</v>
      </c>
    </row>
    <row r="170" spans="1:55" x14ac:dyDescent="0.35">
      <c r="A170" s="765"/>
      <c r="B170" s="921">
        <f>IF(D170=$A$516,1,IF(D170=$A$517,2,IF(D170=$A$518,3,IF(D170=$A$519,4,IF(D170=$A$520,5,IF(D170=$A$521,6))))))</f>
        <v>5</v>
      </c>
      <c r="C170" s="921"/>
      <c r="D170" s="924" t="str">
        <f t="shared" si="32"/>
        <v>abt</v>
      </c>
      <c r="E170" s="20" t="s">
        <v>4350</v>
      </c>
      <c r="F170" s="908"/>
      <c r="G170" s="13" t="s">
        <v>634</v>
      </c>
      <c r="H170" s="910"/>
      <c r="I170" s="908"/>
      <c r="J170" s="13" t="s">
        <v>452</v>
      </c>
      <c r="K170" s="907" t="s">
        <v>4351</v>
      </c>
      <c r="L170" s="907"/>
      <c r="M170" s="907"/>
      <c r="N170" s="907"/>
      <c r="O170" s="907"/>
      <c r="P170" s="907"/>
      <c r="Q170" s="907"/>
      <c r="R170" s="921"/>
      <c r="S170" s="35" t="s">
        <v>77</v>
      </c>
      <c r="T170" s="908">
        <v>2023</v>
      </c>
      <c r="U170" s="925">
        <v>10</v>
      </c>
      <c r="V170" s="925">
        <v>1</v>
      </c>
      <c r="W170" s="934">
        <f>+V170/U170</f>
        <v>0.1</v>
      </c>
      <c r="X170" s="925"/>
      <c r="Y170" s="925"/>
      <c r="Z170" s="921"/>
      <c r="AA170" s="15" t="s">
        <v>253</v>
      </c>
      <c r="AB170" s="925"/>
      <c r="AC170" s="21" t="s">
        <v>62</v>
      </c>
      <c r="AD170" s="21" t="s">
        <v>78</v>
      </c>
      <c r="AE170" s="927" t="s">
        <v>62</v>
      </c>
      <c r="AF170" s="925"/>
      <c r="AG170" s="907"/>
      <c r="AH170" s="921"/>
      <c r="AI170" s="949">
        <f t="shared" ca="1" si="34"/>
        <v>151</v>
      </c>
      <c r="AJ170" s="995">
        <f t="shared" ca="1" si="35"/>
        <v>56</v>
      </c>
      <c r="AK170" s="908" t="s">
        <v>87</v>
      </c>
      <c r="AL170" s="993" t="str">
        <f t="shared" si="36"/>
        <v>Aborted</v>
      </c>
      <c r="AM170" s="930">
        <v>45513</v>
      </c>
      <c r="AN170" s="930">
        <v>45513</v>
      </c>
      <c r="AO170" s="930" t="s">
        <v>65</v>
      </c>
      <c r="AP170" s="930">
        <v>45513</v>
      </c>
      <c r="AQ170" s="997">
        <v>45546</v>
      </c>
      <c r="AR170" s="931"/>
      <c r="AS170" s="931"/>
      <c r="AT170" s="931"/>
      <c r="AU170" s="931"/>
      <c r="AV170" s="931"/>
      <c r="AW170" s="931">
        <v>45580</v>
      </c>
      <c r="AX170" s="931"/>
      <c r="AY170" s="931">
        <v>45608</v>
      </c>
      <c r="AZ170" s="931"/>
      <c r="BA170" s="935"/>
      <c r="BB170" s="931"/>
      <c r="BC170" s="11" t="s">
        <v>7</v>
      </c>
    </row>
    <row r="171" spans="1:55" x14ac:dyDescent="0.35">
      <c r="A171" s="765"/>
      <c r="B171" s="973">
        <f>IF(D171=$A$516,1,IF(D171=$A$517,2,IF(D171=$A$518,3,IF(D171=$A$519,4,IF(D171=$A$520,5,IF(D171=$A$521,6))))))</f>
        <v>5</v>
      </c>
      <c r="D171" s="974" t="str">
        <f t="shared" si="32"/>
        <v>abt</v>
      </c>
      <c r="E171" s="974" t="s">
        <v>4569</v>
      </c>
      <c r="F171" s="972" t="s">
        <v>4570</v>
      </c>
      <c r="G171" s="972" t="s">
        <v>2679</v>
      </c>
      <c r="H171" s="975"/>
      <c r="I171" s="972"/>
      <c r="J171" s="972" t="s">
        <v>4571</v>
      </c>
      <c r="K171" s="970" t="s">
        <v>4572</v>
      </c>
      <c r="L171" s="970"/>
      <c r="M171" s="970"/>
      <c r="N171" s="970"/>
      <c r="O171" s="970"/>
      <c r="P171" s="970"/>
      <c r="Q171" s="970"/>
      <c r="R171" s="973"/>
      <c r="S171" s="976"/>
      <c r="T171" s="972"/>
      <c r="U171" s="977"/>
      <c r="V171" s="977"/>
      <c r="W171" s="978"/>
      <c r="X171" s="977"/>
      <c r="Y171" s="977"/>
      <c r="Z171" s="973"/>
      <c r="AA171" s="990" t="s">
        <v>99</v>
      </c>
      <c r="AB171" s="992" t="s">
        <v>1083</v>
      </c>
      <c r="AC171" s="979" t="s">
        <v>78</v>
      </c>
      <c r="AD171" s="979" t="s">
        <v>78</v>
      </c>
      <c r="AE171" s="972" t="s">
        <v>79</v>
      </c>
      <c r="AF171" s="977" t="s">
        <v>3458</v>
      </c>
      <c r="AG171" s="970"/>
      <c r="AH171" s="980"/>
      <c r="AI171" s="981">
        <f t="shared" ca="1" si="34"/>
        <v>108</v>
      </c>
      <c r="AJ171" s="995">
        <f t="shared" ca="1" si="35"/>
        <v>64</v>
      </c>
      <c r="AK171" s="972" t="s">
        <v>720</v>
      </c>
      <c r="AL171" s="1167" t="str">
        <f t="shared" si="36"/>
        <v>Aborted</v>
      </c>
      <c r="AM171" s="982">
        <v>45556</v>
      </c>
      <c r="AN171" s="982">
        <v>45556</v>
      </c>
      <c r="AO171" s="982" t="s">
        <v>65</v>
      </c>
      <c r="AP171" s="982">
        <v>45556</v>
      </c>
      <c r="AQ171" s="997">
        <v>45556</v>
      </c>
      <c r="AR171" s="983">
        <v>45579</v>
      </c>
      <c r="AS171" s="983">
        <v>45586</v>
      </c>
      <c r="AT171" s="983"/>
      <c r="AU171" s="983"/>
      <c r="AV171" s="983"/>
      <c r="AW171" s="1178">
        <v>45600</v>
      </c>
      <c r="AX171" s="983"/>
      <c r="AY171" s="983">
        <v>45600</v>
      </c>
      <c r="AZ171" s="983"/>
      <c r="BA171" s="984"/>
      <c r="BB171" s="983"/>
      <c r="BC171" s="11" t="s">
        <v>7</v>
      </c>
    </row>
    <row r="172" spans="1:55" x14ac:dyDescent="0.35">
      <c r="A172" s="765"/>
      <c r="B172" s="16">
        <f>IF(D172=$A$516,1,IF(D172=$A$517,2,IF(D172=$A$518,3,IF(D172=$A$519,4,IF(D172=$A$520,5,IF(D172=$A$521,6))))))</f>
        <v>5</v>
      </c>
      <c r="D172" s="20" t="str">
        <f t="shared" si="32"/>
        <v>abt</v>
      </c>
      <c r="E172" s="12" t="s">
        <v>4624</v>
      </c>
      <c r="F172" s="13" t="s">
        <v>4576</v>
      </c>
      <c r="G172" s="13" t="s">
        <v>386</v>
      </c>
      <c r="H172" s="14" t="s">
        <v>4577</v>
      </c>
      <c r="I172" s="13">
        <v>257320</v>
      </c>
      <c r="J172" s="13" t="s">
        <v>111</v>
      </c>
      <c r="K172" s="15" t="s">
        <v>4578</v>
      </c>
      <c r="L172" s="15"/>
      <c r="M172" s="15"/>
      <c r="N172" s="15"/>
      <c r="O172" s="15"/>
      <c r="P172" s="15"/>
      <c r="Q172" s="15"/>
      <c r="S172" s="35" t="s">
        <v>77</v>
      </c>
      <c r="T172" s="13">
        <v>2023</v>
      </c>
      <c r="U172" s="17">
        <v>14.471</v>
      </c>
      <c r="V172" s="17">
        <v>2.137</v>
      </c>
      <c r="W172" s="857">
        <f t="shared" ref="W172:W179" si="37">+V172/U172</f>
        <v>0.14767465966415591</v>
      </c>
      <c r="X172" s="17">
        <v>0.76500000000000001</v>
      </c>
      <c r="Y172" s="17">
        <v>7.4999999999999997E-2</v>
      </c>
      <c r="AA172" s="15" t="s">
        <v>99</v>
      </c>
      <c r="AB172" s="17"/>
      <c r="AC172" s="21" t="s">
        <v>78</v>
      </c>
      <c r="AD172" s="17" t="s">
        <v>78</v>
      </c>
      <c r="AE172" s="17" t="s">
        <v>79</v>
      </c>
      <c r="AF172" s="1166" t="s">
        <v>3458</v>
      </c>
      <c r="AG172" s="1162"/>
      <c r="AH172" s="1168">
        <v>1</v>
      </c>
      <c r="AI172" s="995">
        <f t="shared" ca="1" si="34"/>
        <v>117</v>
      </c>
      <c r="AJ172" s="995">
        <f t="shared" ca="1" si="35"/>
        <v>64</v>
      </c>
      <c r="AK172" s="13" t="s">
        <v>64</v>
      </c>
      <c r="AL172" s="1167" t="str">
        <f t="shared" si="36"/>
        <v>Aborted</v>
      </c>
      <c r="AM172" s="37">
        <v>45547</v>
      </c>
      <c r="AN172" s="37">
        <v>45547</v>
      </c>
      <c r="AO172" s="37" t="s">
        <v>65</v>
      </c>
      <c r="AP172" s="37">
        <v>45547</v>
      </c>
      <c r="AQ172" s="997">
        <v>45572</v>
      </c>
      <c r="AR172" s="38">
        <v>45579</v>
      </c>
      <c r="AS172" s="38"/>
      <c r="AT172" s="38"/>
      <c r="AU172" s="38"/>
      <c r="AV172" s="38"/>
      <c r="AW172" s="997">
        <v>45600</v>
      </c>
      <c r="AX172" s="38"/>
      <c r="AY172" s="1178">
        <v>45600</v>
      </c>
      <c r="AZ172" s="38"/>
      <c r="BA172" s="39">
        <f>+IF(AY172="","",COUNTA(AN172:AV172)/(COUNTA(AN172:AV172)+COUNTBLANK(AN172:AV172)))</f>
        <v>0.55555555555555558</v>
      </c>
      <c r="BB172" s="38"/>
      <c r="BC172" s="11" t="s">
        <v>7</v>
      </c>
    </row>
    <row r="173" spans="1:55" x14ac:dyDescent="0.35">
      <c r="A173" s="765"/>
      <c r="B173" s="765">
        <f>IF(D173=$A$516,1,IF(D173=$A$517,2,IF(D173=$A$518,3,IF(D173=$A$519,4,IF(D173=$A$520,5,IF(D173=$A$521,6))))))</f>
        <v>5</v>
      </c>
      <c r="D173" s="764" t="str">
        <f t="shared" si="32"/>
        <v>abt</v>
      </c>
      <c r="E173" s="764" t="s">
        <v>5410</v>
      </c>
      <c r="F173" s="769" t="s">
        <v>3505</v>
      </c>
      <c r="G173" s="769" t="s">
        <v>951</v>
      </c>
      <c r="H173" s="770" t="s">
        <v>3459</v>
      </c>
      <c r="I173" s="769"/>
      <c r="J173" s="771" t="s">
        <v>111</v>
      </c>
      <c r="K173" s="772" t="s">
        <v>3460</v>
      </c>
      <c r="L173" s="772"/>
      <c r="M173" s="772" t="s">
        <v>4304</v>
      </c>
      <c r="N173" s="772"/>
      <c r="O173" s="772"/>
      <c r="P173" s="772" t="s">
        <v>4437</v>
      </c>
      <c r="Q173" s="772"/>
      <c r="R173" s="765"/>
      <c r="S173" s="773" t="s">
        <v>77</v>
      </c>
      <c r="T173" s="769">
        <v>2022</v>
      </c>
      <c r="U173" s="774">
        <v>23.4</v>
      </c>
      <c r="V173" s="774">
        <v>2.2999999999999998</v>
      </c>
      <c r="W173" s="766">
        <f t="shared" si="37"/>
        <v>9.8290598290598288E-2</v>
      </c>
      <c r="X173" s="774">
        <v>0.58299999999999996</v>
      </c>
      <c r="Y173" s="774">
        <v>9</v>
      </c>
      <c r="Z173" s="765"/>
      <c r="AA173" s="772" t="s">
        <v>99</v>
      </c>
      <c r="AB173" s="774" t="s">
        <v>3473</v>
      </c>
      <c r="AC173" s="775" t="s">
        <v>78</v>
      </c>
      <c r="AD173" s="775" t="s">
        <v>78</v>
      </c>
      <c r="AE173" s="769" t="s">
        <v>79</v>
      </c>
      <c r="AF173" s="774" t="s">
        <v>3458</v>
      </c>
      <c r="AG173" s="772"/>
      <c r="AH173" s="767">
        <v>1</v>
      </c>
      <c r="AI173" s="768">
        <f t="shared" ca="1" si="34"/>
        <v>301</v>
      </c>
      <c r="AJ173" s="995">
        <f t="shared" ca="1" si="35"/>
        <v>68</v>
      </c>
      <c r="AK173" s="769" t="s">
        <v>64</v>
      </c>
      <c r="AL173" s="766" t="str">
        <f t="shared" si="36"/>
        <v>Aborted</v>
      </c>
      <c r="AM173" s="776">
        <v>45363</v>
      </c>
      <c r="AN173" s="776">
        <v>45363</v>
      </c>
      <c r="AO173" s="776" t="s">
        <v>65</v>
      </c>
      <c r="AP173" s="776">
        <v>45363</v>
      </c>
      <c r="AQ173" s="777">
        <v>45363</v>
      </c>
      <c r="AR173" s="777">
        <v>45372</v>
      </c>
      <c r="AS173" s="777">
        <v>45384</v>
      </c>
      <c r="AT173" s="777">
        <v>45393</v>
      </c>
      <c r="AU173" s="777">
        <v>45393</v>
      </c>
      <c r="AV173" s="777"/>
      <c r="AW173" s="777">
        <v>45583</v>
      </c>
      <c r="AX173" s="777"/>
      <c r="AY173" s="777">
        <v>45596</v>
      </c>
      <c r="AZ173" s="777"/>
      <c r="BA173" s="778"/>
      <c r="BB173" s="777"/>
      <c r="BC173" s="11" t="s">
        <v>7</v>
      </c>
    </row>
    <row r="174" spans="1:55" x14ac:dyDescent="0.35">
      <c r="A174" s="765"/>
      <c r="B174" s="765">
        <f>IF(D174=$A$516,1,IF(D174=$A$517,2,IF(D174=$A$518,3,IF(D174=$A$519,4,IF(D174=$A$520,5,IF(D174=$A$521,6))))))</f>
        <v>5</v>
      </c>
      <c r="D174" s="764" t="str">
        <f t="shared" si="32"/>
        <v>abt</v>
      </c>
      <c r="E174" s="20" t="s">
        <v>4720</v>
      </c>
      <c r="F174" s="769"/>
      <c r="G174" s="13" t="s">
        <v>103</v>
      </c>
      <c r="H174" s="14" t="s">
        <v>4721</v>
      </c>
      <c r="I174" s="769"/>
      <c r="J174" s="13" t="s">
        <v>377</v>
      </c>
      <c r="K174" s="15"/>
      <c r="L174" s="15" t="s">
        <v>4722</v>
      </c>
      <c r="M174" s="15"/>
      <c r="N174" s="15"/>
      <c r="O174" s="15"/>
      <c r="P174" s="15"/>
      <c r="Q174" s="772"/>
      <c r="R174" s="765"/>
      <c r="S174" s="35" t="s">
        <v>77</v>
      </c>
      <c r="T174" s="769">
        <v>2023</v>
      </c>
      <c r="U174" s="774">
        <v>10.17</v>
      </c>
      <c r="V174" s="774">
        <v>2.448</v>
      </c>
      <c r="W174" s="36">
        <f t="shared" si="37"/>
        <v>0.24070796460176991</v>
      </c>
      <c r="X174" s="774">
        <v>1.843</v>
      </c>
      <c r="Y174" s="774">
        <v>-525</v>
      </c>
      <c r="Z174" s="765"/>
      <c r="AA174" s="15" t="s">
        <v>99</v>
      </c>
      <c r="AB174" s="17" t="s">
        <v>3618</v>
      </c>
      <c r="AC174" s="21" t="s">
        <v>61</v>
      </c>
      <c r="AD174" s="21" t="s">
        <v>61</v>
      </c>
      <c r="AE174" s="13" t="s">
        <v>86</v>
      </c>
      <c r="AF174" s="774"/>
      <c r="AG174" s="15"/>
      <c r="AH174" s="767"/>
      <c r="AI174" s="42">
        <f t="shared" ca="1" si="34"/>
        <v>85</v>
      </c>
      <c r="AJ174" s="42">
        <f t="shared" ca="1" si="35"/>
        <v>71</v>
      </c>
      <c r="AK174" s="604" t="s">
        <v>87</v>
      </c>
      <c r="AL174" s="993" t="str">
        <f t="shared" si="36"/>
        <v>Aborted</v>
      </c>
      <c r="AM174" s="776">
        <v>45579</v>
      </c>
      <c r="AN174" s="776">
        <v>45579</v>
      </c>
      <c r="AO174" s="1009" t="s">
        <v>65</v>
      </c>
      <c r="AP174" s="776">
        <v>45579</v>
      </c>
      <c r="AQ174" s="1010">
        <v>45590</v>
      </c>
      <c r="AR174" s="777"/>
      <c r="AS174" s="777"/>
      <c r="AT174" s="777"/>
      <c r="AU174" s="777"/>
      <c r="AV174" s="777"/>
      <c r="AW174" s="777">
        <v>45586</v>
      </c>
      <c r="AX174" s="38"/>
      <c r="AY174" s="777">
        <v>45593</v>
      </c>
      <c r="AZ174" s="777"/>
      <c r="BA174" s="778"/>
      <c r="BB174" s="777"/>
      <c r="BC174" s="11" t="s">
        <v>7</v>
      </c>
    </row>
    <row r="175" spans="1:55" x14ac:dyDescent="0.35">
      <c r="A175" s="765"/>
      <c r="B175" s="16">
        <f>IF(D175=$A$516,1,IF(D175=$A$517,2,IF(D175=$A$518,3,IF(D175=$A$519,4,IF(D175=$A$520,5,IF(D175=$A$521,6))))))</f>
        <v>5</v>
      </c>
      <c r="D175" s="20" t="str">
        <f t="shared" si="32"/>
        <v>abt</v>
      </c>
      <c r="E175" s="20" t="s">
        <v>4606</v>
      </c>
      <c r="F175" s="13"/>
      <c r="G175" s="13"/>
      <c r="H175" s="14"/>
      <c r="I175" s="13"/>
      <c r="J175" s="13" t="s">
        <v>569</v>
      </c>
      <c r="K175" s="15" t="s">
        <v>4607</v>
      </c>
      <c r="L175" s="15"/>
      <c r="M175" s="15"/>
      <c r="N175" s="15"/>
      <c r="O175" s="15"/>
      <c r="P175" s="15"/>
      <c r="Q175" s="15"/>
      <c r="S175" s="35" t="s">
        <v>77</v>
      </c>
      <c r="T175" s="13">
        <v>2023</v>
      </c>
      <c r="U175" s="17">
        <v>6</v>
      </c>
      <c r="V175" s="17">
        <v>1.5</v>
      </c>
      <c r="W175" s="36">
        <f t="shared" si="37"/>
        <v>0.25</v>
      </c>
      <c r="X175" s="17"/>
      <c r="Y175" s="17"/>
      <c r="AA175" s="15" t="s">
        <v>99</v>
      </c>
      <c r="AB175" s="17" t="s">
        <v>4608</v>
      </c>
      <c r="AC175" s="21" t="s">
        <v>78</v>
      </c>
      <c r="AD175" s="21" t="s">
        <v>78</v>
      </c>
      <c r="AE175" s="17" t="s">
        <v>128</v>
      </c>
      <c r="AF175" s="17"/>
      <c r="AG175" s="15"/>
      <c r="AI175" s="42">
        <f t="shared" ca="1" si="34"/>
        <v>183</v>
      </c>
      <c r="AJ175" s="42">
        <f t="shared" ca="1" si="35"/>
        <v>76</v>
      </c>
      <c r="AK175" s="13" t="s">
        <v>87</v>
      </c>
      <c r="AL175" s="993" t="str">
        <f t="shared" si="36"/>
        <v>Aborted</v>
      </c>
      <c r="AM175" s="37">
        <v>45481</v>
      </c>
      <c r="AN175" s="37">
        <v>45481</v>
      </c>
      <c r="AO175" s="37" t="s">
        <v>65</v>
      </c>
      <c r="AP175" s="37">
        <v>45481</v>
      </c>
      <c r="AQ175" s="997"/>
      <c r="AR175" s="38"/>
      <c r="AS175" s="38"/>
      <c r="AT175" s="38"/>
      <c r="AU175" s="38"/>
      <c r="AV175" s="38"/>
      <c r="AW175" s="38">
        <v>45574</v>
      </c>
      <c r="AX175" s="38">
        <v>45586</v>
      </c>
      <c r="AY175" s="38">
        <v>45588</v>
      </c>
      <c r="AZ175" s="38"/>
      <c r="BA175" s="39"/>
      <c r="BB175" s="38"/>
      <c r="BC175" s="11" t="s">
        <v>7</v>
      </c>
    </row>
    <row r="176" spans="1:55" x14ac:dyDescent="0.35">
      <c r="A176" s="765"/>
      <c r="B176" s="277">
        <f>IF(D176=$A$516,1,IF(D176=$A$517,2,IF(D176=$A$518,3,IF(D176=$A$519,4,IF(D176=$A$520,5,IF(D176=$A$521,6))))))</f>
        <v>5</v>
      </c>
      <c r="D176" s="711" t="str">
        <f t="shared" si="32"/>
        <v>abt</v>
      </c>
      <c r="E176" s="278" t="s">
        <v>2923</v>
      </c>
      <c r="F176" s="280"/>
      <c r="G176" s="280" t="s">
        <v>2924</v>
      </c>
      <c r="H176" s="281"/>
      <c r="I176" s="280"/>
      <c r="J176" s="13" t="s">
        <v>111</v>
      </c>
      <c r="K176" s="282" t="s">
        <v>2925</v>
      </c>
      <c r="L176" s="282" t="s">
        <v>483</v>
      </c>
      <c r="M176" s="282"/>
      <c r="N176" s="282"/>
      <c r="O176" s="282"/>
      <c r="P176" s="282"/>
      <c r="Q176" s="282"/>
      <c r="R176" s="277"/>
      <c r="S176" s="283" t="s">
        <v>144</v>
      </c>
      <c r="T176" s="280">
        <v>2022</v>
      </c>
      <c r="U176" s="284">
        <v>1045</v>
      </c>
      <c r="V176" s="284">
        <v>46.670999999999999</v>
      </c>
      <c r="W176" s="36">
        <f t="shared" si="37"/>
        <v>4.4661244019138756E-2</v>
      </c>
      <c r="X176" s="284"/>
      <c r="Y176" s="284">
        <v>-230</v>
      </c>
      <c r="Z176" s="277"/>
      <c r="AA176" s="282" t="s">
        <v>60</v>
      </c>
      <c r="AB176" s="284"/>
      <c r="AC176" s="285" t="s">
        <v>78</v>
      </c>
      <c r="AD176" s="285" t="s">
        <v>78</v>
      </c>
      <c r="AE176" s="280" t="s">
        <v>86</v>
      </c>
      <c r="AF176" s="432" t="s">
        <v>62</v>
      </c>
      <c r="AG176" s="433" t="s">
        <v>3326</v>
      </c>
      <c r="AH176" s="277"/>
      <c r="AI176" s="42">
        <f t="shared" ca="1" si="34"/>
        <v>347</v>
      </c>
      <c r="AJ176" s="42">
        <f t="shared" ca="1" si="35"/>
        <v>83</v>
      </c>
      <c r="AK176" s="280" t="s">
        <v>64</v>
      </c>
      <c r="AL176" s="766" t="str">
        <f t="shared" si="36"/>
        <v>Aborted</v>
      </c>
      <c r="AM176" s="289">
        <v>45317</v>
      </c>
      <c r="AN176" s="289">
        <v>45317</v>
      </c>
      <c r="AO176" s="289" t="s">
        <v>65</v>
      </c>
      <c r="AP176" s="289">
        <v>45317</v>
      </c>
      <c r="AQ176" s="38">
        <v>45317</v>
      </c>
      <c r="AR176" s="38" t="s">
        <v>65</v>
      </c>
      <c r="AS176" s="38">
        <v>45336</v>
      </c>
      <c r="AT176" s="38">
        <v>45342</v>
      </c>
      <c r="AU176" s="38">
        <v>45434</v>
      </c>
      <c r="AV176" s="38"/>
      <c r="AW176" s="290">
        <v>45555</v>
      </c>
      <c r="AX176" s="290"/>
      <c r="AY176" s="290">
        <v>45581</v>
      </c>
      <c r="AZ176" s="290"/>
      <c r="BA176" s="291"/>
      <c r="BB176" s="290"/>
      <c r="BC176" s="11" t="s">
        <v>7</v>
      </c>
    </row>
    <row r="177" spans="1:55" x14ac:dyDescent="0.35">
      <c r="A177" s="765"/>
      <c r="B177" s="651">
        <f>IF(D177=$A$516,1,IF(D177=$A$517,2,IF(D177=$A$518,3,IF(D177=$A$519,4,IF(D177=$A$520,5,IF(D177=$A$521,6))))))</f>
        <v>5</v>
      </c>
      <c r="C177" s="651"/>
      <c r="D177" s="711" t="str">
        <f t="shared" si="32"/>
        <v>abt</v>
      </c>
      <c r="E177" s="650" t="s">
        <v>4052</v>
      </c>
      <c r="F177" s="652"/>
      <c r="G177" s="769" t="s">
        <v>130</v>
      </c>
      <c r="H177" s="770" t="s">
        <v>4316</v>
      </c>
      <c r="I177" s="652"/>
      <c r="J177" s="652" t="s">
        <v>1930</v>
      </c>
      <c r="K177" s="649" t="s">
        <v>4051</v>
      </c>
      <c r="L177" s="649"/>
      <c r="M177" s="649" t="s">
        <v>4053</v>
      </c>
      <c r="N177" s="649"/>
      <c r="O177" s="649" t="s">
        <v>4053</v>
      </c>
      <c r="P177" s="649" t="s">
        <v>4053</v>
      </c>
      <c r="Q177" s="649"/>
      <c r="R177" s="651"/>
      <c r="S177" s="773" t="s">
        <v>77</v>
      </c>
      <c r="T177" s="652">
        <v>2022</v>
      </c>
      <c r="U177" s="654">
        <v>7.72</v>
      </c>
      <c r="V177" s="654">
        <v>0.62</v>
      </c>
      <c r="W177" s="655">
        <f t="shared" si="37"/>
        <v>8.0310880829015552E-2</v>
      </c>
      <c r="X177" s="654">
        <v>0.25700000000000001</v>
      </c>
      <c r="Y177" s="654">
        <v>-0.46700000000000003</v>
      </c>
      <c r="Z177" s="651"/>
      <c r="AA177" s="649" t="s">
        <v>99</v>
      </c>
      <c r="AB177" s="654" t="s">
        <v>4050</v>
      </c>
      <c r="AC177" s="656" t="s">
        <v>61</v>
      </c>
      <c r="AD177" s="656" t="s">
        <v>61</v>
      </c>
      <c r="AE177" s="652" t="s">
        <v>79</v>
      </c>
      <c r="AF177" s="654"/>
      <c r="AG177" s="649"/>
      <c r="AH177" s="677">
        <v>1</v>
      </c>
      <c r="AI177" s="657">
        <f t="shared" ca="1" si="34"/>
        <v>215</v>
      </c>
      <c r="AJ177" s="657">
        <f t="shared" ca="1" si="35"/>
        <v>84</v>
      </c>
      <c r="AK177" s="652" t="s">
        <v>87</v>
      </c>
      <c r="AL177" s="686" t="str">
        <f t="shared" si="36"/>
        <v>Aborted</v>
      </c>
      <c r="AM177" s="658">
        <v>45449</v>
      </c>
      <c r="AN177" s="658">
        <v>45449</v>
      </c>
      <c r="AO177" s="658" t="s">
        <v>65</v>
      </c>
      <c r="AP177" s="658">
        <v>45449</v>
      </c>
      <c r="AQ177" s="659">
        <v>45580</v>
      </c>
      <c r="AR177" s="659"/>
      <c r="AS177" s="659"/>
      <c r="AT177" s="659"/>
      <c r="AU177" s="659"/>
      <c r="AV177" s="659"/>
      <c r="AW177" s="659">
        <v>45439</v>
      </c>
      <c r="AX177" s="659">
        <v>45580</v>
      </c>
      <c r="AY177" s="659">
        <v>45580</v>
      </c>
      <c r="AZ177" s="659"/>
      <c r="BA177" s="660"/>
      <c r="BB177" s="659"/>
      <c r="BC177" s="11" t="s">
        <v>7</v>
      </c>
    </row>
    <row r="178" spans="1:55" x14ac:dyDescent="0.35">
      <c r="A178" s="765"/>
      <c r="B178" s="16">
        <f>IF(D178=$A$516,1,IF(D178=$A$517,2,IF(D178=$A$518,3,IF(D178=$A$519,4,IF(D178=$A$520,5,IF(D178=$A$521,6))))))</f>
        <v>5</v>
      </c>
      <c r="D178" s="20" t="str">
        <f t="shared" si="32"/>
        <v>abt</v>
      </c>
      <c r="E178" s="12" t="s">
        <v>356</v>
      </c>
      <c r="F178" s="13"/>
      <c r="G178" s="13" t="s">
        <v>103</v>
      </c>
      <c r="H178" s="14" t="s">
        <v>357</v>
      </c>
      <c r="I178" s="13"/>
      <c r="J178" s="13" t="s">
        <v>111</v>
      </c>
      <c r="K178" s="15" t="s">
        <v>358</v>
      </c>
      <c r="L178" s="15" t="s">
        <v>359</v>
      </c>
      <c r="M178" s="15" t="s">
        <v>4128</v>
      </c>
      <c r="N178" s="15" t="s">
        <v>4129</v>
      </c>
      <c r="O178" s="15" t="s">
        <v>4129</v>
      </c>
      <c r="P178" s="15" t="s">
        <v>4130</v>
      </c>
      <c r="Q178" s="15" t="s">
        <v>4131</v>
      </c>
      <c r="S178" s="17" t="s">
        <v>77</v>
      </c>
      <c r="T178" s="13">
        <v>2022</v>
      </c>
      <c r="U178" s="17">
        <v>29</v>
      </c>
      <c r="V178" s="17">
        <v>5.6180000000000003</v>
      </c>
      <c r="W178" s="36">
        <f t="shared" si="37"/>
        <v>0.19372413793103449</v>
      </c>
      <c r="X178" s="17">
        <v>5.2450000000000001</v>
      </c>
      <c r="Y178" s="17">
        <v>-7.4219999999999997</v>
      </c>
      <c r="AA178" s="15" t="s">
        <v>140</v>
      </c>
      <c r="AB178" s="15"/>
      <c r="AC178" s="21"/>
      <c r="AD178" s="21" t="s">
        <v>78</v>
      </c>
      <c r="AE178" s="13" t="s">
        <v>62</v>
      </c>
      <c r="AF178" s="17"/>
      <c r="AG178" s="15" t="s">
        <v>318</v>
      </c>
      <c r="AI178" s="42">
        <f t="shared" ca="1" si="34"/>
        <v>495</v>
      </c>
      <c r="AJ178" s="42">
        <f t="shared" ca="1" si="35"/>
        <v>183</v>
      </c>
      <c r="AK178" s="13"/>
      <c r="AL178" s="36" t="str">
        <f t="shared" si="36"/>
        <v>Aborted</v>
      </c>
      <c r="AM178" s="37">
        <v>45169</v>
      </c>
      <c r="AN178" s="37">
        <v>45170</v>
      </c>
      <c r="AO178" s="37" t="s">
        <v>65</v>
      </c>
      <c r="AP178" s="37">
        <v>45170</v>
      </c>
      <c r="AQ178" s="38">
        <v>45174</v>
      </c>
      <c r="AR178" s="38"/>
      <c r="AS178" s="38"/>
      <c r="AT178" s="38"/>
      <c r="AU178" s="38"/>
      <c r="AV178" s="38"/>
      <c r="AW178" s="38">
        <v>45188</v>
      </c>
      <c r="AX178" s="38">
        <v>45209</v>
      </c>
      <c r="AY178" s="38">
        <v>45481</v>
      </c>
      <c r="AZ178" s="38"/>
      <c r="BA178" s="39">
        <f>+IF(AY178="","",COUNTA(AN178:AV178)/(COUNTA(AN178:AV178)+COUNTBLANK(AN178:AV178)))</f>
        <v>0.44444444444444442</v>
      </c>
      <c r="BB178" s="38"/>
      <c r="BC178" s="11" t="s">
        <v>7</v>
      </c>
    </row>
    <row r="179" spans="1:55" x14ac:dyDescent="0.35">
      <c r="A179" s="765"/>
      <c r="B179" s="16">
        <f>IF(D179=$A$516,1,IF(D179=$A$517,2,IF(D179=$A$518,3,IF(D179=$A$519,4,IF(D179=$A$520,5,IF(D179=$A$521,6))))))</f>
        <v>5</v>
      </c>
      <c r="D179" s="20" t="str">
        <f t="shared" si="32"/>
        <v>abt</v>
      </c>
      <c r="E179" s="12" t="s">
        <v>381</v>
      </c>
      <c r="F179" s="13"/>
      <c r="G179" s="13" t="s">
        <v>137</v>
      </c>
      <c r="H179" s="14" t="s">
        <v>382</v>
      </c>
      <c r="I179" s="13"/>
      <c r="J179" s="13" t="s">
        <v>111</v>
      </c>
      <c r="K179" s="15" t="s">
        <v>383</v>
      </c>
      <c r="L179" s="15" t="s">
        <v>384</v>
      </c>
      <c r="M179" s="15" t="s">
        <v>4132</v>
      </c>
      <c r="N179" s="15" t="s">
        <v>384</v>
      </c>
      <c r="O179" s="15"/>
      <c r="P179" s="15" t="s">
        <v>4132</v>
      </c>
      <c r="Q179" s="15" t="s">
        <v>4133</v>
      </c>
      <c r="S179" s="17" t="s">
        <v>77</v>
      </c>
      <c r="T179" s="13">
        <v>2022</v>
      </c>
      <c r="U179" s="17">
        <v>6.6369999999999996</v>
      </c>
      <c r="V179" s="17">
        <v>2.4790000000000001</v>
      </c>
      <c r="W179" s="36">
        <f t="shared" si="37"/>
        <v>0.37351212897393404</v>
      </c>
      <c r="X179" s="17">
        <v>1.714</v>
      </c>
      <c r="Y179" s="17">
        <v>-5.1550000000000002</v>
      </c>
      <c r="AA179" s="15" t="s">
        <v>140</v>
      </c>
      <c r="AB179" s="15"/>
      <c r="AC179" s="21"/>
      <c r="AD179" s="21" t="s">
        <v>78</v>
      </c>
      <c r="AE179" s="13"/>
      <c r="AF179" s="17"/>
      <c r="AG179" s="15" t="s">
        <v>318</v>
      </c>
      <c r="AI179" s="42">
        <f t="shared" ca="1" si="34"/>
        <v>495</v>
      </c>
      <c r="AJ179" s="42">
        <f t="shared" ca="1" si="35"/>
        <v>183</v>
      </c>
      <c r="AK179" s="13"/>
      <c r="AL179" s="36" t="str">
        <f t="shared" si="36"/>
        <v>Aborted</v>
      </c>
      <c r="AM179" s="37">
        <v>45169</v>
      </c>
      <c r="AN179" s="37">
        <v>45170</v>
      </c>
      <c r="AO179" s="37" t="s">
        <v>65</v>
      </c>
      <c r="AP179" s="37">
        <v>45170</v>
      </c>
      <c r="AQ179" s="38">
        <v>45174</v>
      </c>
      <c r="AR179" s="38"/>
      <c r="AS179" s="38"/>
      <c r="AT179" s="38"/>
      <c r="AU179" s="38"/>
      <c r="AV179" s="38"/>
      <c r="AW179" s="38">
        <v>45174</v>
      </c>
      <c r="AX179" s="38">
        <v>45209</v>
      </c>
      <c r="AY179" s="38">
        <v>45481</v>
      </c>
      <c r="AZ179" s="38"/>
      <c r="BA179" s="39">
        <f>+IF(AY179="","",COUNTA(AN179:AV179)/(COUNTA(AN179:AV179)+COUNTBLANK(AN179:AV179)))</f>
        <v>0.44444444444444442</v>
      </c>
      <c r="BB179" s="38"/>
      <c r="BC179" s="11" t="s">
        <v>7</v>
      </c>
    </row>
    <row r="180" spans="1:55" x14ac:dyDescent="0.35">
      <c r="A180" s="765"/>
      <c r="B180" s="836">
        <f>IF(D180=$A$516,1,IF(D180=$A$517,2,IF(D180=$A$518,3,IF(D180=$A$519,4,IF(D180=$A$520,5,IF(D180=$A$521,6))))))</f>
        <v>5</v>
      </c>
      <c r="C180" s="836"/>
      <c r="D180" s="852" t="str">
        <f t="shared" si="32"/>
        <v>abt</v>
      </c>
      <c r="E180" s="852" t="s">
        <v>4422</v>
      </c>
      <c r="F180" s="839"/>
      <c r="G180" s="839" t="s">
        <v>103</v>
      </c>
      <c r="H180" s="840"/>
      <c r="I180" s="839"/>
      <c r="J180" s="856" t="s">
        <v>4051</v>
      </c>
      <c r="K180" s="834" t="s">
        <v>4421</v>
      </c>
      <c r="L180" s="834"/>
      <c r="M180" s="834"/>
      <c r="N180" s="834"/>
      <c r="O180" s="834"/>
      <c r="P180" s="834"/>
      <c r="Q180" s="834"/>
      <c r="R180" s="836"/>
      <c r="S180" s="841"/>
      <c r="T180" s="839"/>
      <c r="U180" s="842"/>
      <c r="V180" s="842"/>
      <c r="W180" s="857"/>
      <c r="X180" s="842"/>
      <c r="Y180" s="842"/>
      <c r="Z180" s="836"/>
      <c r="AA180" s="834" t="s">
        <v>140</v>
      </c>
      <c r="AB180" s="842"/>
      <c r="AC180" s="844" t="s">
        <v>61</v>
      </c>
      <c r="AD180" s="844" t="s">
        <v>61</v>
      </c>
      <c r="AE180" s="839" t="s">
        <v>79</v>
      </c>
      <c r="AF180" s="842"/>
      <c r="AG180" s="858"/>
      <c r="AH180" s="873">
        <v>1</v>
      </c>
      <c r="AI180" s="845">
        <f t="shared" ca="1" si="34"/>
        <v>113</v>
      </c>
      <c r="AJ180" s="995">
        <f t="shared" ca="1" si="35"/>
        <v>84</v>
      </c>
      <c r="AK180" s="839" t="s">
        <v>87</v>
      </c>
      <c r="AL180" s="857" t="str">
        <f t="shared" si="36"/>
        <v>Aborted</v>
      </c>
      <c r="AM180" s="847">
        <v>45551</v>
      </c>
      <c r="AN180" s="847" t="s">
        <v>65</v>
      </c>
      <c r="AO180" s="847">
        <v>45551</v>
      </c>
      <c r="AP180" s="847">
        <v>45551</v>
      </c>
      <c r="AQ180" s="848">
        <v>45551</v>
      </c>
      <c r="AR180" s="848">
        <v>45555</v>
      </c>
      <c r="AS180" s="848">
        <v>45565</v>
      </c>
      <c r="AT180" s="848"/>
      <c r="AU180" s="848"/>
      <c r="AV180" s="848"/>
      <c r="AW180" s="848">
        <v>45565</v>
      </c>
      <c r="AX180" s="848">
        <v>45580</v>
      </c>
      <c r="AY180" s="848">
        <v>45580</v>
      </c>
      <c r="AZ180" s="848"/>
      <c r="BA180" s="854"/>
      <c r="BB180" s="848"/>
      <c r="BC180" s="11" t="s">
        <v>7</v>
      </c>
    </row>
    <row r="181" spans="1:55" x14ac:dyDescent="0.35">
      <c r="A181" s="765"/>
      <c r="B181" s="765">
        <f>IF(D181=$A$516,1,IF(D181=$A$517,2,IF(D181=$A$518,3,IF(D181=$A$519,4,IF(D181=$A$520,5,IF(D181=$A$521,6))))))</f>
        <v>5</v>
      </c>
      <c r="C181" s="765"/>
      <c r="D181" s="764" t="str">
        <f t="shared" si="32"/>
        <v>abt</v>
      </c>
      <c r="E181" s="20" t="s">
        <v>4335</v>
      </c>
      <c r="F181" s="769"/>
      <c r="G181" s="13" t="s">
        <v>159</v>
      </c>
      <c r="H181" s="770"/>
      <c r="I181" s="769"/>
      <c r="J181" s="13" t="s">
        <v>57</v>
      </c>
      <c r="K181" s="15" t="s">
        <v>4338</v>
      </c>
      <c r="L181" s="772"/>
      <c r="M181" s="772"/>
      <c r="N181" s="772"/>
      <c r="O181" s="772"/>
      <c r="P181" s="772"/>
      <c r="Q181" s="772"/>
      <c r="R181" s="765"/>
      <c r="S181" s="773" t="s">
        <v>77</v>
      </c>
      <c r="T181" s="769">
        <v>2023</v>
      </c>
      <c r="U181" s="774">
        <v>0.47</v>
      </c>
      <c r="V181" s="774">
        <v>0.125</v>
      </c>
      <c r="W181" s="36">
        <f>+V181/U181</f>
        <v>0.26595744680851063</v>
      </c>
      <c r="X181" s="774">
        <v>7.0999999999999994E-2</v>
      </c>
      <c r="Y181" s="774">
        <v>-0.29499999999999998</v>
      </c>
      <c r="Z181" s="765"/>
      <c r="AA181" s="772" t="s">
        <v>99</v>
      </c>
      <c r="AB181" s="17" t="s">
        <v>187</v>
      </c>
      <c r="AC181" s="21" t="s">
        <v>61</v>
      </c>
      <c r="AD181" s="21" t="s">
        <v>61</v>
      </c>
      <c r="AE181" s="17" t="s">
        <v>128</v>
      </c>
      <c r="AF181" s="13"/>
      <c r="AG181" s="772"/>
      <c r="AH181" s="767"/>
      <c r="AI181" s="768">
        <f t="shared" ca="1" si="34"/>
        <v>180</v>
      </c>
      <c r="AJ181" s="995">
        <f t="shared" ca="1" si="35"/>
        <v>84</v>
      </c>
      <c r="AK181" s="769" t="s">
        <v>87</v>
      </c>
      <c r="AL181" s="766" t="str">
        <f t="shared" si="36"/>
        <v>Aborted</v>
      </c>
      <c r="AM181" s="776">
        <v>45484</v>
      </c>
      <c r="AN181" s="776">
        <v>45484</v>
      </c>
      <c r="AO181" s="776" t="s">
        <v>65</v>
      </c>
      <c r="AP181" s="776">
        <v>45484</v>
      </c>
      <c r="AQ181" s="777">
        <v>45497</v>
      </c>
      <c r="AR181" s="777">
        <v>45545</v>
      </c>
      <c r="AS181" s="777"/>
      <c r="AT181" s="777"/>
      <c r="AU181" s="777"/>
      <c r="AV181" s="777"/>
      <c r="AW181" s="777">
        <v>45572</v>
      </c>
      <c r="AX181" s="777">
        <v>45579</v>
      </c>
      <c r="AY181" s="777">
        <v>45580</v>
      </c>
      <c r="AZ181" s="777"/>
      <c r="BA181" s="778"/>
      <c r="BB181" s="777"/>
      <c r="BC181" s="11" t="s">
        <v>7</v>
      </c>
    </row>
    <row r="182" spans="1:55" x14ac:dyDescent="0.35">
      <c r="A182" s="765"/>
      <c r="B182" s="765">
        <f>IF(D182=$A$516,1,IF(D182=$A$517,2,IF(D182=$A$518,3,IF(D182=$A$519,4,IF(D182=$A$520,5,IF(D182=$A$521,6))))))</f>
        <v>5</v>
      </c>
      <c r="C182" s="765"/>
      <c r="D182" s="764" t="str">
        <f t="shared" si="32"/>
        <v>abt</v>
      </c>
      <c r="E182" s="764" t="s">
        <v>4331</v>
      </c>
      <c r="F182" s="769"/>
      <c r="G182" s="769"/>
      <c r="H182" s="770"/>
      <c r="I182" s="769"/>
      <c r="J182" s="769" t="s">
        <v>4332</v>
      </c>
      <c r="K182" s="772" t="s">
        <v>4333</v>
      </c>
      <c r="L182" s="772"/>
      <c r="M182" s="772"/>
      <c r="N182" s="772"/>
      <c r="O182" s="772"/>
      <c r="P182" s="772"/>
      <c r="Q182" s="772"/>
      <c r="R182" s="765"/>
      <c r="S182" s="773"/>
      <c r="T182" s="769"/>
      <c r="U182" s="774"/>
      <c r="V182" s="774"/>
      <c r="W182" s="766"/>
      <c r="X182" s="774"/>
      <c r="Y182" s="774"/>
      <c r="Z182" s="765"/>
      <c r="AA182" s="772"/>
      <c r="AB182" s="774"/>
      <c r="AC182" s="775" t="s">
        <v>61</v>
      </c>
      <c r="AD182" s="775" t="s">
        <v>61</v>
      </c>
      <c r="AE182" s="769" t="s">
        <v>79</v>
      </c>
      <c r="AF182" s="17" t="s">
        <v>128</v>
      </c>
      <c r="AG182" s="772"/>
      <c r="AH182" s="767"/>
      <c r="AI182" s="42">
        <f t="shared" ca="1" si="34"/>
        <v>181</v>
      </c>
      <c r="AJ182" s="42">
        <f t="shared" ca="1" si="35"/>
        <v>87</v>
      </c>
      <c r="AK182" s="769" t="s">
        <v>87</v>
      </c>
      <c r="AL182" s="993" t="str">
        <f t="shared" si="36"/>
        <v>Aborted</v>
      </c>
      <c r="AM182" s="776">
        <v>45483</v>
      </c>
      <c r="AN182" s="776">
        <v>45483</v>
      </c>
      <c r="AO182" s="776" t="s">
        <v>65</v>
      </c>
      <c r="AP182" s="776">
        <v>45483</v>
      </c>
      <c r="AQ182" s="777">
        <v>45483</v>
      </c>
      <c r="AR182" s="777">
        <v>45537</v>
      </c>
      <c r="AS182" s="777">
        <v>45539</v>
      </c>
      <c r="AT182" s="777"/>
      <c r="AU182" s="777"/>
      <c r="AV182" s="777"/>
      <c r="AW182" s="777">
        <v>45539</v>
      </c>
      <c r="AX182" s="777">
        <v>45573</v>
      </c>
      <c r="AY182" s="777">
        <v>45577</v>
      </c>
      <c r="AZ182" s="777"/>
      <c r="BA182" s="778"/>
      <c r="BB182" s="777"/>
      <c r="BC182" s="11" t="s">
        <v>7</v>
      </c>
    </row>
    <row r="183" spans="1:55" x14ac:dyDescent="0.35">
      <c r="A183" s="765"/>
      <c r="B183" s="601">
        <f>IF(D183=$A$516,1,IF(D183=$A$517,2,IF(D183=$A$518,3,IF(D183=$A$519,4,IF(D183=$A$520,5,IF(D183=$A$521,6))))))</f>
        <v>5</v>
      </c>
      <c r="C183" s="601"/>
      <c r="D183" s="711" t="str">
        <f t="shared" si="32"/>
        <v>abt</v>
      </c>
      <c r="E183" s="764" t="s">
        <v>4302</v>
      </c>
      <c r="F183" s="604"/>
      <c r="G183" s="13" t="s">
        <v>103</v>
      </c>
      <c r="H183" s="14" t="s">
        <v>3918</v>
      </c>
      <c r="I183" s="604"/>
      <c r="J183" s="604" t="s">
        <v>83</v>
      </c>
      <c r="K183" s="607" t="s">
        <v>3813</v>
      </c>
      <c r="L183" s="607"/>
      <c r="M183" s="607"/>
      <c r="N183" s="607"/>
      <c r="O183" s="607"/>
      <c r="P183" s="607"/>
      <c r="Q183" s="607"/>
      <c r="R183" s="601"/>
      <c r="S183" s="608" t="s">
        <v>77</v>
      </c>
      <c r="T183" s="604">
        <v>2022</v>
      </c>
      <c r="U183" s="609">
        <v>137</v>
      </c>
      <c r="V183" s="609">
        <v>6.7530000000000001</v>
      </c>
      <c r="W183" s="36">
        <f>+V183/U183</f>
        <v>4.9291970802919707E-2</v>
      </c>
      <c r="X183" s="609">
        <v>4.5</v>
      </c>
      <c r="Y183" s="609">
        <v>17.809000000000001</v>
      </c>
      <c r="Z183" s="601"/>
      <c r="AA183" s="631" t="s">
        <v>99</v>
      </c>
      <c r="AB183" s="17" t="s">
        <v>3917</v>
      </c>
      <c r="AC183" s="611" t="s">
        <v>3598</v>
      </c>
      <c r="AD183" s="611" t="s">
        <v>3598</v>
      </c>
      <c r="AE183" s="17" t="s">
        <v>128</v>
      </c>
      <c r="AF183" s="17"/>
      <c r="AG183" s="607"/>
      <c r="AH183" s="601"/>
      <c r="AI183" s="612">
        <f t="shared" ca="1" si="34"/>
        <v>231</v>
      </c>
      <c r="AJ183" s="42">
        <f t="shared" ca="1" si="35"/>
        <v>84</v>
      </c>
      <c r="AK183" s="604" t="s">
        <v>64</v>
      </c>
      <c r="AL183" s="36" t="str">
        <f t="shared" si="36"/>
        <v>Aborted</v>
      </c>
      <c r="AM183" s="614">
        <v>45433</v>
      </c>
      <c r="AN183" s="614">
        <v>45433</v>
      </c>
      <c r="AO183" s="614">
        <v>45433</v>
      </c>
      <c r="AP183" s="614">
        <v>45433</v>
      </c>
      <c r="AQ183" s="615">
        <v>45483</v>
      </c>
      <c r="AR183" s="615"/>
      <c r="AS183" s="615"/>
      <c r="AT183" s="615"/>
      <c r="AU183" s="615"/>
      <c r="AV183" s="615"/>
      <c r="AW183" s="615">
        <v>45533</v>
      </c>
      <c r="AX183" s="615">
        <v>45552</v>
      </c>
      <c r="AY183" s="615">
        <v>45580</v>
      </c>
      <c r="AZ183" s="615"/>
      <c r="BA183" s="629"/>
      <c r="BB183" s="615"/>
      <c r="BC183" s="11" t="s">
        <v>7</v>
      </c>
    </row>
    <row r="184" spans="1:55" x14ac:dyDescent="0.35">
      <c r="A184" s="765"/>
      <c r="B184" s="16">
        <f>IF(D184=$A$516,1,IF(D184=$A$517,2,IF(D184=$A$518,3,IF(D184=$A$519,4,IF(D184=$A$520,5,IF(D184=$A$521,6))))))</f>
        <v>5</v>
      </c>
      <c r="D184" s="711" t="str">
        <f t="shared" si="32"/>
        <v>abt</v>
      </c>
      <c r="E184" s="12" t="s">
        <v>4268</v>
      </c>
      <c r="F184" s="13"/>
      <c r="G184" s="13" t="s">
        <v>103</v>
      </c>
      <c r="H184" s="13">
        <v>10070450969</v>
      </c>
      <c r="I184" s="13"/>
      <c r="J184" s="268" t="s">
        <v>1817</v>
      </c>
      <c r="K184" s="15" t="s">
        <v>4269</v>
      </c>
      <c r="L184" s="15" t="s">
        <v>4270</v>
      </c>
      <c r="M184" s="15"/>
      <c r="N184" s="15"/>
      <c r="O184" s="15"/>
      <c r="P184" s="15"/>
      <c r="Q184" s="15"/>
      <c r="S184" s="35" t="s">
        <v>77</v>
      </c>
      <c r="T184" s="13">
        <v>2023</v>
      </c>
      <c r="U184" s="17">
        <v>39.777999999999999</v>
      </c>
      <c r="V184" s="17">
        <v>2.448</v>
      </c>
      <c r="W184" s="686">
        <f>+V184/U184</f>
        <v>6.1541555633767411E-2</v>
      </c>
      <c r="X184" s="17">
        <v>1.4019999999999999</v>
      </c>
      <c r="Y184" s="17">
        <v>4.601</v>
      </c>
      <c r="AA184" s="15" t="s">
        <v>60</v>
      </c>
      <c r="AB184" s="17"/>
      <c r="AC184" s="21" t="s">
        <v>86</v>
      </c>
      <c r="AD184" s="21" t="s">
        <v>3598</v>
      </c>
      <c r="AE184" s="13" t="s">
        <v>86</v>
      </c>
      <c r="AF184" s="17"/>
      <c r="AG184" s="15"/>
      <c r="AH184" s="677"/>
      <c r="AI184" s="42">
        <f t="shared" ca="1" si="34"/>
        <v>194</v>
      </c>
      <c r="AJ184" s="42">
        <f t="shared" ca="1" si="35"/>
        <v>0</v>
      </c>
      <c r="AK184" s="13" t="s">
        <v>64</v>
      </c>
      <c r="AL184" s="36" t="str">
        <f t="shared" si="36"/>
        <v>Aborted</v>
      </c>
      <c r="AM184" s="37">
        <v>45470</v>
      </c>
      <c r="AN184" s="37">
        <v>45470</v>
      </c>
      <c r="AO184" s="37">
        <v>45470</v>
      </c>
      <c r="AP184" s="37">
        <v>45470</v>
      </c>
      <c r="AQ184" s="37">
        <v>45470</v>
      </c>
      <c r="AR184" s="38" t="s">
        <v>65</v>
      </c>
      <c r="AS184" s="38" t="s">
        <v>65</v>
      </c>
      <c r="AT184" s="38">
        <v>45471</v>
      </c>
      <c r="AU184" s="38" t="s">
        <v>65</v>
      </c>
      <c r="AV184" s="38">
        <v>45484</v>
      </c>
      <c r="AW184" s="38">
        <f ca="1">TODAY()</f>
        <v>45664</v>
      </c>
      <c r="AX184" s="38"/>
      <c r="AY184" s="38">
        <v>45572</v>
      </c>
      <c r="AZ184" s="38"/>
      <c r="BA184" s="39"/>
      <c r="BB184" s="38"/>
      <c r="BC184" s="11" t="s">
        <v>7</v>
      </c>
    </row>
    <row r="185" spans="1:55" x14ac:dyDescent="0.35">
      <c r="A185" s="765"/>
      <c r="B185" s="16">
        <f>IF(D185=$A$516,1,IF(D185=$A$517,2,IF(D185=$A$518,3,IF(D185=$A$519,4,IF(D185=$A$520,5,IF(D185=$A$521,6))))))</f>
        <v>5</v>
      </c>
      <c r="D185" s="20" t="str">
        <f t="shared" si="32"/>
        <v>abt</v>
      </c>
      <c r="E185" s="20" t="s">
        <v>4612</v>
      </c>
      <c r="F185" s="13"/>
      <c r="G185" s="13" t="s">
        <v>308</v>
      </c>
      <c r="H185" s="14"/>
      <c r="I185" s="14"/>
      <c r="J185" s="13" t="s">
        <v>1589</v>
      </c>
      <c r="K185" s="15" t="s">
        <v>4561</v>
      </c>
      <c r="L185" s="15"/>
      <c r="M185" s="15" t="s">
        <v>4563</v>
      </c>
      <c r="N185" s="15"/>
      <c r="O185" s="282"/>
      <c r="P185" s="15"/>
      <c r="Q185" s="282"/>
      <c r="R185" s="277"/>
      <c r="S185" s="35" t="s">
        <v>77</v>
      </c>
      <c r="T185" s="280">
        <v>2023</v>
      </c>
      <c r="U185" s="17">
        <v>13.5</v>
      </c>
      <c r="V185" s="284">
        <v>2.25</v>
      </c>
      <c r="W185" s="36">
        <f>+V185/U185</f>
        <v>0.16666666666666666</v>
      </c>
      <c r="X185" s="17">
        <v>1.4</v>
      </c>
      <c r="Y185" s="284">
        <v>-1.8</v>
      </c>
      <c r="Z185" s="277"/>
      <c r="AA185" s="796" t="s">
        <v>99</v>
      </c>
      <c r="AB185" s="15" t="s">
        <v>4562</v>
      </c>
      <c r="AC185" s="21" t="s">
        <v>78</v>
      </c>
      <c r="AD185" s="21" t="s">
        <v>78</v>
      </c>
      <c r="AE185" s="13" t="s">
        <v>4423</v>
      </c>
      <c r="AF185" s="284"/>
      <c r="AG185" s="282"/>
      <c r="AH185" s="277"/>
      <c r="AI185" s="42">
        <f t="shared" ca="1" si="34"/>
        <v>111</v>
      </c>
      <c r="AJ185" s="42">
        <f t="shared" ca="1" si="35"/>
        <v>97</v>
      </c>
      <c r="AK185" s="604" t="s">
        <v>64</v>
      </c>
      <c r="AL185" s="993" t="str">
        <f t="shared" si="36"/>
        <v>Aborted</v>
      </c>
      <c r="AM185" s="802">
        <v>45553</v>
      </c>
      <c r="AN185" s="802">
        <v>45560</v>
      </c>
      <c r="AO185" s="802" t="s">
        <v>65</v>
      </c>
      <c r="AP185" s="802">
        <v>45560</v>
      </c>
      <c r="AQ185" s="38"/>
      <c r="AR185" s="38"/>
      <c r="AS185" s="38"/>
      <c r="AT185" s="38"/>
      <c r="AU185" s="38"/>
      <c r="AV185" s="38"/>
      <c r="AW185" s="38">
        <v>45560</v>
      </c>
      <c r="AX185" s="290"/>
      <c r="AY185" s="37">
        <v>45567</v>
      </c>
      <c r="AZ185" s="290"/>
      <c r="BA185" s="291"/>
      <c r="BB185" s="290"/>
      <c r="BC185" s="11" t="s">
        <v>7</v>
      </c>
    </row>
    <row r="186" spans="1:55" x14ac:dyDescent="0.35">
      <c r="A186" s="765"/>
      <c r="B186" s="986">
        <f>IF(D186=$A$516,1,IF(D186=$A$517,2,IF(D186=$A$518,3,IF(D186=$A$519,4,IF(D186=$A$520,5,IF(D186=$A$521,6))))))</f>
        <v>5</v>
      </c>
      <c r="D186" s="987" t="str">
        <f t="shared" si="32"/>
        <v>abt</v>
      </c>
      <c r="E186" s="987" t="s">
        <v>4582</v>
      </c>
      <c r="F186" s="988"/>
      <c r="G186" s="988"/>
      <c r="H186" s="989"/>
      <c r="I186" s="988"/>
      <c r="J186" s="988" t="s">
        <v>111</v>
      </c>
      <c r="K186" s="990" t="s">
        <v>4583</v>
      </c>
      <c r="L186" s="990"/>
      <c r="M186" s="990"/>
      <c r="N186" s="990"/>
      <c r="O186" s="990"/>
      <c r="P186" s="990"/>
      <c r="Q186" s="990"/>
      <c r="R186" s="986"/>
      <c r="S186" s="991"/>
      <c r="T186" s="988"/>
      <c r="U186" s="992"/>
      <c r="V186" s="992"/>
      <c r="W186" s="993"/>
      <c r="X186" s="992"/>
      <c r="Y186" s="992"/>
      <c r="Z186" s="986"/>
      <c r="AA186" s="990"/>
      <c r="AB186" s="992"/>
      <c r="AC186" s="994" t="s">
        <v>78</v>
      </c>
      <c r="AD186" s="994" t="s">
        <v>78</v>
      </c>
      <c r="AE186" s="992"/>
      <c r="AF186" s="992"/>
      <c r="AG186" s="990"/>
      <c r="AH186" s="986"/>
      <c r="AI186" s="995">
        <f t="shared" ca="1" si="34"/>
        <v>102</v>
      </c>
      <c r="AJ186" s="995">
        <f t="shared" ref="AJ186:AJ249" ca="1" si="38">+(IF(AL186="Closed","-",IF(TODAY()-MAX(AN186:BA186)&gt;0,TODAY()-MAX(AN186:BA186),0)))</f>
        <v>99</v>
      </c>
      <c r="AK186" s="988" t="s">
        <v>87</v>
      </c>
      <c r="AL186" s="993" t="str">
        <f t="shared" si="36"/>
        <v>Aborted</v>
      </c>
      <c r="AM186" s="996">
        <v>45562</v>
      </c>
      <c r="AN186" s="996">
        <v>45562</v>
      </c>
      <c r="AO186" s="996" t="s">
        <v>65</v>
      </c>
      <c r="AP186" s="996">
        <v>45562</v>
      </c>
      <c r="AQ186" s="997"/>
      <c r="AR186" s="997"/>
      <c r="AS186" s="997"/>
      <c r="AT186" s="997"/>
      <c r="AU186" s="997"/>
      <c r="AV186" s="997"/>
      <c r="AW186" s="997">
        <v>45562</v>
      </c>
      <c r="AX186" s="997"/>
      <c r="AY186" s="997">
        <v>45565</v>
      </c>
      <c r="AZ186" s="997"/>
      <c r="BA186" s="998">
        <f>+IF(AY186="","",COUNTA(AN186:AV186)/(COUNTA(AN186:AV186)+COUNTBLANK(AN186:AV186)))</f>
        <v>0.33333333333333331</v>
      </c>
      <c r="BB186" s="997"/>
      <c r="BC186" s="11" t="s">
        <v>7</v>
      </c>
    </row>
    <row r="187" spans="1:55" x14ac:dyDescent="0.35">
      <c r="A187" s="765"/>
      <c r="B187" s="16">
        <f>IF(D187=$A$516,1,IF(D187=$A$517,2,IF(D187=$A$518,3,IF(D187=$A$519,4,IF(D187=$A$520,5,IF(D187=$A$521,6))))))</f>
        <v>5</v>
      </c>
      <c r="D187" s="711" t="str">
        <f t="shared" si="32"/>
        <v>abt</v>
      </c>
      <c r="E187" s="20" t="s">
        <v>3624</v>
      </c>
      <c r="F187" s="13"/>
      <c r="G187" s="13" t="s">
        <v>103</v>
      </c>
      <c r="H187" s="14" t="s">
        <v>3625</v>
      </c>
      <c r="I187" s="13"/>
      <c r="J187" s="13" t="s">
        <v>377</v>
      </c>
      <c r="K187" s="15" t="s">
        <v>3626</v>
      </c>
      <c r="L187" s="15"/>
      <c r="M187" s="15" t="s">
        <v>3982</v>
      </c>
      <c r="N187" s="15"/>
      <c r="O187" s="15" t="s">
        <v>3983</v>
      </c>
      <c r="P187" s="15" t="s">
        <v>3983</v>
      </c>
      <c r="Q187" s="15" t="s">
        <v>3984</v>
      </c>
      <c r="S187" s="35" t="s">
        <v>77</v>
      </c>
      <c r="T187" s="13">
        <v>2023</v>
      </c>
      <c r="U187" s="17">
        <v>24.763999999999999</v>
      </c>
      <c r="V187" s="17">
        <v>2.7160000000000002</v>
      </c>
      <c r="W187" s="36">
        <f>+V187/U187</f>
        <v>0.10967533516394767</v>
      </c>
      <c r="X187" s="17">
        <v>0.82699999999999996</v>
      </c>
      <c r="Y187" s="17">
        <v>6.6059999999999999</v>
      </c>
      <c r="AA187" s="649" t="s">
        <v>99</v>
      </c>
      <c r="AB187" s="17" t="s">
        <v>4191</v>
      </c>
      <c r="AC187" s="21" t="s">
        <v>78</v>
      </c>
      <c r="AD187" s="21" t="s">
        <v>78</v>
      </c>
      <c r="AE187" s="13" t="s">
        <v>79</v>
      </c>
      <c r="AF187" s="17" t="s">
        <v>3458</v>
      </c>
      <c r="AG187" s="15"/>
      <c r="AH187" s="677">
        <v>1</v>
      </c>
      <c r="AI187" s="42">
        <f t="shared" ca="1" si="34"/>
        <v>259</v>
      </c>
      <c r="AJ187" s="42">
        <f t="shared" ca="1" si="38"/>
        <v>176</v>
      </c>
      <c r="AK187" s="13" t="s">
        <v>64</v>
      </c>
      <c r="AL187" s="36" t="str">
        <f t="shared" si="36"/>
        <v>Aborted</v>
      </c>
      <c r="AM187" s="37">
        <v>45405</v>
      </c>
      <c r="AN187" s="37">
        <v>45405</v>
      </c>
      <c r="AO187" s="37" t="s">
        <v>65</v>
      </c>
      <c r="AP187" s="37">
        <v>45405</v>
      </c>
      <c r="AQ187" s="38">
        <v>45432</v>
      </c>
      <c r="AR187" s="38">
        <v>45464</v>
      </c>
      <c r="AS187" s="38"/>
      <c r="AT187" s="38"/>
      <c r="AU187" s="38"/>
      <c r="AV187" s="38"/>
      <c r="AW187" s="38">
        <v>45432</v>
      </c>
      <c r="AX187" s="38">
        <v>45481</v>
      </c>
      <c r="AY187" s="38">
        <v>45488</v>
      </c>
      <c r="AZ187" s="38"/>
      <c r="BA187" s="39"/>
      <c r="BB187" s="38"/>
      <c r="BC187" s="11" t="s">
        <v>7</v>
      </c>
    </row>
    <row r="188" spans="1:55" x14ac:dyDescent="0.35">
      <c r="A188" s="765"/>
      <c r="B188" s="601">
        <f>IF(D188=$A$516,1,IF(D188=$A$517,2,IF(D188=$A$518,3,IF(D188=$A$519,4,IF(D188=$A$520,5,IF(D188=$A$521,6))))))</f>
        <v>5</v>
      </c>
      <c r="C188" s="601"/>
      <c r="D188" s="711" t="str">
        <f t="shared" si="32"/>
        <v>abt</v>
      </c>
      <c r="E188" s="618" t="s">
        <v>3816</v>
      </c>
      <c r="F188" s="604"/>
      <c r="G188" s="604" t="s">
        <v>326</v>
      </c>
      <c r="H188" s="604">
        <v>13409581009</v>
      </c>
      <c r="I188" s="604"/>
      <c r="J188" s="604" t="s">
        <v>83</v>
      </c>
      <c r="K188" s="607" t="s">
        <v>3817</v>
      </c>
      <c r="L188" s="607"/>
      <c r="M188" s="607"/>
      <c r="N188" s="607"/>
      <c r="O188" s="607"/>
      <c r="P188" s="607"/>
      <c r="Q188" s="607"/>
      <c r="R188" s="601"/>
      <c r="S188" s="608" t="s">
        <v>77</v>
      </c>
      <c r="T188" s="604">
        <v>2022</v>
      </c>
      <c r="U188" s="609">
        <v>13.042</v>
      </c>
      <c r="V188" s="609">
        <v>2.2360000000000002</v>
      </c>
      <c r="W188" s="36">
        <f>+V188/U188</f>
        <v>0.17144609722435211</v>
      </c>
      <c r="X188" s="609">
        <v>0.89800000000000002</v>
      </c>
      <c r="Y188" s="609">
        <v>-0.436</v>
      </c>
      <c r="Z188" s="601"/>
      <c r="AA188" s="607" t="s">
        <v>140</v>
      </c>
      <c r="AB188" s="609"/>
      <c r="AC188" s="21" t="s">
        <v>61</v>
      </c>
      <c r="AD188" s="21" t="s">
        <v>61</v>
      </c>
      <c r="AE188" s="604"/>
      <c r="AF188" s="609"/>
      <c r="AG188" s="607"/>
      <c r="AH188" s="601"/>
      <c r="AI188" s="612">
        <f t="shared" ca="1" si="34"/>
        <v>230</v>
      </c>
      <c r="AJ188" s="612">
        <f t="shared" ca="1" si="38"/>
        <v>217</v>
      </c>
      <c r="AK188" s="604" t="s">
        <v>87</v>
      </c>
      <c r="AL188" s="628" t="str">
        <f t="shared" si="36"/>
        <v>Aborted</v>
      </c>
      <c r="AM188" s="614">
        <v>45434</v>
      </c>
      <c r="AN188" s="614">
        <v>45440</v>
      </c>
      <c r="AO188" s="614"/>
      <c r="AP188" s="614"/>
      <c r="AQ188" s="615"/>
      <c r="AR188" s="615"/>
      <c r="AS188" s="615"/>
      <c r="AT188" s="615"/>
      <c r="AU188" s="615"/>
      <c r="AV188" s="615"/>
      <c r="AW188" s="615">
        <v>45420</v>
      </c>
      <c r="AX188" s="615">
        <v>45447</v>
      </c>
      <c r="AY188" s="615">
        <v>45447</v>
      </c>
      <c r="AZ188" s="615"/>
      <c r="BA188" s="629"/>
      <c r="BB188" s="615"/>
      <c r="BC188" s="11" t="s">
        <v>7</v>
      </c>
    </row>
    <row r="189" spans="1:55" x14ac:dyDescent="0.35">
      <c r="A189" s="765"/>
      <c r="B189" s="16">
        <f>IF(D189=$A$516,1,IF(D189=$A$517,2,IF(D189=$A$518,3,IF(D189=$A$519,4,IF(D189=$A$520,5,IF(D189=$A$521,6))))))</f>
        <v>5</v>
      </c>
      <c r="D189" s="711" t="str">
        <f t="shared" si="32"/>
        <v>abt</v>
      </c>
      <c r="E189" s="20" t="s">
        <v>3686</v>
      </c>
      <c r="F189" s="13"/>
      <c r="G189" s="13" t="s">
        <v>226</v>
      </c>
      <c r="H189" s="567" t="s">
        <v>3683</v>
      </c>
      <c r="I189" s="13">
        <v>383110</v>
      </c>
      <c r="J189" s="13" t="s">
        <v>111</v>
      </c>
      <c r="K189" s="15" t="s">
        <v>3684</v>
      </c>
      <c r="L189" s="15"/>
      <c r="M189" s="15"/>
      <c r="N189" s="15"/>
      <c r="O189" s="15"/>
      <c r="P189" s="15"/>
      <c r="Q189" s="15"/>
      <c r="S189" s="35" t="s">
        <v>77</v>
      </c>
      <c r="T189" s="13">
        <v>2023</v>
      </c>
      <c r="U189" s="17">
        <v>28</v>
      </c>
      <c r="V189" s="17">
        <v>4.1890000000000001</v>
      </c>
      <c r="W189" s="36">
        <f>+V189/U189</f>
        <v>0.14960714285714286</v>
      </c>
      <c r="X189" s="17">
        <v>2.08</v>
      </c>
      <c r="Y189" s="17">
        <v>1.0649999999999999</v>
      </c>
      <c r="AA189" s="15" t="s">
        <v>99</v>
      </c>
      <c r="AB189" s="17" t="s">
        <v>3685</v>
      </c>
      <c r="AC189" s="21" t="s">
        <v>3598</v>
      </c>
      <c r="AD189" s="21" t="s">
        <v>3598</v>
      </c>
      <c r="AE189" s="13" t="s">
        <v>79</v>
      </c>
      <c r="AF189" s="17" t="s">
        <v>3458</v>
      </c>
      <c r="AG189" s="15"/>
      <c r="AH189" s="677">
        <v>1</v>
      </c>
      <c r="AI189" s="42">
        <f t="shared" ca="1" si="34"/>
        <v>236</v>
      </c>
      <c r="AJ189" s="42">
        <f t="shared" ca="1" si="38"/>
        <v>166</v>
      </c>
      <c r="AK189" s="13" t="s">
        <v>87</v>
      </c>
      <c r="AL189" s="766" t="str">
        <f t="shared" si="36"/>
        <v>Aborted</v>
      </c>
      <c r="AM189" s="37">
        <v>45428</v>
      </c>
      <c r="AN189" s="37">
        <v>45428</v>
      </c>
      <c r="AO189" s="37" t="s">
        <v>65</v>
      </c>
      <c r="AP189" s="37">
        <v>45420</v>
      </c>
      <c r="AQ189" s="37">
        <v>45428</v>
      </c>
      <c r="AR189" s="38">
        <v>45454</v>
      </c>
      <c r="AS189" s="38">
        <v>45498</v>
      </c>
      <c r="AT189" s="38"/>
      <c r="AU189" s="38"/>
      <c r="AV189" s="38"/>
      <c r="AW189" s="38">
        <v>45428</v>
      </c>
      <c r="AX189" s="38"/>
      <c r="AY189" s="38">
        <v>45498</v>
      </c>
      <c r="AZ189" s="38"/>
      <c r="BA189" s="39"/>
      <c r="BB189" s="38"/>
      <c r="BC189" s="11" t="s">
        <v>7</v>
      </c>
    </row>
    <row r="190" spans="1:55" x14ac:dyDescent="0.35">
      <c r="A190" s="765"/>
      <c r="B190" s="483">
        <f>IF(D190=$A$516,1,IF(D190=$A$517,2,IF(D190=$A$518,3,IF(D190=$A$519,4,IF(D190=$A$520,5,IF(D190=$A$521,6))))))</f>
        <v>5</v>
      </c>
      <c r="C190" s="483"/>
      <c r="D190" s="711" t="str">
        <f t="shared" si="32"/>
        <v>abt</v>
      </c>
      <c r="E190" s="484" t="s">
        <v>3564</v>
      </c>
      <c r="F190" s="485"/>
      <c r="G190" s="485" t="s">
        <v>103</v>
      </c>
      <c r="H190" s="486" t="s">
        <v>614</v>
      </c>
      <c r="I190" s="485">
        <v>479110</v>
      </c>
      <c r="J190" s="485" t="s">
        <v>321</v>
      </c>
      <c r="K190" s="487" t="s">
        <v>615</v>
      </c>
      <c r="L190" s="487"/>
      <c r="M190" s="487" t="s">
        <v>616</v>
      </c>
      <c r="N190" s="487" t="s">
        <v>617</v>
      </c>
      <c r="O190" s="487"/>
      <c r="P190" s="15" t="s">
        <v>617</v>
      </c>
      <c r="Q190" s="487"/>
      <c r="R190" s="483"/>
      <c r="S190" s="488" t="s">
        <v>77</v>
      </c>
      <c r="T190" s="485">
        <v>2022</v>
      </c>
      <c r="U190" s="489">
        <v>68</v>
      </c>
      <c r="V190" s="489">
        <v>0.87</v>
      </c>
      <c r="W190" s="36">
        <f>+V190/U190</f>
        <v>1.2794117647058824E-2</v>
      </c>
      <c r="X190" s="489">
        <v>0.12</v>
      </c>
      <c r="Y190" s="489">
        <v>2.2400000000000002</v>
      </c>
      <c r="Z190" s="483"/>
      <c r="AA190" s="487" t="s">
        <v>99</v>
      </c>
      <c r="AB190" s="487" t="s">
        <v>618</v>
      </c>
      <c r="AC190" s="489" t="s">
        <v>61</v>
      </c>
      <c r="AD190" s="489" t="s">
        <v>61</v>
      </c>
      <c r="AE190" s="489" t="s">
        <v>79</v>
      </c>
      <c r="AF190" s="489"/>
      <c r="AG190" s="487"/>
      <c r="AH190" s="677">
        <v>1</v>
      </c>
      <c r="AI190" s="491">
        <f t="shared" ca="1" si="34"/>
        <v>286</v>
      </c>
      <c r="AJ190" s="42">
        <f t="shared" ca="1" si="38"/>
        <v>167</v>
      </c>
      <c r="AK190" s="485" t="s">
        <v>87</v>
      </c>
      <c r="AL190" s="490" t="str">
        <f t="shared" si="36"/>
        <v>Aborted</v>
      </c>
      <c r="AM190" s="492">
        <v>45378</v>
      </c>
      <c r="AN190" s="492">
        <v>45378</v>
      </c>
      <c r="AO190" s="492">
        <v>45378</v>
      </c>
      <c r="AP190" s="492">
        <v>45378</v>
      </c>
      <c r="AQ190" s="38">
        <v>45378</v>
      </c>
      <c r="AR190" s="38">
        <v>45379</v>
      </c>
      <c r="AS190" s="38">
        <v>45384</v>
      </c>
      <c r="AT190" s="38">
        <v>45428</v>
      </c>
      <c r="AU190" s="38">
        <v>45421</v>
      </c>
      <c r="AV190" s="38">
        <v>45435</v>
      </c>
      <c r="AW190" s="493">
        <v>45497</v>
      </c>
      <c r="AX190" s="493">
        <v>45496</v>
      </c>
      <c r="AY190" s="493">
        <v>45497</v>
      </c>
      <c r="AZ190" s="493"/>
      <c r="BA190" s="494"/>
      <c r="BB190" s="493"/>
      <c r="BC190" s="11" t="s">
        <v>7</v>
      </c>
    </row>
    <row r="191" spans="1:55" x14ac:dyDescent="0.35">
      <c r="A191" s="765"/>
      <c r="B191" s="16">
        <f>IF(D191=$A$516,1,IF(D191=$A$517,2,IF(D191=$A$518,3,IF(D191=$A$519,4,IF(D191=$A$520,5,IF(D191=$A$521,6))))))</f>
        <v>5</v>
      </c>
      <c r="D191" s="711" t="str">
        <f t="shared" si="32"/>
        <v>abt</v>
      </c>
      <c r="E191" s="20" t="s">
        <v>3819</v>
      </c>
      <c r="F191" s="13"/>
      <c r="G191" s="13" t="s">
        <v>413</v>
      </c>
      <c r="H191" s="14" t="s">
        <v>3822</v>
      </c>
      <c r="I191" s="13"/>
      <c r="J191" s="13" t="s">
        <v>2663</v>
      </c>
      <c r="K191" s="15" t="s">
        <v>3820</v>
      </c>
      <c r="L191" s="15"/>
      <c r="M191" s="15"/>
      <c r="N191" s="15"/>
      <c r="O191" s="15"/>
      <c r="P191" s="15"/>
      <c r="Q191" s="15"/>
      <c r="S191" s="35" t="s">
        <v>77</v>
      </c>
      <c r="T191" s="13">
        <v>2022</v>
      </c>
      <c r="U191" s="17">
        <v>21.49</v>
      </c>
      <c r="V191" s="17">
        <v>2.4670000000000001</v>
      </c>
      <c r="W191" s="36">
        <f>+V191/U191</f>
        <v>0.11479758026989298</v>
      </c>
      <c r="X191" s="17">
        <v>1.5740000000000001</v>
      </c>
      <c r="Y191" s="17">
        <v>1.5740000000000001</v>
      </c>
      <c r="AA191" s="15" t="s">
        <v>99</v>
      </c>
      <c r="AB191" s="17" t="s">
        <v>3821</v>
      </c>
      <c r="AC191" s="21" t="s">
        <v>3598</v>
      </c>
      <c r="AD191" s="21" t="s">
        <v>3598</v>
      </c>
      <c r="AE191" s="13" t="s">
        <v>128</v>
      </c>
      <c r="AF191" s="17"/>
      <c r="AG191" s="15"/>
      <c r="AI191" s="42">
        <f t="shared" ca="1" si="34"/>
        <v>230</v>
      </c>
      <c r="AJ191" s="42">
        <f t="shared" ca="1" si="38"/>
        <v>168</v>
      </c>
      <c r="AK191" s="13" t="s">
        <v>87</v>
      </c>
      <c r="AL191" s="36" t="str">
        <f t="shared" si="36"/>
        <v>Aborted</v>
      </c>
      <c r="AM191" s="37">
        <v>45434</v>
      </c>
      <c r="AN191" s="37">
        <v>45434</v>
      </c>
      <c r="AO191" s="37" t="s">
        <v>65</v>
      </c>
      <c r="AP191" s="37">
        <v>45434</v>
      </c>
      <c r="AQ191" s="38">
        <v>45440</v>
      </c>
      <c r="AR191" s="38"/>
      <c r="AS191" s="38"/>
      <c r="AT191" s="38"/>
      <c r="AU191" s="38"/>
      <c r="AV191" s="38"/>
      <c r="AW191" s="38">
        <v>45434</v>
      </c>
      <c r="AX191" s="38">
        <v>45496</v>
      </c>
      <c r="AY191" s="38" t="s">
        <v>4334</v>
      </c>
      <c r="AZ191" s="38"/>
      <c r="BA191" s="39"/>
      <c r="BB191" s="38"/>
      <c r="BC191" s="11" t="s">
        <v>7</v>
      </c>
    </row>
    <row r="192" spans="1:55" x14ac:dyDescent="0.35">
      <c r="A192" s="765"/>
      <c r="B192" s="16">
        <f>IF(D192=$A$516,1,IF(D192=$A$517,2,IF(D192=$A$518,3,IF(D192=$A$519,4,IF(D192=$A$520,5,IF(D192=$A$521,6))))))</f>
        <v>5</v>
      </c>
      <c r="D192" s="20" t="str">
        <f t="shared" si="32"/>
        <v>abt</v>
      </c>
      <c r="E192" s="20" t="s">
        <v>4301</v>
      </c>
      <c r="F192" s="13"/>
      <c r="G192" s="13" t="s">
        <v>437</v>
      </c>
      <c r="H192" s="14"/>
      <c r="I192" s="13"/>
      <c r="J192" s="13" t="s">
        <v>927</v>
      </c>
      <c r="K192" s="15" t="s">
        <v>3818</v>
      </c>
      <c r="L192" s="15" t="s">
        <v>4298</v>
      </c>
      <c r="M192" s="15"/>
      <c r="N192" s="15"/>
      <c r="O192" s="15"/>
      <c r="P192" s="15"/>
      <c r="Q192" s="15"/>
      <c r="S192" s="35"/>
      <c r="T192" s="13"/>
      <c r="U192" s="17"/>
      <c r="V192" s="17"/>
      <c r="W192" s="36"/>
      <c r="X192" s="17"/>
      <c r="Y192" s="17"/>
      <c r="AA192" s="15" t="s">
        <v>140</v>
      </c>
      <c r="AB192" s="17"/>
      <c r="AC192" s="21" t="s">
        <v>78</v>
      </c>
      <c r="AD192" s="21" t="s">
        <v>78</v>
      </c>
      <c r="AE192" s="13" t="s">
        <v>128</v>
      </c>
      <c r="AF192" s="17"/>
      <c r="AG192" s="15"/>
      <c r="AH192" s="677"/>
      <c r="AI192" s="42">
        <f t="shared" ca="1" si="34"/>
        <v>176</v>
      </c>
      <c r="AJ192" s="42">
        <f t="shared" ca="1" si="38"/>
        <v>166</v>
      </c>
      <c r="AK192" s="13" t="s">
        <v>87</v>
      </c>
      <c r="AL192" s="36" t="str">
        <f t="shared" si="36"/>
        <v>Aborted</v>
      </c>
      <c r="AM192" s="37">
        <v>45488</v>
      </c>
      <c r="AN192" s="37">
        <v>45488</v>
      </c>
      <c r="AO192" s="37" t="s">
        <v>65</v>
      </c>
      <c r="AP192" s="37">
        <v>45488</v>
      </c>
      <c r="AQ192" s="38"/>
      <c r="AR192" s="38"/>
      <c r="AS192" s="38"/>
      <c r="AT192" s="38"/>
      <c r="AU192" s="38"/>
      <c r="AV192" s="38"/>
      <c r="AW192" s="38">
        <v>45488</v>
      </c>
      <c r="AX192" s="38">
        <v>45496</v>
      </c>
      <c r="AY192" s="38">
        <v>45498</v>
      </c>
      <c r="AZ192" s="38"/>
      <c r="BA192" s="39"/>
      <c r="BB192" s="38"/>
      <c r="BC192" s="11" t="s">
        <v>7</v>
      </c>
    </row>
    <row r="193" spans="1:55" x14ac:dyDescent="0.35">
      <c r="A193" s="765"/>
      <c r="B193" s="16">
        <f>IF(D193=$A$516,1,IF(D193=$A$517,2,IF(D193=$A$518,3,IF(D193=$A$519,4,IF(D193=$A$520,5,IF(D193=$A$521,6))))))</f>
        <v>5</v>
      </c>
      <c r="D193" s="20" t="str">
        <f t="shared" si="32"/>
        <v>abt</v>
      </c>
      <c r="E193" s="12" t="s">
        <v>529</v>
      </c>
      <c r="F193" s="13"/>
      <c r="G193" s="13" t="s">
        <v>271</v>
      </c>
      <c r="H193" s="14" t="s">
        <v>530</v>
      </c>
      <c r="I193" s="13"/>
      <c r="J193" s="13" t="s">
        <v>57</v>
      </c>
      <c r="K193" s="15" t="s">
        <v>531</v>
      </c>
      <c r="L193" s="15"/>
      <c r="M193" s="15"/>
      <c r="N193" s="15"/>
      <c r="O193" s="15"/>
      <c r="P193" s="15"/>
      <c r="Q193" s="15"/>
      <c r="S193" s="35" t="s">
        <v>77</v>
      </c>
      <c r="T193" s="13">
        <v>2022</v>
      </c>
      <c r="U193" s="17">
        <v>1.0640000000000001</v>
      </c>
      <c r="V193" s="17">
        <v>0.436</v>
      </c>
      <c r="W193" s="36">
        <f>+V193/U193</f>
        <v>0.40977443609022551</v>
      </c>
      <c r="X193" s="17">
        <v>0.35099999999999998</v>
      </c>
      <c r="Y193" s="17">
        <v>-0.153</v>
      </c>
      <c r="AA193" s="15" t="s">
        <v>140</v>
      </c>
      <c r="AB193" s="17"/>
      <c r="AC193" s="21" t="s">
        <v>61</v>
      </c>
      <c r="AD193" s="21" t="s">
        <v>61</v>
      </c>
      <c r="AE193" s="17" t="s">
        <v>62</v>
      </c>
      <c r="AF193" s="17" t="s">
        <v>128</v>
      </c>
      <c r="AG193" s="15"/>
      <c r="AI193" s="42">
        <f t="shared" ca="1" si="34"/>
        <v>768</v>
      </c>
      <c r="AJ193" s="42">
        <f t="shared" ca="1" si="38"/>
        <v>166</v>
      </c>
      <c r="AK193" s="13" t="s">
        <v>87</v>
      </c>
      <c r="AL193" s="36" t="str">
        <f t="shared" si="36"/>
        <v>Aborted</v>
      </c>
      <c r="AM193" s="37">
        <v>44896</v>
      </c>
      <c r="AN193" s="37">
        <v>44992</v>
      </c>
      <c r="AO193" s="37" t="s">
        <v>65</v>
      </c>
      <c r="AP193" s="37">
        <v>45002</v>
      </c>
      <c r="AQ193" s="38"/>
      <c r="AR193" s="38"/>
      <c r="AS193" s="38"/>
      <c r="AT193" s="38"/>
      <c r="AU193" s="38"/>
      <c r="AV193" s="38"/>
      <c r="AW193" s="38">
        <v>45002</v>
      </c>
      <c r="AX193" s="38">
        <v>45006</v>
      </c>
      <c r="AY193" s="38">
        <v>45498</v>
      </c>
      <c r="AZ193" s="38"/>
      <c r="BA193" s="39">
        <f>+IF(AY193="","",COUNTA(AN193:AV193)/(COUNTA(AN193:AV193)+COUNTBLANK(AN193:AV193)))</f>
        <v>0.33333333333333331</v>
      </c>
      <c r="BB193" s="38"/>
      <c r="BC193" s="11" t="s">
        <v>7</v>
      </c>
    </row>
    <row r="194" spans="1:55" x14ac:dyDescent="0.35">
      <c r="A194" s="765"/>
      <c r="B194" s="358">
        <f>IF(D194=$A$516,1,IF(D194=$A$517,2,IF(D194=$A$518,3,IF(D194=$A$519,4,IF(D194=$A$520,5,IF(D194=$A$521,6))))))</f>
        <v>5</v>
      </c>
      <c r="D194" s="711" t="str">
        <f t="shared" si="32"/>
        <v>abt</v>
      </c>
      <c r="E194" s="20" t="s">
        <v>3580</v>
      </c>
      <c r="F194" s="360" t="s">
        <v>3505</v>
      </c>
      <c r="G194" s="13" t="s">
        <v>951</v>
      </c>
      <c r="H194" s="14" t="s">
        <v>3459</v>
      </c>
      <c r="I194" s="360"/>
      <c r="J194" s="268" t="s">
        <v>111</v>
      </c>
      <c r="K194" s="15" t="s">
        <v>3460</v>
      </c>
      <c r="L194" s="15"/>
      <c r="M194" s="15" t="s">
        <v>4304</v>
      </c>
      <c r="N194" s="363"/>
      <c r="O194" s="363"/>
      <c r="P194" s="772" t="s">
        <v>4304</v>
      </c>
      <c r="Q194" s="363"/>
      <c r="R194" s="358"/>
      <c r="S194" s="35" t="s">
        <v>77</v>
      </c>
      <c r="T194" s="360">
        <v>2022</v>
      </c>
      <c r="U194" s="365">
        <v>23.4</v>
      </c>
      <c r="V194" s="365">
        <v>2.2999999999999998</v>
      </c>
      <c r="W194" s="36">
        <f>+V194/U194</f>
        <v>9.8290598290598288E-2</v>
      </c>
      <c r="X194" s="365">
        <v>0.58299999999999996</v>
      </c>
      <c r="Y194" s="365">
        <v>9</v>
      </c>
      <c r="Z194" s="358"/>
      <c r="AA194" s="254" t="s">
        <v>99</v>
      </c>
      <c r="AB194" s="365" t="s">
        <v>3473</v>
      </c>
      <c r="AC194" s="21" t="s">
        <v>78</v>
      </c>
      <c r="AD194" s="21" t="s">
        <v>78</v>
      </c>
      <c r="AE194" s="13" t="s">
        <v>79</v>
      </c>
      <c r="AF194" s="17" t="s">
        <v>3458</v>
      </c>
      <c r="AG194" s="15"/>
      <c r="AH194" s="677">
        <v>1</v>
      </c>
      <c r="AI194" s="368">
        <f t="shared" ca="1" si="34"/>
        <v>301</v>
      </c>
      <c r="AJ194" s="42">
        <f t="shared" ca="1" si="38"/>
        <v>175</v>
      </c>
      <c r="AK194" s="360" t="s">
        <v>64</v>
      </c>
      <c r="AL194" s="288" t="str">
        <f t="shared" si="36"/>
        <v>Aborted</v>
      </c>
      <c r="AM194" s="289">
        <v>45363</v>
      </c>
      <c r="AN194" s="289">
        <v>45363</v>
      </c>
      <c r="AO194" s="37" t="s">
        <v>65</v>
      </c>
      <c r="AP194" s="289">
        <v>45363</v>
      </c>
      <c r="AQ194" s="38">
        <v>45363</v>
      </c>
      <c r="AR194" s="38">
        <v>45372</v>
      </c>
      <c r="AS194" s="38">
        <v>45384</v>
      </c>
      <c r="AT194" s="38">
        <v>45393</v>
      </c>
      <c r="AU194" s="38">
        <v>45393</v>
      </c>
      <c r="AV194" s="38">
        <v>45412</v>
      </c>
      <c r="AW194" s="38"/>
      <c r="AX194" s="371"/>
      <c r="AY194" s="371">
        <v>45489</v>
      </c>
      <c r="AZ194" s="371"/>
      <c r="BA194" s="372"/>
      <c r="BB194" s="371"/>
      <c r="BC194" s="11" t="s">
        <v>7</v>
      </c>
    </row>
    <row r="195" spans="1:55" x14ac:dyDescent="0.35">
      <c r="A195" s="765"/>
      <c r="B195" s="16">
        <f>IF(D195=$A$516,1,IF(D195=$A$517,2,IF(D195=$A$518,3,IF(D195=$A$519,4,IF(D195=$A$520,5,IF(D195=$A$521,6))))))</f>
        <v>5</v>
      </c>
      <c r="D195" s="20" t="str">
        <f t="shared" si="32"/>
        <v>abt</v>
      </c>
      <c r="E195" s="20" t="s">
        <v>577</v>
      </c>
      <c r="F195" s="13" t="s">
        <v>578</v>
      </c>
      <c r="G195" s="13" t="s">
        <v>174</v>
      </c>
      <c r="H195" s="14" t="s">
        <v>579</v>
      </c>
      <c r="I195" s="13">
        <v>631119</v>
      </c>
      <c r="J195" s="13" t="s">
        <v>580</v>
      </c>
      <c r="K195" s="15" t="s">
        <v>581</v>
      </c>
      <c r="L195" s="15"/>
      <c r="M195" s="15"/>
      <c r="N195" s="15"/>
      <c r="O195" s="15"/>
      <c r="P195" s="15"/>
      <c r="Q195" s="15"/>
      <c r="S195" s="35" t="s">
        <v>144</v>
      </c>
      <c r="T195" s="13">
        <v>2020</v>
      </c>
      <c r="U195" s="17">
        <v>306.56099999999998</v>
      </c>
      <c r="V195" s="17">
        <v>10.231999999999999</v>
      </c>
      <c r="W195" s="36">
        <f>+V195/U195</f>
        <v>3.3376717847345229E-2</v>
      </c>
      <c r="X195" s="17">
        <v>2.859</v>
      </c>
      <c r="Y195" s="17">
        <v>29.495000000000001</v>
      </c>
      <c r="AA195" s="15" t="s">
        <v>237</v>
      </c>
      <c r="AB195" s="15" t="s">
        <v>582</v>
      </c>
      <c r="AC195" s="21" t="s">
        <v>78</v>
      </c>
      <c r="AD195" s="21" t="s">
        <v>78</v>
      </c>
      <c r="AE195" s="61"/>
      <c r="AF195" s="17" t="s">
        <v>128</v>
      </c>
      <c r="AG195" s="15"/>
      <c r="AI195" s="42">
        <f t="shared" ca="1" si="34"/>
        <v>952</v>
      </c>
      <c r="AJ195" s="42">
        <f t="shared" ca="1" si="38"/>
        <v>175</v>
      </c>
      <c r="AK195" s="13" t="s">
        <v>64</v>
      </c>
      <c r="AL195" s="36" t="str">
        <f t="shared" si="36"/>
        <v>Aborted</v>
      </c>
      <c r="AM195" s="37">
        <v>44712</v>
      </c>
      <c r="AN195" s="37">
        <v>44712</v>
      </c>
      <c r="AO195" s="37">
        <v>44735</v>
      </c>
      <c r="AP195" s="37">
        <v>44736</v>
      </c>
      <c r="AQ195" s="38">
        <v>44746</v>
      </c>
      <c r="AR195" s="38"/>
      <c r="AS195" s="38"/>
      <c r="AT195" s="38"/>
      <c r="AU195" s="38"/>
      <c r="AV195" s="38"/>
      <c r="AW195" s="38">
        <v>45488</v>
      </c>
      <c r="AX195" s="38"/>
      <c r="AY195" s="38">
        <v>45489</v>
      </c>
      <c r="AZ195" s="38"/>
      <c r="BA195" s="39">
        <f>+IF(AY195="","",COUNTA(AN195:AV195)/(COUNTA(AN195:AV195)+COUNTBLANK(AN195:AV195)))</f>
        <v>0.44444444444444442</v>
      </c>
      <c r="BB195" s="38"/>
      <c r="BC195" s="11" t="s">
        <v>7</v>
      </c>
    </row>
    <row r="196" spans="1:55" x14ac:dyDescent="0.35">
      <c r="A196" s="765"/>
      <c r="B196" s="277">
        <f>IF(D196=$A$516,1,IF(D196=$A$517,2,IF(D196=$A$518,3,IF(D196=$A$519,4,IF(D196=$A$520,5,IF(D196=$A$521,6))))))</f>
        <v>5</v>
      </c>
      <c r="D196" s="711" t="str">
        <f t="shared" si="32"/>
        <v>abt</v>
      </c>
      <c r="E196" s="185" t="s">
        <v>2701</v>
      </c>
      <c r="F196" s="186"/>
      <c r="G196" s="186" t="s">
        <v>103</v>
      </c>
      <c r="H196" s="187" t="s">
        <v>2702</v>
      </c>
      <c r="I196" s="186"/>
      <c r="J196" s="270" t="s">
        <v>1821</v>
      </c>
      <c r="K196" s="189" t="s">
        <v>2703</v>
      </c>
      <c r="L196" s="189" t="s">
        <v>2704</v>
      </c>
      <c r="M196" s="189"/>
      <c r="N196" s="189"/>
      <c r="O196" s="189"/>
      <c r="P196" s="189"/>
      <c r="Q196" s="189"/>
      <c r="R196" s="183"/>
      <c r="S196" s="190"/>
      <c r="T196" s="186"/>
      <c r="U196" s="191"/>
      <c r="V196" s="191"/>
      <c r="W196" s="36"/>
      <c r="X196" s="191"/>
      <c r="Y196" s="191"/>
      <c r="Z196" s="183"/>
      <c r="AA196" s="15" t="s">
        <v>140</v>
      </c>
      <c r="AB196" s="191"/>
      <c r="AC196" s="193" t="s">
        <v>78</v>
      </c>
      <c r="AD196" s="193" t="s">
        <v>78</v>
      </c>
      <c r="AE196" s="200"/>
      <c r="AF196" s="191"/>
      <c r="AG196" s="189"/>
      <c r="AH196" s="277"/>
      <c r="AI196" s="42">
        <f t="shared" ca="1" si="34"/>
        <v>363</v>
      </c>
      <c r="AJ196" s="42">
        <f t="shared" ca="1" si="38"/>
        <v>329</v>
      </c>
      <c r="AK196" s="186" t="s">
        <v>720</v>
      </c>
      <c r="AL196" s="36" t="str">
        <f t="shared" si="36"/>
        <v>Aborted</v>
      </c>
      <c r="AM196" s="197">
        <v>45301</v>
      </c>
      <c r="AN196" s="172">
        <v>45306</v>
      </c>
      <c r="AO196" s="37">
        <v>45314</v>
      </c>
      <c r="AP196" s="289"/>
      <c r="AQ196" s="38"/>
      <c r="AR196" s="38"/>
      <c r="AS196" s="38"/>
      <c r="AT196" s="38"/>
      <c r="AU196" s="38"/>
      <c r="AV196" s="38"/>
      <c r="AW196" s="290">
        <v>45310</v>
      </c>
      <c r="AX196" s="290">
        <v>45335</v>
      </c>
      <c r="AY196" s="290">
        <v>45335</v>
      </c>
      <c r="AZ196" s="290"/>
      <c r="BA196" s="291"/>
      <c r="BB196" s="290"/>
      <c r="BC196" s="11" t="s">
        <v>7</v>
      </c>
    </row>
    <row r="197" spans="1:55" x14ac:dyDescent="0.35">
      <c r="A197" s="765"/>
      <c r="B197" s="16">
        <f>IF(D197=$A$516,1,IF(D197=$A$517,2,IF(D197=$A$518,3,IF(D197=$A$519,4,IF(D197=$A$520,5,IF(D197=$A$521,6))))))</f>
        <v>5</v>
      </c>
      <c r="D197" s="20" t="str">
        <f t="shared" si="32"/>
        <v>abt</v>
      </c>
      <c r="E197" s="20" t="s">
        <v>4258</v>
      </c>
      <c r="F197" s="13"/>
      <c r="G197" s="13" t="s">
        <v>103</v>
      </c>
      <c r="H197" s="14" t="s">
        <v>4114</v>
      </c>
      <c r="I197" s="13"/>
      <c r="J197" s="13" t="s">
        <v>132</v>
      </c>
      <c r="K197" s="15" t="s">
        <v>956</v>
      </c>
      <c r="L197" s="15"/>
      <c r="M197" s="15" t="s">
        <v>4115</v>
      </c>
      <c r="N197" s="15" t="s">
        <v>4116</v>
      </c>
      <c r="O197" s="15" t="s">
        <v>4117</v>
      </c>
      <c r="P197" s="15" t="s">
        <v>4115</v>
      </c>
      <c r="Q197" s="15"/>
      <c r="S197" s="17"/>
      <c r="T197" s="13">
        <v>2023</v>
      </c>
      <c r="U197" s="17">
        <v>86.221999999999994</v>
      </c>
      <c r="V197" s="17">
        <v>7.62</v>
      </c>
      <c r="W197" s="36">
        <f>+V197/U197</f>
        <v>8.837651643432072E-2</v>
      </c>
      <c r="X197" s="17">
        <v>3.9430000000000001</v>
      </c>
      <c r="Y197" s="17">
        <v>-6.883</v>
      </c>
      <c r="AA197" s="15" t="s">
        <v>60</v>
      </c>
      <c r="AB197" s="15"/>
      <c r="AC197" s="17" t="s">
        <v>86</v>
      </c>
      <c r="AD197" s="21" t="s">
        <v>78</v>
      </c>
      <c r="AE197" s="13" t="s">
        <v>86</v>
      </c>
      <c r="AF197" s="17"/>
      <c r="AG197" s="15"/>
      <c r="AI197" s="42">
        <f t="shared" ca="1" si="34"/>
        <v>200</v>
      </c>
      <c r="AJ197" s="42">
        <f t="shared" ca="1" si="38"/>
        <v>183</v>
      </c>
      <c r="AK197" s="13" t="s">
        <v>64</v>
      </c>
      <c r="AL197" s="36" t="str">
        <f t="shared" si="36"/>
        <v>Aborted</v>
      </c>
      <c r="AM197" s="37">
        <v>45464</v>
      </c>
      <c r="AN197" s="37">
        <v>45464</v>
      </c>
      <c r="AO197" s="37">
        <v>45464</v>
      </c>
      <c r="AP197" s="37" t="s">
        <v>65</v>
      </c>
      <c r="AQ197" s="37">
        <v>45467</v>
      </c>
      <c r="AR197" s="37" t="s">
        <v>65</v>
      </c>
      <c r="AS197" s="37" t="s">
        <v>65</v>
      </c>
      <c r="AT197" s="38">
        <v>45468</v>
      </c>
      <c r="AU197" s="38"/>
      <c r="AV197" s="38"/>
      <c r="AW197" s="38">
        <v>45474</v>
      </c>
      <c r="AX197" s="38"/>
      <c r="AY197" s="38">
        <v>45481</v>
      </c>
      <c r="AZ197" s="38"/>
      <c r="BA197" s="39">
        <f>+IF(AY197="","",COUNTA(AN197:AV197)/(COUNTA(AN197:AV197)+COUNTBLANK(AN197:AV197)))</f>
        <v>0.77777777777777779</v>
      </c>
      <c r="BB197" s="38"/>
      <c r="BC197" s="11" t="s">
        <v>7</v>
      </c>
    </row>
    <row r="198" spans="1:55" x14ac:dyDescent="0.35">
      <c r="A198" s="792"/>
      <c r="B198" s="16">
        <f>IF(D198=$A$516,1,IF(D198=$A$517,2,IF(D198=$A$518,3,IF(D198=$A$519,4,IF(D198=$A$520,5,IF(D198=$A$521,6))))))</f>
        <v>5</v>
      </c>
      <c r="D198" s="20" t="str">
        <f t="shared" si="32"/>
        <v>abt</v>
      </c>
      <c r="E198" s="12" t="s">
        <v>4259</v>
      </c>
      <c r="F198" s="13"/>
      <c r="G198" s="13" t="s">
        <v>463</v>
      </c>
      <c r="H198" s="14" t="s">
        <v>491</v>
      </c>
      <c r="I198" s="13"/>
      <c r="J198" s="13" t="s">
        <v>83</v>
      </c>
      <c r="K198" s="403" t="s">
        <v>1125</v>
      </c>
      <c r="L198" s="403" t="s">
        <v>1126</v>
      </c>
      <c r="M198" s="15" t="s">
        <v>3979</v>
      </c>
      <c r="N198" s="15" t="s">
        <v>3980</v>
      </c>
      <c r="O198" s="15" t="s">
        <v>3981</v>
      </c>
      <c r="P198" s="403" t="s">
        <v>1128</v>
      </c>
      <c r="Q198" s="403" t="s">
        <v>1129</v>
      </c>
      <c r="S198" s="35" t="s">
        <v>144</v>
      </c>
      <c r="T198" s="401">
        <v>2023</v>
      </c>
      <c r="U198" s="405">
        <v>55</v>
      </c>
      <c r="V198" s="405">
        <v>19</v>
      </c>
      <c r="W198" s="36">
        <f>+V198/U198</f>
        <v>0.34545454545454546</v>
      </c>
      <c r="X198" s="405">
        <v>12</v>
      </c>
      <c r="Y198" s="405">
        <v>-24.2</v>
      </c>
      <c r="AA198" s="15" t="s">
        <v>60</v>
      </c>
      <c r="AB198" s="17"/>
      <c r="AC198" s="21" t="s">
        <v>78</v>
      </c>
      <c r="AD198" s="17" t="s">
        <v>78</v>
      </c>
      <c r="AE198" s="17" t="s">
        <v>128</v>
      </c>
      <c r="AF198" s="17"/>
      <c r="AG198" s="15"/>
      <c r="AI198" s="42">
        <f t="shared" ca="1" si="34"/>
        <v>210</v>
      </c>
      <c r="AJ198" s="42">
        <f t="shared" ca="1" si="38"/>
        <v>186</v>
      </c>
      <c r="AK198" s="13" t="s">
        <v>64</v>
      </c>
      <c r="AL198" s="36" t="str">
        <f t="shared" si="36"/>
        <v>Aborted</v>
      </c>
      <c r="AM198" s="37">
        <v>45454</v>
      </c>
      <c r="AN198" s="37">
        <v>45454</v>
      </c>
      <c r="AO198" s="37" t="s">
        <v>65</v>
      </c>
      <c r="AP198" s="37">
        <v>45454</v>
      </c>
      <c r="AQ198" s="38">
        <v>45454</v>
      </c>
      <c r="AR198" s="38"/>
      <c r="AS198" s="38"/>
      <c r="AT198" s="38"/>
      <c r="AU198" s="38"/>
      <c r="AV198" s="38"/>
      <c r="AW198" s="38">
        <v>45434</v>
      </c>
      <c r="AX198" s="38"/>
      <c r="AY198" s="38">
        <v>45478</v>
      </c>
      <c r="AZ198" s="38"/>
      <c r="BA198" s="39">
        <f>+IF(AY198="","",COUNTA(AN198:AV198)/(COUNTA(AN198:AV198)+COUNTBLANK(AN198:AV198)))</f>
        <v>0.44444444444444442</v>
      </c>
      <c r="BB198" s="38"/>
      <c r="BC198" s="11" t="s">
        <v>7</v>
      </c>
    </row>
    <row r="199" spans="1:55" x14ac:dyDescent="0.35">
      <c r="B199" s="16">
        <f>IF(D199=$A$516,1,IF(D199=$A$517,2,IF(D199=$A$518,3,IF(D199=$A$519,4,IF(D199=$A$520,5,IF(D199=$A$521,6))))))</f>
        <v>5</v>
      </c>
      <c r="D199" s="711" t="str">
        <f t="shared" si="32"/>
        <v>abt</v>
      </c>
      <c r="E199" s="20" t="s">
        <v>3615</v>
      </c>
      <c r="F199" s="13"/>
      <c r="G199" s="13"/>
      <c r="H199" s="14"/>
      <c r="I199" s="13"/>
      <c r="J199" s="13"/>
      <c r="K199" s="15" t="s">
        <v>3616</v>
      </c>
      <c r="L199" s="15"/>
      <c r="M199" s="15"/>
      <c r="N199" s="15"/>
      <c r="O199" s="15"/>
      <c r="P199" s="15"/>
      <c r="Q199" s="15"/>
      <c r="S199" s="35"/>
      <c r="T199" s="13"/>
      <c r="U199" s="17"/>
      <c r="V199" s="17"/>
      <c r="W199" s="36"/>
      <c r="X199" s="17"/>
      <c r="Y199" s="17"/>
      <c r="AA199" s="15" t="s">
        <v>99</v>
      </c>
      <c r="AB199" s="17" t="s">
        <v>3617</v>
      </c>
      <c r="AC199" s="21" t="s">
        <v>78</v>
      </c>
      <c r="AD199" s="21" t="s">
        <v>78</v>
      </c>
      <c r="AE199" s="13" t="s">
        <v>62</v>
      </c>
      <c r="AF199" s="17"/>
      <c r="AG199" s="15"/>
      <c r="AI199" s="42">
        <f t="shared" ca="1" si="34"/>
        <v>260</v>
      </c>
      <c r="AJ199" s="42">
        <f t="shared" ca="1" si="38"/>
        <v>183</v>
      </c>
      <c r="AK199" s="13" t="s">
        <v>101</v>
      </c>
      <c r="AL199" s="36" t="str">
        <f t="shared" si="36"/>
        <v>Aborted</v>
      </c>
      <c r="AM199" s="37">
        <v>45404</v>
      </c>
      <c r="AN199" s="37">
        <v>45404</v>
      </c>
      <c r="AO199" s="37" t="s">
        <v>65</v>
      </c>
      <c r="AP199" s="37">
        <v>45406</v>
      </c>
      <c r="AQ199" s="123">
        <v>45406</v>
      </c>
      <c r="AR199" s="38"/>
      <c r="AS199" s="38"/>
      <c r="AT199" s="38"/>
      <c r="AU199" s="38"/>
      <c r="AV199" s="38"/>
      <c r="AW199" s="38">
        <v>45414</v>
      </c>
      <c r="AX199" s="38">
        <v>45435</v>
      </c>
      <c r="AY199" s="38">
        <v>45481</v>
      </c>
      <c r="AZ199" s="38"/>
      <c r="BA199" s="39"/>
      <c r="BB199" s="38"/>
      <c r="BC199" s="11" t="s">
        <v>7</v>
      </c>
    </row>
    <row r="200" spans="1:55" x14ac:dyDescent="0.35">
      <c r="A200" s="1115"/>
      <c r="B200" s="16">
        <f>IF(D200=$A$516,1,IF(D200=$A$517,2,IF(D200=$A$518,3,IF(D200=$A$519,4,IF(D200=$A$520,5,IF(D200=$A$521,6))))))</f>
        <v>5</v>
      </c>
      <c r="D200" s="711" t="str">
        <f t="shared" si="32"/>
        <v>abt</v>
      </c>
      <c r="E200" s="20" t="s">
        <v>3514</v>
      </c>
      <c r="F200" s="13"/>
      <c r="G200" s="13" t="s">
        <v>278</v>
      </c>
      <c r="H200" s="14" t="s">
        <v>3515</v>
      </c>
      <c r="I200" s="13"/>
      <c r="J200" s="13" t="s">
        <v>1589</v>
      </c>
      <c r="K200" s="15" t="s">
        <v>3516</v>
      </c>
      <c r="L200" s="15" t="s">
        <v>3517</v>
      </c>
      <c r="M200" s="15" t="s">
        <v>3517</v>
      </c>
      <c r="N200" s="15"/>
      <c r="O200" s="15"/>
      <c r="P200" s="15"/>
      <c r="Q200" s="15"/>
      <c r="S200" s="35"/>
      <c r="T200" s="13"/>
      <c r="U200" s="17"/>
      <c r="V200" s="17"/>
      <c r="W200" s="36"/>
      <c r="X200" s="17"/>
      <c r="Y200" s="17"/>
      <c r="AA200" s="15" t="s">
        <v>60</v>
      </c>
      <c r="AB200" s="17"/>
      <c r="AC200" s="21" t="s">
        <v>78</v>
      </c>
      <c r="AD200" s="21" t="s">
        <v>78</v>
      </c>
      <c r="AE200" s="13" t="s">
        <v>79</v>
      </c>
      <c r="AF200" s="17"/>
      <c r="AG200" s="15"/>
      <c r="AH200" s="677">
        <v>1</v>
      </c>
      <c r="AI200" s="42">
        <f t="shared" ca="1" si="34"/>
        <v>298</v>
      </c>
      <c r="AJ200" s="42">
        <f t="shared" ca="1" si="38"/>
        <v>183</v>
      </c>
      <c r="AK200" s="13" t="s">
        <v>720</v>
      </c>
      <c r="AL200" s="36" t="str">
        <f t="shared" si="36"/>
        <v>Aborted</v>
      </c>
      <c r="AM200" s="37">
        <v>45366</v>
      </c>
      <c r="AN200" s="37">
        <v>45372</v>
      </c>
      <c r="AO200" s="37">
        <v>45386</v>
      </c>
      <c r="AP200" s="37">
        <v>45397</v>
      </c>
      <c r="AQ200" s="38">
        <v>45397</v>
      </c>
      <c r="AR200" s="38">
        <v>45406</v>
      </c>
      <c r="AS200" s="38"/>
      <c r="AT200" s="38"/>
      <c r="AU200" s="38"/>
      <c r="AV200" s="38"/>
      <c r="AW200" s="38"/>
      <c r="AX200" s="38">
        <v>45427</v>
      </c>
      <c r="AY200" s="38">
        <v>45481</v>
      </c>
      <c r="AZ200" s="38"/>
      <c r="BA200" s="39"/>
      <c r="BB200" s="38"/>
      <c r="BC200" s="11" t="s">
        <v>7</v>
      </c>
    </row>
    <row r="201" spans="1:55" x14ac:dyDescent="0.35">
      <c r="A201" s="921"/>
      <c r="B201" s="16">
        <f>IF(D201=$A$516,1,IF(D201=$A$517,2,IF(D201=$A$518,3,IF(D201=$A$519,4,IF(D201=$A$520,5,IF(D201=$A$521,6))))))</f>
        <v>5</v>
      </c>
      <c r="D201" s="20" t="str">
        <f t="shared" si="32"/>
        <v>abt</v>
      </c>
      <c r="E201" s="20" t="s">
        <v>3560</v>
      </c>
      <c r="F201" s="280"/>
      <c r="G201" s="13" t="s">
        <v>510</v>
      </c>
      <c r="H201" s="14" t="s">
        <v>3561</v>
      </c>
      <c r="I201" s="280">
        <v>222200</v>
      </c>
      <c r="J201" s="13" t="s">
        <v>202</v>
      </c>
      <c r="K201" s="15" t="s">
        <v>3562</v>
      </c>
      <c r="L201" s="15"/>
      <c r="M201" s="15"/>
      <c r="N201" s="15"/>
      <c r="O201" s="282"/>
      <c r="P201" s="282"/>
      <c r="Q201" s="282"/>
      <c r="R201" s="277"/>
      <c r="S201" s="35" t="s">
        <v>144</v>
      </c>
      <c r="T201" s="280">
        <v>2022</v>
      </c>
      <c r="U201" s="17">
        <v>29.248999999999999</v>
      </c>
      <c r="V201" s="284">
        <v>2.82</v>
      </c>
      <c r="W201" s="36">
        <f t="shared" ref="W201:W206" si="39">+V201/U201</f>
        <v>9.6413552600088895E-2</v>
      </c>
      <c r="X201" s="17">
        <v>1.08</v>
      </c>
      <c r="Y201" s="284">
        <v>9.3889999999999993</v>
      </c>
      <c r="Z201" s="277"/>
      <c r="AA201" s="15" t="s">
        <v>99</v>
      </c>
      <c r="AB201" s="17" t="s">
        <v>628</v>
      </c>
      <c r="AC201" s="21" t="s">
        <v>61</v>
      </c>
      <c r="AD201" s="21" t="s">
        <v>61</v>
      </c>
      <c r="AE201" s="496"/>
      <c r="AF201" s="284"/>
      <c r="AG201" s="282"/>
      <c r="AH201" s="277"/>
      <c r="AI201" s="42">
        <f t="shared" ca="1" si="34"/>
        <v>286</v>
      </c>
      <c r="AJ201" s="42">
        <f t="shared" ca="1" si="38"/>
        <v>183</v>
      </c>
      <c r="AK201" s="13" t="s">
        <v>87</v>
      </c>
      <c r="AL201" s="288" t="str">
        <f t="shared" si="36"/>
        <v>Aborted</v>
      </c>
      <c r="AM201" s="289">
        <v>45378</v>
      </c>
      <c r="AN201" s="289">
        <v>45378</v>
      </c>
      <c r="AO201" s="289">
        <v>45378</v>
      </c>
      <c r="AP201" s="289">
        <v>45378</v>
      </c>
      <c r="AQ201" s="38">
        <v>45390</v>
      </c>
      <c r="AR201" s="38">
        <v>45401</v>
      </c>
      <c r="AS201" s="38"/>
      <c r="AT201" s="38"/>
      <c r="AU201" s="38"/>
      <c r="AV201" s="38"/>
      <c r="AW201" s="38">
        <v>45401</v>
      </c>
      <c r="AX201" s="290">
        <v>45412</v>
      </c>
      <c r="AY201" s="290">
        <v>45481</v>
      </c>
      <c r="AZ201" s="290"/>
      <c r="BA201" s="291"/>
      <c r="BB201" s="290"/>
      <c r="BC201" s="11" t="s">
        <v>7</v>
      </c>
    </row>
    <row r="202" spans="1:55" x14ac:dyDescent="0.35">
      <c r="A202" s="921"/>
      <c r="B202" s="16">
        <f>IF(D202=$A$516,1,IF(D202=$A$517,2,IF(D202=$A$518,3,IF(D202=$A$519,4,IF(D202=$A$520,5,IF(D202=$A$521,6))))))</f>
        <v>5</v>
      </c>
      <c r="D202" s="20" t="str">
        <f t="shared" si="32"/>
        <v>abt</v>
      </c>
      <c r="E202" s="20" t="s">
        <v>3524</v>
      </c>
      <c r="F202" s="280"/>
      <c r="G202" s="13" t="s">
        <v>103</v>
      </c>
      <c r="H202" s="14" t="s">
        <v>3492</v>
      </c>
      <c r="I202" s="280"/>
      <c r="J202" s="13" t="s">
        <v>1589</v>
      </c>
      <c r="K202" s="15" t="s">
        <v>3489</v>
      </c>
      <c r="L202" s="15" t="s">
        <v>3493</v>
      </c>
      <c r="M202" s="15"/>
      <c r="N202" s="15"/>
      <c r="O202" s="282"/>
      <c r="P202" s="282"/>
      <c r="Q202" s="282"/>
      <c r="R202" s="277"/>
      <c r="S202" s="35" t="s">
        <v>77</v>
      </c>
      <c r="T202" s="280">
        <v>2022</v>
      </c>
      <c r="U202" s="17">
        <v>18.828254000000001</v>
      </c>
      <c r="V202" s="284">
        <v>3.2254200000000002</v>
      </c>
      <c r="W202" s="36">
        <f t="shared" si="39"/>
        <v>0.17130744040313031</v>
      </c>
      <c r="X202" s="17"/>
      <c r="Y202" s="284"/>
      <c r="Z202" s="277"/>
      <c r="AA202" s="15" t="s">
        <v>2901</v>
      </c>
      <c r="AB202" s="17"/>
      <c r="AC202" s="21" t="s">
        <v>78</v>
      </c>
      <c r="AD202" s="21" t="s">
        <v>78</v>
      </c>
      <c r="AE202" s="13" t="s">
        <v>79</v>
      </c>
      <c r="AF202" s="284"/>
      <c r="AG202" s="282"/>
      <c r="AH202" s="677">
        <v>1</v>
      </c>
      <c r="AI202" s="42">
        <f t="shared" ref="AI202:AI265" ca="1" si="40">+TODAY()-AM202</f>
        <v>300</v>
      </c>
      <c r="AJ202" s="42">
        <f t="shared" ca="1" si="38"/>
        <v>183</v>
      </c>
      <c r="AK202" s="13" t="s">
        <v>87</v>
      </c>
      <c r="AL202" s="288" t="str">
        <f t="shared" ref="AL202:AL265" si="41">+IF(BB202="",IF(AZ202="",IF(AY202="",IF(AX202="",COUNTA(AN202:AV202)/9,"On-hold"),"Aborted"),"Closed"),"RIP")</f>
        <v>Aborted</v>
      </c>
      <c r="AM202" s="289">
        <v>45364</v>
      </c>
      <c r="AN202" s="289">
        <v>45364</v>
      </c>
      <c r="AO202" s="289">
        <v>45364</v>
      </c>
      <c r="AP202" s="289">
        <v>45364</v>
      </c>
      <c r="AQ202" s="38">
        <v>45364</v>
      </c>
      <c r="AR202" s="38">
        <v>45380</v>
      </c>
      <c r="AS202" s="38">
        <v>45391</v>
      </c>
      <c r="AT202" s="38"/>
      <c r="AU202" s="38"/>
      <c r="AV202" s="38"/>
      <c r="AW202" s="38"/>
      <c r="AX202" s="290">
        <v>45405</v>
      </c>
      <c r="AY202" s="290">
        <v>45481</v>
      </c>
      <c r="AZ202" s="290"/>
      <c r="BA202" s="291"/>
      <c r="BB202" s="290"/>
      <c r="BC202" s="11" t="s">
        <v>7</v>
      </c>
    </row>
    <row r="203" spans="1:55" x14ac:dyDescent="0.35">
      <c r="A203" s="973"/>
      <c r="B203" s="16">
        <f>IF(D203=$A$516,1,IF(D203=$A$517,2,IF(D203=$A$518,3,IF(D203=$A$519,4,IF(D203=$A$520,5,IF(D203=$A$521,6))))))</f>
        <v>5</v>
      </c>
      <c r="D203" s="20" t="str">
        <f t="shared" si="32"/>
        <v>abt</v>
      </c>
      <c r="E203" s="20" t="s">
        <v>3522</v>
      </c>
      <c r="F203" s="280"/>
      <c r="G203" s="13" t="s">
        <v>278</v>
      </c>
      <c r="H203" s="14" t="s">
        <v>3484</v>
      </c>
      <c r="I203" s="280"/>
      <c r="J203" s="13" t="s">
        <v>1589</v>
      </c>
      <c r="K203" s="15" t="s">
        <v>3485</v>
      </c>
      <c r="L203" s="15" t="s">
        <v>3486</v>
      </c>
      <c r="M203" s="15"/>
      <c r="N203" s="15"/>
      <c r="O203" s="282"/>
      <c r="P203" s="282"/>
      <c r="Q203" s="282"/>
      <c r="R203" s="277"/>
      <c r="S203" s="35" t="s">
        <v>77</v>
      </c>
      <c r="T203" s="280">
        <v>2022</v>
      </c>
      <c r="U203" s="17">
        <v>19.718281999999999</v>
      </c>
      <c r="V203" s="284">
        <v>2.3293539999999999</v>
      </c>
      <c r="W203" s="36">
        <f t="shared" si="39"/>
        <v>0.11813169118891799</v>
      </c>
      <c r="X203" s="17"/>
      <c r="Y203" s="284"/>
      <c r="Z203" s="277"/>
      <c r="AA203" s="15" t="s">
        <v>2901</v>
      </c>
      <c r="AB203" s="17"/>
      <c r="AC203" s="21" t="s">
        <v>78</v>
      </c>
      <c r="AD203" s="21" t="s">
        <v>78</v>
      </c>
      <c r="AE203" s="13" t="s">
        <v>79</v>
      </c>
      <c r="AF203" s="284"/>
      <c r="AG203" s="282"/>
      <c r="AH203" s="677">
        <v>1</v>
      </c>
      <c r="AI203" s="42">
        <f t="shared" ca="1" si="40"/>
        <v>300</v>
      </c>
      <c r="AJ203" s="42">
        <f t="shared" ca="1" si="38"/>
        <v>183</v>
      </c>
      <c r="AK203" s="13" t="s">
        <v>87</v>
      </c>
      <c r="AL203" s="288" t="str">
        <f t="shared" si="41"/>
        <v>Aborted</v>
      </c>
      <c r="AM203" s="289">
        <v>45364</v>
      </c>
      <c r="AN203" s="289">
        <v>45364</v>
      </c>
      <c r="AO203" s="289">
        <v>45364</v>
      </c>
      <c r="AP203" s="289">
        <v>45364</v>
      </c>
      <c r="AQ203" s="38">
        <v>45364</v>
      </c>
      <c r="AR203" s="38">
        <v>45380</v>
      </c>
      <c r="AS203" s="38"/>
      <c r="AT203" s="38"/>
      <c r="AU203" s="38"/>
      <c r="AV203" s="38"/>
      <c r="AW203" s="38"/>
      <c r="AX203" s="290">
        <v>45405</v>
      </c>
      <c r="AY203" s="290">
        <v>45481</v>
      </c>
      <c r="AZ203" s="290"/>
      <c r="BA203" s="291"/>
      <c r="BB203" s="290"/>
      <c r="BC203" s="11" t="s">
        <v>7</v>
      </c>
    </row>
    <row r="204" spans="1:55" x14ac:dyDescent="0.35">
      <c r="B204" s="16">
        <f>IF(D204=$A$516,1,IF(D204=$A$517,2,IF(D204=$A$518,3,IF(D204=$A$519,4,IF(D204=$A$520,5,IF(D204=$A$521,6))))))</f>
        <v>5</v>
      </c>
      <c r="D204" s="20" t="str">
        <f t="shared" si="32"/>
        <v>abt</v>
      </c>
      <c r="E204" s="20" t="s">
        <v>3521</v>
      </c>
      <c r="F204" s="280"/>
      <c r="G204" s="13" t="s">
        <v>538</v>
      </c>
      <c r="H204" s="14" t="s">
        <v>3480</v>
      </c>
      <c r="I204" s="280"/>
      <c r="J204" s="13" t="s">
        <v>1589</v>
      </c>
      <c r="K204" s="15" t="s">
        <v>3481</v>
      </c>
      <c r="L204" s="15" t="s">
        <v>3482</v>
      </c>
      <c r="M204" s="15"/>
      <c r="N204" s="15"/>
      <c r="O204" s="282"/>
      <c r="P204" s="282"/>
      <c r="Q204" s="282"/>
      <c r="R204" s="277"/>
      <c r="S204" s="35" t="s">
        <v>77</v>
      </c>
      <c r="T204" s="280">
        <v>2022</v>
      </c>
      <c r="U204" s="17">
        <v>43.624690000000001</v>
      </c>
      <c r="V204" s="284">
        <v>4.4643490000000003</v>
      </c>
      <c r="W204" s="36">
        <f t="shared" si="39"/>
        <v>0.10233537476140232</v>
      </c>
      <c r="X204" s="17"/>
      <c r="Y204" s="284"/>
      <c r="Z204" s="277"/>
      <c r="AA204" s="15" t="s">
        <v>2901</v>
      </c>
      <c r="AB204" s="17"/>
      <c r="AC204" s="21" t="s">
        <v>78</v>
      </c>
      <c r="AD204" s="21" t="s">
        <v>78</v>
      </c>
      <c r="AE204" s="13" t="s">
        <v>79</v>
      </c>
      <c r="AF204" s="284"/>
      <c r="AG204" s="282"/>
      <c r="AH204" s="677">
        <v>1</v>
      </c>
      <c r="AI204" s="42">
        <f t="shared" ca="1" si="40"/>
        <v>300</v>
      </c>
      <c r="AJ204" s="42">
        <f t="shared" ca="1" si="38"/>
        <v>183</v>
      </c>
      <c r="AK204" s="13" t="s">
        <v>87</v>
      </c>
      <c r="AL204" s="288" t="str">
        <f t="shared" si="41"/>
        <v>Aborted</v>
      </c>
      <c r="AM204" s="289">
        <v>45364</v>
      </c>
      <c r="AN204" s="289">
        <v>45364</v>
      </c>
      <c r="AO204" s="289">
        <v>45364</v>
      </c>
      <c r="AP204" s="289">
        <v>45364</v>
      </c>
      <c r="AQ204" s="38">
        <v>45364</v>
      </c>
      <c r="AR204" s="38"/>
      <c r="AS204" s="38"/>
      <c r="AT204" s="38"/>
      <c r="AU204" s="38"/>
      <c r="AV204" s="38"/>
      <c r="AW204" s="38"/>
      <c r="AX204" s="290">
        <v>45405</v>
      </c>
      <c r="AY204" s="290">
        <v>45481</v>
      </c>
      <c r="AZ204" s="290"/>
      <c r="BA204" s="291"/>
      <c r="BB204" s="290"/>
      <c r="BC204" s="11" t="s">
        <v>7</v>
      </c>
    </row>
    <row r="205" spans="1:55" x14ac:dyDescent="0.35">
      <c r="A205" s="765"/>
      <c r="B205" s="16">
        <f>IF(D205=$A$516,1,IF(D205=$A$517,2,IF(D205=$A$518,3,IF(D205=$A$519,4,IF(D205=$A$520,5,IF(D205=$A$521,6))))))</f>
        <v>5</v>
      </c>
      <c r="D205" s="20" t="str">
        <f t="shared" ref="D205:D268" si="42">IF(AL205="Closed","cls",IF(AL205=1,"sgn",IF(AL205="On-hold","hld",IF(AL205="Aborted","abt",IF(AL205&lt;1,"wip","RIP")))))</f>
        <v>abt</v>
      </c>
      <c r="E205" s="20" t="s">
        <v>3523</v>
      </c>
      <c r="F205" s="280"/>
      <c r="G205" s="13" t="s">
        <v>166</v>
      </c>
      <c r="H205" s="14" t="s">
        <v>3488</v>
      </c>
      <c r="I205" s="280"/>
      <c r="J205" s="13" t="s">
        <v>1589</v>
      </c>
      <c r="K205" s="15" t="s">
        <v>3489</v>
      </c>
      <c r="L205" s="15" t="s">
        <v>3490</v>
      </c>
      <c r="M205" s="15"/>
      <c r="N205" s="15"/>
      <c r="O205" s="282"/>
      <c r="P205" s="282"/>
      <c r="Q205" s="282"/>
      <c r="R205" s="277"/>
      <c r="S205" s="35" t="s">
        <v>77</v>
      </c>
      <c r="T205" s="280">
        <v>2022</v>
      </c>
      <c r="U205" s="17">
        <v>19.304206999999998</v>
      </c>
      <c r="V205" s="284">
        <v>2.6680070000000002</v>
      </c>
      <c r="W205" s="36">
        <f t="shared" si="39"/>
        <v>0.13820857805762238</v>
      </c>
      <c r="X205" s="17"/>
      <c r="Y205" s="284"/>
      <c r="Z205" s="277"/>
      <c r="AA205" s="15" t="s">
        <v>2901</v>
      </c>
      <c r="AB205" s="17"/>
      <c r="AC205" s="21" t="s">
        <v>78</v>
      </c>
      <c r="AD205" s="21" t="s">
        <v>78</v>
      </c>
      <c r="AE205" s="13" t="s">
        <v>79</v>
      </c>
      <c r="AF205" s="284"/>
      <c r="AG205" s="282"/>
      <c r="AH205" s="677">
        <v>1</v>
      </c>
      <c r="AI205" s="42">
        <f t="shared" ca="1" si="40"/>
        <v>300</v>
      </c>
      <c r="AJ205" s="42">
        <f t="shared" ca="1" si="38"/>
        <v>183</v>
      </c>
      <c r="AK205" s="13" t="s">
        <v>87</v>
      </c>
      <c r="AL205" s="288" t="str">
        <f t="shared" si="41"/>
        <v>Aborted</v>
      </c>
      <c r="AM205" s="289">
        <v>45364</v>
      </c>
      <c r="AN205" s="289">
        <v>45364</v>
      </c>
      <c r="AO205" s="289">
        <v>45364</v>
      </c>
      <c r="AP205" s="289">
        <v>45364</v>
      </c>
      <c r="AQ205" s="38">
        <v>45364</v>
      </c>
      <c r="AR205" s="38"/>
      <c r="AS205" s="38"/>
      <c r="AT205" s="38"/>
      <c r="AU205" s="38"/>
      <c r="AV205" s="38"/>
      <c r="AW205" s="38"/>
      <c r="AX205" s="290">
        <v>45405</v>
      </c>
      <c r="AY205" s="290">
        <v>45481</v>
      </c>
      <c r="AZ205" s="290"/>
      <c r="BA205" s="291"/>
      <c r="BB205" s="290"/>
      <c r="BC205" s="11" t="s">
        <v>7</v>
      </c>
    </row>
    <row r="206" spans="1:55" x14ac:dyDescent="0.35">
      <c r="A206" s="765"/>
      <c r="B206" s="16">
        <f>IF(D206=$A$516,1,IF(D206=$A$517,2,IF(D206=$A$518,3,IF(D206=$A$519,4,IF(D206=$A$520,5,IF(D206=$A$521,6))))))</f>
        <v>5</v>
      </c>
      <c r="C206" s="255"/>
      <c r="D206" s="20" t="str">
        <f t="shared" si="42"/>
        <v>abt</v>
      </c>
      <c r="E206" s="20" t="s">
        <v>3248</v>
      </c>
      <c r="F206" s="13"/>
      <c r="G206" s="13" t="s">
        <v>103</v>
      </c>
      <c r="H206" s="374" t="s">
        <v>3249</v>
      </c>
      <c r="I206" s="13"/>
      <c r="J206" s="13" t="s">
        <v>621</v>
      </c>
      <c r="K206" s="15" t="s">
        <v>3250</v>
      </c>
      <c r="L206" s="15"/>
      <c r="M206" s="15"/>
      <c r="N206" s="15"/>
      <c r="O206" s="15"/>
      <c r="P206" s="15"/>
      <c r="Q206" s="15"/>
      <c r="S206" s="35" t="s">
        <v>144</v>
      </c>
      <c r="T206" s="13">
        <v>2022</v>
      </c>
      <c r="U206" s="17">
        <v>74</v>
      </c>
      <c r="V206" s="17">
        <v>20</v>
      </c>
      <c r="W206" s="36">
        <f t="shared" si="39"/>
        <v>0.27027027027027029</v>
      </c>
      <c r="X206" s="17"/>
      <c r="Y206" s="17"/>
      <c r="AA206" s="15" t="s">
        <v>99</v>
      </c>
      <c r="AB206" s="17" t="s">
        <v>3251</v>
      </c>
      <c r="AC206" s="21" t="s">
        <v>61</v>
      </c>
      <c r="AD206" s="17" t="s">
        <v>61</v>
      </c>
      <c r="AE206" s="366" t="s">
        <v>79</v>
      </c>
      <c r="AF206" s="17"/>
      <c r="AG206" s="15"/>
      <c r="AH206" s="677">
        <v>1</v>
      </c>
      <c r="AI206" s="42">
        <f t="shared" ca="1" si="40"/>
        <v>329</v>
      </c>
      <c r="AJ206" s="42">
        <f t="shared" ca="1" si="38"/>
        <v>183</v>
      </c>
      <c r="AK206" s="13" t="s">
        <v>64</v>
      </c>
      <c r="AL206" s="288" t="str">
        <f t="shared" si="41"/>
        <v>Aborted</v>
      </c>
      <c r="AM206" s="289">
        <v>45335</v>
      </c>
      <c r="AN206" s="289">
        <v>45335</v>
      </c>
      <c r="AO206" s="289" t="s">
        <v>65</v>
      </c>
      <c r="AP206" s="289">
        <v>45335</v>
      </c>
      <c r="AQ206" s="38">
        <v>45335</v>
      </c>
      <c r="AR206" s="38"/>
      <c r="AS206" s="38"/>
      <c r="AT206" s="38"/>
      <c r="AU206" s="38"/>
      <c r="AV206" s="38"/>
      <c r="AW206" s="38"/>
      <c r="AX206" s="38">
        <v>45377</v>
      </c>
      <c r="AY206" s="290">
        <v>45481</v>
      </c>
      <c r="AZ206" s="38"/>
      <c r="BA206" s="39">
        <f>+IF(AY206="","",COUNTA(AN206:AV206)/(COUNTA(AN206:AV206)+COUNTBLANK(AN206:AV206)))</f>
        <v>0.44444444444444442</v>
      </c>
      <c r="BB206" s="38"/>
      <c r="BC206" s="11" t="s">
        <v>7</v>
      </c>
    </row>
    <row r="207" spans="1:55" x14ac:dyDescent="0.35">
      <c r="B207" s="277">
        <f>IF(D207=$A$516,1,IF(D207=$A$517,2,IF(D207=$A$518,3,IF(D207=$A$519,4,IF(D207=$A$520,5,IF(D207=$A$521,6))))))</f>
        <v>5</v>
      </c>
      <c r="C207" s="277"/>
      <c r="D207" s="711" t="str">
        <f t="shared" si="42"/>
        <v>abt</v>
      </c>
      <c r="E207" s="279" t="s">
        <v>2945</v>
      </c>
      <c r="F207" s="280"/>
      <c r="G207" s="280" t="s">
        <v>68</v>
      </c>
      <c r="H207" s="281"/>
      <c r="I207" s="280"/>
      <c r="J207" s="280" t="s">
        <v>149</v>
      </c>
      <c r="K207" s="282" t="s">
        <v>2941</v>
      </c>
      <c r="L207" s="282" t="s">
        <v>2942</v>
      </c>
      <c r="M207" s="282"/>
      <c r="N207" s="282"/>
      <c r="O207" s="282"/>
      <c r="P207" s="282"/>
      <c r="Q207" s="282"/>
      <c r="R207" s="277"/>
      <c r="S207" s="283"/>
      <c r="T207" s="280"/>
      <c r="U207" s="284"/>
      <c r="V207" s="284"/>
      <c r="W207" s="36"/>
      <c r="X207" s="284"/>
      <c r="Y207" s="284"/>
      <c r="Z207" s="277"/>
      <c r="AA207" s="282" t="s">
        <v>237</v>
      </c>
      <c r="AB207" s="284"/>
      <c r="AC207" s="285" t="s">
        <v>78</v>
      </c>
      <c r="AD207" s="285" t="s">
        <v>78</v>
      </c>
      <c r="AE207" s="280" t="s">
        <v>79</v>
      </c>
      <c r="AF207" s="284"/>
      <c r="AG207" s="282" t="s">
        <v>2943</v>
      </c>
      <c r="AH207" s="677">
        <v>1</v>
      </c>
      <c r="AI207" s="42">
        <f t="shared" ca="1" si="40"/>
        <v>354</v>
      </c>
      <c r="AJ207" s="42">
        <f t="shared" ca="1" si="38"/>
        <v>183</v>
      </c>
      <c r="AK207" s="280" t="s">
        <v>70</v>
      </c>
      <c r="AL207" s="288" t="str">
        <f t="shared" si="41"/>
        <v>Aborted</v>
      </c>
      <c r="AM207" s="289">
        <v>45310</v>
      </c>
      <c r="AN207" s="289">
        <v>45310</v>
      </c>
      <c r="AO207" s="289" t="s">
        <v>65</v>
      </c>
      <c r="AP207" s="289">
        <v>45310</v>
      </c>
      <c r="AQ207" s="38">
        <v>45310</v>
      </c>
      <c r="AR207" s="38"/>
      <c r="AS207" s="38"/>
      <c r="AT207" s="38"/>
      <c r="AU207" s="38"/>
      <c r="AV207" s="38"/>
      <c r="AW207" s="290">
        <v>45310</v>
      </c>
      <c r="AX207" s="290">
        <v>45338</v>
      </c>
      <c r="AY207" s="290">
        <v>45481</v>
      </c>
      <c r="AZ207" s="290"/>
      <c r="BA207" s="291"/>
      <c r="BB207" s="290"/>
      <c r="BC207" s="11" t="s">
        <v>7</v>
      </c>
    </row>
    <row r="208" spans="1:55" x14ac:dyDescent="0.35">
      <c r="B208" s="277">
        <f>IF(D208=$A$516,1,IF(D208=$A$517,2,IF(D208=$A$518,3,IF(D208=$A$519,4,IF(D208=$A$520,5,IF(D208=$A$521,6))))))</f>
        <v>5</v>
      </c>
      <c r="C208" s="277"/>
      <c r="D208" s="711" t="str">
        <f t="shared" si="42"/>
        <v>abt</v>
      </c>
      <c r="E208" s="279" t="s">
        <v>2946</v>
      </c>
      <c r="F208" s="280"/>
      <c r="G208" s="280" t="s">
        <v>68</v>
      </c>
      <c r="H208" s="281"/>
      <c r="I208" s="280"/>
      <c r="J208" s="280" t="s">
        <v>111</v>
      </c>
      <c r="K208" s="282" t="s">
        <v>2944</v>
      </c>
      <c r="L208" s="282" t="s">
        <v>2942</v>
      </c>
      <c r="M208" s="282"/>
      <c r="N208" s="282"/>
      <c r="O208" s="282"/>
      <c r="P208" s="282"/>
      <c r="Q208" s="282"/>
      <c r="R208" s="277"/>
      <c r="S208" s="283"/>
      <c r="T208" s="280"/>
      <c r="U208" s="284"/>
      <c r="V208" s="284"/>
      <c r="W208" s="36"/>
      <c r="X208" s="284"/>
      <c r="Y208" s="284"/>
      <c r="Z208" s="277"/>
      <c r="AA208" s="282" t="s">
        <v>237</v>
      </c>
      <c r="AB208" s="284"/>
      <c r="AC208" s="285" t="s">
        <v>78</v>
      </c>
      <c r="AD208" s="285" t="s">
        <v>78</v>
      </c>
      <c r="AE208" s="280" t="s">
        <v>79</v>
      </c>
      <c r="AF208" s="284"/>
      <c r="AG208" s="282" t="s">
        <v>2943</v>
      </c>
      <c r="AH208" s="677">
        <v>1</v>
      </c>
      <c r="AI208" s="42">
        <f t="shared" ca="1" si="40"/>
        <v>354</v>
      </c>
      <c r="AJ208" s="42">
        <f t="shared" ca="1" si="38"/>
        <v>183</v>
      </c>
      <c r="AK208" s="280" t="s">
        <v>70</v>
      </c>
      <c r="AL208" s="288" t="str">
        <f t="shared" si="41"/>
        <v>Aborted</v>
      </c>
      <c r="AM208" s="289">
        <v>45310</v>
      </c>
      <c r="AN208" s="289">
        <v>45310</v>
      </c>
      <c r="AO208" s="289" t="s">
        <v>65</v>
      </c>
      <c r="AP208" s="289">
        <v>45310</v>
      </c>
      <c r="AQ208" s="38">
        <v>45310</v>
      </c>
      <c r="AR208" s="38"/>
      <c r="AS208" s="38"/>
      <c r="AT208" s="38"/>
      <c r="AU208" s="38"/>
      <c r="AV208" s="38"/>
      <c r="AW208" s="290">
        <v>45310</v>
      </c>
      <c r="AX208" s="290">
        <v>45338</v>
      </c>
      <c r="AY208" s="290">
        <v>45481</v>
      </c>
      <c r="AZ208" s="290"/>
      <c r="BA208" s="291"/>
      <c r="BB208" s="290"/>
      <c r="BC208" s="11" t="s">
        <v>7</v>
      </c>
    </row>
    <row r="209" spans="1:55" x14ac:dyDescent="0.35">
      <c r="A209" s="651"/>
      <c r="B209" s="255">
        <f>IF(D209=$A$516,1,IF(D209=$A$517,2,IF(D209=$A$518,3,IF(D209=$A$519,4,IF(D209=$A$520,5,IF(D209=$A$521,6))))))</f>
        <v>5</v>
      </c>
      <c r="C209" s="255"/>
      <c r="D209" s="711" t="str">
        <f t="shared" si="42"/>
        <v>abt</v>
      </c>
      <c r="E209" s="260" t="s">
        <v>2882</v>
      </c>
      <c r="F209" s="252"/>
      <c r="G209" s="252"/>
      <c r="H209" s="253"/>
      <c r="I209" s="252"/>
      <c r="J209" s="267" t="s">
        <v>878</v>
      </c>
      <c r="K209" s="254" t="s">
        <v>2883</v>
      </c>
      <c r="L209" s="254"/>
      <c r="M209" s="254"/>
      <c r="N209" s="254"/>
      <c r="O209" s="254"/>
      <c r="P209" s="254"/>
      <c r="Q209" s="254"/>
      <c r="R209" s="255"/>
      <c r="S209" s="256"/>
      <c r="T209" s="252"/>
      <c r="U209" s="257"/>
      <c r="V209" s="257"/>
      <c r="W209" s="36"/>
      <c r="X209" s="257"/>
      <c r="Y209" s="257"/>
      <c r="Z209" s="255"/>
      <c r="AA209" s="254" t="s">
        <v>60</v>
      </c>
      <c r="AB209" s="257"/>
      <c r="AC209" s="296" t="s">
        <v>61</v>
      </c>
      <c r="AD209" s="258" t="s">
        <v>61</v>
      </c>
      <c r="AE209" s="258" t="s">
        <v>79</v>
      </c>
      <c r="AF209" s="257"/>
      <c r="AG209" s="254"/>
      <c r="AH209" s="677">
        <v>1</v>
      </c>
      <c r="AI209" s="42">
        <f t="shared" ca="1" si="40"/>
        <v>659</v>
      </c>
      <c r="AJ209" s="42">
        <f t="shared" ca="1" si="38"/>
        <v>183</v>
      </c>
      <c r="AK209" s="252" t="s">
        <v>2725</v>
      </c>
      <c r="AL209" s="288" t="str">
        <f t="shared" si="41"/>
        <v>Aborted</v>
      </c>
      <c r="AM209" s="265">
        <v>45005</v>
      </c>
      <c r="AN209" s="172">
        <v>45301</v>
      </c>
      <c r="AO209" s="265" t="s">
        <v>65</v>
      </c>
      <c r="AP209" s="265" t="s">
        <v>65</v>
      </c>
      <c r="AQ209" s="38">
        <v>45303</v>
      </c>
      <c r="AR209" s="38">
        <v>45310</v>
      </c>
      <c r="AS209" s="38">
        <v>45317</v>
      </c>
      <c r="AT209" s="38"/>
      <c r="AU209" s="38"/>
      <c r="AV209" s="38"/>
      <c r="AW209" s="263">
        <v>45324</v>
      </c>
      <c r="AX209" s="263">
        <v>45335</v>
      </c>
      <c r="AY209" s="263">
        <v>45481</v>
      </c>
      <c r="AZ209" s="263"/>
      <c r="BA209" s="266">
        <f>+IF(AY209="","",COUNTA(AN209:AV209)/(COUNTA(AN209:AV209)+COUNTBLANK(AN209:AV209)))</f>
        <v>0.66666666666666663</v>
      </c>
      <c r="BB209" s="263"/>
      <c r="BC209" s="11" t="s">
        <v>7</v>
      </c>
    </row>
    <row r="210" spans="1:55" x14ac:dyDescent="0.35">
      <c r="B210" s="16">
        <f>IF(D210=$A$516,1,IF(D210=$A$517,2,IF(D210=$A$518,3,IF(D210=$A$519,4,IF(D210=$A$520,5,IF(D210=$A$521,6))))))</f>
        <v>5</v>
      </c>
      <c r="D210" s="20" t="str">
        <f t="shared" si="42"/>
        <v>abt</v>
      </c>
      <c r="E210" s="20" t="s">
        <v>537</v>
      </c>
      <c r="F210" s="13" t="s">
        <v>65</v>
      </c>
      <c r="G210" s="13" t="s">
        <v>538</v>
      </c>
      <c r="H210" s="14" t="s">
        <v>539</v>
      </c>
      <c r="I210" s="13">
        <v>631130</v>
      </c>
      <c r="J210" s="13" t="s">
        <v>119</v>
      </c>
      <c r="K210" s="15" t="s">
        <v>540</v>
      </c>
      <c r="L210" s="15" t="s">
        <v>541</v>
      </c>
      <c r="M210" s="15"/>
      <c r="N210" s="15"/>
      <c r="O210" s="15"/>
      <c r="P210" s="15"/>
      <c r="Q210" s="15"/>
      <c r="S210" s="35" t="s">
        <v>77</v>
      </c>
      <c r="T210" s="13">
        <v>2020</v>
      </c>
      <c r="U210" s="17" t="s">
        <v>542</v>
      </c>
      <c r="V210" s="17" t="s">
        <v>543</v>
      </c>
      <c r="W210" s="36"/>
      <c r="X210" s="17" t="s">
        <v>543</v>
      </c>
      <c r="Y210" s="17" t="s">
        <v>543</v>
      </c>
      <c r="AA210" s="15" t="s">
        <v>60</v>
      </c>
      <c r="AB210" s="17"/>
      <c r="AC210" s="21" t="s">
        <v>61</v>
      </c>
      <c r="AD210" s="21" t="s">
        <v>61</v>
      </c>
      <c r="AE210" s="17" t="s">
        <v>79</v>
      </c>
      <c r="AF210" s="17"/>
      <c r="AG210" s="15"/>
      <c r="AH210" s="677">
        <v>1</v>
      </c>
      <c r="AI210" s="42">
        <f t="shared" ca="1" si="40"/>
        <v>799</v>
      </c>
      <c r="AJ210" s="42">
        <f t="shared" ca="1" si="38"/>
        <v>183</v>
      </c>
      <c r="AK210" s="13" t="s">
        <v>544</v>
      </c>
      <c r="AL210" s="36" t="str">
        <f t="shared" si="41"/>
        <v>Aborted</v>
      </c>
      <c r="AM210" s="37">
        <v>44865</v>
      </c>
      <c r="AN210" s="37">
        <f>+AM210</f>
        <v>44865</v>
      </c>
      <c r="AO210" s="37" t="s">
        <v>65</v>
      </c>
      <c r="AP210" s="37">
        <v>44865</v>
      </c>
      <c r="AQ210" s="38">
        <v>44894</v>
      </c>
      <c r="AR210" s="38" t="s">
        <v>65</v>
      </c>
      <c r="AS210" s="38" t="s">
        <v>65</v>
      </c>
      <c r="AT210" s="38">
        <v>44902</v>
      </c>
      <c r="AU210" s="38">
        <v>44949</v>
      </c>
      <c r="AV210" s="38"/>
      <c r="AW210" s="38">
        <v>44956</v>
      </c>
      <c r="AX210" s="38">
        <v>44985</v>
      </c>
      <c r="AY210" s="38">
        <v>45481</v>
      </c>
      <c r="AZ210" s="38"/>
      <c r="BA210" s="39">
        <f>+IF(AY210="","",COUNTA(AN210:AV210)/(COUNTA(AN210:AV210)+COUNTBLANK(AN210:AV210)))</f>
        <v>0.88888888888888884</v>
      </c>
      <c r="BB210" s="38"/>
      <c r="BC210" s="11" t="s">
        <v>7</v>
      </c>
    </row>
    <row r="211" spans="1:55" x14ac:dyDescent="0.35">
      <c r="B211" s="651">
        <f>IF(D211=$A$516,1,IF(D211=$A$517,2,IF(D211=$A$518,3,IF(D211=$A$519,4,IF(D211=$A$520,5,IF(D211=$A$521,6))))))</f>
        <v>5</v>
      </c>
      <c r="C211" s="651"/>
      <c r="D211" s="711" t="str">
        <f t="shared" si="42"/>
        <v>abt</v>
      </c>
      <c r="E211" s="650" t="s">
        <v>4049</v>
      </c>
      <c r="F211" s="652" t="s">
        <v>911</v>
      </c>
      <c r="G211" s="652" t="s">
        <v>572</v>
      </c>
      <c r="H211" s="648" t="s">
        <v>912</v>
      </c>
      <c r="I211" s="652">
        <v>463310</v>
      </c>
      <c r="J211" s="652" t="s">
        <v>83</v>
      </c>
      <c r="K211" s="649" t="s">
        <v>913</v>
      </c>
      <c r="L211" s="649" t="s">
        <v>914</v>
      </c>
      <c r="M211" s="649"/>
      <c r="N211" s="649"/>
      <c r="O211" s="649"/>
      <c r="P211" s="649"/>
      <c r="Q211" s="649"/>
      <c r="R211" s="651"/>
      <c r="S211" s="653" t="s">
        <v>144</v>
      </c>
      <c r="T211" s="652">
        <v>2021</v>
      </c>
      <c r="U211" s="654">
        <v>564</v>
      </c>
      <c r="V211" s="654">
        <v>32.392000000000003</v>
      </c>
      <c r="W211" s="655">
        <f>+V211/U211</f>
        <v>5.7432624113475182E-2</v>
      </c>
      <c r="X211" s="654">
        <v>15.486000000000001</v>
      </c>
      <c r="Y211" s="654">
        <v>100.48099999999999</v>
      </c>
      <c r="Z211" s="651"/>
      <c r="AA211" s="649" t="s">
        <v>140</v>
      </c>
      <c r="AB211" s="654"/>
      <c r="AC211" s="656" t="s">
        <v>79</v>
      </c>
      <c r="AD211" s="656" t="s">
        <v>78</v>
      </c>
      <c r="AE211" s="654" t="s">
        <v>86</v>
      </c>
      <c r="AF211" s="654" t="s">
        <v>79</v>
      </c>
      <c r="AG211" s="649"/>
      <c r="AH211" s="677">
        <v>1</v>
      </c>
      <c r="AI211" s="657">
        <f t="shared" ca="1" si="40"/>
        <v>214</v>
      </c>
      <c r="AJ211" s="657">
        <f t="shared" ca="1" si="38"/>
        <v>165</v>
      </c>
      <c r="AK211" s="652" t="s">
        <v>64</v>
      </c>
      <c r="AL211" s="655" t="str">
        <f t="shared" si="41"/>
        <v>Aborted</v>
      </c>
      <c r="AM211" s="658">
        <v>45450</v>
      </c>
      <c r="AN211" s="658">
        <v>45450</v>
      </c>
      <c r="AO211" s="658">
        <v>45450</v>
      </c>
      <c r="AP211" s="658">
        <v>45450</v>
      </c>
      <c r="AQ211" s="659">
        <v>45450</v>
      </c>
      <c r="AR211" s="659">
        <v>45469</v>
      </c>
      <c r="AS211" s="659"/>
      <c r="AT211" s="659"/>
      <c r="AU211" s="659"/>
      <c r="AV211" s="659"/>
      <c r="AW211" s="659">
        <v>45450</v>
      </c>
      <c r="AX211" s="659"/>
      <c r="AY211" s="659">
        <v>45499</v>
      </c>
      <c r="AZ211" s="659"/>
      <c r="BA211" s="660">
        <f>+IF(AY211="","",COUNTA(AN211:AV211)/(COUNTA(AN211:AV211)+COUNTBLANK(AN211:AV211)))</f>
        <v>0.55555555555555558</v>
      </c>
      <c r="BB211" s="659"/>
      <c r="BC211" s="11" t="s">
        <v>7</v>
      </c>
    </row>
    <row r="212" spans="1:55" x14ac:dyDescent="0.35">
      <c r="A212" s="836"/>
      <c r="B212" s="16">
        <f>IF(D212=$A$516,1,IF(D212=$A$517,2,IF(D212=$A$518,3,IF(D212=$A$519,4,IF(D212=$A$520,5,IF(D212=$A$521,6))))))</f>
        <v>5</v>
      </c>
      <c r="D212" s="20" t="str">
        <f t="shared" si="42"/>
        <v>abt</v>
      </c>
      <c r="E212" s="12" t="s">
        <v>4189</v>
      </c>
      <c r="F212" s="13"/>
      <c r="G212" s="13" t="s">
        <v>510</v>
      </c>
      <c r="H212" s="14" t="s">
        <v>4241</v>
      </c>
      <c r="I212" s="13"/>
      <c r="J212" s="13" t="s">
        <v>111</v>
      </c>
      <c r="K212" s="15" t="s">
        <v>4240</v>
      </c>
      <c r="L212" s="15"/>
      <c r="M212" s="15" t="s">
        <v>4242</v>
      </c>
      <c r="N212" s="15"/>
      <c r="O212" s="15"/>
      <c r="P212" s="15" t="s">
        <v>4243</v>
      </c>
      <c r="Q212" s="15"/>
      <c r="S212" s="35" t="s">
        <v>77</v>
      </c>
      <c r="T212" s="13">
        <v>2023</v>
      </c>
      <c r="U212" s="17">
        <v>5.3780000000000001</v>
      </c>
      <c r="V212" s="17">
        <v>1.21</v>
      </c>
      <c r="W212" s="36">
        <f>+V212/U212</f>
        <v>0.22499070286351802</v>
      </c>
      <c r="X212" s="17">
        <v>0.78100000000000003</v>
      </c>
      <c r="Y212" s="17">
        <v>-9.6000000000000002E-2</v>
      </c>
      <c r="AA212" s="15" t="s">
        <v>99</v>
      </c>
      <c r="AB212" s="17" t="s">
        <v>4190</v>
      </c>
      <c r="AC212" s="21" t="s">
        <v>78</v>
      </c>
      <c r="AD212" s="17" t="s">
        <v>78</v>
      </c>
      <c r="AE212" s="17" t="s">
        <v>79</v>
      </c>
      <c r="AF212" s="17"/>
      <c r="AG212" s="15"/>
      <c r="AH212" s="677">
        <v>1</v>
      </c>
      <c r="AI212" s="42">
        <f t="shared" ca="1" si="40"/>
        <v>321</v>
      </c>
      <c r="AJ212" s="42">
        <f t="shared" ca="1" si="38"/>
        <v>189</v>
      </c>
      <c r="AK212" s="13" t="s">
        <v>64</v>
      </c>
      <c r="AL212" s="36" t="str">
        <f t="shared" si="41"/>
        <v>Aborted</v>
      </c>
      <c r="AM212" s="37">
        <v>45343</v>
      </c>
      <c r="AN212" s="37">
        <v>45343</v>
      </c>
      <c r="AO212" s="37" t="s">
        <v>65</v>
      </c>
      <c r="AP212" s="37">
        <v>45454</v>
      </c>
      <c r="AQ212" s="38">
        <v>45454</v>
      </c>
      <c r="AR212" s="38"/>
      <c r="AS212" s="38"/>
      <c r="AT212" s="38"/>
      <c r="AU212" s="38"/>
      <c r="AV212" s="38"/>
      <c r="AW212" s="38">
        <v>45454</v>
      </c>
      <c r="AX212" s="38"/>
      <c r="AY212" s="38">
        <v>45475</v>
      </c>
      <c r="AZ212" s="38"/>
      <c r="BA212" s="39">
        <f>+IF(AY212="","",COUNTA(AN212:AV212)/(COUNTA(AN212:AV212)+COUNTBLANK(AN212:AV212)))</f>
        <v>0.44444444444444442</v>
      </c>
      <c r="BB212" s="38"/>
      <c r="BC212" s="11" t="s">
        <v>7</v>
      </c>
    </row>
    <row r="213" spans="1:55" x14ac:dyDescent="0.35">
      <c r="A213" s="765"/>
      <c r="B213" s="463">
        <f>IF(D213=$A$516,1,IF(D213=$A$517,2,IF(D213=$A$518,3,IF(D213=$A$519,4,IF(D213=$A$520,5,IF(D213=$A$521,6))))))</f>
        <v>5</v>
      </c>
      <c r="C213" s="463"/>
      <c r="D213" s="711" t="str">
        <f t="shared" si="42"/>
        <v>abt</v>
      </c>
      <c r="E213" s="465" t="s">
        <v>3557</v>
      </c>
      <c r="F213" s="466"/>
      <c r="G213" s="466" t="s">
        <v>371</v>
      </c>
      <c r="H213" s="477" t="s">
        <v>2969</v>
      </c>
      <c r="I213" s="466"/>
      <c r="J213" s="466" t="s">
        <v>111</v>
      </c>
      <c r="K213" s="467" t="s">
        <v>2970</v>
      </c>
      <c r="L213" s="467" t="s">
        <v>2971</v>
      </c>
      <c r="M213" s="467" t="s">
        <v>2972</v>
      </c>
      <c r="N213" s="467"/>
      <c r="O213" s="467"/>
      <c r="P213" s="467"/>
      <c r="Q213" s="467"/>
      <c r="R213" s="463"/>
      <c r="S213" s="468"/>
      <c r="T213" s="466"/>
      <c r="U213" s="469"/>
      <c r="V213" s="469"/>
      <c r="W213" s="36"/>
      <c r="X213" s="469"/>
      <c r="Y213" s="469"/>
      <c r="Z213" s="463"/>
      <c r="AA213" s="467" t="s">
        <v>60</v>
      </c>
      <c r="AB213" s="469"/>
      <c r="AC213" s="478" t="s">
        <v>78</v>
      </c>
      <c r="AD213" s="478" t="s">
        <v>78</v>
      </c>
      <c r="AE213" s="482" t="s">
        <v>86</v>
      </c>
      <c r="AF213" s="469" t="s">
        <v>79</v>
      </c>
      <c r="AG213" s="467"/>
      <c r="AH213" s="677">
        <v>1</v>
      </c>
      <c r="AI213" s="471">
        <f t="shared" ca="1" si="40"/>
        <v>300</v>
      </c>
      <c r="AJ213" s="471">
        <f t="shared" ca="1" si="38"/>
        <v>189</v>
      </c>
      <c r="AK213" s="466" t="s">
        <v>64</v>
      </c>
      <c r="AL213" s="480" t="str">
        <f t="shared" si="41"/>
        <v>Aborted</v>
      </c>
      <c r="AM213" s="473">
        <v>45364</v>
      </c>
      <c r="AN213" s="473">
        <v>45364</v>
      </c>
      <c r="AO213" s="473" t="s">
        <v>65</v>
      </c>
      <c r="AP213" s="473">
        <v>45364</v>
      </c>
      <c r="AQ213" s="38">
        <v>45364</v>
      </c>
      <c r="AR213" s="38"/>
      <c r="AS213" s="38"/>
      <c r="AT213" s="38"/>
      <c r="AU213" s="38"/>
      <c r="AV213" s="38"/>
      <c r="AW213" s="449">
        <v>45386</v>
      </c>
      <c r="AX213" s="449">
        <v>45446</v>
      </c>
      <c r="AY213" s="449">
        <v>45475</v>
      </c>
      <c r="AZ213" s="449"/>
      <c r="BA213" s="481"/>
      <c r="BB213" s="449"/>
      <c r="BC213" s="11" t="s">
        <v>7</v>
      </c>
    </row>
    <row r="214" spans="1:55" x14ac:dyDescent="0.35">
      <c r="A214" s="765"/>
      <c r="B214" s="601">
        <f>IF(D214=$A$516,1,IF(D214=$A$517,2,IF(D214=$A$518,3,IF(D214=$A$519,4,IF(D214=$A$520,5,IF(D214=$A$521,6))))))</f>
        <v>5</v>
      </c>
      <c r="D214" s="711" t="str">
        <f t="shared" si="42"/>
        <v>abt</v>
      </c>
      <c r="E214" s="618" t="s">
        <v>3689</v>
      </c>
      <c r="F214" s="604"/>
      <c r="G214" s="604" t="s">
        <v>166</v>
      </c>
      <c r="H214" s="605"/>
      <c r="I214" s="604"/>
      <c r="J214" s="604" t="s">
        <v>3690</v>
      </c>
      <c r="K214" s="607" t="s">
        <v>3691</v>
      </c>
      <c r="L214" s="607"/>
      <c r="M214" s="607"/>
      <c r="N214" s="607"/>
      <c r="O214" s="607"/>
      <c r="P214" s="607"/>
      <c r="Q214" s="607"/>
      <c r="R214" s="601"/>
      <c r="S214" s="608" t="s">
        <v>77</v>
      </c>
      <c r="T214" s="604">
        <v>2022</v>
      </c>
      <c r="U214" s="609">
        <v>151.69999999999999</v>
      </c>
      <c r="V214" s="609">
        <v>-1.9</v>
      </c>
      <c r="W214" s="36">
        <f>+V214/U214</f>
        <v>-1.2524719841793012E-2</v>
      </c>
      <c r="X214" s="609">
        <v>-12.9</v>
      </c>
      <c r="Y214" s="609">
        <v>-18</v>
      </c>
      <c r="Z214" s="601"/>
      <c r="AA214" s="607" t="s">
        <v>99</v>
      </c>
      <c r="AB214" s="609" t="s">
        <v>3418</v>
      </c>
      <c r="AC214" s="611" t="s">
        <v>153</v>
      </c>
      <c r="AD214" s="611" t="s">
        <v>153</v>
      </c>
      <c r="AE214" s="604" t="s">
        <v>273</v>
      </c>
      <c r="AF214" s="609"/>
      <c r="AG214" s="607" t="s">
        <v>3692</v>
      </c>
      <c r="AH214" s="601"/>
      <c r="AI214" s="612">
        <f t="shared" ca="1" si="40"/>
        <v>258</v>
      </c>
      <c r="AJ214" s="612">
        <f t="shared" ca="1" si="38"/>
        <v>215</v>
      </c>
      <c r="AK214" s="604" t="s">
        <v>720</v>
      </c>
      <c r="AL214" s="628" t="str">
        <f t="shared" si="41"/>
        <v>Aborted</v>
      </c>
      <c r="AM214" s="614">
        <v>45406</v>
      </c>
      <c r="AN214" s="614">
        <v>45406</v>
      </c>
      <c r="AO214" s="614" t="s">
        <v>65</v>
      </c>
      <c r="AP214" s="614">
        <v>45406</v>
      </c>
      <c r="AQ214" s="615">
        <v>45442</v>
      </c>
      <c r="AR214" s="615"/>
      <c r="AS214" s="615"/>
      <c r="AT214" s="615"/>
      <c r="AU214" s="615"/>
      <c r="AV214" s="615"/>
      <c r="AW214" s="615">
        <v>45449</v>
      </c>
      <c r="AX214" s="615">
        <v>45449</v>
      </c>
      <c r="AY214" s="615">
        <v>45449</v>
      </c>
      <c r="AZ214" s="615"/>
      <c r="BA214" s="629"/>
      <c r="BB214" s="615"/>
      <c r="BC214" s="11" t="s">
        <v>7</v>
      </c>
    </row>
    <row r="215" spans="1:55" x14ac:dyDescent="0.35">
      <c r="A215" s="601"/>
      <c r="B215" s="16">
        <f>IF(D215=$A$516,1,IF(D215=$A$517,2,IF(D215=$A$518,3,IF(D215=$A$519,4,IF(D215=$A$520,5,IF(D215=$A$521,6))))))</f>
        <v>5</v>
      </c>
      <c r="D215" s="20" t="str">
        <f t="shared" si="42"/>
        <v>abt</v>
      </c>
      <c r="E215" s="20" t="s">
        <v>2975</v>
      </c>
      <c r="F215" s="13"/>
      <c r="G215" s="13" t="s">
        <v>103</v>
      </c>
      <c r="H215" s="14"/>
      <c r="I215" s="13"/>
      <c r="J215" s="268" t="s">
        <v>2690</v>
      </c>
      <c r="K215" s="15" t="s">
        <v>2691</v>
      </c>
      <c r="L215" s="15" t="s">
        <v>2976</v>
      </c>
      <c r="M215" s="15"/>
      <c r="N215" s="15"/>
      <c r="O215" s="15"/>
      <c r="P215" s="15"/>
      <c r="Q215" s="15"/>
      <c r="S215" s="35"/>
      <c r="T215" s="13"/>
      <c r="U215" s="17"/>
      <c r="V215" s="17"/>
      <c r="W215" s="36"/>
      <c r="X215" s="17"/>
      <c r="Y215" s="17"/>
      <c r="AA215" s="15" t="s">
        <v>623</v>
      </c>
      <c r="AB215" s="17"/>
      <c r="AC215" s="21" t="s">
        <v>86</v>
      </c>
      <c r="AD215" s="17" t="s">
        <v>78</v>
      </c>
      <c r="AE215" s="17" t="s">
        <v>86</v>
      </c>
      <c r="AF215" s="17" t="s">
        <v>79</v>
      </c>
      <c r="AG215" s="15"/>
      <c r="AH215" s="677">
        <v>1</v>
      </c>
      <c r="AI215" s="42">
        <f t="shared" ca="1" si="40"/>
        <v>385</v>
      </c>
      <c r="AJ215" s="42">
        <f t="shared" ca="1" si="38"/>
        <v>236</v>
      </c>
      <c r="AK215" s="13" t="s">
        <v>64</v>
      </c>
      <c r="AL215" s="36" t="str">
        <f t="shared" si="41"/>
        <v>Aborted</v>
      </c>
      <c r="AM215" s="37">
        <v>45279</v>
      </c>
      <c r="AN215" s="172">
        <f>+AM215</f>
        <v>45279</v>
      </c>
      <c r="AO215" s="37" t="s">
        <v>65</v>
      </c>
      <c r="AP215" s="37" t="s">
        <v>65</v>
      </c>
      <c r="AQ215" s="38">
        <v>45287</v>
      </c>
      <c r="AR215" s="38">
        <v>45307</v>
      </c>
      <c r="AS215" s="38">
        <v>45320</v>
      </c>
      <c r="AT215" s="38">
        <v>45322</v>
      </c>
      <c r="AU215" s="38">
        <v>45334</v>
      </c>
      <c r="AV215" s="38">
        <v>45334</v>
      </c>
      <c r="AW215" s="38">
        <v>45428</v>
      </c>
      <c r="AX215" s="38"/>
      <c r="AY215" s="38">
        <v>45428</v>
      </c>
      <c r="AZ215" s="38"/>
      <c r="BA215" s="39"/>
      <c r="BB215" s="38"/>
      <c r="BC215" s="11" t="s">
        <v>7</v>
      </c>
    </row>
    <row r="216" spans="1:55" x14ac:dyDescent="0.35">
      <c r="B216" s="16">
        <f>IF(D216=$A$516,1,IF(D216=$A$517,2,IF(D216=$A$518,3,IF(D216=$A$519,4,IF(D216=$A$520,5,IF(D216=$A$521,6))))))</f>
        <v>5</v>
      </c>
      <c r="D216" s="20" t="str">
        <f t="shared" si="42"/>
        <v>abt</v>
      </c>
      <c r="E216" s="20" t="s">
        <v>3586</v>
      </c>
      <c r="F216" s="280"/>
      <c r="G216" s="13" t="s">
        <v>103</v>
      </c>
      <c r="H216" s="14" t="s">
        <v>3587</v>
      </c>
      <c r="I216" s="280"/>
      <c r="J216" s="13" t="s">
        <v>1461</v>
      </c>
      <c r="K216" s="15" t="s">
        <v>3588</v>
      </c>
      <c r="L216" s="15"/>
      <c r="M216" s="15"/>
      <c r="N216" s="15"/>
      <c r="O216" s="282"/>
      <c r="P216" s="282"/>
      <c r="Q216" s="282"/>
      <c r="R216" s="277"/>
      <c r="S216" s="35" t="s">
        <v>77</v>
      </c>
      <c r="T216" s="280">
        <v>2022</v>
      </c>
      <c r="U216" s="17">
        <v>11.6</v>
      </c>
      <c r="V216" s="284">
        <v>0.7</v>
      </c>
      <c r="W216" s="36">
        <f>+V216/U216</f>
        <v>6.0344827586206892E-2</v>
      </c>
      <c r="X216" s="17">
        <v>0.33900000000000002</v>
      </c>
      <c r="Y216" s="284">
        <v>3.4</v>
      </c>
      <c r="Z216" s="277"/>
      <c r="AA216" s="15" t="s">
        <v>99</v>
      </c>
      <c r="AB216" s="17" t="s">
        <v>3589</v>
      </c>
      <c r="AC216" s="21" t="s">
        <v>61</v>
      </c>
      <c r="AD216" s="21" t="s">
        <v>61</v>
      </c>
      <c r="AE216" s="496" t="s">
        <v>79</v>
      </c>
      <c r="AF216" s="284"/>
      <c r="AG216" s="282"/>
      <c r="AH216" s="677">
        <v>1</v>
      </c>
      <c r="AI216" s="42">
        <f t="shared" ca="1" si="40"/>
        <v>271</v>
      </c>
      <c r="AJ216" s="42">
        <f t="shared" ca="1" si="38"/>
        <v>237</v>
      </c>
      <c r="AK216" s="13" t="s">
        <v>101</v>
      </c>
      <c r="AL216" s="288" t="str">
        <f t="shared" si="41"/>
        <v>Aborted</v>
      </c>
      <c r="AM216" s="289">
        <v>45393</v>
      </c>
      <c r="AN216" s="289">
        <v>45393</v>
      </c>
      <c r="AO216" s="289">
        <v>45393</v>
      </c>
      <c r="AP216" s="289">
        <v>45393</v>
      </c>
      <c r="AQ216" s="38">
        <v>45393</v>
      </c>
      <c r="AR216" s="38">
        <v>45393</v>
      </c>
      <c r="AS216" s="38">
        <v>45393</v>
      </c>
      <c r="AT216" s="38">
        <v>45397</v>
      </c>
      <c r="AU216" s="38"/>
      <c r="AV216" s="38"/>
      <c r="AW216" s="38"/>
      <c r="AX216" s="290"/>
      <c r="AY216" s="290">
        <v>45427</v>
      </c>
      <c r="AZ216" s="290"/>
      <c r="BA216" s="291"/>
      <c r="BB216" s="290"/>
      <c r="BC216" s="11" t="s">
        <v>7</v>
      </c>
    </row>
    <row r="217" spans="1:55" x14ac:dyDescent="0.35">
      <c r="A217" s="277"/>
      <c r="B217" s="16">
        <f>IF(D217=$A$516,1,IF(D217=$A$517,2,IF(D217=$A$518,3,IF(D217=$A$519,4,IF(D217=$A$520,5,IF(D217=$A$521,6))))))</f>
        <v>5</v>
      </c>
      <c r="D217" s="20" t="str">
        <f t="shared" si="42"/>
        <v>abt</v>
      </c>
      <c r="E217" s="20" t="s">
        <v>188</v>
      </c>
      <c r="F217" s="14" t="s">
        <v>189</v>
      </c>
      <c r="G217" s="13" t="s">
        <v>159</v>
      </c>
      <c r="H217" s="14" t="s">
        <v>190</v>
      </c>
      <c r="I217" s="14" t="s">
        <v>191</v>
      </c>
      <c r="J217" s="13" t="s">
        <v>119</v>
      </c>
      <c r="K217" s="20" t="s">
        <v>192</v>
      </c>
      <c r="L217" s="15" t="s">
        <v>193</v>
      </c>
      <c r="M217" s="15"/>
      <c r="N217" s="15"/>
      <c r="O217" s="15"/>
      <c r="P217" s="15"/>
      <c r="Q217" s="15"/>
      <c r="S217" s="35" t="s">
        <v>144</v>
      </c>
      <c r="T217" s="13">
        <v>2022</v>
      </c>
      <c r="U217" s="17">
        <v>177</v>
      </c>
      <c r="V217" s="17">
        <v>7.95</v>
      </c>
      <c r="W217" s="36">
        <f>+V217/U217</f>
        <v>4.4915254237288135E-2</v>
      </c>
      <c r="X217" s="17">
        <v>5.3</v>
      </c>
      <c r="Y217" s="17">
        <v>10</v>
      </c>
      <c r="AA217" s="15" t="s">
        <v>60</v>
      </c>
      <c r="AB217" s="17"/>
      <c r="AC217" s="21" t="s">
        <v>61</v>
      </c>
      <c r="AD217" s="21" t="s">
        <v>61</v>
      </c>
      <c r="AE217" s="17" t="s">
        <v>86</v>
      </c>
      <c r="AF217" s="17" t="s">
        <v>79</v>
      </c>
      <c r="AG217" s="15"/>
      <c r="AH217" s="677">
        <v>1</v>
      </c>
      <c r="AI217" s="42">
        <f t="shared" ca="1" si="40"/>
        <v>666</v>
      </c>
      <c r="AJ217" s="42">
        <f t="shared" ca="1" si="38"/>
        <v>253</v>
      </c>
      <c r="AK217" s="13" t="s">
        <v>87</v>
      </c>
      <c r="AL217" s="36" t="str">
        <f t="shared" si="41"/>
        <v>Aborted</v>
      </c>
      <c r="AM217" s="37">
        <v>44998</v>
      </c>
      <c r="AN217" s="37">
        <v>44998</v>
      </c>
      <c r="AO217" s="37">
        <v>44998</v>
      </c>
      <c r="AP217" s="37">
        <v>44998</v>
      </c>
      <c r="AQ217" s="38">
        <v>45006</v>
      </c>
      <c r="AR217" s="38">
        <v>44998</v>
      </c>
      <c r="AS217" s="38" t="s">
        <v>65</v>
      </c>
      <c r="AT217" s="38">
        <v>45033</v>
      </c>
      <c r="AU217" s="38">
        <v>45061</v>
      </c>
      <c r="AV217" s="38">
        <v>45075</v>
      </c>
      <c r="AW217" s="38">
        <v>45411</v>
      </c>
      <c r="AX217" s="38"/>
      <c r="AY217" s="38">
        <v>45411</v>
      </c>
      <c r="AZ217" s="38"/>
      <c r="BA217" s="39"/>
      <c r="BB217" s="38"/>
      <c r="BC217" s="11" t="s">
        <v>7</v>
      </c>
    </row>
    <row r="218" spans="1:55" x14ac:dyDescent="0.35">
      <c r="A218" s="986"/>
      <c r="B218" s="16">
        <f>IF(D218=$A$516,1,IF(D218=$A$517,2,IF(D218=$A$518,3,IF(D218=$A$519,4,IF(D218=$A$520,5,IF(D218=$A$521,6))))))</f>
        <v>5</v>
      </c>
      <c r="D218" s="20" t="str">
        <f t="shared" si="42"/>
        <v>abt</v>
      </c>
      <c r="E218" s="20" t="s">
        <v>171</v>
      </c>
      <c r="F218" s="13" t="s">
        <v>158</v>
      </c>
      <c r="G218" s="13" t="s">
        <v>166</v>
      </c>
      <c r="H218" s="14" t="s">
        <v>167</v>
      </c>
      <c r="I218" s="13">
        <v>283090</v>
      </c>
      <c r="J218" s="13" t="s">
        <v>111</v>
      </c>
      <c r="K218" s="15" t="s">
        <v>168</v>
      </c>
      <c r="L218" s="15" t="s">
        <v>169</v>
      </c>
      <c r="M218" s="15"/>
      <c r="N218" s="15"/>
      <c r="O218" s="15"/>
      <c r="P218" s="15"/>
      <c r="Q218" s="15"/>
      <c r="S218" s="35" t="s">
        <v>77</v>
      </c>
      <c r="T218" s="13">
        <v>2021</v>
      </c>
      <c r="U218" s="17">
        <v>387.91</v>
      </c>
      <c r="V218" s="17">
        <v>50.427</v>
      </c>
      <c r="W218" s="36">
        <f>+V218/U218</f>
        <v>0.12999664870717434</v>
      </c>
      <c r="X218" s="17">
        <v>19.867000000000001</v>
      </c>
      <c r="Y218" s="17">
        <v>68.674000000000007</v>
      </c>
      <c r="AA218" s="15" t="s">
        <v>99</v>
      </c>
      <c r="AB218" s="17" t="s">
        <v>170</v>
      </c>
      <c r="AC218" s="21" t="s">
        <v>153</v>
      </c>
      <c r="AD218" s="21" t="s">
        <v>153</v>
      </c>
      <c r="AE218" s="17" t="s">
        <v>154</v>
      </c>
      <c r="AF218" s="17"/>
      <c r="AG218" s="15"/>
      <c r="AI218" s="42">
        <f t="shared" ca="1" si="40"/>
        <v>890</v>
      </c>
      <c r="AJ218" s="42">
        <f t="shared" ca="1" si="38"/>
        <v>190</v>
      </c>
      <c r="AK218" s="13" t="s">
        <v>2672</v>
      </c>
      <c r="AL218" s="36" t="str">
        <f t="shared" si="41"/>
        <v>Aborted</v>
      </c>
      <c r="AM218" s="37">
        <v>44774</v>
      </c>
      <c r="AN218" s="37">
        <f>+AM218</f>
        <v>44774</v>
      </c>
      <c r="AO218" s="37" t="s">
        <v>65</v>
      </c>
      <c r="AP218" s="37" t="s">
        <v>65</v>
      </c>
      <c r="AQ218" s="38">
        <f>+AN218</f>
        <v>44774</v>
      </c>
      <c r="AR218" s="38" t="s">
        <v>65</v>
      </c>
      <c r="AS218" s="38" t="s">
        <v>65</v>
      </c>
      <c r="AT218" s="38" t="s">
        <v>65</v>
      </c>
      <c r="AU218" s="38" t="s">
        <v>65</v>
      </c>
      <c r="AV218" s="38">
        <v>44859</v>
      </c>
      <c r="AW218" s="38"/>
      <c r="AX218" s="38">
        <v>45343</v>
      </c>
      <c r="AY218" s="712">
        <v>45474</v>
      </c>
      <c r="AZ218" s="38"/>
      <c r="BA218" s="39"/>
      <c r="BB218" s="38"/>
      <c r="BC218" s="11" t="s">
        <v>7</v>
      </c>
    </row>
    <row r="219" spans="1:55" x14ac:dyDescent="0.35">
      <c r="B219" s="16">
        <f>IF(D219=$A$516,1,IF(D219=$A$517,2,IF(D219=$A$518,3,IF(D219=$A$519,4,IF(D219=$A$520,5,IF(D219=$A$521,6))))))</f>
        <v>5</v>
      </c>
      <c r="D219" s="20" t="str">
        <f t="shared" si="42"/>
        <v>abt</v>
      </c>
      <c r="E219" s="20" t="s">
        <v>172</v>
      </c>
      <c r="F219" s="13" t="s">
        <v>173</v>
      </c>
      <c r="G219" s="13" t="s">
        <v>174</v>
      </c>
      <c r="H219" s="14" t="s">
        <v>175</v>
      </c>
      <c r="I219" s="13">
        <v>283090</v>
      </c>
      <c r="J219" s="13" t="s">
        <v>111</v>
      </c>
      <c r="K219" s="15" t="s">
        <v>168</v>
      </c>
      <c r="L219" s="15" t="s">
        <v>169</v>
      </c>
      <c r="M219" s="15"/>
      <c r="N219" s="15"/>
      <c r="O219" s="15"/>
      <c r="P219" s="15"/>
      <c r="Q219" s="15"/>
      <c r="S219" s="35" t="s">
        <v>77</v>
      </c>
      <c r="T219" s="13">
        <v>2021</v>
      </c>
      <c r="U219" s="17">
        <v>387.91</v>
      </c>
      <c r="V219" s="17">
        <v>50.427</v>
      </c>
      <c r="W219" s="36">
        <f>+V219/U219</f>
        <v>0.12999664870717434</v>
      </c>
      <c r="X219" s="17">
        <v>19.867000000000001</v>
      </c>
      <c r="Y219" s="17">
        <v>68.674000000000007</v>
      </c>
      <c r="AA219" s="15" t="s">
        <v>99</v>
      </c>
      <c r="AB219" s="17" t="s">
        <v>170</v>
      </c>
      <c r="AC219" s="21" t="s">
        <v>153</v>
      </c>
      <c r="AD219" s="21" t="s">
        <v>153</v>
      </c>
      <c r="AE219" s="17" t="s">
        <v>154</v>
      </c>
      <c r="AF219" s="17"/>
      <c r="AG219" s="15"/>
      <c r="AI219" s="42">
        <f t="shared" ca="1" si="40"/>
        <v>737</v>
      </c>
      <c r="AJ219" s="42">
        <f t="shared" ca="1" si="38"/>
        <v>190</v>
      </c>
      <c r="AK219" s="13" t="s">
        <v>2672</v>
      </c>
      <c r="AL219" s="36" t="str">
        <f t="shared" si="41"/>
        <v>Aborted</v>
      </c>
      <c r="AM219" s="37">
        <v>44927</v>
      </c>
      <c r="AN219" s="37">
        <f>+AM219</f>
        <v>44927</v>
      </c>
      <c r="AO219" s="37" t="s">
        <v>65</v>
      </c>
      <c r="AP219" s="37" t="s">
        <v>65</v>
      </c>
      <c r="AQ219" s="38">
        <f>+AN219</f>
        <v>44927</v>
      </c>
      <c r="AR219" s="38" t="s">
        <v>65</v>
      </c>
      <c r="AS219" s="38" t="s">
        <v>65</v>
      </c>
      <c r="AT219" s="38" t="s">
        <v>65</v>
      </c>
      <c r="AU219" s="38" t="s">
        <v>65</v>
      </c>
      <c r="AV219" s="38">
        <v>45005</v>
      </c>
      <c r="AW219" s="38"/>
      <c r="AX219" s="38">
        <v>45343</v>
      </c>
      <c r="AY219" s="712">
        <v>45474</v>
      </c>
      <c r="AZ219" s="38"/>
      <c r="BA219" s="39"/>
      <c r="BB219" s="38"/>
      <c r="BC219" s="11" t="s">
        <v>7</v>
      </c>
    </row>
    <row r="220" spans="1:55" x14ac:dyDescent="0.35">
      <c r="A220" s="601"/>
      <c r="B220" s="16">
        <f>IF(D220=$A$516,1,IF(D220=$A$517,2,IF(D220=$A$518,3,IF(D220=$A$519,4,IF(D220=$A$520,5,IF(D220=$A$521,6))))))</f>
        <v>5</v>
      </c>
      <c r="D220" s="20" t="str">
        <f t="shared" si="42"/>
        <v>abt</v>
      </c>
      <c r="E220" s="12" t="s">
        <v>3532</v>
      </c>
      <c r="F220" s="13"/>
      <c r="G220" s="13" t="s">
        <v>538</v>
      </c>
      <c r="H220" s="14" t="s">
        <v>3533</v>
      </c>
      <c r="I220" s="280"/>
      <c r="J220" s="13" t="s">
        <v>3539</v>
      </c>
      <c r="K220" s="15" t="s">
        <v>3578</v>
      </c>
      <c r="L220" s="15"/>
      <c r="M220" s="15" t="s">
        <v>3577</v>
      </c>
      <c r="N220" s="15"/>
      <c r="O220" s="282"/>
      <c r="P220" s="282"/>
      <c r="Q220" s="282"/>
      <c r="R220" s="277"/>
      <c r="S220" s="35"/>
      <c r="T220" s="280"/>
      <c r="U220" s="17"/>
      <c r="V220" s="284"/>
      <c r="W220" s="36"/>
      <c r="X220" s="17"/>
      <c r="Y220" s="284"/>
      <c r="Z220" s="277"/>
      <c r="AA220" s="15" t="s">
        <v>140</v>
      </c>
      <c r="AB220" s="17"/>
      <c r="AC220" s="21" t="s">
        <v>78</v>
      </c>
      <c r="AD220" s="21" t="s">
        <v>78</v>
      </c>
      <c r="AE220" s="13" t="s">
        <v>62</v>
      </c>
      <c r="AF220" s="17" t="s">
        <v>128</v>
      </c>
      <c r="AG220" s="282"/>
      <c r="AH220" s="277"/>
      <c r="AI220" s="42">
        <f t="shared" ca="1" si="40"/>
        <v>305</v>
      </c>
      <c r="AJ220" s="42">
        <f t="shared" ca="1" si="38"/>
        <v>260</v>
      </c>
      <c r="AK220" s="13" t="s">
        <v>87</v>
      </c>
      <c r="AL220" s="288" t="str">
        <f t="shared" si="41"/>
        <v>Aborted</v>
      </c>
      <c r="AM220" s="289">
        <v>45359</v>
      </c>
      <c r="AN220" s="289">
        <v>45379</v>
      </c>
      <c r="AO220" s="37" t="s">
        <v>65</v>
      </c>
      <c r="AP220" s="289">
        <v>45384</v>
      </c>
      <c r="AQ220" s="38"/>
      <c r="AR220" s="38"/>
      <c r="AS220" s="38"/>
      <c r="AT220" s="38"/>
      <c r="AU220" s="38"/>
      <c r="AV220" s="38"/>
      <c r="AW220" s="38">
        <v>45384</v>
      </c>
      <c r="AX220" s="290"/>
      <c r="AY220" s="290">
        <v>45404</v>
      </c>
      <c r="AZ220" s="290"/>
      <c r="BA220" s="291"/>
      <c r="BB220" s="290"/>
      <c r="BC220" s="11" t="s">
        <v>7</v>
      </c>
    </row>
    <row r="221" spans="1:55" x14ac:dyDescent="0.35">
      <c r="B221" s="16">
        <f>IF(D221=$A$516,1,IF(D221=$A$517,2,IF(D221=$A$518,3,IF(D221=$A$519,4,IF(D221=$A$520,5,IF(D221=$A$521,6))))))</f>
        <v>5</v>
      </c>
      <c r="D221" s="20" t="str">
        <f t="shared" si="42"/>
        <v>abt</v>
      </c>
      <c r="E221" s="20" t="s">
        <v>3452</v>
      </c>
      <c r="F221" s="280"/>
      <c r="G221" s="13" t="s">
        <v>103</v>
      </c>
      <c r="H221" s="14" t="s">
        <v>3453</v>
      </c>
      <c r="I221" s="280">
        <v>201600</v>
      </c>
      <c r="J221" s="13" t="s">
        <v>111</v>
      </c>
      <c r="K221" s="15" t="s">
        <v>3454</v>
      </c>
      <c r="L221" s="15" t="s">
        <v>3455</v>
      </c>
      <c r="M221" s="15"/>
      <c r="N221" s="15"/>
      <c r="O221" s="282"/>
      <c r="P221" s="282"/>
      <c r="Q221" s="282"/>
      <c r="R221" s="277"/>
      <c r="S221" s="35" t="s">
        <v>144</v>
      </c>
      <c r="T221" s="280">
        <v>2022</v>
      </c>
      <c r="U221" s="17">
        <v>1348</v>
      </c>
      <c r="V221" s="284">
        <v>159</v>
      </c>
      <c r="W221" s="36">
        <f>+V221/U221</f>
        <v>0.11795252225519288</v>
      </c>
      <c r="X221" s="17">
        <v>65</v>
      </c>
      <c r="Y221" s="284">
        <v>-90.3</v>
      </c>
      <c r="Z221" s="277"/>
      <c r="AA221" s="15" t="s">
        <v>99</v>
      </c>
      <c r="AB221" s="17" t="s">
        <v>3456</v>
      </c>
      <c r="AC221" s="21" t="s">
        <v>78</v>
      </c>
      <c r="AD221" s="21"/>
      <c r="AE221" s="13"/>
      <c r="AF221" s="284"/>
      <c r="AG221" s="282"/>
      <c r="AH221" s="277"/>
      <c r="AI221" s="42">
        <f t="shared" ca="1" si="40"/>
        <v>305</v>
      </c>
      <c r="AJ221" s="42">
        <f t="shared" ca="1" si="38"/>
        <v>280</v>
      </c>
      <c r="AK221" s="13" t="s">
        <v>87</v>
      </c>
      <c r="AL221" s="288" t="str">
        <f t="shared" si="41"/>
        <v>Aborted</v>
      </c>
      <c r="AM221" s="289">
        <v>45359</v>
      </c>
      <c r="AN221" s="289">
        <v>45359</v>
      </c>
      <c r="AO221" s="289"/>
      <c r="AP221" s="289"/>
      <c r="AQ221" s="38"/>
      <c r="AR221" s="38"/>
      <c r="AS221" s="38"/>
      <c r="AT221" s="38"/>
      <c r="AU221" s="38"/>
      <c r="AV221" s="38"/>
      <c r="AW221" s="38">
        <v>45366</v>
      </c>
      <c r="AX221" s="290"/>
      <c r="AY221" s="290">
        <v>45384</v>
      </c>
      <c r="AZ221" s="290"/>
      <c r="BA221" s="291"/>
      <c r="BB221" s="290"/>
      <c r="BC221" s="11" t="s">
        <v>7</v>
      </c>
    </row>
    <row r="222" spans="1:55" x14ac:dyDescent="0.35">
      <c r="A222" s="483"/>
      <c r="B222" s="16">
        <f>IF(D222=$A$516,1,IF(D222=$A$517,2,IF(D222=$A$518,3,IF(D222=$A$519,4,IF(D222=$A$520,5,IF(D222=$A$521,6))))))</f>
        <v>5</v>
      </c>
      <c r="C222" s="497"/>
      <c r="D222" s="20" t="str">
        <f t="shared" si="42"/>
        <v>abt</v>
      </c>
      <c r="E222" s="20" t="s">
        <v>3177</v>
      </c>
      <c r="F222" s="13"/>
      <c r="G222" s="13" t="s">
        <v>103</v>
      </c>
      <c r="H222" s="14" t="s">
        <v>3178</v>
      </c>
      <c r="I222" s="13">
        <v>282999</v>
      </c>
      <c r="J222" s="13" t="s">
        <v>111</v>
      </c>
      <c r="K222" s="15" t="s">
        <v>347</v>
      </c>
      <c r="L222" s="15" t="s">
        <v>3179</v>
      </c>
      <c r="M222" s="15"/>
      <c r="N222" s="15"/>
      <c r="O222" s="15"/>
      <c r="P222" s="15"/>
      <c r="Q222" s="15"/>
      <c r="S222" s="35" t="s">
        <v>77</v>
      </c>
      <c r="T222" s="13">
        <v>2022</v>
      </c>
      <c r="U222" s="17">
        <v>6.7</v>
      </c>
      <c r="V222" s="17">
        <v>0.51490400000000003</v>
      </c>
      <c r="W222" s="36">
        <f>+V222/U222</f>
        <v>7.6851343283582091E-2</v>
      </c>
      <c r="X222" s="17">
        <v>0.276501</v>
      </c>
      <c r="Y222" s="17">
        <v>-0.57999999999999996</v>
      </c>
      <c r="AA222" s="15" t="s">
        <v>99</v>
      </c>
      <c r="AB222" s="17" t="s">
        <v>350</v>
      </c>
      <c r="AC222" s="21" t="s">
        <v>86</v>
      </c>
      <c r="AD222" s="21" t="s">
        <v>78</v>
      </c>
      <c r="AE222" s="17" t="s">
        <v>86</v>
      </c>
      <c r="AF222" s="17"/>
      <c r="AG222" s="15"/>
      <c r="AI222" s="42">
        <f t="shared" ca="1" si="40"/>
        <v>334</v>
      </c>
      <c r="AJ222" s="42">
        <f t="shared" ca="1" si="38"/>
        <v>287</v>
      </c>
      <c r="AK222" s="13" t="s">
        <v>87</v>
      </c>
      <c r="AL222" s="36" t="str">
        <f t="shared" si="41"/>
        <v>Aborted</v>
      </c>
      <c r="AM222" s="37">
        <v>45330</v>
      </c>
      <c r="AN222" s="498">
        <v>45330</v>
      </c>
      <c r="AO222" s="37">
        <v>45330</v>
      </c>
      <c r="AP222" s="37">
        <v>45330</v>
      </c>
      <c r="AQ222" s="38">
        <v>45330</v>
      </c>
      <c r="AR222" s="38">
        <v>45337</v>
      </c>
      <c r="AS222" s="38">
        <v>45328</v>
      </c>
      <c r="AT222" s="38">
        <v>45364</v>
      </c>
      <c r="AU222" s="38"/>
      <c r="AV222" s="38"/>
      <c r="AW222" s="38">
        <v>45372</v>
      </c>
      <c r="AX222" s="38">
        <v>45377</v>
      </c>
      <c r="AY222" s="38">
        <v>45377</v>
      </c>
      <c r="AZ222" s="38"/>
      <c r="BA222" s="39"/>
      <c r="BB222" s="38"/>
      <c r="BC222" s="11" t="s">
        <v>7</v>
      </c>
    </row>
    <row r="223" spans="1:55" x14ac:dyDescent="0.35">
      <c r="B223" s="16">
        <f>IF(D223=$A$516,1,IF(D223=$A$517,2,IF(D223=$A$518,3,IF(D223=$A$519,4,IF(D223=$A$520,5,IF(D223=$A$521,6))))))</f>
        <v>5</v>
      </c>
      <c r="D223" s="20" t="str">
        <f t="shared" si="42"/>
        <v>abt</v>
      </c>
      <c r="E223" s="20" t="s">
        <v>2665</v>
      </c>
      <c r="F223" s="13"/>
      <c r="G223" s="13" t="s">
        <v>271</v>
      </c>
      <c r="H223" s="14"/>
      <c r="I223" s="13"/>
      <c r="J223" s="13" t="s">
        <v>111</v>
      </c>
      <c r="K223" s="15" t="s">
        <v>2666</v>
      </c>
      <c r="L223" s="15"/>
      <c r="M223" s="15"/>
      <c r="N223" s="15"/>
      <c r="O223" s="15"/>
      <c r="P223" s="15"/>
      <c r="Q223" s="15"/>
      <c r="S223" s="17" t="s">
        <v>77</v>
      </c>
      <c r="T223" s="13">
        <v>2022</v>
      </c>
      <c r="U223" s="17">
        <v>10.6</v>
      </c>
      <c r="V223" s="17"/>
      <c r="W223" s="36">
        <f>+V223/U223</f>
        <v>0</v>
      </c>
      <c r="X223" s="17"/>
      <c r="Y223" s="17"/>
      <c r="AA223" s="15" t="s">
        <v>99</v>
      </c>
      <c r="AB223" s="15" t="s">
        <v>2667</v>
      </c>
      <c r="AC223" s="21" t="s">
        <v>78</v>
      </c>
      <c r="AD223" s="21" t="s">
        <v>78</v>
      </c>
      <c r="AE223" s="13" t="s">
        <v>86</v>
      </c>
      <c r="AF223" s="17" t="s">
        <v>79</v>
      </c>
      <c r="AG223" s="15"/>
      <c r="AH223" s="677">
        <v>1</v>
      </c>
      <c r="AI223" s="42">
        <f t="shared" ca="1" si="40"/>
        <v>385</v>
      </c>
      <c r="AJ223" s="42">
        <f t="shared" ca="1" si="38"/>
        <v>330</v>
      </c>
      <c r="AK223" s="13" t="s">
        <v>87</v>
      </c>
      <c r="AL223" s="36" t="str">
        <f t="shared" si="41"/>
        <v>Aborted</v>
      </c>
      <c r="AM223" s="37">
        <v>45279</v>
      </c>
      <c r="AN223" s="556">
        <f>+AM223</f>
        <v>45279</v>
      </c>
      <c r="AO223" s="37" t="s">
        <v>65</v>
      </c>
      <c r="AP223" s="37" t="s">
        <v>65</v>
      </c>
      <c r="AQ223" s="38">
        <v>45287</v>
      </c>
      <c r="AR223" s="38">
        <v>45307</v>
      </c>
      <c r="AS223" s="38">
        <v>45320</v>
      </c>
      <c r="AT223" s="38"/>
      <c r="AU223" s="38"/>
      <c r="AV223" s="38"/>
      <c r="AW223" s="38">
        <v>45320</v>
      </c>
      <c r="AX223" s="38">
        <v>45317</v>
      </c>
      <c r="AY223" s="38">
        <v>45334</v>
      </c>
      <c r="AZ223" s="38"/>
      <c r="BA223" s="39"/>
      <c r="BB223" s="38"/>
      <c r="BC223" s="11" t="s">
        <v>7</v>
      </c>
    </row>
    <row r="224" spans="1:55" x14ac:dyDescent="0.35">
      <c r="B224" s="16">
        <f>IF(D224=$A$516,1,IF(D224=$A$517,2,IF(D224=$A$518,3,IF(D224=$A$519,4,IF(D224=$A$520,5,IF(D224=$A$521,6))))))</f>
        <v>5</v>
      </c>
      <c r="D224" s="20" t="str">
        <f t="shared" si="42"/>
        <v>abt</v>
      </c>
      <c r="E224" s="20" t="s">
        <v>2696</v>
      </c>
      <c r="F224" s="14"/>
      <c r="G224" s="13" t="s">
        <v>2698</v>
      </c>
      <c r="H224" s="14" t="s">
        <v>2697</v>
      </c>
      <c r="I224" s="14" t="s">
        <v>191</v>
      </c>
      <c r="J224" s="13" t="s">
        <v>119</v>
      </c>
      <c r="K224" s="20" t="s">
        <v>2699</v>
      </c>
      <c r="L224" s="15" t="s">
        <v>2700</v>
      </c>
      <c r="M224" s="15"/>
      <c r="N224" s="15"/>
      <c r="O224" s="15"/>
      <c r="P224" s="15"/>
      <c r="Q224" s="15"/>
      <c r="S224" s="35" t="s">
        <v>77</v>
      </c>
      <c r="T224" s="13">
        <v>2022</v>
      </c>
      <c r="U224" s="17">
        <v>177</v>
      </c>
      <c r="V224" s="17">
        <v>7.95</v>
      </c>
      <c r="W224" s="36">
        <f>+V224/U224</f>
        <v>4.4915254237288135E-2</v>
      </c>
      <c r="X224" s="17">
        <v>5.3</v>
      </c>
      <c r="Y224" s="17">
        <v>10</v>
      </c>
      <c r="AA224" s="15" t="s">
        <v>60</v>
      </c>
      <c r="AB224" s="17"/>
      <c r="AC224" s="21" t="s">
        <v>61</v>
      </c>
      <c r="AD224" s="21" t="s">
        <v>61</v>
      </c>
      <c r="AE224" s="17" t="s">
        <v>86</v>
      </c>
      <c r="AF224" s="17" t="s">
        <v>79</v>
      </c>
      <c r="AG224" s="15"/>
      <c r="AH224" s="677">
        <v>1</v>
      </c>
      <c r="AI224" s="42">
        <f t="shared" ca="1" si="40"/>
        <v>666</v>
      </c>
      <c r="AJ224" s="42">
        <f t="shared" ca="1" si="38"/>
        <v>253</v>
      </c>
      <c r="AK224" s="13" t="s">
        <v>87</v>
      </c>
      <c r="AL224" s="36" t="str">
        <f t="shared" si="41"/>
        <v>Aborted</v>
      </c>
      <c r="AM224" s="37">
        <v>44998</v>
      </c>
      <c r="AN224" s="172">
        <v>44998</v>
      </c>
      <c r="AO224" s="37">
        <v>44998</v>
      </c>
      <c r="AP224" s="37">
        <v>44998</v>
      </c>
      <c r="AQ224" s="38">
        <v>45006</v>
      </c>
      <c r="AR224" s="38">
        <v>44998</v>
      </c>
      <c r="AS224" s="38" t="s">
        <v>65</v>
      </c>
      <c r="AT224" s="38">
        <v>45033</v>
      </c>
      <c r="AU224" s="38">
        <v>45061</v>
      </c>
      <c r="AV224" s="38"/>
      <c r="AW224" s="38"/>
      <c r="AX224" s="38">
        <v>45307</v>
      </c>
      <c r="AY224" s="38">
        <v>45411</v>
      </c>
      <c r="AZ224" s="38"/>
      <c r="BA224" s="39">
        <f>+IF(AY224="","",COUNTA(AN224:AV224)/(COUNTA(AN224:AV224)+COUNTBLANK(AN224:AV224)))</f>
        <v>0.88888888888888884</v>
      </c>
      <c r="BB224" s="38"/>
      <c r="BC224" s="11" t="s">
        <v>7</v>
      </c>
    </row>
    <row r="225" spans="1:55" x14ac:dyDescent="0.35">
      <c r="B225" s="16">
        <f>IF(D225=$A$516,1,IF(D225=$A$517,2,IF(D225=$A$518,3,IF(D225=$A$519,4,IF(D225=$A$520,5,IF(D225=$A$521,6))))))</f>
        <v>5</v>
      </c>
      <c r="D225" s="20" t="str">
        <f t="shared" si="42"/>
        <v>abt</v>
      </c>
      <c r="E225" s="20" t="s">
        <v>549</v>
      </c>
      <c r="F225" s="13"/>
      <c r="G225" s="13" t="s">
        <v>208</v>
      </c>
      <c r="H225" s="14" t="s">
        <v>550</v>
      </c>
      <c r="I225" s="13">
        <v>620200</v>
      </c>
      <c r="J225" s="13" t="s">
        <v>119</v>
      </c>
      <c r="K225" s="15" t="s">
        <v>551</v>
      </c>
      <c r="L225" s="15"/>
      <c r="M225" s="20"/>
      <c r="N225" s="15"/>
      <c r="O225" s="15"/>
      <c r="P225" s="15"/>
      <c r="Q225" s="15"/>
      <c r="S225" s="35" t="s">
        <v>77</v>
      </c>
      <c r="T225" s="13">
        <v>2021</v>
      </c>
      <c r="U225" s="17">
        <v>32.206000000000003</v>
      </c>
      <c r="V225" s="17">
        <v>10.978999999999999</v>
      </c>
      <c r="W225" s="36">
        <f>+V225/U225</f>
        <v>0.34089921132708184</v>
      </c>
      <c r="X225" s="17">
        <v>7.4080000000000004</v>
      </c>
      <c r="Y225" s="17">
        <v>-7.5419999999999998</v>
      </c>
      <c r="AA225" s="15" t="s">
        <v>60</v>
      </c>
      <c r="AB225" s="17"/>
      <c r="AC225" s="21" t="s">
        <v>153</v>
      </c>
      <c r="AD225" s="21" t="s">
        <v>153</v>
      </c>
      <c r="AE225" s="17" t="s">
        <v>62</v>
      </c>
      <c r="AF225" s="17"/>
      <c r="AG225" s="15"/>
      <c r="AI225" s="42">
        <f t="shared" ca="1" si="40"/>
        <v>791</v>
      </c>
      <c r="AJ225" s="42">
        <f t="shared" ca="1" si="38"/>
        <v>252</v>
      </c>
      <c r="AK225" s="13" t="s">
        <v>64</v>
      </c>
      <c r="AL225" s="36" t="str">
        <f t="shared" si="41"/>
        <v>Aborted</v>
      </c>
      <c r="AM225" s="37">
        <v>44873</v>
      </c>
      <c r="AN225" s="37">
        <f>+AM225</f>
        <v>44873</v>
      </c>
      <c r="AO225" s="37" t="s">
        <v>65</v>
      </c>
      <c r="AP225" s="37">
        <v>44876</v>
      </c>
      <c r="AQ225" s="38">
        <v>44876</v>
      </c>
      <c r="AR225" s="38"/>
      <c r="AS225" s="38"/>
      <c r="AT225" s="38"/>
      <c r="AU225" s="38"/>
      <c r="AV225" s="38"/>
      <c r="AW225" s="38">
        <v>44951</v>
      </c>
      <c r="AX225" s="38">
        <v>44971</v>
      </c>
      <c r="AY225" s="38">
        <v>45412</v>
      </c>
      <c r="AZ225" s="38"/>
      <c r="BA225" s="39">
        <f>+IF(AY225="","",COUNTA(AN225:AV225)/(COUNTA(AN225:AV225)+COUNTBLANK(AN225:AV225)))</f>
        <v>0.44444444444444442</v>
      </c>
      <c r="BB225" s="38"/>
      <c r="BC225" s="11" t="s">
        <v>7</v>
      </c>
    </row>
    <row r="226" spans="1:55" x14ac:dyDescent="0.35">
      <c r="A226" s="358"/>
      <c r="B226" s="398">
        <f>IF(D226=$A$516,1,IF(D226=$A$517,2,IF(D226=$A$518,3,IF(D226=$A$519,4,IF(D226=$A$520,5,IF(D226=$A$521,6))))))</f>
        <v>5</v>
      </c>
      <c r="C226" s="398"/>
      <c r="D226" s="711" t="str">
        <f t="shared" si="42"/>
        <v>abt</v>
      </c>
      <c r="E226" s="414" t="s">
        <v>3298</v>
      </c>
      <c r="F226" s="401"/>
      <c r="G226" s="401" t="s">
        <v>1309</v>
      </c>
      <c r="H226" s="402"/>
      <c r="I226" s="401"/>
      <c r="J226" s="415" t="s">
        <v>251</v>
      </c>
      <c r="K226" s="403" t="s">
        <v>3305</v>
      </c>
      <c r="L226" s="403" t="s">
        <v>3306</v>
      </c>
      <c r="M226" s="403"/>
      <c r="N226" s="403"/>
      <c r="O226" s="403"/>
      <c r="P226" s="403"/>
      <c r="Q226" s="403"/>
      <c r="R226" s="398"/>
      <c r="S226" s="404" t="s">
        <v>77</v>
      </c>
      <c r="T226" s="401"/>
      <c r="U226" s="405"/>
      <c r="V226" s="405"/>
      <c r="W226" s="36"/>
      <c r="X226" s="405"/>
      <c r="Y226" s="405"/>
      <c r="Z226" s="398"/>
      <c r="AA226" s="403" t="s">
        <v>140</v>
      </c>
      <c r="AB226" s="405"/>
      <c r="AC226" s="407" t="s">
        <v>78</v>
      </c>
      <c r="AD226" s="407" t="s">
        <v>78</v>
      </c>
      <c r="AE226" s="401" t="s">
        <v>128</v>
      </c>
      <c r="AF226" s="405"/>
      <c r="AG226" s="403" t="s">
        <v>3307</v>
      </c>
      <c r="AH226" s="398"/>
      <c r="AI226" s="408">
        <f t="shared" ca="1" si="40"/>
        <v>341</v>
      </c>
      <c r="AJ226" s="408">
        <f t="shared" ca="1" si="38"/>
        <v>259</v>
      </c>
      <c r="AK226" s="401" t="s">
        <v>720</v>
      </c>
      <c r="AL226" s="417" t="str">
        <f t="shared" si="41"/>
        <v>Aborted</v>
      </c>
      <c r="AM226" s="410">
        <v>45323</v>
      </c>
      <c r="AN226" s="410">
        <v>45330</v>
      </c>
      <c r="AO226" s="410" t="s">
        <v>65</v>
      </c>
      <c r="AP226" s="410">
        <v>45335</v>
      </c>
      <c r="AQ226" s="38">
        <v>45341</v>
      </c>
      <c r="AR226" s="38"/>
      <c r="AS226" s="38"/>
      <c r="AT226" s="38"/>
      <c r="AU226" s="38"/>
      <c r="AV226" s="38"/>
      <c r="AW226" s="411">
        <v>45341</v>
      </c>
      <c r="AX226" s="411">
        <v>45341</v>
      </c>
      <c r="AY226" s="411">
        <v>45405</v>
      </c>
      <c r="AZ226" s="411"/>
      <c r="BA226" s="418"/>
      <c r="BB226" s="411"/>
      <c r="BC226" s="11" t="s">
        <v>7</v>
      </c>
    </row>
    <row r="227" spans="1:55" x14ac:dyDescent="0.35">
      <c r="B227" s="148">
        <f>IF(D227=$A$516,1,IF(D227=$A$517,2,IF(D227=$A$518,3,IF(D227=$A$519,4,IF(D227=$A$520,5,IF(D227=$A$521,6))))))</f>
        <v>5</v>
      </c>
      <c r="D227" s="20" t="str">
        <f t="shared" si="42"/>
        <v>abt</v>
      </c>
      <c r="E227" s="141" t="s">
        <v>2654</v>
      </c>
      <c r="F227" s="13"/>
      <c r="G227" s="13" t="s">
        <v>2656</v>
      </c>
      <c r="H227" s="14"/>
      <c r="I227" s="13"/>
      <c r="J227" s="13" t="s">
        <v>1460</v>
      </c>
      <c r="K227" s="15" t="s">
        <v>2639</v>
      </c>
      <c r="L227" s="15" t="s">
        <v>2897</v>
      </c>
      <c r="M227" s="15"/>
      <c r="N227" s="15"/>
      <c r="O227" s="15"/>
      <c r="P227" s="15"/>
      <c r="Q227" s="15"/>
      <c r="S227" s="35" t="s">
        <v>77</v>
      </c>
      <c r="T227" s="13">
        <v>2022</v>
      </c>
      <c r="U227" s="17">
        <v>6.3029999999999999</v>
      </c>
      <c r="V227" s="17">
        <v>0.50900000000000001</v>
      </c>
      <c r="W227" s="36">
        <f>+V227/U227</f>
        <v>8.075519593844202E-2</v>
      </c>
      <c r="X227" s="17">
        <v>0.16500000000000001</v>
      </c>
      <c r="Y227" s="17">
        <v>-0.85699999999999998</v>
      </c>
      <c r="AA227" s="15" t="s">
        <v>140</v>
      </c>
      <c r="AB227" s="17"/>
      <c r="AC227" s="21" t="s">
        <v>61</v>
      </c>
      <c r="AD227" s="21" t="s">
        <v>61</v>
      </c>
      <c r="AE227" s="17" t="s">
        <v>128</v>
      </c>
      <c r="AF227" s="17"/>
      <c r="AG227" s="15" t="s">
        <v>2640</v>
      </c>
      <c r="AI227" s="42">
        <f t="shared" ca="1" si="40"/>
        <v>413</v>
      </c>
      <c r="AJ227" s="42">
        <f t="shared" ca="1" si="38"/>
        <v>20</v>
      </c>
      <c r="AK227" s="13" t="s">
        <v>720</v>
      </c>
      <c r="AL227" s="36" t="str">
        <f t="shared" si="41"/>
        <v>Aborted</v>
      </c>
      <c r="AM227" s="37">
        <v>45251</v>
      </c>
      <c r="AN227" s="37">
        <v>45644</v>
      </c>
      <c r="AO227" s="37">
        <v>45271</v>
      </c>
      <c r="AP227" s="37">
        <v>45271</v>
      </c>
      <c r="AQ227" s="38">
        <v>45274</v>
      </c>
      <c r="AR227" s="38">
        <v>45313</v>
      </c>
      <c r="AS227" s="38"/>
      <c r="AT227" s="38"/>
      <c r="AU227" s="38"/>
      <c r="AV227" s="38"/>
      <c r="AW227" s="38">
        <v>45320</v>
      </c>
      <c r="AX227" s="38">
        <v>45640</v>
      </c>
      <c r="AY227" s="38">
        <v>45405</v>
      </c>
      <c r="AZ227" s="38"/>
      <c r="BA227" s="39">
        <f>+IF(AY227="","",COUNTA(AN227:AV227)/(COUNTA(AN227:AV227)+COUNTBLANK(AN227:AV227)))</f>
        <v>0.55555555555555558</v>
      </c>
      <c r="BB227" s="38"/>
      <c r="BC227" s="11" t="s">
        <v>7</v>
      </c>
    </row>
    <row r="228" spans="1:55" x14ac:dyDescent="0.35">
      <c r="A228" s="277"/>
      <c r="B228" s="148">
        <f>IF(D228=$A$516,1,IF(D228=$A$517,2,IF(D228=$A$518,3,IF(D228=$A$519,4,IF(D228=$A$520,5,IF(D228=$A$521,6))))))</f>
        <v>5</v>
      </c>
      <c r="D228" s="20" t="str">
        <f t="shared" si="42"/>
        <v>abt</v>
      </c>
      <c r="E228" s="12" t="s">
        <v>2896</v>
      </c>
      <c r="F228" s="13"/>
      <c r="G228" s="13" t="s">
        <v>308</v>
      </c>
      <c r="H228" s="14"/>
      <c r="I228" s="13"/>
      <c r="J228" s="13" t="s">
        <v>1460</v>
      </c>
      <c r="K228" s="15" t="s">
        <v>2622</v>
      </c>
      <c r="L228" s="15" t="s">
        <v>2895</v>
      </c>
      <c r="M228" s="15"/>
      <c r="N228" s="15"/>
      <c r="O228" s="15"/>
      <c r="P228" s="15"/>
      <c r="Q228" s="15"/>
      <c r="S228" s="35" t="s">
        <v>77</v>
      </c>
      <c r="T228" s="13">
        <v>2022</v>
      </c>
      <c r="U228" s="17">
        <v>8.0129999999999999</v>
      </c>
      <c r="V228" s="17">
        <v>0.19500000000000001</v>
      </c>
      <c r="W228" s="36">
        <f>+V228/U228</f>
        <v>2.433545488581056E-2</v>
      </c>
      <c r="X228" s="17">
        <v>7.9000000000000001E-2</v>
      </c>
      <c r="Y228" s="17">
        <v>0.155</v>
      </c>
      <c r="AA228" s="15" t="s">
        <v>2901</v>
      </c>
      <c r="AB228" s="17"/>
      <c r="AC228" s="21" t="s">
        <v>61</v>
      </c>
      <c r="AD228" s="21" t="s">
        <v>61</v>
      </c>
      <c r="AE228" s="17" t="s">
        <v>128</v>
      </c>
      <c r="AF228" s="17"/>
      <c r="AG228" s="15" t="s">
        <v>2640</v>
      </c>
      <c r="AI228" s="42">
        <f t="shared" ca="1" si="40"/>
        <v>351</v>
      </c>
      <c r="AJ228" s="42">
        <f t="shared" ca="1" si="38"/>
        <v>259</v>
      </c>
      <c r="AK228" s="13" t="s">
        <v>720</v>
      </c>
      <c r="AL228" s="36" t="str">
        <f t="shared" si="41"/>
        <v>Aborted</v>
      </c>
      <c r="AM228" s="37">
        <v>45313</v>
      </c>
      <c r="AN228" s="37">
        <v>45313</v>
      </c>
      <c r="AO228" s="37" t="s">
        <v>65</v>
      </c>
      <c r="AP228" s="37">
        <v>45314</v>
      </c>
      <c r="AQ228" s="38">
        <v>45328</v>
      </c>
      <c r="AR228" s="38"/>
      <c r="AS228" s="38"/>
      <c r="AT228" s="38"/>
      <c r="AU228" s="38"/>
      <c r="AV228" s="38"/>
      <c r="AW228" s="38">
        <v>45328</v>
      </c>
      <c r="AX228" s="38">
        <v>45345</v>
      </c>
      <c r="AY228" s="38">
        <v>45405</v>
      </c>
      <c r="AZ228" s="38"/>
      <c r="BA228" s="39">
        <f>+IF(AY228="","",COUNTA(AN228:AV228)/(COUNTA(AN228:AV228)+COUNTBLANK(AN228:AV228)))</f>
        <v>0.44444444444444442</v>
      </c>
      <c r="BB228" s="38"/>
      <c r="BC228" s="11" t="s">
        <v>7</v>
      </c>
    </row>
    <row r="229" spans="1:55" x14ac:dyDescent="0.35">
      <c r="B229" s="16">
        <f>IF(D229=$A$516,1,IF(D229=$A$517,2,IF(D229=$A$518,3,IF(D229=$A$519,4,IF(D229=$A$520,5,IF(D229=$A$521,6))))))</f>
        <v>5</v>
      </c>
      <c r="D229" s="20" t="str">
        <f t="shared" si="42"/>
        <v>abt</v>
      </c>
      <c r="E229" s="20" t="s">
        <v>213</v>
      </c>
      <c r="F229" s="13" t="s">
        <v>214</v>
      </c>
      <c r="G229" s="13" t="s">
        <v>215</v>
      </c>
      <c r="H229" s="14" t="s">
        <v>216</v>
      </c>
      <c r="I229" s="14" t="s">
        <v>217</v>
      </c>
      <c r="J229" s="13" t="s">
        <v>132</v>
      </c>
      <c r="K229" s="15" t="s">
        <v>218</v>
      </c>
      <c r="L229" s="15" t="s">
        <v>219</v>
      </c>
      <c r="M229" s="15" t="s">
        <v>220</v>
      </c>
      <c r="N229" s="15"/>
      <c r="O229" s="15"/>
      <c r="P229" s="15"/>
      <c r="Q229" s="15"/>
      <c r="S229" s="17" t="s">
        <v>77</v>
      </c>
      <c r="T229" s="13">
        <v>2021</v>
      </c>
      <c r="U229" s="17">
        <v>1.8</v>
      </c>
      <c r="V229" s="17">
        <v>0.25700000000000001</v>
      </c>
      <c r="W229" s="36">
        <f>+V229/U229</f>
        <v>0.14277777777777778</v>
      </c>
      <c r="X229" s="17">
        <v>0.14000000000000001</v>
      </c>
      <c r="Y229" s="17"/>
      <c r="AA229" s="15" t="s">
        <v>60</v>
      </c>
      <c r="AB229" s="15"/>
      <c r="AC229" s="17" t="s">
        <v>78</v>
      </c>
      <c r="AD229" s="21" t="s">
        <v>78</v>
      </c>
      <c r="AE229" s="13" t="s">
        <v>86</v>
      </c>
      <c r="AF229" s="17" t="s">
        <v>128</v>
      </c>
      <c r="AG229" s="15"/>
      <c r="AI229" s="42">
        <f t="shared" ca="1" si="40"/>
        <v>566</v>
      </c>
      <c r="AJ229" s="42">
        <f t="shared" ca="1" si="38"/>
        <v>543</v>
      </c>
      <c r="AK229" s="13" t="s">
        <v>87</v>
      </c>
      <c r="AL229" s="36" t="str">
        <f t="shared" si="41"/>
        <v>Aborted</v>
      </c>
      <c r="AM229" s="37">
        <v>45098</v>
      </c>
      <c r="AN229" s="37">
        <v>45098</v>
      </c>
      <c r="AO229" s="37" t="s">
        <v>65</v>
      </c>
      <c r="AP229" s="37">
        <v>45098</v>
      </c>
      <c r="AQ229" s="38">
        <v>45097</v>
      </c>
      <c r="AR229" s="38">
        <v>45105</v>
      </c>
      <c r="AS229" s="38" t="s">
        <v>65</v>
      </c>
      <c r="AT229" s="38">
        <v>45110</v>
      </c>
      <c r="AU229" s="38">
        <v>45121</v>
      </c>
      <c r="AV229" s="38">
        <v>45121</v>
      </c>
      <c r="AW229" s="38"/>
      <c r="AX229" s="38"/>
      <c r="AY229" s="38" t="s">
        <v>3593</v>
      </c>
      <c r="AZ229" s="38"/>
      <c r="BA229" s="39"/>
      <c r="BB229" s="38"/>
      <c r="BC229" s="11" t="s">
        <v>7</v>
      </c>
    </row>
    <row r="230" spans="1:55" x14ac:dyDescent="0.35">
      <c r="B230" s="16">
        <f>IF(D230=$A$516,1,IF(D230=$A$517,2,IF(D230=$A$518,3,IF(D230=$A$519,4,IF(D230=$A$520,5,IF(D230=$A$521,6))))))</f>
        <v>5</v>
      </c>
      <c r="D230" s="20" t="str">
        <f t="shared" si="42"/>
        <v>abt</v>
      </c>
      <c r="E230" s="20" t="s">
        <v>3512</v>
      </c>
      <c r="F230" s="280"/>
      <c r="G230" s="13"/>
      <c r="H230" s="14"/>
      <c r="I230" s="280"/>
      <c r="J230" s="13" t="s">
        <v>1589</v>
      </c>
      <c r="K230" s="15" t="s">
        <v>3489</v>
      </c>
      <c r="L230" s="15" t="s">
        <v>3513</v>
      </c>
      <c r="M230" s="15"/>
      <c r="N230" s="15"/>
      <c r="O230" s="282"/>
      <c r="P230" s="282"/>
      <c r="Q230" s="282"/>
      <c r="R230" s="277"/>
      <c r="S230" s="35" t="s">
        <v>77</v>
      </c>
      <c r="T230" s="280">
        <v>2022</v>
      </c>
      <c r="U230" s="17"/>
      <c r="V230" s="284"/>
      <c r="W230" s="36"/>
      <c r="X230" s="17"/>
      <c r="Y230" s="284"/>
      <c r="Z230" s="277"/>
      <c r="AA230" s="15" t="s">
        <v>60</v>
      </c>
      <c r="AB230" s="17"/>
      <c r="AC230" s="21" t="s">
        <v>153</v>
      </c>
      <c r="AD230" s="21" t="s">
        <v>153</v>
      </c>
      <c r="AE230" s="13" t="s">
        <v>79</v>
      </c>
      <c r="AF230" s="284"/>
      <c r="AG230" s="282"/>
      <c r="AH230" s="677">
        <v>1</v>
      </c>
      <c r="AI230" s="42">
        <f t="shared" ca="1" si="40"/>
        <v>300</v>
      </c>
      <c r="AJ230" s="42">
        <f t="shared" ca="1" si="38"/>
        <v>253</v>
      </c>
      <c r="AK230" s="13" t="s">
        <v>87</v>
      </c>
      <c r="AL230" s="288" t="str">
        <f t="shared" si="41"/>
        <v>Aborted</v>
      </c>
      <c r="AM230" s="289">
        <v>45364</v>
      </c>
      <c r="AN230" s="289">
        <v>45364</v>
      </c>
      <c r="AO230" s="289">
        <v>45364</v>
      </c>
      <c r="AP230" s="289">
        <v>45364</v>
      </c>
      <c r="AQ230" s="38">
        <v>45364</v>
      </c>
      <c r="AR230" s="38">
        <v>45380</v>
      </c>
      <c r="AS230" s="38"/>
      <c r="AT230" s="38"/>
      <c r="AU230" s="38"/>
      <c r="AV230" s="38"/>
      <c r="AW230" s="38"/>
      <c r="AX230" s="290"/>
      <c r="AY230" s="290">
        <v>45411</v>
      </c>
      <c r="AZ230" s="290"/>
      <c r="BA230" s="291"/>
      <c r="BB230" s="290"/>
      <c r="BC230" s="11" t="s">
        <v>7</v>
      </c>
    </row>
    <row r="231" spans="1:55" x14ac:dyDescent="0.35">
      <c r="B231" s="277">
        <f>IF(D231=$A$516,1,IF(D231=$A$517,2,IF(D231=$A$518,3,IF(D231=$A$519,4,IF(D231=$A$520,5,IF(D231=$A$521,6))))))</f>
        <v>5</v>
      </c>
      <c r="D231" s="711" t="str">
        <f t="shared" si="42"/>
        <v>abt</v>
      </c>
      <c r="E231" s="279" t="s">
        <v>2968</v>
      </c>
      <c r="F231" s="280"/>
      <c r="G231" s="280" t="s">
        <v>371</v>
      </c>
      <c r="H231" s="281" t="s">
        <v>2969</v>
      </c>
      <c r="I231" s="280"/>
      <c r="J231" s="292" t="s">
        <v>111</v>
      </c>
      <c r="K231" s="282" t="s">
        <v>2970</v>
      </c>
      <c r="L231" s="282" t="s">
        <v>2971</v>
      </c>
      <c r="M231" s="282" t="s">
        <v>2972</v>
      </c>
      <c r="N231" s="282"/>
      <c r="O231" s="282"/>
      <c r="P231" s="282"/>
      <c r="Q231" s="282"/>
      <c r="R231" s="277"/>
      <c r="S231" s="283"/>
      <c r="T231" s="280"/>
      <c r="U231" s="284"/>
      <c r="V231" s="284"/>
      <c r="W231" s="36"/>
      <c r="X231" s="284"/>
      <c r="Y231" s="284"/>
      <c r="Z231" s="277"/>
      <c r="AA231" s="282" t="s">
        <v>60</v>
      </c>
      <c r="AB231" s="284"/>
      <c r="AC231" s="285" t="s">
        <v>78</v>
      </c>
      <c r="AD231" s="285" t="s">
        <v>78</v>
      </c>
      <c r="AE231" s="286" t="s">
        <v>86</v>
      </c>
      <c r="AF231" s="284" t="s">
        <v>79</v>
      </c>
      <c r="AG231" s="282"/>
      <c r="AH231" s="677">
        <v>1</v>
      </c>
      <c r="AI231" s="42">
        <f t="shared" ca="1" si="40"/>
        <v>342</v>
      </c>
      <c r="AJ231" s="42">
        <f t="shared" ca="1" si="38"/>
        <v>300</v>
      </c>
      <c r="AK231" s="280" t="s">
        <v>87</v>
      </c>
      <c r="AL231" s="288" t="str">
        <f t="shared" si="41"/>
        <v>Aborted</v>
      </c>
      <c r="AM231" s="289">
        <v>45322</v>
      </c>
      <c r="AN231" s="289">
        <v>45322</v>
      </c>
      <c r="AO231" s="37" t="s">
        <v>65</v>
      </c>
      <c r="AP231" s="289">
        <v>45322</v>
      </c>
      <c r="AQ231" s="38">
        <v>45322</v>
      </c>
      <c r="AR231" s="38">
        <v>45323</v>
      </c>
      <c r="AS231" s="38">
        <v>45355</v>
      </c>
      <c r="AT231" s="38">
        <v>45363</v>
      </c>
      <c r="AU231" s="38"/>
      <c r="AV231" s="38"/>
      <c r="AW231" s="290">
        <v>45363</v>
      </c>
      <c r="AX231" s="290"/>
      <c r="AY231" s="290">
        <v>45364</v>
      </c>
      <c r="AZ231" s="290"/>
      <c r="BA231" s="291">
        <f>+IF(AY231="","",COUNTA(AN231:AV231)/(COUNTA(AN231:AV231)+COUNTBLANK(AN231:AV231)))</f>
        <v>0.77777777777777779</v>
      </c>
      <c r="BB231" s="290"/>
      <c r="BC231" s="11" t="s">
        <v>7</v>
      </c>
    </row>
    <row r="232" spans="1:55" x14ac:dyDescent="0.35">
      <c r="B232" s="358">
        <f>IF(D232=$A$516,1,IF(D232=$A$517,2,IF(D232=$A$518,3,IF(D232=$A$519,4,IF(D232=$A$520,5,IF(D232=$A$521,6))))))</f>
        <v>5</v>
      </c>
      <c r="D232" s="711" t="str">
        <f t="shared" si="42"/>
        <v>abt</v>
      </c>
      <c r="E232" s="359" t="s">
        <v>3259</v>
      </c>
      <c r="F232" s="360"/>
      <c r="G232" s="360" t="s">
        <v>3173</v>
      </c>
      <c r="H232" s="361"/>
      <c r="I232" s="360"/>
      <c r="J232" s="362" t="s">
        <v>251</v>
      </c>
      <c r="K232" s="363" t="s">
        <v>3174</v>
      </c>
      <c r="L232" s="363"/>
      <c r="M232" s="363"/>
      <c r="N232" s="363"/>
      <c r="O232" s="363"/>
      <c r="P232" s="363"/>
      <c r="Q232" s="363"/>
      <c r="R232" s="358"/>
      <c r="S232" s="364" t="s">
        <v>77</v>
      </c>
      <c r="T232" s="360">
        <v>2022</v>
      </c>
      <c r="U232" s="365">
        <v>1500</v>
      </c>
      <c r="V232" s="365"/>
      <c r="W232" s="36">
        <f>+V232/U232</f>
        <v>0</v>
      </c>
      <c r="X232" s="365"/>
      <c r="Y232" s="365"/>
      <c r="Z232" s="358"/>
      <c r="AA232" s="175" t="s">
        <v>99</v>
      </c>
      <c r="AB232" s="365" t="s">
        <v>1112</v>
      </c>
      <c r="AC232" s="366" t="s">
        <v>78</v>
      </c>
      <c r="AD232" s="366" t="s">
        <v>78</v>
      </c>
      <c r="AE232" s="360" t="s">
        <v>62</v>
      </c>
      <c r="AF232" s="360" t="s">
        <v>128</v>
      </c>
      <c r="AG232" s="15" t="s">
        <v>3176</v>
      </c>
      <c r="AH232" s="358"/>
      <c r="AI232" s="42">
        <f t="shared" ca="1" si="40"/>
        <v>333</v>
      </c>
      <c r="AJ232" s="42">
        <f t="shared" ca="1" si="38"/>
        <v>315</v>
      </c>
      <c r="AK232" s="360" t="s">
        <v>64</v>
      </c>
      <c r="AL232" s="288" t="str">
        <f t="shared" si="41"/>
        <v>Aborted</v>
      </c>
      <c r="AM232" s="289">
        <v>45331</v>
      </c>
      <c r="AN232" s="289">
        <f>+AM232</f>
        <v>45331</v>
      </c>
      <c r="AO232" s="289" t="s">
        <v>65</v>
      </c>
      <c r="AP232" s="289">
        <v>45336</v>
      </c>
      <c r="AQ232" s="38">
        <v>45341</v>
      </c>
      <c r="AR232" s="38"/>
      <c r="AS232" s="38"/>
      <c r="AT232" s="38"/>
      <c r="AU232" s="38"/>
      <c r="AV232" s="38"/>
      <c r="AW232" s="371">
        <v>45343</v>
      </c>
      <c r="AX232" s="371"/>
      <c r="AY232" s="371">
        <v>45349</v>
      </c>
      <c r="AZ232" s="371"/>
      <c r="BA232" s="372"/>
      <c r="BB232" s="371"/>
      <c r="BC232" s="11" t="s">
        <v>7</v>
      </c>
    </row>
    <row r="233" spans="1:55" x14ac:dyDescent="0.35">
      <c r="A233" s="277"/>
      <c r="B233" s="16">
        <f>IF(D233=$A$516,1,IF(D233=$A$517,2,IF(D233=$A$518,3,IF(D233=$A$519,4,IF(D233=$A$520,5,IF(D233=$A$521,6))))))</f>
        <v>5</v>
      </c>
      <c r="D233" s="20" t="str">
        <f t="shared" si="42"/>
        <v>abt</v>
      </c>
      <c r="E233" s="12" t="s">
        <v>2677</v>
      </c>
      <c r="F233" s="13"/>
      <c r="G233" s="13" t="s">
        <v>232</v>
      </c>
      <c r="H233" s="13"/>
      <c r="I233" s="13"/>
      <c r="J233" s="13" t="s">
        <v>267</v>
      </c>
      <c r="K233" s="15" t="s">
        <v>2950</v>
      </c>
      <c r="L233" s="15"/>
      <c r="M233" s="15"/>
      <c r="N233" s="15"/>
      <c r="O233" s="15"/>
      <c r="P233" s="15"/>
      <c r="Q233" s="15"/>
      <c r="S233" s="17" t="s">
        <v>77</v>
      </c>
      <c r="T233" s="13"/>
      <c r="U233" s="17"/>
      <c r="V233" s="17"/>
      <c r="W233" s="36"/>
      <c r="X233" s="17"/>
      <c r="Y233" s="17"/>
      <c r="AA233" s="15" t="s">
        <v>99</v>
      </c>
      <c r="AB233" s="24" t="s">
        <v>2678</v>
      </c>
      <c r="AC233" s="21" t="s">
        <v>153</v>
      </c>
      <c r="AD233" s="21" t="s">
        <v>153</v>
      </c>
      <c r="AE233" s="13"/>
      <c r="AF233" s="17"/>
      <c r="AG233" s="15"/>
      <c r="AI233" s="42">
        <f t="shared" ca="1" si="40"/>
        <v>730</v>
      </c>
      <c r="AJ233" s="42">
        <f t="shared" ca="1" si="38"/>
        <v>323</v>
      </c>
      <c r="AK233" s="13" t="s">
        <v>87</v>
      </c>
      <c r="AL233" s="36" t="str">
        <f t="shared" si="41"/>
        <v>Aborted</v>
      </c>
      <c r="AM233" s="37">
        <v>44934</v>
      </c>
      <c r="AN233" s="172">
        <v>45302</v>
      </c>
      <c r="AO233" s="37" t="s">
        <v>65</v>
      </c>
      <c r="AP233" s="37">
        <v>45302</v>
      </c>
      <c r="AQ233" s="38">
        <v>45302</v>
      </c>
      <c r="AR233" s="38"/>
      <c r="AS233" s="38"/>
      <c r="AT233" s="38"/>
      <c r="AU233" s="38"/>
      <c r="AV233" s="38"/>
      <c r="AW233" s="38">
        <v>45302</v>
      </c>
      <c r="AX233" s="38"/>
      <c r="AY233" s="38">
        <v>45341</v>
      </c>
      <c r="AZ233" s="38"/>
      <c r="BA233" s="39"/>
      <c r="BB233" s="38"/>
      <c r="BC233" s="11" t="s">
        <v>7</v>
      </c>
    </row>
    <row r="234" spans="1:55" x14ac:dyDescent="0.35">
      <c r="A234" s="277"/>
      <c r="B234" s="16">
        <f>IF(D234=$A$516,1,IF(D234=$A$517,2,IF(D234=$A$518,3,IF(D234=$A$519,4,IF(D234=$A$520,5,IF(D234=$A$521,6))))))</f>
        <v>5</v>
      </c>
      <c r="D234" s="20" t="str">
        <f t="shared" si="42"/>
        <v>abt</v>
      </c>
      <c r="E234" s="20" t="s">
        <v>221</v>
      </c>
      <c r="F234" s="13"/>
      <c r="G234" s="13"/>
      <c r="H234" s="14"/>
      <c r="I234" s="13"/>
      <c r="J234" s="13" t="s">
        <v>222</v>
      </c>
      <c r="K234" s="15" t="s">
        <v>223</v>
      </c>
      <c r="L234" s="15" t="s">
        <v>221</v>
      </c>
      <c r="M234" s="15"/>
      <c r="N234" s="15"/>
      <c r="O234" s="15"/>
      <c r="P234" s="15"/>
      <c r="Q234" s="15"/>
      <c r="S234" s="17" t="s">
        <v>77</v>
      </c>
      <c r="T234" s="13">
        <v>2022</v>
      </c>
      <c r="U234" s="17">
        <v>8.2089999999999996</v>
      </c>
      <c r="V234" s="17">
        <v>1.6779999999999999</v>
      </c>
      <c r="W234" s="36">
        <f>+V234/U234</f>
        <v>0.20440979412839566</v>
      </c>
      <c r="X234" s="17"/>
      <c r="Y234" s="17"/>
      <c r="AA234" s="15" t="s">
        <v>99</v>
      </c>
      <c r="AB234" s="15" t="s">
        <v>224</v>
      </c>
      <c r="AC234" s="17" t="s">
        <v>61</v>
      </c>
      <c r="AD234" s="21" t="s">
        <v>61</v>
      </c>
      <c r="AE234" s="13" t="s">
        <v>79</v>
      </c>
      <c r="AF234" s="13" t="s">
        <v>62</v>
      </c>
      <c r="AG234" s="15"/>
      <c r="AH234" s="677">
        <v>1</v>
      </c>
      <c r="AI234" s="42">
        <f t="shared" ca="1" si="40"/>
        <v>554</v>
      </c>
      <c r="AJ234" s="42">
        <f t="shared" ca="1" si="38"/>
        <v>336</v>
      </c>
      <c r="AK234" s="13" t="s">
        <v>87</v>
      </c>
      <c r="AL234" s="36" t="str">
        <f t="shared" si="41"/>
        <v>Aborted</v>
      </c>
      <c r="AM234" s="37">
        <v>45110</v>
      </c>
      <c r="AN234" s="75">
        <v>45110</v>
      </c>
      <c r="AO234" s="37" t="s">
        <v>65</v>
      </c>
      <c r="AP234" s="37" t="s">
        <v>65</v>
      </c>
      <c r="AQ234" s="38">
        <v>45114</v>
      </c>
      <c r="AR234" s="38" t="s">
        <v>65</v>
      </c>
      <c r="AS234" s="38" t="s">
        <v>65</v>
      </c>
      <c r="AT234" s="38">
        <v>45114</v>
      </c>
      <c r="AU234" s="38">
        <v>45116</v>
      </c>
      <c r="AV234" s="38">
        <v>45127</v>
      </c>
      <c r="AW234" s="38"/>
      <c r="AX234" s="38"/>
      <c r="AY234" s="38">
        <v>45328</v>
      </c>
      <c r="AZ234" s="38"/>
      <c r="BA234" s="39"/>
      <c r="BB234" s="38"/>
      <c r="BC234" s="11" t="s">
        <v>7</v>
      </c>
    </row>
    <row r="235" spans="1:55" s="129" customFormat="1" x14ac:dyDescent="0.35">
      <c r="A235" s="277"/>
      <c r="B235" s="160">
        <f>IF(D235=$A$516,1,IF(D235=$A$517,2,IF(D235=$A$518,3,IF(D235=$A$519,4,IF(D235=$A$520,5,IF(D235=$A$521,6))))))</f>
        <v>5</v>
      </c>
      <c r="C235" s="160"/>
      <c r="D235" s="711" t="str">
        <f t="shared" si="42"/>
        <v>abt</v>
      </c>
      <c r="E235" s="159" t="s">
        <v>2668</v>
      </c>
      <c r="F235" s="161"/>
      <c r="G235" s="161"/>
      <c r="H235" s="162"/>
      <c r="I235" s="161"/>
      <c r="J235" s="161" t="s">
        <v>111</v>
      </c>
      <c r="K235" s="163" t="s">
        <v>2669</v>
      </c>
      <c r="L235" s="163"/>
      <c r="M235" s="163"/>
      <c r="N235" s="163"/>
      <c r="O235" s="163"/>
      <c r="P235" s="163"/>
      <c r="Q235" s="163"/>
      <c r="R235" s="160"/>
      <c r="S235" s="164"/>
      <c r="T235" s="161"/>
      <c r="U235" s="164"/>
      <c r="V235" s="164"/>
      <c r="W235" s="36"/>
      <c r="X235" s="164"/>
      <c r="Y235" s="164"/>
      <c r="Z235" s="160"/>
      <c r="AA235" s="163" t="s">
        <v>60</v>
      </c>
      <c r="AB235" s="163" t="s">
        <v>460</v>
      </c>
      <c r="AC235" s="165" t="s">
        <v>61</v>
      </c>
      <c r="AD235" s="165" t="s">
        <v>61</v>
      </c>
      <c r="AE235" s="165" t="s">
        <v>79</v>
      </c>
      <c r="AF235" s="165"/>
      <c r="AG235" s="345" t="s">
        <v>3164</v>
      </c>
      <c r="AH235" s="677">
        <v>1</v>
      </c>
      <c r="AI235" s="166">
        <f t="shared" ca="1" si="40"/>
        <v>377</v>
      </c>
      <c r="AJ235" s="179">
        <f t="shared" ca="1" si="38"/>
        <v>329</v>
      </c>
      <c r="AK235" s="161" t="s">
        <v>64</v>
      </c>
      <c r="AL235" s="167" t="str">
        <f t="shared" si="41"/>
        <v>Aborted</v>
      </c>
      <c r="AM235" s="168">
        <v>45287</v>
      </c>
      <c r="AN235" s="172">
        <f>+AM235</f>
        <v>45287</v>
      </c>
      <c r="AO235" s="168" t="s">
        <v>65</v>
      </c>
      <c r="AP235" s="168" t="s">
        <v>65</v>
      </c>
      <c r="AQ235" s="38">
        <f>+AN235</f>
        <v>45287</v>
      </c>
      <c r="AR235" s="38"/>
      <c r="AS235" s="38"/>
      <c r="AT235" s="38"/>
      <c r="AU235" s="38"/>
      <c r="AV235" s="38"/>
      <c r="AW235" s="169">
        <v>45323</v>
      </c>
      <c r="AX235" s="38">
        <v>45300</v>
      </c>
      <c r="AY235" s="169">
        <v>45335</v>
      </c>
      <c r="AZ235" s="169"/>
      <c r="BA235" s="202">
        <f t="shared" ref="BA235:BA298" si="43">+IF(AY235="","",COUNTA(AN235:AV235)/(COUNTA(AN235:AV235)+COUNTBLANK(AN235:AV235)))</f>
        <v>0.44444444444444442</v>
      </c>
      <c r="BB235" s="169"/>
      <c r="BC235" s="11" t="s">
        <v>7</v>
      </c>
    </row>
    <row r="236" spans="1:55" x14ac:dyDescent="0.35">
      <c r="A236" s="277"/>
      <c r="B236" s="16">
        <f>IF(D236=$A$516,1,IF(D236=$A$517,2,IF(D236=$A$518,3,IF(D236=$A$519,4,IF(D236=$A$520,5,IF(D236=$A$521,6))))))</f>
        <v>5</v>
      </c>
      <c r="D236" s="20" t="str">
        <f t="shared" si="42"/>
        <v>abt</v>
      </c>
      <c r="E236" s="20" t="s">
        <v>602</v>
      </c>
      <c r="F236" s="13" t="s">
        <v>603</v>
      </c>
      <c r="G236" s="13"/>
      <c r="H236" s="14"/>
      <c r="I236" s="13">
        <v>274009</v>
      </c>
      <c r="J236" s="13" t="s">
        <v>604</v>
      </c>
      <c r="K236" s="15" t="s">
        <v>605</v>
      </c>
      <c r="L236" s="15"/>
      <c r="M236" s="15"/>
      <c r="N236" s="15"/>
      <c r="O236" s="15"/>
      <c r="P236" s="15"/>
      <c r="Q236" s="15"/>
      <c r="S236" s="35" t="s">
        <v>77</v>
      </c>
      <c r="T236" s="13">
        <v>2022</v>
      </c>
      <c r="U236" s="17"/>
      <c r="V236" s="17"/>
      <c r="W236" s="36"/>
      <c r="X236" s="17"/>
      <c r="Y236" s="17"/>
      <c r="AA236" s="15" t="s">
        <v>99</v>
      </c>
      <c r="AB236" s="17" t="s">
        <v>606</v>
      </c>
      <c r="AC236" s="21" t="s">
        <v>78</v>
      </c>
      <c r="AD236" s="21" t="s">
        <v>78</v>
      </c>
      <c r="AE236" s="13" t="s">
        <v>79</v>
      </c>
      <c r="AF236" s="17" t="s">
        <v>313</v>
      </c>
      <c r="AG236" s="15"/>
      <c r="AH236" s="677">
        <v>1</v>
      </c>
      <c r="AI236" s="42">
        <f t="shared" ca="1" si="40"/>
        <v>592</v>
      </c>
      <c r="AJ236" s="42">
        <f t="shared" ca="1" si="38"/>
        <v>179</v>
      </c>
      <c r="AK236" s="13" t="s">
        <v>64</v>
      </c>
      <c r="AL236" s="36" t="str">
        <f t="shared" si="41"/>
        <v>Aborted</v>
      </c>
      <c r="AM236" s="37">
        <v>45072</v>
      </c>
      <c r="AN236" s="37">
        <v>45075</v>
      </c>
      <c r="AO236" s="37" t="s">
        <v>65</v>
      </c>
      <c r="AP236" s="37" t="s">
        <v>65</v>
      </c>
      <c r="AQ236" s="38">
        <v>45075</v>
      </c>
      <c r="AR236" s="38"/>
      <c r="AS236" s="38"/>
      <c r="AT236" s="38"/>
      <c r="AU236" s="38"/>
      <c r="AV236" s="38"/>
      <c r="AW236" s="38">
        <v>45485</v>
      </c>
      <c r="AX236" s="38">
        <v>45104</v>
      </c>
      <c r="AY236" s="38">
        <v>45244</v>
      </c>
      <c r="AZ236" s="38"/>
      <c r="BA236" s="39">
        <f t="shared" si="43"/>
        <v>0.44444444444444442</v>
      </c>
      <c r="BB236" s="38"/>
      <c r="BC236" s="11" t="s">
        <v>7</v>
      </c>
    </row>
    <row r="237" spans="1:55" x14ac:dyDescent="0.35">
      <c r="A237" s="277"/>
      <c r="B237" s="16">
        <f>IF(D237=$A$516,1,IF(D237=$A$517,2,IF(D237=$A$518,3,IF(D237=$A$519,4,IF(D237=$A$520,5,IF(D237=$A$521,6))))))</f>
        <v>5</v>
      </c>
      <c r="D237" s="20" t="str">
        <f t="shared" si="42"/>
        <v>abt</v>
      </c>
      <c r="E237" s="20" t="s">
        <v>612</v>
      </c>
      <c r="F237" s="13" t="s">
        <v>613</v>
      </c>
      <c r="G237" s="13" t="s">
        <v>103</v>
      </c>
      <c r="H237" s="14" t="s">
        <v>614</v>
      </c>
      <c r="I237" s="13">
        <v>479110</v>
      </c>
      <c r="J237" s="13" t="s">
        <v>321</v>
      </c>
      <c r="K237" s="15" t="s">
        <v>615</v>
      </c>
      <c r="L237" s="15"/>
      <c r="M237" s="15" t="s">
        <v>616</v>
      </c>
      <c r="N237" s="15" t="s">
        <v>617</v>
      </c>
      <c r="O237" s="15"/>
      <c r="P237" s="15"/>
      <c r="Q237" s="15"/>
      <c r="S237" s="35" t="s">
        <v>77</v>
      </c>
      <c r="T237" s="13">
        <v>2021</v>
      </c>
      <c r="U237" s="17">
        <v>64.400000000000006</v>
      </c>
      <c r="V237" s="17">
        <v>0.6</v>
      </c>
      <c r="W237" s="36">
        <f>+V237/U237</f>
        <v>9.3167701863354022E-3</v>
      </c>
      <c r="X237" s="17">
        <v>0.01</v>
      </c>
      <c r="Y237" s="17">
        <v>3.8</v>
      </c>
      <c r="AA237" s="15" t="s">
        <v>99</v>
      </c>
      <c r="AB237" s="15" t="s">
        <v>618</v>
      </c>
      <c r="AC237" s="17" t="s">
        <v>61</v>
      </c>
      <c r="AD237" s="17" t="s">
        <v>61</v>
      </c>
      <c r="AE237" s="17" t="s">
        <v>79</v>
      </c>
      <c r="AF237" s="17"/>
      <c r="AG237" s="15"/>
      <c r="AH237" s="677">
        <v>1</v>
      </c>
      <c r="AI237" s="42">
        <f t="shared" ca="1" si="40"/>
        <v>944</v>
      </c>
      <c r="AJ237" s="42">
        <f t="shared" ca="1" si="38"/>
        <v>455</v>
      </c>
      <c r="AK237" s="13" t="s">
        <v>87</v>
      </c>
      <c r="AL237" s="36" t="str">
        <f t="shared" si="41"/>
        <v>Aborted</v>
      </c>
      <c r="AM237" s="37">
        <v>44720</v>
      </c>
      <c r="AN237" s="75">
        <v>44720</v>
      </c>
      <c r="AO237" s="37" t="s">
        <v>65</v>
      </c>
      <c r="AP237" s="37" t="s">
        <v>65</v>
      </c>
      <c r="AQ237" s="38">
        <f>+AN237</f>
        <v>44720</v>
      </c>
      <c r="AR237" s="38" t="s">
        <v>65</v>
      </c>
      <c r="AS237" s="38" t="s">
        <v>65</v>
      </c>
      <c r="AT237" s="38">
        <v>44774</v>
      </c>
      <c r="AU237" s="38">
        <v>44820</v>
      </c>
      <c r="AV237" s="38">
        <v>44830</v>
      </c>
      <c r="AW237" s="38"/>
      <c r="AX237" s="38">
        <v>45209</v>
      </c>
      <c r="AY237" s="38">
        <v>45209</v>
      </c>
      <c r="AZ237" s="38"/>
      <c r="BA237" s="39">
        <f t="shared" si="43"/>
        <v>1</v>
      </c>
      <c r="BB237" s="38"/>
      <c r="BC237" s="11" t="s">
        <v>7</v>
      </c>
    </row>
    <row r="238" spans="1:55" x14ac:dyDescent="0.35">
      <c r="B238" s="16">
        <f>IF(D238=$A$516,1,IF(D238=$A$517,2,IF(D238=$A$518,3,IF(D238=$A$519,4,IF(D238=$A$520,5,IF(D238=$A$521,6))))))</f>
        <v>5</v>
      </c>
      <c r="D238" s="20" t="str">
        <f t="shared" si="42"/>
        <v>abt</v>
      </c>
      <c r="E238" s="20" t="s">
        <v>563</v>
      </c>
      <c r="F238" s="13"/>
      <c r="G238" s="13" t="s">
        <v>103</v>
      </c>
      <c r="H238" s="14" t="s">
        <v>564</v>
      </c>
      <c r="I238" s="13">
        <v>289300</v>
      </c>
      <c r="J238" s="13" t="s">
        <v>111</v>
      </c>
      <c r="K238" s="15" t="s">
        <v>565</v>
      </c>
      <c r="L238" s="15" t="s">
        <v>566</v>
      </c>
      <c r="M238" s="15"/>
      <c r="N238" s="15"/>
      <c r="O238" s="15"/>
      <c r="P238" s="15"/>
      <c r="Q238" s="15"/>
      <c r="S238" s="35" t="s">
        <v>77</v>
      </c>
      <c r="T238" s="13">
        <v>2021</v>
      </c>
      <c r="U238" s="17">
        <v>1.55</v>
      </c>
      <c r="V238" s="17">
        <v>2.3089999999999999E-3</v>
      </c>
      <c r="W238" s="36">
        <f>+V238/U238</f>
        <v>1.4896774193548386E-3</v>
      </c>
      <c r="X238" s="17">
        <v>-6.0819999999999999</v>
      </c>
      <c r="Y238" s="17">
        <v>2.4</v>
      </c>
      <c r="AA238" s="15" t="s">
        <v>60</v>
      </c>
      <c r="AB238" s="17"/>
      <c r="AC238" s="21" t="s">
        <v>78</v>
      </c>
      <c r="AD238" s="21" t="s">
        <v>78</v>
      </c>
      <c r="AE238" s="17"/>
      <c r="AF238" s="17"/>
      <c r="AG238" s="15"/>
      <c r="AI238" s="42">
        <f t="shared" ca="1" si="40"/>
        <v>820</v>
      </c>
      <c r="AJ238" s="42">
        <f t="shared" ca="1" si="38"/>
        <v>364</v>
      </c>
      <c r="AK238" s="13"/>
      <c r="AL238" s="36" t="str">
        <f t="shared" si="41"/>
        <v>Aborted</v>
      </c>
      <c r="AM238" s="37">
        <v>44844</v>
      </c>
      <c r="AN238" s="37">
        <f>+AM238</f>
        <v>44844</v>
      </c>
      <c r="AO238" s="37" t="s">
        <v>65</v>
      </c>
      <c r="AP238" s="37">
        <v>44858</v>
      </c>
      <c r="AQ238" s="38">
        <v>44862</v>
      </c>
      <c r="AR238" s="38"/>
      <c r="AS238" s="38"/>
      <c r="AT238" s="38"/>
      <c r="AU238" s="38"/>
      <c r="AV238" s="38"/>
      <c r="AW238" s="38">
        <v>45201</v>
      </c>
      <c r="AX238" s="38">
        <v>44873</v>
      </c>
      <c r="AY238" s="38">
        <v>45300</v>
      </c>
      <c r="AZ238" s="38"/>
      <c r="BA238" s="39">
        <f t="shared" si="43"/>
        <v>0.44444444444444442</v>
      </c>
      <c r="BB238" s="38"/>
      <c r="BC238" s="11" t="s">
        <v>7</v>
      </c>
    </row>
    <row r="239" spans="1:55" x14ac:dyDescent="0.35">
      <c r="A239" s="277"/>
      <c r="B239" s="16">
        <f>IF(D239=$A$516,1,IF(D239=$A$517,2,IF(D239=$A$518,3,IF(D239=$A$519,4,IF(D239=$A$520,5,IF(D239=$A$521,6))))))</f>
        <v>5</v>
      </c>
      <c r="D239" s="20" t="str">
        <f t="shared" si="42"/>
        <v>abt</v>
      </c>
      <c r="E239" s="12" t="s">
        <v>1204</v>
      </c>
      <c r="F239" s="14"/>
      <c r="G239" s="13"/>
      <c r="H239" s="13"/>
      <c r="I239" s="13"/>
      <c r="J239" s="13"/>
      <c r="K239" s="15"/>
      <c r="L239" s="15"/>
      <c r="M239" s="15"/>
      <c r="N239" s="15"/>
      <c r="O239" s="15"/>
      <c r="P239" s="15"/>
      <c r="Q239" s="15"/>
      <c r="S239" s="35"/>
      <c r="T239" s="13"/>
      <c r="U239" s="17"/>
      <c r="V239" s="17"/>
      <c r="W239" s="36"/>
      <c r="X239" s="17"/>
      <c r="Y239" s="17"/>
      <c r="AA239" s="15" t="s">
        <v>590</v>
      </c>
      <c r="AB239" s="17" t="s">
        <v>1205</v>
      </c>
      <c r="AC239" s="21" t="s">
        <v>1206</v>
      </c>
      <c r="AD239" s="17" t="s">
        <v>1206</v>
      </c>
      <c r="AE239" s="17"/>
      <c r="AF239" s="17"/>
      <c r="AG239" s="15"/>
      <c r="AI239" s="42">
        <f t="shared" ca="1" si="40"/>
        <v>1071</v>
      </c>
      <c r="AJ239" s="42">
        <f t="shared" ca="1" si="38"/>
        <v>924</v>
      </c>
      <c r="AK239" s="13"/>
      <c r="AL239" s="36" t="str">
        <f t="shared" si="41"/>
        <v>Aborted</v>
      </c>
      <c r="AM239" s="37">
        <v>44593</v>
      </c>
      <c r="AN239" s="37">
        <f>+AM239</f>
        <v>44593</v>
      </c>
      <c r="AO239" s="37" t="s">
        <v>65</v>
      </c>
      <c r="AP239" s="37" t="s">
        <v>65</v>
      </c>
      <c r="AQ239" s="38">
        <v>44615</v>
      </c>
      <c r="AR239" s="38"/>
      <c r="AS239" s="38"/>
      <c r="AT239" s="38"/>
      <c r="AU239" s="38"/>
      <c r="AV239" s="38"/>
      <c r="AW239" s="38">
        <v>44614</v>
      </c>
      <c r="AX239" s="38">
        <v>44642</v>
      </c>
      <c r="AY239" s="38">
        <v>44740</v>
      </c>
      <c r="AZ239" s="38"/>
      <c r="BA239" s="39">
        <f t="shared" si="43"/>
        <v>0.44444444444444442</v>
      </c>
      <c r="BB239" s="38"/>
      <c r="BC239" s="11" t="s">
        <v>7</v>
      </c>
    </row>
    <row r="240" spans="1:55" x14ac:dyDescent="0.35">
      <c r="A240" s="277"/>
      <c r="B240" s="16">
        <f>IF(D240=$A$516,1,IF(D240=$A$517,2,IF(D240=$A$518,3,IF(D240=$A$519,4,IF(D240=$A$520,5,IF(D240=$A$521,6))))))</f>
        <v>5</v>
      </c>
      <c r="D240" s="20" t="str">
        <f t="shared" si="42"/>
        <v>abt</v>
      </c>
      <c r="E240" s="12" t="s">
        <v>1119</v>
      </c>
      <c r="F240" s="14"/>
      <c r="G240" s="13"/>
      <c r="H240" s="13"/>
      <c r="I240" s="13"/>
      <c r="J240" s="13"/>
      <c r="K240" s="15"/>
      <c r="L240" s="15"/>
      <c r="M240" s="15"/>
      <c r="N240" s="15"/>
      <c r="O240" s="15"/>
      <c r="P240" s="15"/>
      <c r="Q240" s="15"/>
      <c r="S240" s="35"/>
      <c r="T240" s="13"/>
      <c r="U240" s="17"/>
      <c r="V240" s="17"/>
      <c r="W240" s="36"/>
      <c r="X240" s="17"/>
      <c r="Y240" s="17"/>
      <c r="AA240" s="15" t="s">
        <v>60</v>
      </c>
      <c r="AB240" s="17"/>
      <c r="AC240" s="21" t="s">
        <v>78</v>
      </c>
      <c r="AD240" s="21" t="s">
        <v>78</v>
      </c>
      <c r="AE240" s="17" t="s">
        <v>86</v>
      </c>
      <c r="AF240" s="17"/>
      <c r="AG240" s="15"/>
      <c r="AI240" s="42">
        <f t="shared" ca="1" si="40"/>
        <v>1071</v>
      </c>
      <c r="AJ240" s="42">
        <f t="shared" ca="1" si="38"/>
        <v>819</v>
      </c>
      <c r="AK240" s="13"/>
      <c r="AL240" s="36" t="str">
        <f t="shared" si="41"/>
        <v>Aborted</v>
      </c>
      <c r="AM240" s="37">
        <v>44593</v>
      </c>
      <c r="AN240" s="37">
        <v>44593</v>
      </c>
      <c r="AO240" s="37">
        <v>44635</v>
      </c>
      <c r="AP240" s="37">
        <v>44635</v>
      </c>
      <c r="AQ240" s="38">
        <v>44635</v>
      </c>
      <c r="AR240" s="38"/>
      <c r="AS240" s="38"/>
      <c r="AT240" s="38"/>
      <c r="AU240" s="38"/>
      <c r="AV240" s="38"/>
      <c r="AW240" s="38">
        <v>44614</v>
      </c>
      <c r="AX240" s="38">
        <v>44655</v>
      </c>
      <c r="AY240" s="38">
        <v>44845</v>
      </c>
      <c r="AZ240" s="38"/>
      <c r="BA240" s="39">
        <f t="shared" si="43"/>
        <v>0.44444444444444442</v>
      </c>
      <c r="BB240" s="38"/>
      <c r="BC240" s="11" t="s">
        <v>7</v>
      </c>
    </row>
    <row r="241" spans="1:55" x14ac:dyDescent="0.35">
      <c r="A241" s="255"/>
      <c r="B241" s="16">
        <f>IF(D241=$A$516,1,IF(D241=$A$517,2,IF(D241=$A$518,3,IF(D241=$A$519,4,IF(D241=$A$520,5,IF(D241=$A$521,6))))))</f>
        <v>5</v>
      </c>
      <c r="D241" s="20" t="str">
        <f t="shared" si="42"/>
        <v>abt</v>
      </c>
      <c r="E241" s="12" t="s">
        <v>1116</v>
      </c>
      <c r="F241" s="14"/>
      <c r="G241" s="13" t="s">
        <v>271</v>
      </c>
      <c r="H241" s="14" t="s">
        <v>1117</v>
      </c>
      <c r="I241" s="13">
        <v>325011</v>
      </c>
      <c r="J241" s="13" t="s">
        <v>1010</v>
      </c>
      <c r="K241" s="15" t="s">
        <v>1118</v>
      </c>
      <c r="L241" s="15"/>
      <c r="M241" s="15"/>
      <c r="N241" s="15"/>
      <c r="O241" s="15"/>
      <c r="P241" s="15"/>
      <c r="Q241" s="15"/>
      <c r="S241" s="35"/>
      <c r="T241" s="13">
        <v>2020</v>
      </c>
      <c r="U241" s="17">
        <v>22.431999999999999</v>
      </c>
      <c r="V241" s="17">
        <v>5.1219999999999999</v>
      </c>
      <c r="W241" s="36">
        <f>+V241/U241</f>
        <v>0.22833452211126962</v>
      </c>
      <c r="X241" s="17">
        <v>3.3450000000000002</v>
      </c>
      <c r="Y241" s="17">
        <v>0.503</v>
      </c>
      <c r="AA241" s="15" t="s">
        <v>140</v>
      </c>
      <c r="AB241" s="17"/>
      <c r="AC241" s="21" t="s">
        <v>61</v>
      </c>
      <c r="AD241" s="21" t="s">
        <v>61</v>
      </c>
      <c r="AE241" s="17" t="s">
        <v>62</v>
      </c>
      <c r="AF241" s="17"/>
      <c r="AG241" s="15"/>
      <c r="AI241" s="42">
        <f t="shared" ca="1" si="40"/>
        <v>1101</v>
      </c>
      <c r="AJ241" s="42">
        <f t="shared" ca="1" si="38"/>
        <v>819</v>
      </c>
      <c r="AK241" s="13" t="s">
        <v>64</v>
      </c>
      <c r="AL241" s="36" t="str">
        <f t="shared" si="41"/>
        <v>Aborted</v>
      </c>
      <c r="AM241" s="37">
        <v>44563</v>
      </c>
      <c r="AN241" s="37">
        <v>44613</v>
      </c>
      <c r="AO241" s="37" t="s">
        <v>65</v>
      </c>
      <c r="AP241" s="37" t="s">
        <v>65</v>
      </c>
      <c r="AQ241" s="38">
        <v>44617</v>
      </c>
      <c r="AR241" s="38">
        <v>44629</v>
      </c>
      <c r="AS241" s="38"/>
      <c r="AT241" s="38"/>
      <c r="AU241" s="38"/>
      <c r="AV241" s="38"/>
      <c r="AW241" s="38">
        <v>44637</v>
      </c>
      <c r="AX241" s="38">
        <v>44698</v>
      </c>
      <c r="AY241" s="38">
        <v>44845</v>
      </c>
      <c r="AZ241" s="38"/>
      <c r="BA241" s="39">
        <f t="shared" si="43"/>
        <v>0.55555555555555558</v>
      </c>
      <c r="BB241" s="38"/>
      <c r="BC241" s="11" t="s">
        <v>7</v>
      </c>
    </row>
    <row r="242" spans="1:55" x14ac:dyDescent="0.35">
      <c r="B242" s="16">
        <f>IF(D242=$A$516,1,IF(D242=$A$517,2,IF(D242=$A$518,3,IF(D242=$A$519,4,IF(D242=$A$520,5,IF(D242=$A$521,6))))))</f>
        <v>5</v>
      </c>
      <c r="D242" s="20" t="str">
        <f t="shared" si="42"/>
        <v>abt</v>
      </c>
      <c r="E242" s="12" t="s">
        <v>666</v>
      </c>
      <c r="F242" s="14"/>
      <c r="G242" s="13" t="s">
        <v>288</v>
      </c>
      <c r="H242" s="14" t="s">
        <v>667</v>
      </c>
      <c r="I242" s="13"/>
      <c r="J242" s="13" t="s">
        <v>57</v>
      </c>
      <c r="K242" s="15" t="s">
        <v>513</v>
      </c>
      <c r="L242" s="15" t="s">
        <v>668</v>
      </c>
      <c r="M242" s="15"/>
      <c r="N242" s="15"/>
      <c r="O242" s="15"/>
      <c r="P242" s="15"/>
      <c r="Q242" s="15"/>
      <c r="S242" s="35" t="s">
        <v>77</v>
      </c>
      <c r="T242" s="13">
        <v>2021</v>
      </c>
      <c r="U242" s="17">
        <v>2.4</v>
      </c>
      <c r="V242" s="17">
        <v>0.45900000000000002</v>
      </c>
      <c r="W242" s="36">
        <f>+V242/U242</f>
        <v>0.19125</v>
      </c>
      <c r="X242" s="17">
        <v>0.28299999999999997</v>
      </c>
      <c r="Y242" s="17">
        <v>-0.85699999999999998</v>
      </c>
      <c r="AA242" s="15" t="s">
        <v>140</v>
      </c>
      <c r="AB242" s="17"/>
      <c r="AC242" s="21" t="s">
        <v>61</v>
      </c>
      <c r="AD242" s="21" t="s">
        <v>61</v>
      </c>
      <c r="AE242" s="17" t="s">
        <v>62</v>
      </c>
      <c r="AF242" s="17" t="s">
        <v>128</v>
      </c>
      <c r="AG242" s="15"/>
      <c r="AI242" s="42">
        <f t="shared" ca="1" si="40"/>
        <v>768</v>
      </c>
      <c r="AJ242" s="42">
        <f t="shared" ca="1" si="38"/>
        <v>477</v>
      </c>
      <c r="AK242" s="13" t="s">
        <v>87</v>
      </c>
      <c r="AL242" s="36" t="str">
        <f t="shared" si="41"/>
        <v>Aborted</v>
      </c>
      <c r="AM242" s="37">
        <v>44896</v>
      </c>
      <c r="AN242" s="37">
        <v>44992</v>
      </c>
      <c r="AO242" s="37">
        <v>45005</v>
      </c>
      <c r="AP242" s="37">
        <v>45005</v>
      </c>
      <c r="AQ242" s="38">
        <v>45009</v>
      </c>
      <c r="AR242" s="38"/>
      <c r="AS242" s="38"/>
      <c r="AT242" s="38"/>
      <c r="AU242" s="38"/>
      <c r="AV242" s="38"/>
      <c r="AW242" s="38">
        <v>45076</v>
      </c>
      <c r="AX242" s="38">
        <v>45058</v>
      </c>
      <c r="AY242" s="38">
        <v>45187</v>
      </c>
      <c r="AZ242" s="38"/>
      <c r="BA242" s="39">
        <f t="shared" si="43"/>
        <v>0.44444444444444442</v>
      </c>
      <c r="BB242" s="38"/>
      <c r="BC242" s="11" t="s">
        <v>7</v>
      </c>
    </row>
    <row r="243" spans="1:55" x14ac:dyDescent="0.35">
      <c r="A243" s="651"/>
      <c r="B243" s="16">
        <f>IF(D243=$A$516,1,IF(D243=$A$517,2,IF(D243=$A$518,3,IF(D243=$A$519,4,IF(D243=$A$520,5,IF(D243=$A$521,6))))))</f>
        <v>5</v>
      </c>
      <c r="D243" s="20" t="str">
        <f t="shared" si="42"/>
        <v>abt</v>
      </c>
      <c r="E243" s="12" t="s">
        <v>726</v>
      </c>
      <c r="F243" s="14"/>
      <c r="G243" s="13" t="s">
        <v>68</v>
      </c>
      <c r="H243" s="14" t="s">
        <v>727</v>
      </c>
      <c r="I243" s="13"/>
      <c r="J243" s="13" t="s">
        <v>57</v>
      </c>
      <c r="K243" s="15" t="s">
        <v>728</v>
      </c>
      <c r="L243" s="15" t="s">
        <v>729</v>
      </c>
      <c r="M243" s="15"/>
      <c r="N243" s="15"/>
      <c r="O243" s="15"/>
      <c r="P243" s="15"/>
      <c r="Q243" s="15"/>
      <c r="S243" s="35" t="s">
        <v>77</v>
      </c>
      <c r="T243" s="13">
        <v>2021</v>
      </c>
      <c r="U243" s="17">
        <v>3.0310000000000001</v>
      </c>
      <c r="V243" s="17">
        <v>0.63</v>
      </c>
      <c r="W243" s="36">
        <f>+V243/U243</f>
        <v>0.20785219399538105</v>
      </c>
      <c r="X243" s="17">
        <v>0.45600000000000002</v>
      </c>
      <c r="Y243" s="17">
        <v>-1.399</v>
      </c>
      <c r="AA243" s="15" t="s">
        <v>99</v>
      </c>
      <c r="AB243" s="17" t="s">
        <v>730</v>
      </c>
      <c r="AC243" s="21" t="s">
        <v>61</v>
      </c>
      <c r="AD243" s="21" t="s">
        <v>61</v>
      </c>
      <c r="AE243" s="17" t="s">
        <v>62</v>
      </c>
      <c r="AF243" s="17" t="s">
        <v>128</v>
      </c>
      <c r="AG243" s="15"/>
      <c r="AI243" s="42">
        <f t="shared" ca="1" si="40"/>
        <v>629</v>
      </c>
      <c r="AJ243" s="42">
        <f t="shared" ca="1" si="38"/>
        <v>556</v>
      </c>
      <c r="AK243" s="13" t="s">
        <v>87</v>
      </c>
      <c r="AL243" s="36" t="str">
        <f t="shared" si="41"/>
        <v>Aborted</v>
      </c>
      <c r="AM243" s="37">
        <v>45035</v>
      </c>
      <c r="AN243" s="37">
        <v>45035</v>
      </c>
      <c r="AO243" s="37" t="s">
        <v>65</v>
      </c>
      <c r="AP243" s="37">
        <v>45035</v>
      </c>
      <c r="AQ243" s="38">
        <v>45054</v>
      </c>
      <c r="AR243" s="38" t="s">
        <v>731</v>
      </c>
      <c r="AS243" s="38" t="s">
        <v>731</v>
      </c>
      <c r="AT243" s="38">
        <v>45085</v>
      </c>
      <c r="AU243" s="38">
        <v>45108</v>
      </c>
      <c r="AV243" s="38"/>
      <c r="AW243" s="38">
        <v>45085</v>
      </c>
      <c r="AX243" s="38">
        <v>45096</v>
      </c>
      <c r="AY243" s="38">
        <v>45104</v>
      </c>
      <c r="AZ243" s="38"/>
      <c r="BA243" s="39">
        <f t="shared" si="43"/>
        <v>0.88888888888888884</v>
      </c>
      <c r="BB243" s="38"/>
      <c r="BC243" s="11" t="s">
        <v>7</v>
      </c>
    </row>
    <row r="244" spans="1:55" x14ac:dyDescent="0.35">
      <c r="B244" s="16">
        <f>IF(D244=$A$516,1,IF(D244=$A$517,2,IF(D244=$A$518,3,IF(D244=$A$519,4,IF(D244=$A$520,5,IF(D244=$A$521,6))))))</f>
        <v>5</v>
      </c>
      <c r="D244" s="20" t="str">
        <f t="shared" si="42"/>
        <v>abt</v>
      </c>
      <c r="E244" s="20" t="s">
        <v>1037</v>
      </c>
      <c r="F244" s="13"/>
      <c r="G244" s="13" t="s">
        <v>1038</v>
      </c>
      <c r="H244" s="13"/>
      <c r="I244" s="13"/>
      <c r="J244" s="13" t="s">
        <v>119</v>
      </c>
      <c r="K244" s="15" t="s">
        <v>120</v>
      </c>
      <c r="L244" s="15" t="s">
        <v>1039</v>
      </c>
      <c r="M244" s="15"/>
      <c r="N244" s="15"/>
      <c r="O244" s="15"/>
      <c r="P244" s="15"/>
      <c r="Q244" s="15"/>
      <c r="S244" s="17" t="s">
        <v>65</v>
      </c>
      <c r="T244" s="17" t="s">
        <v>65</v>
      </c>
      <c r="U244" s="17" t="s">
        <v>65</v>
      </c>
      <c r="V244" s="17" t="s">
        <v>65</v>
      </c>
      <c r="W244" s="36"/>
      <c r="X244" s="17" t="s">
        <v>65</v>
      </c>
      <c r="Y244" s="17" t="s">
        <v>65</v>
      </c>
      <c r="AA244" s="15" t="s">
        <v>140</v>
      </c>
      <c r="AB244" s="17"/>
      <c r="AC244" s="21" t="s">
        <v>78</v>
      </c>
      <c r="AD244" s="17" t="s">
        <v>78</v>
      </c>
      <c r="AE244" s="17" t="s">
        <v>62</v>
      </c>
      <c r="AF244" s="17"/>
      <c r="AG244" s="15"/>
      <c r="AI244" s="42">
        <f t="shared" ca="1" si="40"/>
        <v>803</v>
      </c>
      <c r="AJ244" s="42">
        <f t="shared" ca="1" si="38"/>
        <v>728</v>
      </c>
      <c r="AK244" s="13" t="s">
        <v>720</v>
      </c>
      <c r="AL244" s="36" t="str">
        <f t="shared" si="41"/>
        <v>Aborted</v>
      </c>
      <c r="AM244" s="37">
        <v>44861</v>
      </c>
      <c r="AN244" s="37">
        <v>44861</v>
      </c>
      <c r="AO244" s="37" t="s">
        <v>65</v>
      </c>
      <c r="AP244" s="37">
        <v>44882</v>
      </c>
      <c r="AQ244" s="38"/>
      <c r="AR244" s="38"/>
      <c r="AS244" s="38"/>
      <c r="AT244" s="38"/>
      <c r="AU244" s="38"/>
      <c r="AV244" s="38"/>
      <c r="AW244" s="38">
        <v>44901</v>
      </c>
      <c r="AX244" s="38">
        <v>44882</v>
      </c>
      <c r="AY244" s="38">
        <v>44936</v>
      </c>
      <c r="AZ244" s="38"/>
      <c r="BA244" s="39">
        <f t="shared" si="43"/>
        <v>0.33333333333333331</v>
      </c>
      <c r="BB244" s="38"/>
      <c r="BC244" s="11" t="s">
        <v>7</v>
      </c>
    </row>
    <row r="245" spans="1:55" x14ac:dyDescent="0.35">
      <c r="A245" s="463"/>
      <c r="B245" s="16">
        <f>IF(D245=$A$516,1,IF(D245=$A$517,2,IF(D245=$A$518,3,IF(D245=$A$519,4,IF(D245=$A$520,5,IF(D245=$A$521,6))))))</f>
        <v>5</v>
      </c>
      <c r="D245" s="20" t="str">
        <f t="shared" si="42"/>
        <v>abt</v>
      </c>
      <c r="E245" s="12" t="s">
        <v>1016</v>
      </c>
      <c r="F245" s="14"/>
      <c r="G245" s="13" t="s">
        <v>68</v>
      </c>
      <c r="H245" s="14" t="s">
        <v>1017</v>
      </c>
      <c r="I245" s="13">
        <v>464800</v>
      </c>
      <c r="J245" s="13" t="s">
        <v>1018</v>
      </c>
      <c r="K245" s="15" t="s">
        <v>1019</v>
      </c>
      <c r="L245" s="15"/>
      <c r="M245" s="15"/>
      <c r="N245" s="15"/>
      <c r="O245" s="15"/>
      <c r="P245" s="15"/>
      <c r="Q245" s="15"/>
      <c r="S245" s="35" t="s">
        <v>144</v>
      </c>
      <c r="T245" s="13">
        <v>2019</v>
      </c>
      <c r="U245" s="17">
        <v>30.045963</v>
      </c>
      <c r="V245" s="17">
        <v>-0.30094399999999999</v>
      </c>
      <c r="W245" s="36">
        <f>+V245/U245</f>
        <v>-1.0016120967732004E-2</v>
      </c>
      <c r="X245" s="17">
        <v>-0.56790600000000002</v>
      </c>
      <c r="Y245" s="17">
        <v>0.67833900000000003</v>
      </c>
      <c r="AA245" s="15" t="s">
        <v>60</v>
      </c>
      <c r="AB245" s="17"/>
      <c r="AC245" s="21" t="s">
        <v>61</v>
      </c>
      <c r="AD245" s="21" t="s">
        <v>61</v>
      </c>
      <c r="AE245" s="17" t="s">
        <v>62</v>
      </c>
      <c r="AF245" s="17"/>
      <c r="AG245" s="15"/>
      <c r="AI245" s="42">
        <f t="shared" ca="1" si="40"/>
        <v>1180</v>
      </c>
      <c r="AJ245" s="42">
        <f t="shared" ca="1" si="38"/>
        <v>728</v>
      </c>
      <c r="AK245" s="13"/>
      <c r="AL245" s="36" t="str">
        <f t="shared" si="41"/>
        <v>Aborted</v>
      </c>
      <c r="AM245" s="37">
        <v>44484</v>
      </c>
      <c r="AN245" s="37">
        <v>44484</v>
      </c>
      <c r="AO245" s="37" t="s">
        <v>65</v>
      </c>
      <c r="AP245" s="37">
        <v>44484</v>
      </c>
      <c r="AQ245" s="38">
        <v>44512</v>
      </c>
      <c r="AR245" s="38">
        <v>44512</v>
      </c>
      <c r="AS245" s="38"/>
      <c r="AT245" s="38"/>
      <c r="AU245" s="38"/>
      <c r="AV245" s="38"/>
      <c r="AW245" s="38">
        <v>44512</v>
      </c>
      <c r="AX245" s="38">
        <v>44593</v>
      </c>
      <c r="AY245" s="38">
        <v>44936</v>
      </c>
      <c r="AZ245" s="38"/>
      <c r="BA245" s="39">
        <f t="shared" si="43"/>
        <v>0.55555555555555558</v>
      </c>
      <c r="BB245" s="38"/>
      <c r="BC245" s="11" t="s">
        <v>7</v>
      </c>
    </row>
    <row r="246" spans="1:55" x14ac:dyDescent="0.35">
      <c r="A246" s="601"/>
      <c r="B246" s="16">
        <f>IF(D246=$A$516,1,IF(D246=$A$517,2,IF(D246=$A$518,3,IF(D246=$A$519,4,IF(D246=$A$520,5,IF(D246=$A$521,6))))))</f>
        <v>5</v>
      </c>
      <c r="D246" s="20" t="str">
        <f t="shared" si="42"/>
        <v>abt</v>
      </c>
      <c r="E246" s="20" t="s">
        <v>966</v>
      </c>
      <c r="F246" s="13"/>
      <c r="G246" s="13" t="s">
        <v>428</v>
      </c>
      <c r="H246" s="14" t="s">
        <v>967</v>
      </c>
      <c r="I246" s="13">
        <v>620100</v>
      </c>
      <c r="J246" s="13" t="s">
        <v>294</v>
      </c>
      <c r="K246" s="15" t="s">
        <v>968</v>
      </c>
      <c r="L246" s="15" t="s">
        <v>969</v>
      </c>
      <c r="M246" s="15"/>
      <c r="N246" s="15"/>
      <c r="O246" s="15"/>
      <c r="P246" s="15"/>
      <c r="Q246" s="15"/>
      <c r="S246" s="35" t="s">
        <v>77</v>
      </c>
      <c r="T246" s="13">
        <v>2022</v>
      </c>
      <c r="U246" s="17">
        <v>0.92</v>
      </c>
      <c r="V246" s="17" t="s">
        <v>65</v>
      </c>
      <c r="W246" s="36"/>
      <c r="X246" s="17" t="s">
        <v>65</v>
      </c>
      <c r="Y246" s="17" t="s">
        <v>65</v>
      </c>
      <c r="AA246" s="15" t="s">
        <v>60</v>
      </c>
      <c r="AB246" s="17"/>
      <c r="AC246" s="77" t="s">
        <v>562</v>
      </c>
      <c r="AD246" s="21" t="s">
        <v>61</v>
      </c>
      <c r="AE246" s="17" t="s">
        <v>79</v>
      </c>
      <c r="AF246" s="17" t="s">
        <v>562</v>
      </c>
      <c r="AG246" s="15"/>
      <c r="AH246" s="677">
        <v>1</v>
      </c>
      <c r="AI246" s="42">
        <f t="shared" ca="1" si="40"/>
        <v>831</v>
      </c>
      <c r="AJ246" s="42">
        <f t="shared" ca="1" si="38"/>
        <v>728</v>
      </c>
      <c r="AK246" s="13"/>
      <c r="AL246" s="36" t="str">
        <f t="shared" si="41"/>
        <v>Aborted</v>
      </c>
      <c r="AM246" s="37">
        <v>44833</v>
      </c>
      <c r="AN246" s="37">
        <v>44833</v>
      </c>
      <c r="AO246" s="37" t="s">
        <v>65</v>
      </c>
      <c r="AP246" s="37">
        <v>44833</v>
      </c>
      <c r="AQ246" s="38"/>
      <c r="AR246" s="38"/>
      <c r="AS246" s="38"/>
      <c r="AT246" s="38"/>
      <c r="AU246" s="38"/>
      <c r="AV246" s="38"/>
      <c r="AW246" s="38">
        <v>44844</v>
      </c>
      <c r="AX246" s="38">
        <v>44859</v>
      </c>
      <c r="AY246" s="38">
        <v>44936</v>
      </c>
      <c r="AZ246" s="38"/>
      <c r="BA246" s="39">
        <f t="shared" si="43"/>
        <v>0.33333333333333331</v>
      </c>
      <c r="BB246" s="38"/>
      <c r="BC246" s="11" t="s">
        <v>7</v>
      </c>
    </row>
    <row r="247" spans="1:55" x14ac:dyDescent="0.35">
      <c r="B247" s="16">
        <f>IF(D247=$A$516,1,IF(D247=$A$517,2,IF(D247=$A$518,3,IF(D247=$A$519,4,IF(D247=$A$520,5,IF(D247=$A$521,6))))))</f>
        <v>5</v>
      </c>
      <c r="D247" s="20" t="str">
        <f t="shared" si="42"/>
        <v>abt</v>
      </c>
      <c r="E247" s="20" t="s">
        <v>770</v>
      </c>
      <c r="F247" s="13"/>
      <c r="G247" s="13" t="s">
        <v>333</v>
      </c>
      <c r="H247" s="14" t="s">
        <v>620</v>
      </c>
      <c r="I247" s="13">
        <v>204200</v>
      </c>
      <c r="J247" s="13" t="s">
        <v>621</v>
      </c>
      <c r="K247" s="15" t="s">
        <v>622</v>
      </c>
      <c r="L247" s="15"/>
      <c r="M247" s="15"/>
      <c r="N247" s="15"/>
      <c r="O247" s="15"/>
      <c r="P247" s="15"/>
      <c r="Q247" s="15"/>
      <c r="S247" s="35"/>
      <c r="T247" s="13"/>
      <c r="U247" s="17"/>
      <c r="V247" s="17"/>
      <c r="W247" s="36"/>
      <c r="X247" s="17"/>
      <c r="Y247" s="17"/>
      <c r="AA247" s="15" t="s">
        <v>623</v>
      </c>
      <c r="AB247" s="17"/>
      <c r="AC247" s="21" t="s">
        <v>61</v>
      </c>
      <c r="AD247" s="17" t="s">
        <v>78</v>
      </c>
      <c r="AE247" s="17" t="s">
        <v>313</v>
      </c>
      <c r="AF247" s="20"/>
      <c r="AG247" s="15"/>
      <c r="AI247" s="42">
        <f t="shared" ca="1" si="40"/>
        <v>682</v>
      </c>
      <c r="AJ247" s="42">
        <f t="shared" ca="1" si="38"/>
        <v>651</v>
      </c>
      <c r="AK247" s="13" t="s">
        <v>64</v>
      </c>
      <c r="AL247" s="36" t="str">
        <f t="shared" si="41"/>
        <v>Aborted</v>
      </c>
      <c r="AM247" s="37">
        <v>44982</v>
      </c>
      <c r="AN247" s="75">
        <v>44999</v>
      </c>
      <c r="AO247" s="37" t="s">
        <v>65</v>
      </c>
      <c r="AP247" s="37">
        <v>45003</v>
      </c>
      <c r="AQ247" s="38">
        <v>45008</v>
      </c>
      <c r="AR247" s="38"/>
      <c r="AS247" s="38"/>
      <c r="AT247" s="38"/>
      <c r="AU247" s="38"/>
      <c r="AV247" s="38"/>
      <c r="AW247" s="38">
        <v>45003</v>
      </c>
      <c r="AX247" s="38"/>
      <c r="AY247" s="38">
        <v>45013</v>
      </c>
      <c r="AZ247" s="38"/>
      <c r="BA247" s="39">
        <f t="shared" si="43"/>
        <v>0.44444444444444442</v>
      </c>
      <c r="BB247" s="38"/>
      <c r="BC247" s="11" t="s">
        <v>7</v>
      </c>
    </row>
    <row r="248" spans="1:55" x14ac:dyDescent="0.35">
      <c r="A248" s="277"/>
      <c r="B248" s="16">
        <f>IF(D248=$A$516,1,IF(D248=$A$517,2,IF(D248=$A$518,3,IF(D248=$A$519,4,IF(D248=$A$520,5,IF(D248=$A$521,6))))))</f>
        <v>5</v>
      </c>
      <c r="D248" s="20" t="str">
        <f t="shared" si="42"/>
        <v>abt</v>
      </c>
      <c r="E248" s="20" t="s">
        <v>960</v>
      </c>
      <c r="F248" s="13"/>
      <c r="G248" s="13"/>
      <c r="H248" s="13"/>
      <c r="I248" s="13"/>
      <c r="J248" s="13"/>
      <c r="K248" s="15"/>
      <c r="L248" s="15" t="s">
        <v>961</v>
      </c>
      <c r="M248" s="15"/>
      <c r="N248" s="15"/>
      <c r="O248" s="15"/>
      <c r="P248" s="15"/>
      <c r="Q248" s="15"/>
      <c r="S248" s="35"/>
      <c r="T248" s="13"/>
      <c r="U248" s="17"/>
      <c r="V248" s="17"/>
      <c r="W248" s="36"/>
      <c r="X248" s="17"/>
      <c r="Y248" s="17"/>
      <c r="AA248" s="15" t="s">
        <v>60</v>
      </c>
      <c r="AB248" s="17"/>
      <c r="AC248" s="21" t="s">
        <v>78</v>
      </c>
      <c r="AD248" s="21" t="s">
        <v>78</v>
      </c>
      <c r="AE248" s="17" t="s">
        <v>62</v>
      </c>
      <c r="AF248" s="17"/>
      <c r="AG248" s="15" t="s">
        <v>962</v>
      </c>
      <c r="AI248" s="42">
        <f t="shared" ca="1" si="40"/>
        <v>803</v>
      </c>
      <c r="AJ248" s="42">
        <f t="shared" ca="1" si="38"/>
        <v>728</v>
      </c>
      <c r="AK248" s="13" t="s">
        <v>720</v>
      </c>
      <c r="AL248" s="36" t="str">
        <f t="shared" si="41"/>
        <v>Aborted</v>
      </c>
      <c r="AM248" s="37">
        <v>44861</v>
      </c>
      <c r="AN248" s="75">
        <v>44861</v>
      </c>
      <c r="AO248" s="37" t="s">
        <v>65</v>
      </c>
      <c r="AP248" s="37">
        <v>44861</v>
      </c>
      <c r="AQ248" s="38"/>
      <c r="AR248" s="38"/>
      <c r="AS248" s="38"/>
      <c r="AT248" s="38"/>
      <c r="AU248" s="38"/>
      <c r="AV248" s="38"/>
      <c r="AW248" s="38">
        <v>44862</v>
      </c>
      <c r="AX248" s="38">
        <v>44868</v>
      </c>
      <c r="AY248" s="38">
        <v>44936</v>
      </c>
      <c r="AZ248" s="38"/>
      <c r="BA248" s="39">
        <f t="shared" si="43"/>
        <v>0.33333333333333331</v>
      </c>
      <c r="BB248" s="38"/>
      <c r="BC248" s="11" t="s">
        <v>7</v>
      </c>
    </row>
    <row r="249" spans="1:55" x14ac:dyDescent="0.35">
      <c r="B249" s="16">
        <f>IF(D249=$A$516,1,IF(D249=$A$517,2,IF(D249=$A$518,3,IF(D249=$A$519,4,IF(D249=$A$520,5,IF(D249=$A$521,6))))))</f>
        <v>5</v>
      </c>
      <c r="D249" s="20" t="str">
        <f t="shared" si="42"/>
        <v>abt</v>
      </c>
      <c r="E249" s="20" t="s">
        <v>1336</v>
      </c>
      <c r="F249" s="14"/>
      <c r="G249" s="13" t="s">
        <v>137</v>
      </c>
      <c r="H249" s="14" t="s">
        <v>1337</v>
      </c>
      <c r="I249" s="13">
        <v>242000</v>
      </c>
      <c r="J249" s="13" t="s">
        <v>255</v>
      </c>
      <c r="K249" s="15" t="s">
        <v>1338</v>
      </c>
      <c r="L249" s="15"/>
      <c r="M249" s="15"/>
      <c r="N249" s="15"/>
      <c r="O249" s="15"/>
      <c r="P249" s="15"/>
      <c r="Q249" s="15"/>
      <c r="S249" s="35" t="s">
        <v>77</v>
      </c>
      <c r="T249" s="13">
        <v>2019</v>
      </c>
      <c r="U249" s="17">
        <v>9</v>
      </c>
      <c r="V249" s="17">
        <v>1.66</v>
      </c>
      <c r="W249" s="36">
        <f>+V249/U249</f>
        <v>0.18444444444444444</v>
      </c>
      <c r="X249" s="17">
        <v>1.01</v>
      </c>
      <c r="Y249" s="17">
        <v>-5.67</v>
      </c>
      <c r="AA249" s="15" t="s">
        <v>237</v>
      </c>
      <c r="AB249" s="17" t="s">
        <v>1335</v>
      </c>
      <c r="AC249" s="21" t="s">
        <v>78</v>
      </c>
      <c r="AD249" s="21" t="s">
        <v>78</v>
      </c>
      <c r="AE249" s="17" t="s">
        <v>86</v>
      </c>
      <c r="AF249" s="17"/>
      <c r="AG249" s="15"/>
      <c r="AI249" s="42">
        <f t="shared" ca="1" si="40"/>
        <v>1363</v>
      </c>
      <c r="AJ249" s="42">
        <f t="shared" ca="1" si="38"/>
        <v>1092</v>
      </c>
      <c r="AK249" s="13"/>
      <c r="AL249" s="36" t="str">
        <f t="shared" si="41"/>
        <v>Aborted</v>
      </c>
      <c r="AM249" s="37">
        <v>44301</v>
      </c>
      <c r="AN249" s="37">
        <v>44390</v>
      </c>
      <c r="AO249" s="37" t="s">
        <v>65</v>
      </c>
      <c r="AP249" s="37" t="s">
        <v>65</v>
      </c>
      <c r="AQ249" s="38">
        <v>44445</v>
      </c>
      <c r="AR249" s="38">
        <v>44509</v>
      </c>
      <c r="AS249" s="38"/>
      <c r="AT249" s="38"/>
      <c r="AU249" s="38"/>
      <c r="AV249" s="38"/>
      <c r="AW249" s="38">
        <v>44509</v>
      </c>
      <c r="AX249" s="38">
        <v>44509</v>
      </c>
      <c r="AY249" s="38">
        <v>44572</v>
      </c>
      <c r="AZ249" s="38"/>
      <c r="BA249" s="39">
        <f t="shared" si="43"/>
        <v>0.55555555555555558</v>
      </c>
      <c r="BB249" s="38"/>
      <c r="BC249" s="11" t="s">
        <v>7</v>
      </c>
    </row>
    <row r="250" spans="1:55" x14ac:dyDescent="0.35">
      <c r="B250" s="16">
        <f>IF(D250=$A$516,1,IF(D250=$A$517,2,IF(D250=$A$518,3,IF(D250=$A$519,4,IF(D250=$A$520,5,IF(D250=$A$521,6))))))</f>
        <v>5</v>
      </c>
      <c r="D250" s="20" t="str">
        <f t="shared" si="42"/>
        <v>abt</v>
      </c>
      <c r="E250" s="12" t="s">
        <v>314</v>
      </c>
      <c r="F250" s="13"/>
      <c r="G250" s="13" t="s">
        <v>103</v>
      </c>
      <c r="H250" s="14" t="s">
        <v>315</v>
      </c>
      <c r="I250" s="13"/>
      <c r="J250" s="13" t="s">
        <v>111</v>
      </c>
      <c r="K250" s="15" t="s">
        <v>316</v>
      </c>
      <c r="L250" s="15" t="s">
        <v>317</v>
      </c>
      <c r="M250" s="15"/>
      <c r="N250" s="15"/>
      <c r="O250" s="15"/>
      <c r="P250" s="15"/>
      <c r="Q250" s="15"/>
      <c r="S250" s="17" t="s">
        <v>77</v>
      </c>
      <c r="T250" s="13">
        <v>2022</v>
      </c>
      <c r="U250" s="17">
        <v>31.030999999999999</v>
      </c>
      <c r="V250" s="17">
        <v>9.7720000000000002</v>
      </c>
      <c r="W250" s="36">
        <f>+V250/U250</f>
        <v>0.31491089555605689</v>
      </c>
      <c r="X250" s="17">
        <v>6.8920000000000003</v>
      </c>
      <c r="Y250" s="17">
        <v>-2.0750000000000002</v>
      </c>
      <c r="AA250" s="15" t="s">
        <v>140</v>
      </c>
      <c r="AB250" s="15"/>
      <c r="AC250" s="21" t="s">
        <v>78</v>
      </c>
      <c r="AD250" s="21" t="s">
        <v>78</v>
      </c>
      <c r="AE250" s="13"/>
      <c r="AF250" s="17"/>
      <c r="AG250" s="15" t="s">
        <v>318</v>
      </c>
      <c r="AI250" s="42">
        <f t="shared" ca="1" si="40"/>
        <v>495</v>
      </c>
      <c r="AJ250" s="42">
        <f t="shared" ref="AJ250:AJ313" ca="1" si="44">+(IF(AL250="Closed","-",IF(TODAY()-MAX(AN250:BA250)&gt;0,TODAY()-MAX(AN250:BA250),0)))</f>
        <v>364</v>
      </c>
      <c r="AK250" s="13"/>
      <c r="AL250" s="36" t="str">
        <f t="shared" si="41"/>
        <v>Aborted</v>
      </c>
      <c r="AM250" s="37">
        <v>45169</v>
      </c>
      <c r="AN250" s="75">
        <v>45170</v>
      </c>
      <c r="AO250" s="37" t="s">
        <v>65</v>
      </c>
      <c r="AP250" s="37">
        <v>45170</v>
      </c>
      <c r="AQ250" s="38">
        <v>45174</v>
      </c>
      <c r="AR250" s="38"/>
      <c r="AS250" s="38"/>
      <c r="AT250" s="38"/>
      <c r="AU250" s="38"/>
      <c r="AV250" s="38"/>
      <c r="AW250" s="38">
        <v>45174</v>
      </c>
      <c r="AX250" s="38">
        <v>45209</v>
      </c>
      <c r="AY250" s="38">
        <v>45300</v>
      </c>
      <c r="AZ250" s="38"/>
      <c r="BA250" s="39">
        <f t="shared" si="43"/>
        <v>0.44444444444444442</v>
      </c>
      <c r="BB250" s="38"/>
      <c r="BC250" s="11" t="s">
        <v>7</v>
      </c>
    </row>
    <row r="251" spans="1:55" x14ac:dyDescent="0.35">
      <c r="B251" s="16">
        <f>IF(D251=$A$516,1,IF(D251=$A$517,2,IF(D251=$A$518,3,IF(D251=$A$519,4,IF(D251=$A$520,5,IF(D251=$A$521,6))))))</f>
        <v>5</v>
      </c>
      <c r="D251" s="20" t="str">
        <f t="shared" si="42"/>
        <v>abt</v>
      </c>
      <c r="E251" s="20" t="s">
        <v>1218</v>
      </c>
      <c r="F251" s="14"/>
      <c r="G251" s="13" t="s">
        <v>437</v>
      </c>
      <c r="H251" s="13"/>
      <c r="I251" s="13"/>
      <c r="J251" s="13" t="s">
        <v>779</v>
      </c>
      <c r="K251" s="15" t="s">
        <v>780</v>
      </c>
      <c r="L251" s="15" t="s">
        <v>1202</v>
      </c>
      <c r="M251" s="15" t="s">
        <v>1203</v>
      </c>
      <c r="N251" s="15"/>
      <c r="O251" s="15"/>
      <c r="P251" s="15"/>
      <c r="Q251" s="15"/>
      <c r="S251" s="35"/>
      <c r="T251" s="13"/>
      <c r="U251" s="17"/>
      <c r="V251" s="17"/>
      <c r="W251" s="36"/>
      <c r="X251" s="17"/>
      <c r="Y251" s="17"/>
      <c r="AA251" s="15" t="s">
        <v>60</v>
      </c>
      <c r="AB251" s="17"/>
      <c r="AC251" s="21" t="s">
        <v>61</v>
      </c>
      <c r="AD251" s="21" t="s">
        <v>61</v>
      </c>
      <c r="AE251" s="17" t="s">
        <v>86</v>
      </c>
      <c r="AF251" s="17"/>
      <c r="AG251" s="15"/>
      <c r="AI251" s="42">
        <f t="shared" ca="1" si="40"/>
        <v>993</v>
      </c>
      <c r="AJ251" s="42">
        <f t="shared" ca="1" si="44"/>
        <v>965</v>
      </c>
      <c r="AK251" s="13"/>
      <c r="AL251" s="36" t="str">
        <f t="shared" si="41"/>
        <v>Aborted</v>
      </c>
      <c r="AM251" s="37">
        <v>44671</v>
      </c>
      <c r="AN251" s="37">
        <f>+AM251</f>
        <v>44671</v>
      </c>
      <c r="AO251" s="37" t="s">
        <v>65</v>
      </c>
      <c r="AP251" s="37" t="s">
        <v>65</v>
      </c>
      <c r="AQ251" s="38">
        <v>44694</v>
      </c>
      <c r="AR251" s="38"/>
      <c r="AS251" s="38"/>
      <c r="AT251" s="38"/>
      <c r="AU251" s="38"/>
      <c r="AV251" s="38"/>
      <c r="AW251" s="38">
        <v>44694</v>
      </c>
      <c r="AX251" s="38"/>
      <c r="AY251" s="38">
        <v>44699</v>
      </c>
      <c r="AZ251" s="38"/>
      <c r="BA251" s="39">
        <f t="shared" si="43"/>
        <v>0.44444444444444442</v>
      </c>
      <c r="BB251" s="38"/>
      <c r="BC251" s="11" t="s">
        <v>7</v>
      </c>
    </row>
    <row r="252" spans="1:55" x14ac:dyDescent="0.35">
      <c r="A252" s="277"/>
      <c r="B252" s="16">
        <f>IF(D252=$A$516,1,IF(D252=$A$517,2,IF(D252=$A$518,3,IF(D252=$A$519,4,IF(D252=$A$520,5,IF(D252=$A$521,6))))))</f>
        <v>5</v>
      </c>
      <c r="D252" s="20" t="str">
        <f t="shared" si="42"/>
        <v>abt</v>
      </c>
      <c r="E252" s="20" t="s">
        <v>1217</v>
      </c>
      <c r="F252" s="14"/>
      <c r="G252" s="13" t="s">
        <v>437</v>
      </c>
      <c r="H252" s="13"/>
      <c r="I252" s="13"/>
      <c r="J252" s="13" t="s">
        <v>779</v>
      </c>
      <c r="K252" s="15" t="s">
        <v>780</v>
      </c>
      <c r="L252" s="15" t="s">
        <v>1202</v>
      </c>
      <c r="M252" s="15" t="s">
        <v>1203</v>
      </c>
      <c r="N252" s="15"/>
      <c r="O252" s="15"/>
      <c r="P252" s="15"/>
      <c r="Q252" s="15"/>
      <c r="S252" s="35"/>
      <c r="T252" s="13"/>
      <c r="U252" s="17"/>
      <c r="V252" s="17"/>
      <c r="W252" s="36"/>
      <c r="X252" s="17"/>
      <c r="Y252" s="17"/>
      <c r="AA252" s="15" t="s">
        <v>60</v>
      </c>
      <c r="AB252" s="17"/>
      <c r="AC252" s="21" t="s">
        <v>61</v>
      </c>
      <c r="AD252" s="21" t="s">
        <v>61</v>
      </c>
      <c r="AE252" s="17" t="s">
        <v>86</v>
      </c>
      <c r="AF252" s="17"/>
      <c r="AG252" s="15"/>
      <c r="AI252" s="42">
        <f t="shared" ca="1" si="40"/>
        <v>993</v>
      </c>
      <c r="AJ252" s="42">
        <f t="shared" ca="1" si="44"/>
        <v>960</v>
      </c>
      <c r="AK252" s="13"/>
      <c r="AL252" s="36" t="str">
        <f t="shared" si="41"/>
        <v>Aborted</v>
      </c>
      <c r="AM252" s="37">
        <v>44671</v>
      </c>
      <c r="AN252" s="37">
        <f>+AM252</f>
        <v>44671</v>
      </c>
      <c r="AO252" s="37" t="s">
        <v>65</v>
      </c>
      <c r="AP252" s="37" t="s">
        <v>65</v>
      </c>
      <c r="AQ252" s="38">
        <v>44694</v>
      </c>
      <c r="AR252" s="38"/>
      <c r="AS252" s="38"/>
      <c r="AT252" s="38"/>
      <c r="AU252" s="38"/>
      <c r="AV252" s="38"/>
      <c r="AW252" s="38">
        <v>44697</v>
      </c>
      <c r="AX252" s="38"/>
      <c r="AY252" s="38">
        <v>44704</v>
      </c>
      <c r="AZ252" s="38"/>
      <c r="BA252" s="39">
        <f t="shared" si="43"/>
        <v>0.44444444444444442</v>
      </c>
      <c r="BB252" s="38"/>
      <c r="BC252" s="11" t="s">
        <v>7</v>
      </c>
    </row>
    <row r="253" spans="1:55" x14ac:dyDescent="0.35">
      <c r="A253" s="277"/>
      <c r="B253" s="16">
        <f>IF(D253=$A$516,1,IF(D253=$A$517,2,IF(D253=$A$518,3,IF(D253=$A$519,4,IF(D253=$A$520,5,IF(D253=$A$521,6))))))</f>
        <v>5</v>
      </c>
      <c r="D253" s="20" t="str">
        <f t="shared" si="42"/>
        <v>abt</v>
      </c>
      <c r="E253" s="20" t="s">
        <v>1216</v>
      </c>
      <c r="F253" s="14"/>
      <c r="G253" s="13" t="s">
        <v>437</v>
      </c>
      <c r="H253" s="13"/>
      <c r="I253" s="13"/>
      <c r="J253" s="13" t="s">
        <v>779</v>
      </c>
      <c r="K253" s="15" t="s">
        <v>780</v>
      </c>
      <c r="L253" s="15" t="s">
        <v>1202</v>
      </c>
      <c r="M253" s="15" t="s">
        <v>1203</v>
      </c>
      <c r="N253" s="15"/>
      <c r="O253" s="15"/>
      <c r="P253" s="15"/>
      <c r="Q253" s="15"/>
      <c r="S253" s="35"/>
      <c r="T253" s="13"/>
      <c r="U253" s="17"/>
      <c r="V253" s="17"/>
      <c r="W253" s="36"/>
      <c r="X253" s="17"/>
      <c r="Y253" s="17"/>
      <c r="AA253" s="15" t="s">
        <v>60</v>
      </c>
      <c r="AB253" s="17"/>
      <c r="AC253" s="21" t="s">
        <v>61</v>
      </c>
      <c r="AD253" s="21" t="s">
        <v>61</v>
      </c>
      <c r="AE253" s="17" t="s">
        <v>86</v>
      </c>
      <c r="AF253" s="17"/>
      <c r="AG253" s="15"/>
      <c r="AI253" s="42">
        <f t="shared" ca="1" si="40"/>
        <v>993</v>
      </c>
      <c r="AJ253" s="42">
        <f t="shared" ca="1" si="44"/>
        <v>960</v>
      </c>
      <c r="AK253" s="13"/>
      <c r="AL253" s="36" t="str">
        <f t="shared" si="41"/>
        <v>Aborted</v>
      </c>
      <c r="AM253" s="37">
        <v>44671</v>
      </c>
      <c r="AN253" s="75">
        <f>+AM253</f>
        <v>44671</v>
      </c>
      <c r="AO253" s="37" t="s">
        <v>65</v>
      </c>
      <c r="AP253" s="37" t="s">
        <v>65</v>
      </c>
      <c r="AQ253" s="38">
        <v>44694</v>
      </c>
      <c r="AR253" s="38"/>
      <c r="AS253" s="38"/>
      <c r="AT253" s="38"/>
      <c r="AU253" s="38"/>
      <c r="AV253" s="38"/>
      <c r="AW253" s="38">
        <v>44697</v>
      </c>
      <c r="AX253" s="38"/>
      <c r="AY253" s="38">
        <v>44704</v>
      </c>
      <c r="AZ253" s="38"/>
      <c r="BA253" s="39">
        <f t="shared" si="43"/>
        <v>0.44444444444444442</v>
      </c>
      <c r="BB253" s="38"/>
      <c r="BC253" s="11" t="s">
        <v>7</v>
      </c>
    </row>
    <row r="254" spans="1:55" x14ac:dyDescent="0.35">
      <c r="B254" s="16">
        <f>IF(D254=$A$516,1,IF(D254=$A$517,2,IF(D254=$A$518,3,IF(D254=$A$519,4,IF(D254=$A$520,5,IF(D254=$A$521,6))))))</f>
        <v>5</v>
      </c>
      <c r="D254" s="20" t="str">
        <f t="shared" si="42"/>
        <v>abt</v>
      </c>
      <c r="E254" s="20" t="s">
        <v>1201</v>
      </c>
      <c r="F254" s="13"/>
      <c r="G254" s="13" t="s">
        <v>437</v>
      </c>
      <c r="H254" s="13"/>
      <c r="I254" s="13"/>
      <c r="J254" s="13" t="s">
        <v>779</v>
      </c>
      <c r="K254" s="15" t="s">
        <v>780</v>
      </c>
      <c r="L254" s="15" t="s">
        <v>1202</v>
      </c>
      <c r="M254" s="15" t="s">
        <v>1203</v>
      </c>
      <c r="N254" s="15"/>
      <c r="O254" s="15"/>
      <c r="P254" s="15"/>
      <c r="Q254" s="15"/>
      <c r="S254" s="35"/>
      <c r="T254" s="13"/>
      <c r="U254" s="17"/>
      <c r="V254" s="17"/>
      <c r="W254" s="36"/>
      <c r="X254" s="17"/>
      <c r="Y254" s="17"/>
      <c r="AA254" s="15" t="s">
        <v>60</v>
      </c>
      <c r="AB254" s="17"/>
      <c r="AC254" s="17" t="s">
        <v>61</v>
      </c>
      <c r="AD254" s="17" t="s">
        <v>61</v>
      </c>
      <c r="AE254" s="17" t="s">
        <v>86</v>
      </c>
      <c r="AF254" s="17"/>
      <c r="AG254" s="15"/>
      <c r="AI254" s="42">
        <f t="shared" ca="1" si="40"/>
        <v>993</v>
      </c>
      <c r="AJ254" s="42">
        <f t="shared" ca="1" si="44"/>
        <v>918</v>
      </c>
      <c r="AK254" s="13"/>
      <c r="AL254" s="36" t="str">
        <f t="shared" si="41"/>
        <v>Aborted</v>
      </c>
      <c r="AM254" s="37">
        <v>44671</v>
      </c>
      <c r="AN254" s="37">
        <f>+AM254</f>
        <v>44671</v>
      </c>
      <c r="AO254" s="37" t="s">
        <v>65</v>
      </c>
      <c r="AP254" s="37" t="s">
        <v>65</v>
      </c>
      <c r="AQ254" s="38">
        <v>44694</v>
      </c>
      <c r="AR254" s="38" t="s">
        <v>65</v>
      </c>
      <c r="AS254" s="38" t="s">
        <v>65</v>
      </c>
      <c r="AT254" s="38">
        <v>44699</v>
      </c>
      <c r="AU254" s="38">
        <v>44725</v>
      </c>
      <c r="AV254" s="38"/>
      <c r="AW254" s="38">
        <v>44732</v>
      </c>
      <c r="AX254" s="38"/>
      <c r="AY254" s="38">
        <v>44746</v>
      </c>
      <c r="AZ254" s="38"/>
      <c r="BA254" s="39">
        <f t="shared" si="43"/>
        <v>0.88888888888888884</v>
      </c>
      <c r="BB254" s="38"/>
      <c r="BC254" s="11" t="s">
        <v>7</v>
      </c>
    </row>
    <row r="255" spans="1:55" x14ac:dyDescent="0.35">
      <c r="B255" s="16">
        <f>IF(D255=$A$516,1,IF(D255=$A$517,2,IF(D255=$A$518,3,IF(D255=$A$519,4,IF(D255=$A$520,5,IF(D255=$A$521,6))))))</f>
        <v>5</v>
      </c>
      <c r="D255" s="20" t="str">
        <f t="shared" si="42"/>
        <v>abt</v>
      </c>
      <c r="E255" s="20" t="s">
        <v>1404</v>
      </c>
      <c r="F255" s="14"/>
      <c r="G255" s="13" t="s">
        <v>437</v>
      </c>
      <c r="H255" s="13"/>
      <c r="I255" s="13"/>
      <c r="J255" s="13" t="s">
        <v>779</v>
      </c>
      <c r="K255" s="15" t="s">
        <v>780</v>
      </c>
      <c r="L255" s="15"/>
      <c r="M255" s="15"/>
      <c r="N255" s="15"/>
      <c r="O255" s="15"/>
      <c r="P255" s="15"/>
      <c r="Q255" s="15"/>
      <c r="S255" s="35"/>
      <c r="T255" s="13"/>
      <c r="U255" s="17"/>
      <c r="V255" s="17"/>
      <c r="W255" s="36"/>
      <c r="X255" s="17"/>
      <c r="Y255" s="17"/>
      <c r="AA255" s="15" t="s">
        <v>60</v>
      </c>
      <c r="AB255" s="17"/>
      <c r="AC255" s="21" t="s">
        <v>61</v>
      </c>
      <c r="AD255" s="17" t="s">
        <v>61</v>
      </c>
      <c r="AE255" s="17" t="s">
        <v>86</v>
      </c>
      <c r="AF255" s="17"/>
      <c r="AG255" s="15"/>
      <c r="AI255" s="42">
        <f t="shared" ca="1" si="40"/>
        <v>1467</v>
      </c>
      <c r="AJ255" s="42">
        <f t="shared" ca="1" si="44"/>
        <v>1241</v>
      </c>
      <c r="AK255" s="13"/>
      <c r="AL255" s="36" t="str">
        <f t="shared" si="41"/>
        <v>Aborted</v>
      </c>
      <c r="AM255" s="37">
        <v>44197</v>
      </c>
      <c r="AN255" s="37">
        <f>+AM255</f>
        <v>44197</v>
      </c>
      <c r="AO255" s="37" t="s">
        <v>65</v>
      </c>
      <c r="AP255" s="37" t="s">
        <v>65</v>
      </c>
      <c r="AQ255" s="38">
        <f>+AN255</f>
        <v>44197</v>
      </c>
      <c r="AR255" s="38" t="s">
        <v>65</v>
      </c>
      <c r="AS255" s="38" t="s">
        <v>65</v>
      </c>
      <c r="AT255" s="38" t="s">
        <v>65</v>
      </c>
      <c r="AU255" s="38" t="s">
        <v>65</v>
      </c>
      <c r="AV255" s="38" t="s">
        <v>65</v>
      </c>
      <c r="AW255" s="38">
        <v>44423</v>
      </c>
      <c r="AX255" s="38"/>
      <c r="AY255" s="38">
        <v>44423</v>
      </c>
      <c r="AZ255" s="38"/>
      <c r="BA255" s="39">
        <f t="shared" si="43"/>
        <v>1</v>
      </c>
      <c r="BB255" s="38"/>
      <c r="BC255" s="11" t="s">
        <v>7</v>
      </c>
    </row>
    <row r="256" spans="1:55" x14ac:dyDescent="0.35">
      <c r="B256" s="16">
        <f>IF(D256=$A$516,1,IF(D256=$A$517,2,IF(D256=$A$518,3,IF(D256=$A$519,4,IF(D256=$A$520,5,IF(D256=$A$521,6))))))</f>
        <v>5</v>
      </c>
      <c r="D256" s="20" t="str">
        <f t="shared" si="42"/>
        <v>abt</v>
      </c>
      <c r="E256" s="20" t="s">
        <v>923</v>
      </c>
      <c r="F256" s="13"/>
      <c r="G256" s="13" t="s">
        <v>924</v>
      </c>
      <c r="H256" s="14" t="s">
        <v>925</v>
      </c>
      <c r="I256" s="13">
        <v>110700</v>
      </c>
      <c r="J256" s="13" t="s">
        <v>744</v>
      </c>
      <c r="K256" s="15" t="s">
        <v>926</v>
      </c>
      <c r="L256" s="15"/>
      <c r="M256" s="15"/>
      <c r="N256" s="15"/>
      <c r="O256" s="15"/>
      <c r="P256" s="15"/>
      <c r="Q256" s="15"/>
      <c r="S256" s="35" t="s">
        <v>144</v>
      </c>
      <c r="T256" s="13">
        <v>2020</v>
      </c>
      <c r="U256" s="17">
        <v>66.798000000000002</v>
      </c>
      <c r="V256" s="17">
        <v>9.8249999999999993</v>
      </c>
      <c r="W256" s="36">
        <f>+V256/U256</f>
        <v>0.14708524207311593</v>
      </c>
      <c r="X256" s="17">
        <v>-9.5850000000000009</v>
      </c>
      <c r="Y256" s="17">
        <v>63.545999999999999</v>
      </c>
      <c r="AA256" s="15" t="s">
        <v>927</v>
      </c>
      <c r="AB256" s="17"/>
      <c r="AC256" s="21" t="s">
        <v>78</v>
      </c>
      <c r="AD256" s="21" t="s">
        <v>78</v>
      </c>
      <c r="AE256" s="17" t="s">
        <v>128</v>
      </c>
      <c r="AF256" s="17"/>
      <c r="AG256" s="15"/>
      <c r="AI256" s="42">
        <f t="shared" ca="1" si="40"/>
        <v>931</v>
      </c>
      <c r="AJ256" s="42">
        <f t="shared" ca="1" si="44"/>
        <v>718</v>
      </c>
      <c r="AK256" s="13" t="s">
        <v>64</v>
      </c>
      <c r="AL256" s="36" t="str">
        <f t="shared" si="41"/>
        <v>Aborted</v>
      </c>
      <c r="AM256" s="37">
        <v>44733</v>
      </c>
      <c r="AN256" s="37">
        <v>44733</v>
      </c>
      <c r="AO256" s="37" t="s">
        <v>65</v>
      </c>
      <c r="AP256" s="37" t="s">
        <v>65</v>
      </c>
      <c r="AQ256" s="38">
        <v>44757</v>
      </c>
      <c r="AR256" s="38">
        <v>44837</v>
      </c>
      <c r="AS256" s="38" t="s">
        <v>65</v>
      </c>
      <c r="AT256" s="38">
        <v>44854</v>
      </c>
      <c r="AU256" s="38" t="s">
        <v>65</v>
      </c>
      <c r="AV256" s="38">
        <v>44872</v>
      </c>
      <c r="AW256" s="38"/>
      <c r="AX256" s="38"/>
      <c r="AY256" s="38">
        <v>44946</v>
      </c>
      <c r="AZ256" s="38"/>
      <c r="BA256" s="39">
        <f t="shared" si="43"/>
        <v>1</v>
      </c>
      <c r="BB256" s="38"/>
      <c r="BC256" s="11" t="s">
        <v>7</v>
      </c>
    </row>
    <row r="257" spans="1:55" x14ac:dyDescent="0.35">
      <c r="B257" s="16">
        <f>IF(D257=$A$516,1,IF(D257=$A$517,2,IF(D257=$A$518,3,IF(D257=$A$519,4,IF(D257=$A$520,5,IF(D257=$A$521,6))))))</f>
        <v>5</v>
      </c>
      <c r="D257" s="20" t="str">
        <f t="shared" si="42"/>
        <v>abt</v>
      </c>
      <c r="E257" s="12" t="s">
        <v>1367</v>
      </c>
      <c r="F257" s="13"/>
      <c r="G257" s="13" t="s">
        <v>103</v>
      </c>
      <c r="H257" s="14" t="s">
        <v>1368</v>
      </c>
      <c r="I257" s="13">
        <v>477100</v>
      </c>
      <c r="J257" s="13" t="s">
        <v>587</v>
      </c>
      <c r="K257" s="15" t="s">
        <v>1369</v>
      </c>
      <c r="L257" s="15"/>
      <c r="M257" s="15"/>
      <c r="N257" s="15"/>
      <c r="O257" s="15"/>
      <c r="P257" s="15"/>
      <c r="Q257" s="15"/>
      <c r="S257" s="35" t="s">
        <v>77</v>
      </c>
      <c r="T257" s="13">
        <v>2019</v>
      </c>
      <c r="U257" s="17">
        <v>67.936999999999998</v>
      </c>
      <c r="V257" s="17">
        <v>2.6429999999999998</v>
      </c>
      <c r="W257" s="36">
        <f>+V257/U257</f>
        <v>3.8903690183552407E-2</v>
      </c>
      <c r="X257" s="17">
        <v>1.4319999999999999</v>
      </c>
      <c r="Y257" s="17">
        <v>-3.31</v>
      </c>
      <c r="AA257" s="15" t="s">
        <v>590</v>
      </c>
      <c r="AB257" s="17" t="s">
        <v>1112</v>
      </c>
      <c r="AC257" s="21" t="s">
        <v>78</v>
      </c>
      <c r="AD257" s="21" t="s">
        <v>78</v>
      </c>
      <c r="AE257" s="17" t="s">
        <v>62</v>
      </c>
      <c r="AF257" s="17"/>
      <c r="AG257" s="15"/>
      <c r="AI257" s="42">
        <f t="shared" ca="1" si="40"/>
        <v>1307</v>
      </c>
      <c r="AJ257" s="42">
        <f t="shared" ca="1" si="44"/>
        <v>1155</v>
      </c>
      <c r="AK257" s="13"/>
      <c r="AL257" s="36" t="str">
        <f t="shared" si="41"/>
        <v>Aborted</v>
      </c>
      <c r="AM257" s="37">
        <v>44357</v>
      </c>
      <c r="AN257" s="37">
        <v>44357</v>
      </c>
      <c r="AO257" s="37" t="s">
        <v>65</v>
      </c>
      <c r="AP257" s="37">
        <v>44357</v>
      </c>
      <c r="AQ257" s="38">
        <v>44363</v>
      </c>
      <c r="AR257" s="38"/>
      <c r="AS257" s="38"/>
      <c r="AT257" s="38"/>
      <c r="AU257" s="38"/>
      <c r="AV257" s="38"/>
      <c r="AW257" s="38"/>
      <c r="AX257" s="38"/>
      <c r="AY257" s="38">
        <v>44509</v>
      </c>
      <c r="AZ257" s="38"/>
      <c r="BA257" s="39">
        <f t="shared" si="43"/>
        <v>0.44444444444444442</v>
      </c>
      <c r="BB257" s="38"/>
      <c r="BC257" s="11" t="s">
        <v>7</v>
      </c>
    </row>
    <row r="258" spans="1:55" x14ac:dyDescent="0.35">
      <c r="A258" s="398"/>
      <c r="B258" s="16">
        <f>IF(D258=$A$516,1,IF(D258=$A$517,2,IF(D258=$A$518,3,IF(D258=$A$519,4,IF(D258=$A$520,5,IF(D258=$A$521,6))))))</f>
        <v>5</v>
      </c>
      <c r="D258" s="20" t="str">
        <f t="shared" si="42"/>
        <v>abt</v>
      </c>
      <c r="E258" s="20" t="s">
        <v>410</v>
      </c>
      <c r="F258" s="13"/>
      <c r="G258" s="13" t="s">
        <v>103</v>
      </c>
      <c r="H258" s="14"/>
      <c r="I258" s="13"/>
      <c r="J258" s="13" t="s">
        <v>57</v>
      </c>
      <c r="K258" s="15" t="s">
        <v>58</v>
      </c>
      <c r="L258" s="15" t="s">
        <v>411</v>
      </c>
      <c r="M258" s="15"/>
      <c r="N258" s="15"/>
      <c r="O258" s="15"/>
      <c r="P258" s="15"/>
      <c r="Q258" s="15"/>
      <c r="S258" s="35"/>
      <c r="T258" s="13"/>
      <c r="U258" s="17"/>
      <c r="V258" s="17"/>
      <c r="W258" s="36"/>
      <c r="X258" s="17"/>
      <c r="Y258" s="17"/>
      <c r="AA258" s="15" t="s">
        <v>60</v>
      </c>
      <c r="AB258" s="15"/>
      <c r="AC258" s="21" t="s">
        <v>61</v>
      </c>
      <c r="AD258" s="17" t="s">
        <v>61</v>
      </c>
      <c r="AE258" s="17" t="s">
        <v>62</v>
      </c>
      <c r="AF258" s="17" t="s">
        <v>128</v>
      </c>
      <c r="AG258" s="15"/>
      <c r="AI258" s="42">
        <f t="shared" ca="1" si="40"/>
        <v>680</v>
      </c>
      <c r="AJ258" s="42">
        <f t="shared" ca="1" si="44"/>
        <v>364</v>
      </c>
      <c r="AK258" s="13" t="s">
        <v>64</v>
      </c>
      <c r="AL258" s="36" t="str">
        <f t="shared" si="41"/>
        <v>Aborted</v>
      </c>
      <c r="AM258" s="37">
        <v>44984</v>
      </c>
      <c r="AN258" s="37">
        <v>44984</v>
      </c>
      <c r="AO258" s="37" t="s">
        <v>65</v>
      </c>
      <c r="AP258" s="37">
        <v>44984</v>
      </c>
      <c r="AQ258" s="38">
        <f>+AN258</f>
        <v>44984</v>
      </c>
      <c r="AR258" s="38" t="s">
        <v>65</v>
      </c>
      <c r="AS258" s="38" t="s">
        <v>65</v>
      </c>
      <c r="AT258" s="38" t="s">
        <v>65</v>
      </c>
      <c r="AU258" s="38" t="s">
        <v>65</v>
      </c>
      <c r="AV258" s="38">
        <v>45113</v>
      </c>
      <c r="AW258" s="38"/>
      <c r="AX258" s="38">
        <v>45195</v>
      </c>
      <c r="AY258" s="38">
        <v>45300</v>
      </c>
      <c r="AZ258" s="38"/>
      <c r="BA258" s="39">
        <f t="shared" si="43"/>
        <v>1</v>
      </c>
      <c r="BB258" s="38"/>
      <c r="BC258" s="11" t="s">
        <v>7</v>
      </c>
    </row>
    <row r="259" spans="1:55" x14ac:dyDescent="0.35">
      <c r="B259" s="16">
        <f>IF(D259=$A$516,1,IF(D259=$A$517,2,IF(D259=$A$518,3,IF(D259=$A$519,4,IF(D259=$A$520,5,IF(D259=$A$521,6))))))</f>
        <v>5</v>
      </c>
      <c r="D259" s="20" t="str">
        <f t="shared" si="42"/>
        <v>abt</v>
      </c>
      <c r="E259" s="20" t="s">
        <v>394</v>
      </c>
      <c r="F259" s="13" t="s">
        <v>395</v>
      </c>
      <c r="G259" s="13" t="s">
        <v>103</v>
      </c>
      <c r="H259" s="14" t="s">
        <v>396</v>
      </c>
      <c r="I259" s="13"/>
      <c r="J259" s="13" t="s">
        <v>57</v>
      </c>
      <c r="K259" s="15" t="s">
        <v>58</v>
      </c>
      <c r="L259" s="15" t="s">
        <v>397</v>
      </c>
      <c r="M259" s="15"/>
      <c r="N259" s="15"/>
      <c r="O259" s="15"/>
      <c r="P259" s="15"/>
      <c r="Q259" s="15"/>
      <c r="S259" s="35"/>
      <c r="T259" s="13"/>
      <c r="U259" s="17"/>
      <c r="V259" s="17"/>
      <c r="W259" s="36"/>
      <c r="X259" s="17"/>
      <c r="Y259" s="17"/>
      <c r="AA259" s="15" t="s">
        <v>60</v>
      </c>
      <c r="AB259" s="15"/>
      <c r="AC259" s="21" t="s">
        <v>61</v>
      </c>
      <c r="AD259" s="17" t="s">
        <v>61</v>
      </c>
      <c r="AE259" s="17" t="s">
        <v>62</v>
      </c>
      <c r="AF259" s="17"/>
      <c r="AG259" s="15"/>
      <c r="AI259" s="42">
        <f t="shared" ca="1" si="40"/>
        <v>680</v>
      </c>
      <c r="AJ259" s="42">
        <f t="shared" ca="1" si="44"/>
        <v>364</v>
      </c>
      <c r="AK259" s="13" t="s">
        <v>64</v>
      </c>
      <c r="AL259" s="36" t="str">
        <f t="shared" si="41"/>
        <v>Aborted</v>
      </c>
      <c r="AM259" s="37">
        <v>44984</v>
      </c>
      <c r="AN259" s="37">
        <v>44984</v>
      </c>
      <c r="AO259" s="37" t="s">
        <v>65</v>
      </c>
      <c r="AP259" s="37">
        <v>44984</v>
      </c>
      <c r="AQ259" s="38">
        <v>44984</v>
      </c>
      <c r="AR259" s="38" t="s">
        <v>65</v>
      </c>
      <c r="AS259" s="38" t="s">
        <v>65</v>
      </c>
      <c r="AT259" s="38">
        <v>44986</v>
      </c>
      <c r="AU259" s="38" t="s">
        <v>65</v>
      </c>
      <c r="AV259" s="38">
        <v>45019</v>
      </c>
      <c r="AW259" s="38"/>
      <c r="AX259" s="38">
        <v>45202</v>
      </c>
      <c r="AY259" s="38">
        <v>45300</v>
      </c>
      <c r="AZ259" s="38"/>
      <c r="BA259" s="39">
        <f t="shared" si="43"/>
        <v>1</v>
      </c>
      <c r="BB259" s="38"/>
      <c r="BC259" s="11" t="s">
        <v>7</v>
      </c>
    </row>
    <row r="260" spans="1:55" x14ac:dyDescent="0.35">
      <c r="B260" s="16">
        <f>IF(D260=$A$516,1,IF(D260=$A$517,2,IF(D260=$A$518,3,IF(D260=$A$519,4,IF(D260=$A$520,5,IF(D260=$A$521,6))))))</f>
        <v>5</v>
      </c>
      <c r="D260" s="20" t="str">
        <f t="shared" si="42"/>
        <v>abt</v>
      </c>
      <c r="E260" s="12" t="s">
        <v>892</v>
      </c>
      <c r="F260" s="13"/>
      <c r="G260" s="14" t="s">
        <v>174</v>
      </c>
      <c r="H260" s="13">
        <v>1141930261</v>
      </c>
      <c r="I260" s="13">
        <v>132000</v>
      </c>
      <c r="J260" s="13" t="s">
        <v>819</v>
      </c>
      <c r="K260" s="15" t="s">
        <v>893</v>
      </c>
      <c r="L260" s="15"/>
      <c r="M260" s="15"/>
      <c r="N260" s="15"/>
      <c r="O260" s="15"/>
      <c r="P260" s="15"/>
      <c r="Q260" s="15"/>
      <c r="S260" s="35" t="s">
        <v>77</v>
      </c>
      <c r="T260" s="13"/>
      <c r="U260" s="17"/>
      <c r="V260" s="17"/>
      <c r="W260" s="36"/>
      <c r="X260" s="17"/>
      <c r="Y260" s="17"/>
      <c r="AA260" s="15" t="s">
        <v>623</v>
      </c>
      <c r="AB260" s="17"/>
      <c r="AC260" s="21" t="s">
        <v>78</v>
      </c>
      <c r="AD260" s="21" t="s">
        <v>78</v>
      </c>
      <c r="AE260" s="21" t="s">
        <v>62</v>
      </c>
      <c r="AF260" s="17"/>
      <c r="AG260" s="15"/>
      <c r="AI260" s="42">
        <f t="shared" ca="1" si="40"/>
        <v>973</v>
      </c>
      <c r="AJ260" s="42">
        <f t="shared" ca="1" si="44"/>
        <v>665</v>
      </c>
      <c r="AK260" s="13" t="s">
        <v>64</v>
      </c>
      <c r="AL260" s="36" t="str">
        <f t="shared" si="41"/>
        <v>Aborted</v>
      </c>
      <c r="AM260" s="37">
        <v>44691</v>
      </c>
      <c r="AN260" s="37">
        <v>44691</v>
      </c>
      <c r="AO260" s="37" t="s">
        <v>65</v>
      </c>
      <c r="AP260" s="37" t="s">
        <v>65</v>
      </c>
      <c r="AQ260" s="38">
        <v>44725</v>
      </c>
      <c r="AR260" s="38">
        <v>44739</v>
      </c>
      <c r="AS260" s="38"/>
      <c r="AT260" s="38"/>
      <c r="AU260" s="38"/>
      <c r="AV260" s="38"/>
      <c r="AW260" s="38">
        <v>44956</v>
      </c>
      <c r="AX260" s="38">
        <v>44964</v>
      </c>
      <c r="AY260" s="38">
        <v>44999</v>
      </c>
      <c r="AZ260" s="38"/>
      <c r="BA260" s="39">
        <f t="shared" si="43"/>
        <v>0.55555555555555558</v>
      </c>
      <c r="BB260" s="38"/>
      <c r="BC260" s="11" t="s">
        <v>7</v>
      </c>
    </row>
    <row r="261" spans="1:55" x14ac:dyDescent="0.35">
      <c r="B261" s="16">
        <f>IF(D261=$A$516,1,IF(D261=$A$517,2,IF(D261=$A$518,3,IF(D261=$A$519,4,IF(D261=$A$520,5,IF(D261=$A$521,6))))))</f>
        <v>5</v>
      </c>
      <c r="D261" s="20" t="str">
        <f t="shared" si="42"/>
        <v>abt</v>
      </c>
      <c r="E261" s="20" t="s">
        <v>1186</v>
      </c>
      <c r="F261" s="14"/>
      <c r="G261" s="13" t="s">
        <v>1187</v>
      </c>
      <c r="H261" s="14" t="s">
        <v>1188</v>
      </c>
      <c r="I261" s="14" t="s">
        <v>1189</v>
      </c>
      <c r="J261" s="13" t="s">
        <v>179</v>
      </c>
      <c r="K261" s="15" t="s">
        <v>1190</v>
      </c>
      <c r="L261" s="15"/>
      <c r="M261" s="15"/>
      <c r="N261" s="15"/>
      <c r="O261" s="15"/>
      <c r="P261" s="15"/>
      <c r="Q261" s="15"/>
      <c r="S261" s="35" t="s">
        <v>77</v>
      </c>
      <c r="T261" s="13">
        <v>2019</v>
      </c>
      <c r="U261" s="17">
        <v>2.15</v>
      </c>
      <c r="V261" s="17">
        <v>0.14000000000000001</v>
      </c>
      <c r="W261" s="36">
        <f>+V261/U261</f>
        <v>6.5116279069767455E-2</v>
      </c>
      <c r="X261" s="17">
        <v>-0.53</v>
      </c>
      <c r="Y261" s="17">
        <v>6.29</v>
      </c>
      <c r="AA261" s="15" t="s">
        <v>99</v>
      </c>
      <c r="AB261" s="24" t="s">
        <v>1191</v>
      </c>
      <c r="AC261" s="21" t="s">
        <v>61</v>
      </c>
      <c r="AD261" s="17" t="s">
        <v>61</v>
      </c>
      <c r="AE261" s="17" t="s">
        <v>79</v>
      </c>
      <c r="AF261" s="17"/>
      <c r="AG261" s="15"/>
      <c r="AH261" s="677">
        <v>1</v>
      </c>
      <c r="AI261" s="42">
        <f t="shared" ca="1" si="40"/>
        <v>1467</v>
      </c>
      <c r="AJ261" s="42">
        <f t="shared" ca="1" si="44"/>
        <v>854</v>
      </c>
      <c r="AK261" s="13"/>
      <c r="AL261" s="36" t="str">
        <f t="shared" si="41"/>
        <v>Aborted</v>
      </c>
      <c r="AM261" s="37">
        <v>44197</v>
      </c>
      <c r="AN261" s="37">
        <f>+AM261</f>
        <v>44197</v>
      </c>
      <c r="AO261" s="37" t="s">
        <v>65</v>
      </c>
      <c r="AP261" s="37">
        <v>44197</v>
      </c>
      <c r="AQ261" s="38">
        <v>44301</v>
      </c>
      <c r="AR261" s="38">
        <v>44331</v>
      </c>
      <c r="AS261" s="38">
        <v>44712</v>
      </c>
      <c r="AT261" s="38"/>
      <c r="AU261" s="38"/>
      <c r="AV261" s="38"/>
      <c r="AW261" s="38">
        <v>44684</v>
      </c>
      <c r="AX261" s="38">
        <v>44718</v>
      </c>
      <c r="AY261" s="38">
        <v>44810</v>
      </c>
      <c r="AZ261" s="38"/>
      <c r="BA261" s="39">
        <f t="shared" si="43"/>
        <v>0.66666666666666663</v>
      </c>
      <c r="BB261" s="38"/>
      <c r="BC261" s="11" t="s">
        <v>7</v>
      </c>
    </row>
    <row r="262" spans="1:55" x14ac:dyDescent="0.35">
      <c r="A262" s="277"/>
      <c r="B262" s="16">
        <f>IF(D262=$A$516,1,IF(D262=$A$517,2,IF(D262=$A$518,3,IF(D262=$A$519,4,IF(D262=$A$520,5,IF(D262=$A$521,6))))))</f>
        <v>5</v>
      </c>
      <c r="D262" s="20" t="str">
        <f t="shared" si="42"/>
        <v>abt</v>
      </c>
      <c r="E262" s="20" t="s">
        <v>1032</v>
      </c>
      <c r="F262" s="14"/>
      <c r="G262" s="13" t="s">
        <v>68</v>
      </c>
      <c r="H262" s="13">
        <v>2008340016</v>
      </c>
      <c r="I262" s="13">
        <v>265110</v>
      </c>
      <c r="J262" s="13" t="s">
        <v>1010</v>
      </c>
      <c r="K262" s="15" t="s">
        <v>1033</v>
      </c>
      <c r="L262" s="15" t="s">
        <v>299</v>
      </c>
      <c r="M262" s="15" t="s">
        <v>1034</v>
      </c>
      <c r="N262" s="15"/>
      <c r="O262" s="15"/>
      <c r="P262" s="15"/>
      <c r="Q262" s="15"/>
      <c r="S262" s="35" t="s">
        <v>77</v>
      </c>
      <c r="T262" s="13">
        <v>2020</v>
      </c>
      <c r="U262" s="17">
        <v>30.7</v>
      </c>
      <c r="V262" s="17">
        <v>2.9</v>
      </c>
      <c r="W262" s="36">
        <f>+V262/U262</f>
        <v>9.4462540716612378E-2</v>
      </c>
      <c r="X262" s="17">
        <v>1.9</v>
      </c>
      <c r="Y262" s="17">
        <v>5.0999999999999996</v>
      </c>
      <c r="AA262" s="15" t="s">
        <v>140</v>
      </c>
      <c r="AB262" s="17"/>
      <c r="AC262" s="77" t="s">
        <v>585</v>
      </c>
      <c r="AD262" s="21" t="s">
        <v>61</v>
      </c>
      <c r="AE262" s="77" t="s">
        <v>585</v>
      </c>
      <c r="AF262" s="17"/>
      <c r="AG262" s="15"/>
      <c r="AI262" s="42">
        <f t="shared" ca="1" si="40"/>
        <v>909</v>
      </c>
      <c r="AJ262" s="42">
        <f t="shared" ca="1" si="44"/>
        <v>728</v>
      </c>
      <c r="AK262" s="13"/>
      <c r="AL262" s="36" t="str">
        <f t="shared" si="41"/>
        <v>Aborted</v>
      </c>
      <c r="AM262" s="37">
        <v>44755</v>
      </c>
      <c r="AN262" s="37">
        <v>44755</v>
      </c>
      <c r="AO262" s="37">
        <v>44812</v>
      </c>
      <c r="AP262" s="37">
        <v>44812</v>
      </c>
      <c r="AQ262" s="38"/>
      <c r="AR262" s="38"/>
      <c r="AS262" s="38"/>
      <c r="AT262" s="38"/>
      <c r="AU262" s="38"/>
      <c r="AV262" s="38"/>
      <c r="AW262" s="38">
        <v>44812</v>
      </c>
      <c r="AX262" s="38">
        <v>44812</v>
      </c>
      <c r="AY262" s="38">
        <v>44936</v>
      </c>
      <c r="AZ262" s="38"/>
      <c r="BA262" s="39">
        <f t="shared" si="43"/>
        <v>0.33333333333333331</v>
      </c>
      <c r="BB262" s="38"/>
      <c r="BC262" s="11" t="s">
        <v>7</v>
      </c>
    </row>
    <row r="263" spans="1:55" x14ac:dyDescent="0.35">
      <c r="A263" s="277"/>
      <c r="B263" s="16">
        <f>IF(D263=$A$516,1,IF(D263=$A$517,2,IF(D263=$A$518,3,IF(D263=$A$519,4,IF(D263=$A$520,5,IF(D263=$A$521,6))))))</f>
        <v>5</v>
      </c>
      <c r="D263" s="20" t="str">
        <f t="shared" si="42"/>
        <v>abt</v>
      </c>
      <c r="E263" s="12" t="s">
        <v>700</v>
      </c>
      <c r="F263" s="13"/>
      <c r="G263" s="13" t="s">
        <v>103</v>
      </c>
      <c r="H263" s="14">
        <v>8743120969</v>
      </c>
      <c r="I263" s="13"/>
      <c r="J263" s="13" t="s">
        <v>111</v>
      </c>
      <c r="K263" s="15" t="s">
        <v>701</v>
      </c>
      <c r="L263" s="15"/>
      <c r="M263" s="15"/>
      <c r="N263" s="15"/>
      <c r="O263" s="15"/>
      <c r="P263" s="15"/>
      <c r="Q263" s="15"/>
      <c r="S263" s="35" t="s">
        <v>77</v>
      </c>
      <c r="T263" s="13">
        <v>2021</v>
      </c>
      <c r="U263" s="17">
        <v>9.34</v>
      </c>
      <c r="V263" s="17">
        <v>1.379</v>
      </c>
      <c r="W263" s="36">
        <f>+V263/U263</f>
        <v>0.14764453961456103</v>
      </c>
      <c r="X263" s="17">
        <v>-0.10299999999999999</v>
      </c>
      <c r="Y263" s="17">
        <v>2</v>
      </c>
      <c r="AA263" s="15" t="s">
        <v>60</v>
      </c>
      <c r="AB263" s="25"/>
      <c r="AC263" s="21" t="s">
        <v>78</v>
      </c>
      <c r="AD263" s="21" t="s">
        <v>78</v>
      </c>
      <c r="AE263" s="17" t="s">
        <v>79</v>
      </c>
      <c r="AF263" s="17"/>
      <c r="AG263" s="15"/>
      <c r="AH263" s="677">
        <v>1</v>
      </c>
      <c r="AI263" s="42">
        <f t="shared" ca="1" si="40"/>
        <v>611</v>
      </c>
      <c r="AJ263" s="42">
        <f t="shared" ca="1" si="44"/>
        <v>483</v>
      </c>
      <c r="AK263" s="13" t="s">
        <v>64</v>
      </c>
      <c r="AL263" s="36" t="str">
        <f t="shared" si="41"/>
        <v>Aborted</v>
      </c>
      <c r="AM263" s="37">
        <v>45053</v>
      </c>
      <c r="AN263" s="75">
        <f>+AM263</f>
        <v>45053</v>
      </c>
      <c r="AO263" s="37" t="s">
        <v>65</v>
      </c>
      <c r="AP263" s="37">
        <v>45053</v>
      </c>
      <c r="AQ263" s="38">
        <v>45063</v>
      </c>
      <c r="AR263" s="38"/>
      <c r="AS263" s="38"/>
      <c r="AT263" s="38"/>
      <c r="AU263" s="38"/>
      <c r="AV263" s="38"/>
      <c r="AW263" s="38">
        <v>45063</v>
      </c>
      <c r="AX263" s="38">
        <v>45093</v>
      </c>
      <c r="AY263" s="38">
        <v>45181</v>
      </c>
      <c r="AZ263" s="38"/>
      <c r="BA263" s="39">
        <f t="shared" si="43"/>
        <v>0.44444444444444442</v>
      </c>
      <c r="BB263" s="38"/>
      <c r="BC263" s="11" t="s">
        <v>7</v>
      </c>
    </row>
    <row r="264" spans="1:55" x14ac:dyDescent="0.35">
      <c r="A264" s="358"/>
      <c r="B264" s="16">
        <f>IF(D264=$A$516,1,IF(D264=$A$517,2,IF(D264=$A$518,3,IF(D264=$A$519,4,IF(D264=$A$520,5,IF(D264=$A$521,6))))))</f>
        <v>5</v>
      </c>
      <c r="D264" s="20" t="str">
        <f t="shared" si="42"/>
        <v>abt</v>
      </c>
      <c r="E264" s="20" t="s">
        <v>950</v>
      </c>
      <c r="F264" s="13"/>
      <c r="G264" s="13" t="s">
        <v>951</v>
      </c>
      <c r="H264" s="14" t="s">
        <v>952</v>
      </c>
      <c r="I264" s="13">
        <v>500000</v>
      </c>
      <c r="J264" s="13" t="s">
        <v>580</v>
      </c>
      <c r="K264" s="15" t="s">
        <v>636</v>
      </c>
      <c r="L264" s="15" t="s">
        <v>953</v>
      </c>
      <c r="M264" s="15"/>
      <c r="N264" s="15"/>
      <c r="O264" s="15"/>
      <c r="P264" s="15"/>
      <c r="Q264" s="15"/>
      <c r="S264" s="35" t="s">
        <v>144</v>
      </c>
      <c r="T264" s="13">
        <v>2021</v>
      </c>
      <c r="U264" s="17">
        <v>143.4</v>
      </c>
      <c r="V264" s="17">
        <v>19.3</v>
      </c>
      <c r="W264" s="36">
        <f>+V264/U264</f>
        <v>0.13458856345885634</v>
      </c>
      <c r="X264" s="17">
        <v>13.18</v>
      </c>
      <c r="Y264" s="17">
        <v>0.92500000000000004</v>
      </c>
      <c r="AA264" s="15" t="s">
        <v>299</v>
      </c>
      <c r="AB264" s="17"/>
      <c r="AC264" s="21" t="s">
        <v>86</v>
      </c>
      <c r="AD264" s="17" t="s">
        <v>78</v>
      </c>
      <c r="AE264" s="17" t="s">
        <v>86</v>
      </c>
      <c r="AF264" s="17" t="s">
        <v>62</v>
      </c>
      <c r="AG264" s="15" t="s">
        <v>937</v>
      </c>
      <c r="AI264" s="42">
        <f t="shared" ca="1" si="40"/>
        <v>782</v>
      </c>
      <c r="AJ264" s="42">
        <f t="shared" ca="1" si="44"/>
        <v>728</v>
      </c>
      <c r="AK264" s="13"/>
      <c r="AL264" s="36" t="str">
        <f t="shared" si="41"/>
        <v>Aborted</v>
      </c>
      <c r="AM264" s="37">
        <v>44882</v>
      </c>
      <c r="AN264" s="37">
        <v>44882</v>
      </c>
      <c r="AO264" s="37">
        <v>44882</v>
      </c>
      <c r="AP264" s="37">
        <v>44882</v>
      </c>
      <c r="AQ264" s="38"/>
      <c r="AR264" s="38"/>
      <c r="AS264" s="38"/>
      <c r="AT264" s="38"/>
      <c r="AU264" s="38"/>
      <c r="AV264" s="38"/>
      <c r="AW264" s="38">
        <v>44882</v>
      </c>
      <c r="AX264" s="38">
        <v>44882</v>
      </c>
      <c r="AY264" s="38">
        <v>44936</v>
      </c>
      <c r="AZ264" s="38"/>
      <c r="BA264" s="39">
        <f t="shared" si="43"/>
        <v>0.33333333333333331</v>
      </c>
      <c r="BB264" s="38"/>
      <c r="BC264" s="11" t="s">
        <v>7</v>
      </c>
    </row>
    <row r="265" spans="1:55" x14ac:dyDescent="0.35">
      <c r="B265" s="16">
        <f>IF(D265=$A$516,1,IF(D265=$A$517,2,IF(D265=$A$518,3,IF(D265=$A$519,4,IF(D265=$A$520,5,IF(D265=$A$521,6))))))</f>
        <v>5</v>
      </c>
      <c r="D265" s="20" t="str">
        <f t="shared" si="42"/>
        <v>abt</v>
      </c>
      <c r="E265" s="20" t="s">
        <v>867</v>
      </c>
      <c r="F265" s="13"/>
      <c r="G265" s="13"/>
      <c r="H265" s="13"/>
      <c r="I265" s="13"/>
      <c r="J265" s="13" t="s">
        <v>459</v>
      </c>
      <c r="K265" s="15"/>
      <c r="L265" s="15"/>
      <c r="M265" s="15"/>
      <c r="N265" s="15"/>
      <c r="O265" s="15"/>
      <c r="P265" s="15"/>
      <c r="Q265" s="15"/>
      <c r="S265" s="35"/>
      <c r="T265" s="13"/>
      <c r="U265" s="17"/>
      <c r="V265" s="17"/>
      <c r="W265" s="36"/>
      <c r="X265" s="17"/>
      <c r="Y265" s="17"/>
      <c r="AA265" s="15" t="s">
        <v>237</v>
      </c>
      <c r="AB265" s="15" t="s">
        <v>868</v>
      </c>
      <c r="AC265" s="17" t="s">
        <v>78</v>
      </c>
      <c r="AD265" s="21" t="s">
        <v>78</v>
      </c>
      <c r="AE265" s="61"/>
      <c r="AF265" s="17" t="s">
        <v>128</v>
      </c>
      <c r="AG265" s="15"/>
      <c r="AI265" s="42">
        <f t="shared" ca="1" si="40"/>
        <v>946</v>
      </c>
      <c r="AJ265" s="42">
        <f t="shared" ca="1" si="44"/>
        <v>637</v>
      </c>
      <c r="AK265" s="13"/>
      <c r="AL265" s="36" t="str">
        <f t="shared" si="41"/>
        <v>Aborted</v>
      </c>
      <c r="AM265" s="37">
        <v>44718</v>
      </c>
      <c r="AN265" s="75">
        <v>44718</v>
      </c>
      <c r="AO265" s="37" t="s">
        <v>65</v>
      </c>
      <c r="AP265" s="37"/>
      <c r="AQ265" s="38"/>
      <c r="AR265" s="38"/>
      <c r="AS265" s="38"/>
      <c r="AT265" s="38"/>
      <c r="AU265" s="38"/>
      <c r="AV265" s="38"/>
      <c r="AW265" s="38">
        <v>44729</v>
      </c>
      <c r="AX265" s="38">
        <v>44754</v>
      </c>
      <c r="AY265" s="38">
        <v>45027</v>
      </c>
      <c r="AZ265" s="38"/>
      <c r="BA265" s="39">
        <f t="shared" si="43"/>
        <v>0.22222222222222221</v>
      </c>
      <c r="BB265" s="38"/>
      <c r="BC265" s="11" t="s">
        <v>7</v>
      </c>
    </row>
    <row r="266" spans="1:55" x14ac:dyDescent="0.35">
      <c r="B266" s="16">
        <f>IF(D266=$A$516,1,IF(D266=$A$517,2,IF(D266=$A$518,3,IF(D266=$A$519,4,IF(D266=$A$520,5,IF(D266=$A$521,6))))))</f>
        <v>5</v>
      </c>
      <c r="D266" s="20" t="str">
        <f t="shared" si="42"/>
        <v>abt</v>
      </c>
      <c r="E266" s="20" t="s">
        <v>1041</v>
      </c>
      <c r="F266" s="13"/>
      <c r="G266" s="13" t="s">
        <v>437</v>
      </c>
      <c r="H266" s="13"/>
      <c r="I266" s="13"/>
      <c r="J266" s="13" t="s">
        <v>119</v>
      </c>
      <c r="K266" s="15"/>
      <c r="L266" s="15" t="s">
        <v>299</v>
      </c>
      <c r="M266" s="15"/>
      <c r="N266" s="15"/>
      <c r="O266" s="15"/>
      <c r="P266" s="15"/>
      <c r="Q266" s="15"/>
      <c r="S266" s="35"/>
      <c r="T266" s="13"/>
      <c r="U266" s="17"/>
      <c r="V266" s="17"/>
      <c r="W266" s="36"/>
      <c r="X266" s="17"/>
      <c r="Y266" s="17"/>
      <c r="AA266" s="15" t="s">
        <v>140</v>
      </c>
      <c r="AB266" s="17"/>
      <c r="AC266" s="21" t="s">
        <v>78</v>
      </c>
      <c r="AD266" s="17" t="s">
        <v>78</v>
      </c>
      <c r="AE266" s="21" t="s">
        <v>62</v>
      </c>
      <c r="AF266" s="17"/>
      <c r="AG266" s="15"/>
      <c r="AI266" s="42">
        <f t="shared" ref="AI266:AI329" ca="1" si="45">+TODAY()-AM266</f>
        <v>792</v>
      </c>
      <c r="AJ266" s="42">
        <f t="shared" ca="1" si="44"/>
        <v>728</v>
      </c>
      <c r="AK266" s="13" t="s">
        <v>720</v>
      </c>
      <c r="AL266" s="36" t="str">
        <f t="shared" ref="AL266:AL329" si="46">+IF(BB266="",IF(AZ266="",IF(AY266="",IF(AX266="",COUNTA(AN266:AV266)/9,"On-hold"),"Aborted"),"Closed"),"RIP")</f>
        <v>Aborted</v>
      </c>
      <c r="AM266" s="37">
        <v>44872</v>
      </c>
      <c r="AN266" s="37">
        <v>44880</v>
      </c>
      <c r="AO266" s="37" t="s">
        <v>65</v>
      </c>
      <c r="AP266" s="37">
        <v>44880</v>
      </c>
      <c r="AQ266" s="38">
        <v>44880</v>
      </c>
      <c r="AR266" s="38"/>
      <c r="AS266" s="38"/>
      <c r="AT266" s="38"/>
      <c r="AU266" s="38"/>
      <c r="AV266" s="38"/>
      <c r="AW266" s="38">
        <v>44880</v>
      </c>
      <c r="AX266" s="38">
        <v>44880</v>
      </c>
      <c r="AY266" s="38">
        <v>44936</v>
      </c>
      <c r="AZ266" s="38"/>
      <c r="BA266" s="39">
        <f t="shared" si="43"/>
        <v>0.44444444444444442</v>
      </c>
      <c r="BB266" s="38"/>
      <c r="BC266" s="11" t="s">
        <v>7</v>
      </c>
    </row>
    <row r="267" spans="1:55" x14ac:dyDescent="0.35">
      <c r="A267" s="160"/>
      <c r="B267" s="16">
        <f>IF(D267=$A$516,1,IF(D267=$A$517,2,IF(D267=$A$518,3,IF(D267=$A$519,4,IF(D267=$A$520,5,IF(D267=$A$521,6))))))</f>
        <v>5</v>
      </c>
      <c r="D267" s="20" t="str">
        <f t="shared" si="42"/>
        <v>abt</v>
      </c>
      <c r="E267" s="12" t="s">
        <v>669</v>
      </c>
      <c r="F267" s="14"/>
      <c r="G267" s="13" t="s">
        <v>326</v>
      </c>
      <c r="H267" s="14" t="s">
        <v>670</v>
      </c>
      <c r="I267" s="13"/>
      <c r="J267" s="13" t="s">
        <v>57</v>
      </c>
      <c r="K267" s="15" t="s">
        <v>671</v>
      </c>
      <c r="L267" s="15" t="s">
        <v>672</v>
      </c>
      <c r="M267" s="15"/>
      <c r="N267" s="15"/>
      <c r="O267" s="15"/>
      <c r="P267" s="15"/>
      <c r="Q267" s="15"/>
      <c r="S267" s="35" t="s">
        <v>77</v>
      </c>
      <c r="T267" s="13">
        <v>2021</v>
      </c>
      <c r="U267" s="17">
        <v>8.4600000000000009</v>
      </c>
      <c r="V267" s="17">
        <v>0.42699999999999999</v>
      </c>
      <c r="W267" s="36">
        <f>+V267/U267</f>
        <v>5.0472813238770682E-2</v>
      </c>
      <c r="X267" s="17">
        <v>0.16500000000000001</v>
      </c>
      <c r="Y267" s="17">
        <v>-1.68</v>
      </c>
      <c r="AA267" s="15" t="s">
        <v>140</v>
      </c>
      <c r="AB267" s="17"/>
      <c r="AC267" s="21" t="s">
        <v>61</v>
      </c>
      <c r="AD267" s="21" t="s">
        <v>61</v>
      </c>
      <c r="AE267" s="17" t="s">
        <v>62</v>
      </c>
      <c r="AF267" s="17" t="s">
        <v>128</v>
      </c>
      <c r="AG267" s="15"/>
      <c r="AI267" s="42">
        <f t="shared" ca="1" si="45"/>
        <v>768</v>
      </c>
      <c r="AJ267" s="42">
        <f t="shared" ca="1" si="44"/>
        <v>477</v>
      </c>
      <c r="AK267" s="13" t="s">
        <v>87</v>
      </c>
      <c r="AL267" s="36" t="str">
        <f t="shared" si="46"/>
        <v>Aborted</v>
      </c>
      <c r="AM267" s="37">
        <v>44896</v>
      </c>
      <c r="AN267" s="75">
        <v>44992</v>
      </c>
      <c r="AO267" s="37">
        <v>45005</v>
      </c>
      <c r="AP267" s="37">
        <v>45012</v>
      </c>
      <c r="AQ267" s="38">
        <v>45013</v>
      </c>
      <c r="AR267" s="38"/>
      <c r="AS267" s="38"/>
      <c r="AT267" s="38"/>
      <c r="AU267" s="38"/>
      <c r="AV267" s="38"/>
      <c r="AW267" s="38">
        <v>44998</v>
      </c>
      <c r="AX267" s="38">
        <v>45058</v>
      </c>
      <c r="AY267" s="38">
        <v>45187</v>
      </c>
      <c r="AZ267" s="38"/>
      <c r="BA267" s="39">
        <f t="shared" si="43"/>
        <v>0.44444444444444442</v>
      </c>
      <c r="BB267" s="38"/>
      <c r="BC267" s="11" t="s">
        <v>7</v>
      </c>
    </row>
    <row r="268" spans="1:55" x14ac:dyDescent="0.35">
      <c r="B268" s="148">
        <f>IF(D268=$A$516,1,IF(D268=$A$517,2,IF(D268=$A$518,3,IF(D268=$A$519,4,IF(D268=$A$520,5,IF(D268=$A$521,6))))))</f>
        <v>5</v>
      </c>
      <c r="D268" s="20" t="str">
        <f t="shared" si="42"/>
        <v>abt</v>
      </c>
      <c r="E268" s="141" t="s">
        <v>2653</v>
      </c>
      <c r="F268" s="13"/>
      <c r="G268" s="13" t="s">
        <v>2656</v>
      </c>
      <c r="H268" s="14"/>
      <c r="I268" s="13"/>
      <c r="J268" s="13" t="s">
        <v>1460</v>
      </c>
      <c r="K268" s="15" t="s">
        <v>2639</v>
      </c>
      <c r="L268" s="15" t="s">
        <v>2898</v>
      </c>
      <c r="M268" s="15"/>
      <c r="N268" s="15"/>
      <c r="O268" s="15"/>
      <c r="P268" s="15"/>
      <c r="Q268" s="15"/>
      <c r="S268" s="35" t="s">
        <v>77</v>
      </c>
      <c r="T268" s="13">
        <v>2022</v>
      </c>
      <c r="U268" s="17">
        <v>3.766</v>
      </c>
      <c r="V268" s="17">
        <v>0.11</v>
      </c>
      <c r="W268" s="36">
        <f>+V268/U268</f>
        <v>2.9208709506107277E-2</v>
      </c>
      <c r="X268" s="17">
        <v>5.0999999999999997E-2</v>
      </c>
      <c r="Y268" s="17">
        <v>-0.11600000000000001</v>
      </c>
      <c r="AA268" s="15" t="s">
        <v>140</v>
      </c>
      <c r="AB268" s="17"/>
      <c r="AC268" s="21" t="s">
        <v>61</v>
      </c>
      <c r="AD268" s="21" t="s">
        <v>61</v>
      </c>
      <c r="AE268" s="25" t="s">
        <v>128</v>
      </c>
      <c r="AF268" s="17"/>
      <c r="AG268" s="15" t="s">
        <v>2640</v>
      </c>
      <c r="AI268" s="42">
        <f t="shared" ca="1" si="45"/>
        <v>413</v>
      </c>
      <c r="AJ268" s="42">
        <f t="shared" ca="1" si="44"/>
        <v>351</v>
      </c>
      <c r="AK268" s="13" t="s">
        <v>720</v>
      </c>
      <c r="AL268" s="36" t="str">
        <f t="shared" si="46"/>
        <v>Aborted</v>
      </c>
      <c r="AM268" s="37">
        <v>45251</v>
      </c>
      <c r="AN268" s="37">
        <v>45265</v>
      </c>
      <c r="AO268" s="37">
        <v>45271</v>
      </c>
      <c r="AP268" s="37">
        <v>45271</v>
      </c>
      <c r="AQ268" s="38">
        <v>45313</v>
      </c>
      <c r="AR268" s="38"/>
      <c r="AS268" s="38"/>
      <c r="AT268" s="38"/>
      <c r="AU268" s="38"/>
      <c r="AV268" s="38"/>
      <c r="AW268" s="38">
        <v>45271</v>
      </c>
      <c r="AX268" s="38">
        <v>45271</v>
      </c>
      <c r="AY268" s="38">
        <v>45300</v>
      </c>
      <c r="AZ268" s="38"/>
      <c r="BA268" s="39">
        <f t="shared" si="43"/>
        <v>0.44444444444444442</v>
      </c>
      <c r="BB268" s="38"/>
      <c r="BC268" s="11" t="s">
        <v>7</v>
      </c>
    </row>
    <row r="269" spans="1:55" x14ac:dyDescent="0.35">
      <c r="B269" s="16">
        <f>IF(D269=$A$516,1,IF(D269=$A$517,2,IF(D269=$A$518,3,IF(D269=$A$519,4,IF(D269=$A$520,5,IF(D269=$A$521,6))))))</f>
        <v>5</v>
      </c>
      <c r="D269" s="20" t="str">
        <f t="shared" ref="D269:D332" si="47">IF(AL269="Closed","cls",IF(AL269=1,"sgn",IF(AL269="On-hold","hld",IF(AL269="Aborted","abt",IF(AL269&lt;1,"wip","RIP")))))</f>
        <v>abt</v>
      </c>
      <c r="E269" s="20" t="s">
        <v>583</v>
      </c>
      <c r="F269" s="13"/>
      <c r="G269" s="13" t="s">
        <v>68</v>
      </c>
      <c r="H269" s="13" t="s">
        <v>584</v>
      </c>
      <c r="I269" s="13">
        <v>702209</v>
      </c>
      <c r="J269" s="13" t="s">
        <v>96</v>
      </c>
      <c r="K269" s="15" t="s">
        <v>97</v>
      </c>
      <c r="L269" s="15" t="s">
        <v>299</v>
      </c>
      <c r="M269" s="15"/>
      <c r="N269" s="15"/>
      <c r="O269" s="15"/>
      <c r="P269" s="15"/>
      <c r="Q269" s="15"/>
      <c r="S269" s="35" t="s">
        <v>144</v>
      </c>
      <c r="T269" s="13">
        <v>2020</v>
      </c>
      <c r="U269" s="17">
        <v>92.7</v>
      </c>
      <c r="V269" s="17">
        <v>9.1999999999999993</v>
      </c>
      <c r="W269" s="36">
        <f>+V269/U269</f>
        <v>9.9244875943905062E-2</v>
      </c>
      <c r="X269" s="17">
        <v>1</v>
      </c>
      <c r="Y269" s="17">
        <v>32.9</v>
      </c>
      <c r="AA269" s="15" t="s">
        <v>140</v>
      </c>
      <c r="AB269" s="17"/>
      <c r="AC269" s="17" t="s">
        <v>61</v>
      </c>
      <c r="AD269" s="17" t="s">
        <v>61</v>
      </c>
      <c r="AE269" s="17"/>
      <c r="AF269" s="17"/>
      <c r="AG269" s="15"/>
      <c r="AI269" s="42">
        <f t="shared" ca="1" si="45"/>
        <v>968</v>
      </c>
      <c r="AJ269" s="42">
        <f t="shared" ca="1" si="44"/>
        <v>365</v>
      </c>
      <c r="AK269" s="13"/>
      <c r="AL269" s="36" t="str">
        <f t="shared" si="46"/>
        <v>Aborted</v>
      </c>
      <c r="AM269" s="37">
        <v>44696</v>
      </c>
      <c r="AN269" s="75">
        <v>44725</v>
      </c>
      <c r="AO269" s="37">
        <v>44824</v>
      </c>
      <c r="AP269" s="37"/>
      <c r="AQ269" s="38"/>
      <c r="AR269" s="38"/>
      <c r="AS269" s="38"/>
      <c r="AT269" s="38"/>
      <c r="AU269" s="38"/>
      <c r="AV269" s="38"/>
      <c r="AW269" s="38">
        <v>44826</v>
      </c>
      <c r="AX269" s="38">
        <v>44826</v>
      </c>
      <c r="AY269" s="38">
        <v>45299</v>
      </c>
      <c r="AZ269" s="38"/>
      <c r="BA269" s="39">
        <f t="shared" si="43"/>
        <v>0.22222222222222221</v>
      </c>
      <c r="BB269" s="38"/>
      <c r="BC269" s="11" t="s">
        <v>7</v>
      </c>
    </row>
    <row r="270" spans="1:55" x14ac:dyDescent="0.35">
      <c r="B270" s="16">
        <f>IF(D270=$A$516,1,IF(D270=$A$517,2,IF(D270=$A$518,3,IF(D270=$A$519,4,IF(D270=$A$520,5,IF(D270=$A$521,6))))))</f>
        <v>5</v>
      </c>
      <c r="D270" s="20" t="str">
        <f t="shared" si="47"/>
        <v>abt</v>
      </c>
      <c r="E270" s="20" t="s">
        <v>345</v>
      </c>
      <c r="F270" s="13"/>
      <c r="G270" s="13" t="s">
        <v>174</v>
      </c>
      <c r="H270" s="14" t="s">
        <v>346</v>
      </c>
      <c r="I270" s="13">
        <v>282999</v>
      </c>
      <c r="J270" s="13" t="s">
        <v>111</v>
      </c>
      <c r="K270" s="15" t="s">
        <v>347</v>
      </c>
      <c r="L270" s="15"/>
      <c r="M270" s="15" t="s">
        <v>348</v>
      </c>
      <c r="N270" s="15" t="s">
        <v>349</v>
      </c>
      <c r="O270" s="15"/>
      <c r="P270" s="15"/>
      <c r="Q270" s="15"/>
      <c r="S270" s="17" t="s">
        <v>77</v>
      </c>
      <c r="T270" s="13">
        <v>2021</v>
      </c>
      <c r="U270" s="17">
        <v>18.649000000000001</v>
      </c>
      <c r="V270" s="17">
        <v>2.12</v>
      </c>
      <c r="W270" s="36">
        <f>+V270/U270</f>
        <v>0.11367901764169661</v>
      </c>
      <c r="X270" s="17">
        <v>0.52</v>
      </c>
      <c r="Y270" s="17">
        <v>-14.779</v>
      </c>
      <c r="AA270" s="15" t="s">
        <v>99</v>
      </c>
      <c r="AB270" s="17" t="s">
        <v>350</v>
      </c>
      <c r="AC270" s="21" t="s">
        <v>86</v>
      </c>
      <c r="AD270" s="21" t="s">
        <v>78</v>
      </c>
      <c r="AE270" s="17" t="s">
        <v>86</v>
      </c>
      <c r="AF270" s="17" t="s">
        <v>62</v>
      </c>
      <c r="AG270" s="15"/>
      <c r="AI270" s="42">
        <f t="shared" ca="1" si="45"/>
        <v>782</v>
      </c>
      <c r="AJ270" s="42">
        <f t="shared" ca="1" si="44"/>
        <v>336</v>
      </c>
      <c r="AK270" s="13" t="s">
        <v>87</v>
      </c>
      <c r="AL270" s="36" t="str">
        <f t="shared" si="46"/>
        <v>Aborted</v>
      </c>
      <c r="AM270" s="37">
        <v>44882</v>
      </c>
      <c r="AN270" s="37">
        <v>44882</v>
      </c>
      <c r="AO270" s="37" t="s">
        <v>65</v>
      </c>
      <c r="AP270" s="37" t="s">
        <v>65</v>
      </c>
      <c r="AQ270" s="38">
        <v>45118</v>
      </c>
      <c r="AR270" s="38">
        <v>45180</v>
      </c>
      <c r="AS270" s="38">
        <v>45211</v>
      </c>
      <c r="AT270" s="38"/>
      <c r="AU270" s="38"/>
      <c r="AV270" s="38"/>
      <c r="AW270" s="38">
        <v>45208</v>
      </c>
      <c r="AX270" s="38">
        <v>45316</v>
      </c>
      <c r="AY270" s="38">
        <v>45328</v>
      </c>
      <c r="AZ270" s="38"/>
      <c r="BA270" s="39">
        <f t="shared" si="43"/>
        <v>0.66666666666666663</v>
      </c>
      <c r="BB270" s="38"/>
      <c r="BC270" s="11" t="s">
        <v>7</v>
      </c>
    </row>
    <row r="271" spans="1:55" x14ac:dyDescent="0.35">
      <c r="B271" s="16">
        <f>IF(D271=$A$516,1,IF(D271=$A$517,2,IF(D271=$A$518,3,IF(D271=$A$519,4,IF(D271=$A$520,5,IF(D271=$A$521,6))))))</f>
        <v>5</v>
      </c>
      <c r="D271" s="20" t="str">
        <f t="shared" si="47"/>
        <v>abt</v>
      </c>
      <c r="E271" s="20" t="s">
        <v>1100</v>
      </c>
      <c r="F271" s="13"/>
      <c r="G271" s="13" t="s">
        <v>103</v>
      </c>
      <c r="H271" s="14" t="s">
        <v>1101</v>
      </c>
      <c r="I271" s="13">
        <v>620100</v>
      </c>
      <c r="J271" s="13" t="s">
        <v>119</v>
      </c>
      <c r="K271" s="15" t="s">
        <v>1102</v>
      </c>
      <c r="L271" s="15" t="s">
        <v>1103</v>
      </c>
      <c r="M271" s="15"/>
      <c r="N271" s="15"/>
      <c r="O271" s="15"/>
      <c r="P271" s="15"/>
      <c r="Q271" s="15"/>
      <c r="S271" s="35" t="s">
        <v>77</v>
      </c>
      <c r="T271" s="13">
        <v>2022</v>
      </c>
      <c r="U271" s="17" t="s">
        <v>65</v>
      </c>
      <c r="V271" s="17" t="s">
        <v>65</v>
      </c>
      <c r="W271" s="36"/>
      <c r="X271" s="17" t="s">
        <v>65</v>
      </c>
      <c r="Y271" s="17" t="s">
        <v>65</v>
      </c>
      <c r="AA271" s="15" t="s">
        <v>60</v>
      </c>
      <c r="AB271" s="17"/>
      <c r="AC271" s="21" t="s">
        <v>562</v>
      </c>
      <c r="AD271" s="21" t="s">
        <v>61</v>
      </c>
      <c r="AE271" s="17" t="s">
        <v>79</v>
      </c>
      <c r="AF271" s="17" t="s">
        <v>562</v>
      </c>
      <c r="AG271" s="15"/>
      <c r="AH271" s="677">
        <v>1</v>
      </c>
      <c r="AI271" s="42">
        <f t="shared" ca="1" si="45"/>
        <v>831</v>
      </c>
      <c r="AJ271" s="42">
        <f t="shared" ca="1" si="44"/>
        <v>820</v>
      </c>
      <c r="AK271" s="13"/>
      <c r="AL271" s="36" t="str">
        <f t="shared" si="46"/>
        <v>Aborted</v>
      </c>
      <c r="AM271" s="37">
        <v>44833</v>
      </c>
      <c r="AN271" s="37">
        <v>44833</v>
      </c>
      <c r="AO271" s="37" t="s">
        <v>65</v>
      </c>
      <c r="AP271" s="37">
        <v>44833</v>
      </c>
      <c r="AQ271" s="38"/>
      <c r="AR271" s="38"/>
      <c r="AS271" s="38"/>
      <c r="AT271" s="38"/>
      <c r="AU271" s="38"/>
      <c r="AV271" s="38"/>
      <c r="AW271" s="38">
        <v>44837</v>
      </c>
      <c r="AX271" s="38"/>
      <c r="AY271" s="38">
        <v>44844</v>
      </c>
      <c r="AZ271" s="38"/>
      <c r="BA271" s="39">
        <f t="shared" si="43"/>
        <v>0.33333333333333331</v>
      </c>
      <c r="BB271" s="38"/>
      <c r="BC271" s="11" t="s">
        <v>7</v>
      </c>
    </row>
    <row r="272" spans="1:55" x14ac:dyDescent="0.35">
      <c r="B272" s="16">
        <f>IF(D272=$A$516,1,IF(D272=$A$517,2,IF(D272=$A$518,3,IF(D272=$A$519,4,IF(D272=$A$520,5,IF(D272=$A$521,6))))))</f>
        <v>5</v>
      </c>
      <c r="D272" s="20" t="str">
        <f t="shared" si="47"/>
        <v>abt</v>
      </c>
      <c r="E272" s="20" t="s">
        <v>1029</v>
      </c>
      <c r="F272" s="13"/>
      <c r="G272" s="13" t="s">
        <v>68</v>
      </c>
      <c r="H272" s="13">
        <v>3715670018</v>
      </c>
      <c r="I272" s="13">
        <v>255000</v>
      </c>
      <c r="J272" s="13" t="s">
        <v>111</v>
      </c>
      <c r="K272" s="15" t="s">
        <v>1030</v>
      </c>
      <c r="L272" s="15" t="s">
        <v>299</v>
      </c>
      <c r="M272" s="15" t="s">
        <v>1031</v>
      </c>
      <c r="N272" s="15"/>
      <c r="O272" s="15"/>
      <c r="P272" s="15"/>
      <c r="Q272" s="15"/>
      <c r="S272" s="35" t="s">
        <v>77</v>
      </c>
      <c r="T272" s="13">
        <v>2020</v>
      </c>
      <c r="U272" s="17">
        <v>31.9</v>
      </c>
      <c r="V272" s="17">
        <v>5</v>
      </c>
      <c r="W272" s="36">
        <f t="shared" ref="W272:W282" si="48">+V272/U272</f>
        <v>0.15673981191222572</v>
      </c>
      <c r="X272" s="17">
        <v>3.1</v>
      </c>
      <c r="Y272" s="17">
        <v>-38.1</v>
      </c>
      <c r="AA272" s="15" t="s">
        <v>140</v>
      </c>
      <c r="AB272" s="17"/>
      <c r="AC272" s="77" t="s">
        <v>585</v>
      </c>
      <c r="AD272" s="17" t="s">
        <v>61</v>
      </c>
      <c r="AE272" s="77" t="s">
        <v>585</v>
      </c>
      <c r="AF272" s="25"/>
      <c r="AG272" s="15"/>
      <c r="AI272" s="42">
        <f t="shared" ca="1" si="45"/>
        <v>910</v>
      </c>
      <c r="AJ272" s="42">
        <f t="shared" ca="1" si="44"/>
        <v>728</v>
      </c>
      <c r="AK272" s="13"/>
      <c r="AL272" s="36" t="str">
        <f t="shared" si="46"/>
        <v>Aborted</v>
      </c>
      <c r="AM272" s="37">
        <v>44754</v>
      </c>
      <c r="AN272" s="37">
        <v>44754</v>
      </c>
      <c r="AO272" s="37">
        <v>44810</v>
      </c>
      <c r="AP272" s="37">
        <v>44810</v>
      </c>
      <c r="AQ272" s="38"/>
      <c r="AR272" s="38"/>
      <c r="AS272" s="38"/>
      <c r="AT272" s="38"/>
      <c r="AU272" s="38"/>
      <c r="AV272" s="38"/>
      <c r="AW272" s="38">
        <v>44810</v>
      </c>
      <c r="AX272" s="38">
        <v>44810</v>
      </c>
      <c r="AY272" s="38">
        <v>44936</v>
      </c>
      <c r="AZ272" s="38"/>
      <c r="BA272" s="39">
        <f t="shared" si="43"/>
        <v>0.33333333333333331</v>
      </c>
      <c r="BB272" s="38"/>
      <c r="BC272" s="11" t="s">
        <v>7</v>
      </c>
    </row>
    <row r="273" spans="2:55" x14ac:dyDescent="0.35">
      <c r="B273" s="16">
        <f>IF(D273=$A$516,1,IF(D273=$A$517,2,IF(D273=$A$518,3,IF(D273=$A$519,4,IF(D273=$A$520,5,IF(D273=$A$521,6))))))</f>
        <v>5</v>
      </c>
      <c r="D273" s="20" t="str">
        <f t="shared" si="47"/>
        <v>abt</v>
      </c>
      <c r="E273" s="12" t="s">
        <v>1051</v>
      </c>
      <c r="F273" s="14" t="s">
        <v>1052</v>
      </c>
      <c r="G273" s="13" t="s">
        <v>103</v>
      </c>
      <c r="H273" s="14" t="s">
        <v>1053</v>
      </c>
      <c r="I273" s="13">
        <v>432201</v>
      </c>
      <c r="J273" s="13" t="s">
        <v>1054</v>
      </c>
      <c r="K273" s="15" t="s">
        <v>1055</v>
      </c>
      <c r="L273" s="15" t="s">
        <v>1056</v>
      </c>
      <c r="M273" s="15" t="s">
        <v>1057</v>
      </c>
      <c r="N273" s="15"/>
      <c r="O273" s="15"/>
      <c r="P273" s="15" t="s">
        <v>1058</v>
      </c>
      <c r="Q273" s="15"/>
      <c r="S273" s="35" t="s">
        <v>77</v>
      </c>
      <c r="T273" s="13">
        <v>2019</v>
      </c>
      <c r="U273" s="17">
        <v>593</v>
      </c>
      <c r="V273" s="17">
        <v>36.9</v>
      </c>
      <c r="W273" s="36">
        <f t="shared" si="48"/>
        <v>6.2225969645868462E-2</v>
      </c>
      <c r="X273" s="17">
        <v>18</v>
      </c>
      <c r="Y273" s="17">
        <v>-44.8</v>
      </c>
      <c r="AA273" s="15" t="s">
        <v>60</v>
      </c>
      <c r="AB273" s="17"/>
      <c r="AC273" s="21" t="s">
        <v>61</v>
      </c>
      <c r="AD273" s="21" t="s">
        <v>61</v>
      </c>
      <c r="AE273" s="17" t="s">
        <v>86</v>
      </c>
      <c r="AF273" s="17" t="s">
        <v>79</v>
      </c>
      <c r="AG273" s="15"/>
      <c r="AH273" s="677">
        <v>1</v>
      </c>
      <c r="AI273" s="42">
        <f t="shared" ca="1" si="45"/>
        <v>1390</v>
      </c>
      <c r="AJ273" s="42">
        <f t="shared" ca="1" si="44"/>
        <v>729</v>
      </c>
      <c r="AK273" s="13"/>
      <c r="AL273" s="36" t="str">
        <f t="shared" si="46"/>
        <v>Aborted</v>
      </c>
      <c r="AM273" s="37">
        <v>44274</v>
      </c>
      <c r="AN273" s="37">
        <v>44278</v>
      </c>
      <c r="AO273" s="37" t="s">
        <v>65</v>
      </c>
      <c r="AP273" s="37">
        <v>44328</v>
      </c>
      <c r="AQ273" s="38">
        <v>44328</v>
      </c>
      <c r="AR273" s="38">
        <v>44407</v>
      </c>
      <c r="AS273" s="38">
        <v>44481</v>
      </c>
      <c r="AT273" s="38" t="s">
        <v>65</v>
      </c>
      <c r="AU273" s="38">
        <v>44487</v>
      </c>
      <c r="AV273" s="38">
        <v>44505</v>
      </c>
      <c r="AW273" s="38">
        <v>44813</v>
      </c>
      <c r="AX273" s="38">
        <v>44813</v>
      </c>
      <c r="AY273" s="38">
        <v>44935</v>
      </c>
      <c r="AZ273" s="38"/>
      <c r="BA273" s="39">
        <f t="shared" si="43"/>
        <v>1</v>
      </c>
      <c r="BB273" s="38"/>
      <c r="BC273" s="11" t="s">
        <v>7</v>
      </c>
    </row>
    <row r="274" spans="2:55" x14ac:dyDescent="0.35">
      <c r="B274" s="16">
        <f>IF(D274=$A$516,1,IF(D274=$A$517,2,IF(D274=$A$518,3,IF(D274=$A$519,4,IF(D274=$A$520,5,IF(D274=$A$521,6))))))</f>
        <v>5</v>
      </c>
      <c r="D274" s="20" t="str">
        <f t="shared" si="47"/>
        <v>abt</v>
      </c>
      <c r="E274" s="12" t="s">
        <v>1266</v>
      </c>
      <c r="F274" s="14"/>
      <c r="G274" s="13" t="s">
        <v>272</v>
      </c>
      <c r="H274" s="41" t="s">
        <v>1267</v>
      </c>
      <c r="I274" s="14" t="s">
        <v>1167</v>
      </c>
      <c r="J274" s="13" t="s">
        <v>1168</v>
      </c>
      <c r="K274" s="15" t="s">
        <v>1268</v>
      </c>
      <c r="L274" s="15" t="s">
        <v>1269</v>
      </c>
      <c r="M274" s="15" t="s">
        <v>1269</v>
      </c>
      <c r="N274" s="15"/>
      <c r="O274" s="15"/>
      <c r="P274" s="15"/>
      <c r="Q274" s="15"/>
      <c r="S274" s="35" t="s">
        <v>77</v>
      </c>
      <c r="T274" s="13">
        <v>2020</v>
      </c>
      <c r="U274" s="17">
        <v>39.561999999999998</v>
      </c>
      <c r="V274" s="17">
        <v>2.1</v>
      </c>
      <c r="W274" s="36">
        <f t="shared" si="48"/>
        <v>5.3081239573327943E-2</v>
      </c>
      <c r="X274" s="17">
        <v>0.28999999999999998</v>
      </c>
      <c r="Y274" s="17">
        <v>13.1</v>
      </c>
      <c r="AA274" s="15" t="s">
        <v>140</v>
      </c>
      <c r="AB274" s="17"/>
      <c r="AC274" s="21" t="s">
        <v>61</v>
      </c>
      <c r="AD274" s="21" t="s">
        <v>61</v>
      </c>
      <c r="AE274" s="17" t="s">
        <v>79</v>
      </c>
      <c r="AF274" s="17"/>
      <c r="AG274" s="15"/>
      <c r="AH274" s="677">
        <v>1</v>
      </c>
      <c r="AI274" s="42">
        <f t="shared" ca="1" si="45"/>
        <v>1090</v>
      </c>
      <c r="AJ274" s="42">
        <f t="shared" ca="1" si="44"/>
        <v>1029</v>
      </c>
      <c r="AK274" s="13"/>
      <c r="AL274" s="36" t="str">
        <f t="shared" si="46"/>
        <v>Aborted</v>
      </c>
      <c r="AM274" s="37">
        <v>44574</v>
      </c>
      <c r="AN274" s="37">
        <v>44578</v>
      </c>
      <c r="AO274" s="37" t="s">
        <v>65</v>
      </c>
      <c r="AP274" s="37" t="s">
        <v>65</v>
      </c>
      <c r="AQ274" s="38"/>
      <c r="AR274" s="38"/>
      <c r="AS274" s="38"/>
      <c r="AT274" s="38"/>
      <c r="AU274" s="38"/>
      <c r="AV274" s="38"/>
      <c r="AW274" s="38">
        <v>44578</v>
      </c>
      <c r="AX274" s="38">
        <v>44607</v>
      </c>
      <c r="AY274" s="38">
        <v>44635</v>
      </c>
      <c r="AZ274" s="38"/>
      <c r="BA274" s="39">
        <f t="shared" si="43"/>
        <v>0.33333333333333331</v>
      </c>
      <c r="BB274" s="38"/>
      <c r="BC274" s="11" t="s">
        <v>7</v>
      </c>
    </row>
    <row r="275" spans="2:55" x14ac:dyDescent="0.35">
      <c r="B275" s="16">
        <f>IF(D275=$A$516,1,IF(D275=$A$517,2,IF(D275=$A$518,3,IF(D275=$A$519,4,IF(D275=$A$520,5,IF(D275=$A$521,6))))))</f>
        <v>5</v>
      </c>
      <c r="D275" s="20" t="str">
        <f t="shared" si="47"/>
        <v>abt</v>
      </c>
      <c r="E275" s="12" t="s">
        <v>472</v>
      </c>
      <c r="F275" s="13"/>
      <c r="G275" s="13" t="s">
        <v>308</v>
      </c>
      <c r="H275" s="14"/>
      <c r="I275" s="13"/>
      <c r="J275" s="13" t="s">
        <v>473</v>
      </c>
      <c r="K275" s="15" t="s">
        <v>474</v>
      </c>
      <c r="L275" s="15" t="s">
        <v>475</v>
      </c>
      <c r="M275" s="15"/>
      <c r="N275" s="15"/>
      <c r="O275" s="15"/>
      <c r="P275" s="15"/>
      <c r="Q275" s="15"/>
      <c r="S275" s="17" t="s">
        <v>77</v>
      </c>
      <c r="T275" s="13">
        <v>2021</v>
      </c>
      <c r="U275" s="17">
        <v>26.556999999999999</v>
      </c>
      <c r="V275" s="17">
        <v>7.78</v>
      </c>
      <c r="W275" s="36">
        <f t="shared" si="48"/>
        <v>0.2929547765184321</v>
      </c>
      <c r="X275" s="17"/>
      <c r="Y275" s="17">
        <v>-7.2590000000000003</v>
      </c>
      <c r="AA275" s="15" t="s">
        <v>140</v>
      </c>
      <c r="AB275" s="17"/>
      <c r="AC275" s="21" t="s">
        <v>78</v>
      </c>
      <c r="AD275" s="21" t="s">
        <v>78</v>
      </c>
      <c r="AE275" s="13" t="s">
        <v>62</v>
      </c>
      <c r="AF275" s="17" t="s">
        <v>313</v>
      </c>
      <c r="AG275" s="15"/>
      <c r="AI275" s="42">
        <f t="shared" ca="1" si="45"/>
        <v>617</v>
      </c>
      <c r="AJ275" s="42">
        <f t="shared" ca="1" si="44"/>
        <v>364</v>
      </c>
      <c r="AK275" s="13" t="s">
        <v>87</v>
      </c>
      <c r="AL275" s="36" t="str">
        <f t="shared" si="46"/>
        <v>Aborted</v>
      </c>
      <c r="AM275" s="37">
        <v>45047</v>
      </c>
      <c r="AN275" s="37">
        <v>45082</v>
      </c>
      <c r="AO275" s="37" t="s">
        <v>65</v>
      </c>
      <c r="AP275" s="37">
        <v>45086</v>
      </c>
      <c r="AQ275" s="38">
        <v>45085</v>
      </c>
      <c r="AR275" s="38"/>
      <c r="AS275" s="38"/>
      <c r="AT275" s="38"/>
      <c r="AU275" s="38"/>
      <c r="AV275" s="38"/>
      <c r="AW275" s="38">
        <v>45168</v>
      </c>
      <c r="AX275" s="38">
        <v>45168</v>
      </c>
      <c r="AY275" s="38">
        <v>45300</v>
      </c>
      <c r="AZ275" s="38"/>
      <c r="BA275" s="39">
        <f t="shared" si="43"/>
        <v>0.44444444444444442</v>
      </c>
      <c r="BB275" s="38"/>
      <c r="BC275" s="11" t="s">
        <v>7</v>
      </c>
    </row>
    <row r="276" spans="2:55" x14ac:dyDescent="0.35">
      <c r="B276" s="16">
        <f>IF(D276=$A$516,1,IF(D276=$A$517,2,IF(D276=$A$518,3,IF(D276=$A$519,4,IF(D276=$A$520,5,IF(D276=$A$521,6))))))</f>
        <v>5</v>
      </c>
      <c r="D276" s="20" t="str">
        <f t="shared" si="47"/>
        <v>abt</v>
      </c>
      <c r="E276" s="20" t="s">
        <v>799</v>
      </c>
      <c r="F276" s="13"/>
      <c r="G276" s="13" t="s">
        <v>413</v>
      </c>
      <c r="H276" s="14" t="s">
        <v>800</v>
      </c>
      <c r="I276" s="13">
        <v>172200</v>
      </c>
      <c r="J276" s="13" t="s">
        <v>111</v>
      </c>
      <c r="K276" s="15" t="s">
        <v>801</v>
      </c>
      <c r="L276" s="15"/>
      <c r="M276" s="15"/>
      <c r="N276" s="15"/>
      <c r="O276" s="15"/>
      <c r="P276" s="15"/>
      <c r="Q276" s="15"/>
      <c r="S276" s="35" t="s">
        <v>77</v>
      </c>
      <c r="T276" s="13">
        <v>2021</v>
      </c>
      <c r="U276" s="17">
        <v>92.921000000000006</v>
      </c>
      <c r="V276" s="17">
        <v>6.6749999999999998</v>
      </c>
      <c r="W276" s="36">
        <f t="shared" si="48"/>
        <v>7.1835214859934771E-2</v>
      </c>
      <c r="X276" s="17">
        <v>1.4370000000000001</v>
      </c>
      <c r="Y276" s="17">
        <v>24.908000000000001</v>
      </c>
      <c r="AA276" s="15" t="s">
        <v>60</v>
      </c>
      <c r="AB276" s="17" t="s">
        <v>802</v>
      </c>
      <c r="AC276" s="21" t="s">
        <v>86</v>
      </c>
      <c r="AD276" s="21" t="s">
        <v>61</v>
      </c>
      <c r="AE276" s="17" t="s">
        <v>86</v>
      </c>
      <c r="AF276" s="17"/>
      <c r="AG276" s="15"/>
      <c r="AI276" s="42">
        <f t="shared" ca="1" si="45"/>
        <v>694</v>
      </c>
      <c r="AJ276" s="42">
        <f t="shared" ca="1" si="44"/>
        <v>637</v>
      </c>
      <c r="AK276" s="13" t="s">
        <v>87</v>
      </c>
      <c r="AL276" s="36" t="str">
        <f t="shared" si="46"/>
        <v>Aborted</v>
      </c>
      <c r="AM276" s="37">
        <v>44970</v>
      </c>
      <c r="AN276" s="75">
        <v>44970</v>
      </c>
      <c r="AO276" s="37">
        <v>44970</v>
      </c>
      <c r="AP276" s="37">
        <v>44970</v>
      </c>
      <c r="AQ276" s="38">
        <v>44978</v>
      </c>
      <c r="AR276" s="38"/>
      <c r="AS276" s="38"/>
      <c r="AT276" s="38"/>
      <c r="AU276" s="38"/>
      <c r="AV276" s="38"/>
      <c r="AW276" s="38">
        <v>44978</v>
      </c>
      <c r="AX276" s="38">
        <v>44984</v>
      </c>
      <c r="AY276" s="38">
        <v>45027</v>
      </c>
      <c r="AZ276" s="38"/>
      <c r="BA276" s="39">
        <f t="shared" si="43"/>
        <v>0.44444444444444442</v>
      </c>
      <c r="BB276" s="38"/>
      <c r="BC276" s="11" t="s">
        <v>7</v>
      </c>
    </row>
    <row r="277" spans="2:55" x14ac:dyDescent="0.35">
      <c r="B277" s="16">
        <f>IF(D277=$A$516,1,IF(D277=$A$517,2,IF(D277=$A$518,3,IF(D277=$A$519,4,IF(D277=$A$520,5,IF(D277=$A$521,6))))))</f>
        <v>5</v>
      </c>
      <c r="D277" s="20" t="str">
        <f t="shared" si="47"/>
        <v>abt</v>
      </c>
      <c r="E277" s="20" t="s">
        <v>1454</v>
      </c>
      <c r="F277" s="13"/>
      <c r="G277" s="13" t="s">
        <v>68</v>
      </c>
      <c r="H277" s="14" t="s">
        <v>1455</v>
      </c>
      <c r="I277" s="13">
        <v>351100</v>
      </c>
      <c r="J277" s="13" t="s">
        <v>1456</v>
      </c>
      <c r="K277" s="15" t="s">
        <v>1457</v>
      </c>
      <c r="L277" s="15" t="s">
        <v>1458</v>
      </c>
      <c r="M277" s="15" t="s">
        <v>1459</v>
      </c>
      <c r="N277" s="15"/>
      <c r="O277" s="15"/>
      <c r="P277" s="15"/>
      <c r="Q277" s="15"/>
      <c r="S277" s="35" t="s">
        <v>77</v>
      </c>
      <c r="T277" s="13">
        <v>2019</v>
      </c>
      <c r="U277" s="17">
        <v>14.53</v>
      </c>
      <c r="V277" s="17">
        <v>10.3</v>
      </c>
      <c r="W277" s="36">
        <f t="shared" si="48"/>
        <v>0.70887818306951145</v>
      </c>
      <c r="X277" s="17">
        <v>9.56</v>
      </c>
      <c r="Y277" s="17">
        <v>3.75</v>
      </c>
      <c r="AA277" s="15" t="s">
        <v>60</v>
      </c>
      <c r="AB277" s="17"/>
      <c r="AC277" s="21" t="s">
        <v>78</v>
      </c>
      <c r="AD277" s="17" t="s">
        <v>78</v>
      </c>
      <c r="AE277" s="17"/>
      <c r="AF277" s="17"/>
      <c r="AG277" s="15"/>
      <c r="AI277" s="42">
        <f t="shared" ca="1" si="45"/>
        <v>1498</v>
      </c>
      <c r="AJ277" s="42">
        <f t="shared" ca="1" si="44"/>
        <v>1380</v>
      </c>
      <c r="AK277" s="13"/>
      <c r="AL277" s="36" t="str">
        <f t="shared" si="46"/>
        <v>Aborted</v>
      </c>
      <c r="AM277" s="37">
        <v>44166</v>
      </c>
      <c r="AN277" s="37">
        <v>44176</v>
      </c>
      <c r="AO277" s="37" t="s">
        <v>65</v>
      </c>
      <c r="AP277" s="37">
        <v>44176</v>
      </c>
      <c r="AQ277" s="38">
        <v>44263</v>
      </c>
      <c r="AR277" s="38"/>
      <c r="AS277" s="38"/>
      <c r="AT277" s="38"/>
      <c r="AU277" s="38"/>
      <c r="AV277" s="38"/>
      <c r="AW277" s="38">
        <v>44270</v>
      </c>
      <c r="AX277" s="38"/>
      <c r="AY277" s="38">
        <v>44284</v>
      </c>
      <c r="AZ277" s="38"/>
      <c r="BA277" s="39">
        <f t="shared" si="43"/>
        <v>0.44444444444444442</v>
      </c>
      <c r="BB277" s="38"/>
      <c r="BC277" s="11" t="s">
        <v>7</v>
      </c>
    </row>
    <row r="278" spans="2:55" x14ac:dyDescent="0.35">
      <c r="B278" s="16">
        <f>IF(D278=$A$516,1,IF(D278=$A$517,2,IF(D278=$A$518,3,IF(D278=$A$519,4,IF(D278=$A$520,5,IF(D278=$A$521,6))))))</f>
        <v>5</v>
      </c>
      <c r="D278" s="20" t="str">
        <f t="shared" si="47"/>
        <v>abt</v>
      </c>
      <c r="E278" s="20" t="s">
        <v>807</v>
      </c>
      <c r="F278" s="13"/>
      <c r="G278" s="13" t="s">
        <v>226</v>
      </c>
      <c r="H278" s="14" t="s">
        <v>808</v>
      </c>
      <c r="I278" s="13">
        <v>467200</v>
      </c>
      <c r="J278" s="13" t="s">
        <v>111</v>
      </c>
      <c r="K278" s="15" t="s">
        <v>809</v>
      </c>
      <c r="L278" s="15"/>
      <c r="M278" s="15"/>
      <c r="N278" s="15"/>
      <c r="O278" s="15"/>
      <c r="P278" s="15"/>
      <c r="Q278" s="15"/>
      <c r="S278" s="35" t="s">
        <v>144</v>
      </c>
      <c r="T278" s="13">
        <v>2021</v>
      </c>
      <c r="U278" s="17">
        <v>32.4</v>
      </c>
      <c r="V278" s="17">
        <v>1.39</v>
      </c>
      <c r="W278" s="36">
        <f t="shared" si="48"/>
        <v>4.2901234567901236E-2</v>
      </c>
      <c r="X278" s="17">
        <v>1.905</v>
      </c>
      <c r="Y278" s="17">
        <v>11.287000000000001</v>
      </c>
      <c r="AA278" s="15" t="s">
        <v>99</v>
      </c>
      <c r="AB278" s="17" t="s">
        <v>810</v>
      </c>
      <c r="AC278" s="21" t="s">
        <v>78</v>
      </c>
      <c r="AD278" s="21" t="s">
        <v>78</v>
      </c>
      <c r="AE278" s="17" t="s">
        <v>86</v>
      </c>
      <c r="AF278" s="17"/>
      <c r="AG278" s="15"/>
      <c r="AI278" s="42">
        <f t="shared" ca="1" si="45"/>
        <v>697</v>
      </c>
      <c r="AJ278" s="42">
        <f t="shared" ca="1" si="44"/>
        <v>637</v>
      </c>
      <c r="AK278" s="13" t="s">
        <v>87</v>
      </c>
      <c r="AL278" s="36" t="str">
        <f t="shared" si="46"/>
        <v>Aborted</v>
      </c>
      <c r="AM278" s="37">
        <v>44967</v>
      </c>
      <c r="AN278" s="37">
        <v>44967</v>
      </c>
      <c r="AO278" s="37">
        <v>44967</v>
      </c>
      <c r="AP278" s="37">
        <v>44967</v>
      </c>
      <c r="AQ278" s="38">
        <v>44967</v>
      </c>
      <c r="AR278" s="38">
        <v>44967</v>
      </c>
      <c r="AS278" s="38"/>
      <c r="AT278" s="38"/>
      <c r="AU278" s="38"/>
      <c r="AV278" s="38"/>
      <c r="AW278" s="38">
        <v>44974</v>
      </c>
      <c r="AX278" s="38">
        <v>44974</v>
      </c>
      <c r="AY278" s="38">
        <v>45027</v>
      </c>
      <c r="AZ278" s="38"/>
      <c r="BA278" s="39">
        <f t="shared" si="43"/>
        <v>0.55555555555555558</v>
      </c>
      <c r="BB278" s="38"/>
      <c r="BC278" s="11" t="s">
        <v>7</v>
      </c>
    </row>
    <row r="279" spans="2:55" x14ac:dyDescent="0.35">
      <c r="B279" s="16">
        <f>IF(D279=$A$516,1,IF(D279=$A$517,2,IF(D279=$A$518,3,IF(D279=$A$519,4,IF(D279=$A$520,5,IF(D279=$A$521,6))))))</f>
        <v>5</v>
      </c>
      <c r="D279" s="20" t="str">
        <f t="shared" si="47"/>
        <v>abt</v>
      </c>
      <c r="E279" s="12" t="s">
        <v>1219</v>
      </c>
      <c r="F279" s="13"/>
      <c r="G279" s="13" t="s">
        <v>1159</v>
      </c>
      <c r="H279" s="14" t="s">
        <v>1220</v>
      </c>
      <c r="I279" s="13">
        <v>256100</v>
      </c>
      <c r="J279" s="13" t="s">
        <v>111</v>
      </c>
      <c r="K279" s="15" t="s">
        <v>1221</v>
      </c>
      <c r="L279" s="15"/>
      <c r="M279" s="15"/>
      <c r="N279" s="15"/>
      <c r="O279" s="15"/>
      <c r="P279" s="15"/>
      <c r="Q279" s="15"/>
      <c r="S279" s="35" t="s">
        <v>77</v>
      </c>
      <c r="T279" s="13">
        <v>2020</v>
      </c>
      <c r="U279" s="17">
        <v>8.0329999999999995</v>
      </c>
      <c r="V279" s="17">
        <v>1.3520000000000001</v>
      </c>
      <c r="W279" s="36">
        <f t="shared" si="48"/>
        <v>0.16830573882733726</v>
      </c>
      <c r="X279" s="17">
        <v>0.497</v>
      </c>
      <c r="Y279" s="17">
        <v>-1.675</v>
      </c>
      <c r="AA279" s="15" t="s">
        <v>99</v>
      </c>
      <c r="AB279" s="17" t="s">
        <v>1222</v>
      </c>
      <c r="AC279" s="21" t="s">
        <v>61</v>
      </c>
      <c r="AD279" s="17" t="s">
        <v>61</v>
      </c>
      <c r="AE279" s="61" t="s">
        <v>62</v>
      </c>
      <c r="AF279" s="17"/>
      <c r="AG279" s="15"/>
      <c r="AI279" s="42">
        <f t="shared" ca="1" si="45"/>
        <v>1013</v>
      </c>
      <c r="AJ279" s="42">
        <f t="shared" ca="1" si="44"/>
        <v>959</v>
      </c>
      <c r="AK279" s="13"/>
      <c r="AL279" s="36" t="str">
        <f t="shared" si="46"/>
        <v>Aborted</v>
      </c>
      <c r="AM279" s="37">
        <v>44651</v>
      </c>
      <c r="AN279" s="37">
        <v>44651</v>
      </c>
      <c r="AO279" s="37" t="s">
        <v>65</v>
      </c>
      <c r="AP279" s="37"/>
      <c r="AQ279" s="38"/>
      <c r="AR279" s="38"/>
      <c r="AS279" s="38"/>
      <c r="AT279" s="38"/>
      <c r="AU279" s="38"/>
      <c r="AV279" s="38"/>
      <c r="AW279" s="38"/>
      <c r="AX279" s="38"/>
      <c r="AY279" s="38">
        <v>44705</v>
      </c>
      <c r="AZ279" s="38"/>
      <c r="BA279" s="39">
        <f t="shared" si="43"/>
        <v>0.22222222222222221</v>
      </c>
      <c r="BB279" s="38"/>
      <c r="BC279" s="11" t="s">
        <v>7</v>
      </c>
    </row>
    <row r="280" spans="2:55" x14ac:dyDescent="0.35">
      <c r="B280" s="16">
        <f>IF(D280=$A$516,1,IF(D280=$A$517,2,IF(D280=$A$518,3,IF(D280=$A$519,4,IF(D280=$A$520,5,IF(D280=$A$521,6))))))</f>
        <v>5</v>
      </c>
      <c r="D280" s="20" t="str">
        <f t="shared" si="47"/>
        <v>abt</v>
      </c>
      <c r="E280" s="12" t="s">
        <v>1326</v>
      </c>
      <c r="F280" s="14"/>
      <c r="G280" s="13" t="s">
        <v>371</v>
      </c>
      <c r="H280" s="14" t="s">
        <v>1327</v>
      </c>
      <c r="I280" s="13">
        <v>522910</v>
      </c>
      <c r="J280" s="13" t="s">
        <v>132</v>
      </c>
      <c r="K280" s="15" t="s">
        <v>1328</v>
      </c>
      <c r="L280" s="15"/>
      <c r="M280" s="15"/>
      <c r="N280" s="15"/>
      <c r="O280" s="15"/>
      <c r="P280" s="15"/>
      <c r="Q280" s="15"/>
      <c r="S280" s="35" t="s">
        <v>77</v>
      </c>
      <c r="T280" s="13">
        <v>2020</v>
      </c>
      <c r="U280" s="17">
        <v>14.319451000000001</v>
      </c>
      <c r="V280" s="17">
        <v>0.40743400000000002</v>
      </c>
      <c r="W280" s="36">
        <f t="shared" si="48"/>
        <v>2.8453185809986709E-2</v>
      </c>
      <c r="X280" s="17">
        <v>6.3874E-2</v>
      </c>
      <c r="Y280" s="17">
        <v>-1.5426200000000001</v>
      </c>
      <c r="AA280" s="15" t="s">
        <v>237</v>
      </c>
      <c r="AB280" s="17" t="s">
        <v>1329</v>
      </c>
      <c r="AC280" s="21" t="s">
        <v>78</v>
      </c>
      <c r="AD280" s="21" t="s">
        <v>78</v>
      </c>
      <c r="AE280" s="17" t="s">
        <v>62</v>
      </c>
      <c r="AF280" s="17"/>
      <c r="AG280" s="15"/>
      <c r="AI280" s="42">
        <f t="shared" ca="1" si="45"/>
        <v>1167</v>
      </c>
      <c r="AJ280" s="42">
        <f t="shared" ca="1" si="44"/>
        <v>1092</v>
      </c>
      <c r="AK280" s="13"/>
      <c r="AL280" s="36" t="str">
        <f t="shared" si="46"/>
        <v>Aborted</v>
      </c>
      <c r="AM280" s="37">
        <v>44497</v>
      </c>
      <c r="AN280" s="37">
        <v>44497</v>
      </c>
      <c r="AO280" s="37" t="s">
        <v>65</v>
      </c>
      <c r="AP280" s="37"/>
      <c r="AQ280" s="38"/>
      <c r="AR280" s="38"/>
      <c r="AS280" s="38"/>
      <c r="AT280" s="38"/>
      <c r="AU280" s="38"/>
      <c r="AV280" s="38"/>
      <c r="AW280" s="38"/>
      <c r="AX280" s="38">
        <v>44523</v>
      </c>
      <c r="AY280" s="38">
        <v>44572</v>
      </c>
      <c r="AZ280" s="38"/>
      <c r="BA280" s="39">
        <f t="shared" si="43"/>
        <v>0.22222222222222221</v>
      </c>
      <c r="BB280" s="38"/>
      <c r="BC280" s="11" t="s">
        <v>7</v>
      </c>
    </row>
    <row r="281" spans="2:55" x14ac:dyDescent="0.35">
      <c r="B281" s="16">
        <f>IF(D281=$A$516,1,IF(D281=$A$517,2,IF(D281=$A$518,3,IF(D281=$A$519,4,IF(D281=$A$520,5,IF(D281=$A$521,6))))))</f>
        <v>5</v>
      </c>
      <c r="D281" s="20" t="str">
        <f t="shared" si="47"/>
        <v>abt</v>
      </c>
      <c r="E281" s="20" t="s">
        <v>1353</v>
      </c>
      <c r="F281" s="14"/>
      <c r="G281" s="13" t="s">
        <v>333</v>
      </c>
      <c r="H281" s="14" t="s">
        <v>1354</v>
      </c>
      <c r="I281" s="13">
        <v>522910</v>
      </c>
      <c r="J281" s="13" t="s">
        <v>132</v>
      </c>
      <c r="K281" s="15" t="s">
        <v>133</v>
      </c>
      <c r="L281" s="15" t="s">
        <v>1355</v>
      </c>
      <c r="M281" s="15"/>
      <c r="N281" s="15"/>
      <c r="O281" s="15"/>
      <c r="P281" s="15"/>
      <c r="Q281" s="15"/>
      <c r="S281" s="35" t="s">
        <v>144</v>
      </c>
      <c r="T281" s="13">
        <v>2019</v>
      </c>
      <c r="U281" s="17">
        <v>1600.44</v>
      </c>
      <c r="V281" s="17">
        <v>89.41</v>
      </c>
      <c r="W281" s="36">
        <f t="shared" si="48"/>
        <v>5.586588688110769E-2</v>
      </c>
      <c r="X281" s="17">
        <v>30.2</v>
      </c>
      <c r="Y281" s="17">
        <v>178.41</v>
      </c>
      <c r="AA281" s="15" t="s">
        <v>60</v>
      </c>
      <c r="AB281" s="17"/>
      <c r="AC281" s="21" t="s">
        <v>78</v>
      </c>
      <c r="AD281" s="21" t="s">
        <v>78</v>
      </c>
      <c r="AE281" s="17"/>
      <c r="AF281" s="17"/>
      <c r="AG281" s="15"/>
      <c r="AI281" s="42">
        <f t="shared" ca="1" si="45"/>
        <v>1408</v>
      </c>
      <c r="AJ281" s="42">
        <f t="shared" ca="1" si="44"/>
        <v>1092</v>
      </c>
      <c r="AK281" s="13"/>
      <c r="AL281" s="36" t="str">
        <f t="shared" si="46"/>
        <v>Aborted</v>
      </c>
      <c r="AM281" s="37">
        <v>44256</v>
      </c>
      <c r="AN281" s="37">
        <v>44256</v>
      </c>
      <c r="AO281" s="37" t="s">
        <v>65</v>
      </c>
      <c r="AP281" s="37">
        <v>44299</v>
      </c>
      <c r="AQ281" s="38">
        <v>44301</v>
      </c>
      <c r="AR281" s="38"/>
      <c r="AS281" s="38"/>
      <c r="AT281" s="38"/>
      <c r="AU281" s="38"/>
      <c r="AV281" s="38"/>
      <c r="AW281" s="38"/>
      <c r="AX281" s="38">
        <v>44404</v>
      </c>
      <c r="AY281" s="38">
        <v>44572</v>
      </c>
      <c r="AZ281" s="38"/>
      <c r="BA281" s="39">
        <f t="shared" si="43"/>
        <v>0.44444444444444442</v>
      </c>
      <c r="BB281" s="38"/>
      <c r="BC281" s="11" t="s">
        <v>7</v>
      </c>
    </row>
    <row r="282" spans="2:55" x14ac:dyDescent="0.35">
      <c r="B282" s="16">
        <f>IF(D282=$A$516,1,IF(D282=$A$517,2,IF(D282=$A$518,3,IF(D282=$A$519,4,IF(D282=$A$520,5,IF(D282=$A$521,6))))))</f>
        <v>5</v>
      </c>
      <c r="D282" s="20" t="str">
        <f t="shared" si="47"/>
        <v>abt</v>
      </c>
      <c r="E282" s="20" t="s">
        <v>1445</v>
      </c>
      <c r="F282" s="13"/>
      <c r="G282" s="13" t="s">
        <v>1446</v>
      </c>
      <c r="H282" s="14" t="s">
        <v>1447</v>
      </c>
      <c r="I282" s="13">
        <v>551000</v>
      </c>
      <c r="J282" s="13" t="s">
        <v>1419</v>
      </c>
      <c r="K282" s="15" t="s">
        <v>1448</v>
      </c>
      <c r="L282" s="15" t="s">
        <v>1449</v>
      </c>
      <c r="M282" s="15" t="s">
        <v>1449</v>
      </c>
      <c r="N282" s="15"/>
      <c r="O282" s="15"/>
      <c r="P282" s="15"/>
      <c r="Q282" s="15"/>
      <c r="S282" s="35" t="s">
        <v>77</v>
      </c>
      <c r="T282" s="13">
        <v>2019</v>
      </c>
      <c r="U282" s="17">
        <v>8.98</v>
      </c>
      <c r="V282" s="17">
        <v>2.99</v>
      </c>
      <c r="W282" s="36">
        <f t="shared" si="48"/>
        <v>0.33296213808463254</v>
      </c>
      <c r="X282" s="17">
        <v>1.01</v>
      </c>
      <c r="Y282" s="17">
        <v>21.22</v>
      </c>
      <c r="AA282" s="15" t="s">
        <v>99</v>
      </c>
      <c r="AB282" s="17" t="s">
        <v>1450</v>
      </c>
      <c r="AC282" s="21" t="s">
        <v>78</v>
      </c>
      <c r="AD282" s="17" t="s">
        <v>78</v>
      </c>
      <c r="AE282" s="17"/>
      <c r="AF282" s="17"/>
      <c r="AG282" s="15"/>
      <c r="AI282" s="42">
        <f t="shared" ca="1" si="45"/>
        <v>1399</v>
      </c>
      <c r="AJ282" s="42">
        <f t="shared" ca="1" si="44"/>
        <v>1365</v>
      </c>
      <c r="AK282" s="13"/>
      <c r="AL282" s="36" t="str">
        <f t="shared" si="46"/>
        <v>Aborted</v>
      </c>
      <c r="AM282" s="37">
        <v>44265</v>
      </c>
      <c r="AN282" s="37">
        <v>44266</v>
      </c>
      <c r="AO282" s="37" t="s">
        <v>65</v>
      </c>
      <c r="AP282" s="37">
        <v>44266</v>
      </c>
      <c r="AQ282" s="38">
        <v>44266</v>
      </c>
      <c r="AR282" s="38"/>
      <c r="AS282" s="38"/>
      <c r="AT282" s="38"/>
      <c r="AU282" s="38"/>
      <c r="AV282" s="38"/>
      <c r="AW282" s="38"/>
      <c r="AX282" s="38"/>
      <c r="AY282" s="38">
        <v>44299</v>
      </c>
      <c r="AZ282" s="38"/>
      <c r="BA282" s="39">
        <f t="shared" si="43"/>
        <v>0.44444444444444442</v>
      </c>
      <c r="BB282" s="38"/>
      <c r="BC282" s="11" t="s">
        <v>7</v>
      </c>
    </row>
    <row r="283" spans="2:55" x14ac:dyDescent="0.35">
      <c r="B283" s="16">
        <f>IF(D283=$A$516,1,IF(D283=$A$517,2,IF(D283=$A$518,3,IF(D283=$A$519,4,IF(D283=$A$520,5,IF(D283=$A$521,6))))))</f>
        <v>5</v>
      </c>
      <c r="D283" s="20" t="str">
        <f t="shared" si="47"/>
        <v>abt</v>
      </c>
      <c r="E283" s="20" t="s">
        <v>631</v>
      </c>
      <c r="F283" s="13"/>
      <c r="G283" s="13" t="s">
        <v>103</v>
      </c>
      <c r="H283" s="13"/>
      <c r="I283" s="13"/>
      <c r="J283" s="13"/>
      <c r="K283" s="15" t="s">
        <v>632</v>
      </c>
      <c r="L283" s="15"/>
      <c r="M283" s="15"/>
      <c r="N283" s="15"/>
      <c r="O283" s="15"/>
      <c r="P283" s="15"/>
      <c r="Q283" s="15"/>
      <c r="S283" s="17"/>
      <c r="T283" s="13"/>
      <c r="U283" s="17"/>
      <c r="V283" s="17"/>
      <c r="W283" s="36"/>
      <c r="X283" s="17"/>
      <c r="Y283" s="17"/>
      <c r="AA283" s="15" t="s">
        <v>140</v>
      </c>
      <c r="AB283" s="15"/>
      <c r="AC283" s="21" t="s">
        <v>78</v>
      </c>
      <c r="AD283" s="21" t="s">
        <v>78</v>
      </c>
      <c r="AE283" s="13" t="s">
        <v>86</v>
      </c>
      <c r="AF283" s="17" t="s">
        <v>128</v>
      </c>
      <c r="AG283" s="15" t="s">
        <v>435</v>
      </c>
      <c r="AI283" s="42">
        <f t="shared" ca="1" si="45"/>
        <v>498</v>
      </c>
      <c r="AJ283" s="42">
        <f t="shared" ca="1" si="44"/>
        <v>459</v>
      </c>
      <c r="AK283" s="13" t="s">
        <v>720</v>
      </c>
      <c r="AL283" s="36" t="str">
        <f t="shared" si="46"/>
        <v>Aborted</v>
      </c>
      <c r="AM283" s="37">
        <v>45166</v>
      </c>
      <c r="AN283" s="37">
        <v>45181</v>
      </c>
      <c r="AO283" s="37">
        <v>45202</v>
      </c>
      <c r="AP283" s="37">
        <v>45202</v>
      </c>
      <c r="AQ283" s="38"/>
      <c r="AR283" s="38"/>
      <c r="AS283" s="38"/>
      <c r="AT283" s="38"/>
      <c r="AU283" s="38"/>
      <c r="AV283" s="38"/>
      <c r="AW283" s="38">
        <v>45202</v>
      </c>
      <c r="AX283" s="38">
        <v>45202</v>
      </c>
      <c r="AY283" s="38">
        <v>45205</v>
      </c>
      <c r="AZ283" s="38"/>
      <c r="BA283" s="39">
        <f t="shared" si="43"/>
        <v>0.33333333333333331</v>
      </c>
      <c r="BB283" s="38"/>
      <c r="BC283" s="11" t="s">
        <v>7</v>
      </c>
    </row>
    <row r="284" spans="2:55" x14ac:dyDescent="0.35">
      <c r="B284" s="16">
        <f>IF(D284=$A$516,1,IF(D284=$A$517,2,IF(D284=$A$518,3,IF(D284=$A$519,4,IF(D284=$A$520,5,IF(D284=$A$521,6))))))</f>
        <v>5</v>
      </c>
      <c r="D284" s="20" t="str">
        <f t="shared" si="47"/>
        <v>abt</v>
      </c>
      <c r="E284" s="12" t="s">
        <v>476</v>
      </c>
      <c r="F284" s="13"/>
      <c r="G284" s="13" t="s">
        <v>147</v>
      </c>
      <c r="H284" s="14"/>
      <c r="I284" s="13"/>
      <c r="J284" s="13" t="s">
        <v>111</v>
      </c>
      <c r="K284" s="15" t="s">
        <v>477</v>
      </c>
      <c r="L284" s="15" t="s">
        <v>478</v>
      </c>
      <c r="M284" s="15"/>
      <c r="N284" s="15"/>
      <c r="O284" s="15"/>
      <c r="P284" s="15"/>
      <c r="Q284" s="15"/>
      <c r="S284" s="35" t="s">
        <v>77</v>
      </c>
      <c r="T284" s="13">
        <v>2021</v>
      </c>
      <c r="U284" s="17">
        <v>14.638999999999999</v>
      </c>
      <c r="V284" s="17">
        <v>1.712</v>
      </c>
      <c r="W284" s="36">
        <f t="shared" ref="W284:W289" si="49">+V284/U284</f>
        <v>0.11694787895348044</v>
      </c>
      <c r="X284" s="17"/>
      <c r="Y284" s="17">
        <v>-3.6040000000000001</v>
      </c>
      <c r="AA284" s="15" t="s">
        <v>140</v>
      </c>
      <c r="AB284" s="17"/>
      <c r="AC284" s="21" t="s">
        <v>78</v>
      </c>
      <c r="AD284" s="21" t="s">
        <v>78</v>
      </c>
      <c r="AE284" s="13" t="s">
        <v>62</v>
      </c>
      <c r="AF284" s="17" t="s">
        <v>313</v>
      </c>
      <c r="AG284" s="15"/>
      <c r="AI284" s="42">
        <f t="shared" ca="1" si="45"/>
        <v>617</v>
      </c>
      <c r="AJ284" s="42">
        <f t="shared" ca="1" si="44"/>
        <v>364</v>
      </c>
      <c r="AK284" s="13"/>
      <c r="AL284" s="36" t="str">
        <f t="shared" si="46"/>
        <v>Aborted</v>
      </c>
      <c r="AM284" s="37">
        <v>45047</v>
      </c>
      <c r="AN284" s="37">
        <v>45082</v>
      </c>
      <c r="AO284" s="37" t="s">
        <v>65</v>
      </c>
      <c r="AP284" s="37">
        <v>45087</v>
      </c>
      <c r="AQ284" s="38">
        <v>45085</v>
      </c>
      <c r="AR284" s="38"/>
      <c r="AS284" s="38"/>
      <c r="AT284" s="38"/>
      <c r="AU284" s="38"/>
      <c r="AV284" s="38"/>
      <c r="AW284" s="38">
        <v>45103</v>
      </c>
      <c r="AX284" s="38">
        <v>45132</v>
      </c>
      <c r="AY284" s="38">
        <v>45300</v>
      </c>
      <c r="AZ284" s="38"/>
      <c r="BA284" s="39">
        <f t="shared" si="43"/>
        <v>0.44444444444444442</v>
      </c>
      <c r="BB284" s="38"/>
      <c r="BC284" s="11" t="s">
        <v>7</v>
      </c>
    </row>
    <row r="285" spans="2:55" x14ac:dyDescent="0.35">
      <c r="B285" s="16">
        <f>IF(D285=$A$516,1,IF(D285=$A$517,2,IF(D285=$A$518,3,IF(D285=$A$519,4,IF(D285=$A$520,5,IF(D285=$A$521,6))))))</f>
        <v>5</v>
      </c>
      <c r="D285" s="20" t="str">
        <f t="shared" si="47"/>
        <v>abt</v>
      </c>
      <c r="E285" s="20" t="s">
        <v>811</v>
      </c>
      <c r="F285" s="13"/>
      <c r="G285" s="78" t="s">
        <v>159</v>
      </c>
      <c r="H285" s="14" t="s">
        <v>201</v>
      </c>
      <c r="I285" s="13">
        <v>259200</v>
      </c>
      <c r="J285" s="13" t="s">
        <v>202</v>
      </c>
      <c r="K285" s="15" t="s">
        <v>203</v>
      </c>
      <c r="L285" s="15" t="s">
        <v>204</v>
      </c>
      <c r="M285" s="15" t="s">
        <v>205</v>
      </c>
      <c r="N285" s="15"/>
      <c r="O285" s="15"/>
      <c r="P285" s="15"/>
      <c r="Q285" s="15"/>
      <c r="S285" s="35" t="s">
        <v>77</v>
      </c>
      <c r="T285" s="13">
        <v>2019</v>
      </c>
      <c r="U285" s="17">
        <v>31.87</v>
      </c>
      <c r="V285" s="17">
        <v>2.33</v>
      </c>
      <c r="W285" s="36">
        <f t="shared" si="49"/>
        <v>7.3109507373705682E-2</v>
      </c>
      <c r="X285" s="17">
        <v>1.1200000000000001</v>
      </c>
      <c r="Y285" s="17">
        <v>6.62</v>
      </c>
      <c r="AA285" s="15" t="s">
        <v>60</v>
      </c>
      <c r="AB285" s="17"/>
      <c r="AC285" s="21" t="s">
        <v>78</v>
      </c>
      <c r="AD285" s="17" t="s">
        <v>78</v>
      </c>
      <c r="AE285" s="17" t="s">
        <v>86</v>
      </c>
      <c r="AF285" s="17" t="s">
        <v>62</v>
      </c>
      <c r="AG285" s="15"/>
      <c r="AI285" s="42">
        <f t="shared" ca="1" si="45"/>
        <v>1528</v>
      </c>
      <c r="AJ285" s="42">
        <f t="shared" ca="1" si="44"/>
        <v>637</v>
      </c>
      <c r="AK285" s="13" t="s">
        <v>87</v>
      </c>
      <c r="AL285" s="36" t="str">
        <f t="shared" si="46"/>
        <v>Aborted</v>
      </c>
      <c r="AM285" s="37">
        <v>44136</v>
      </c>
      <c r="AN285" s="37">
        <v>44136</v>
      </c>
      <c r="AO285" s="37" t="s">
        <v>65</v>
      </c>
      <c r="AP285" s="37">
        <v>44136</v>
      </c>
      <c r="AQ285" s="38">
        <v>44141</v>
      </c>
      <c r="AR285" s="38">
        <v>44256</v>
      </c>
      <c r="AS285" s="38">
        <v>44271</v>
      </c>
      <c r="AT285" s="38">
        <v>44285</v>
      </c>
      <c r="AU285" s="38">
        <v>44328</v>
      </c>
      <c r="AV285" s="38"/>
      <c r="AW285" s="38">
        <v>44984</v>
      </c>
      <c r="AX285" s="38">
        <v>44971</v>
      </c>
      <c r="AY285" s="38">
        <v>45027</v>
      </c>
      <c r="AZ285" s="38"/>
      <c r="BA285" s="39">
        <f t="shared" si="43"/>
        <v>0.88888888888888884</v>
      </c>
      <c r="BB285" s="38"/>
      <c r="BC285" s="11" t="s">
        <v>7</v>
      </c>
    </row>
    <row r="286" spans="2:55" x14ac:dyDescent="0.35">
      <c r="B286" s="16">
        <f>IF(D286=$A$516,1,IF(D286=$A$517,2,IF(D286=$A$518,3,IF(D286=$A$519,4,IF(D286=$A$520,5,IF(D286=$A$521,6))))))</f>
        <v>5</v>
      </c>
      <c r="D286" s="20" t="str">
        <f t="shared" si="47"/>
        <v>abt</v>
      </c>
      <c r="E286" s="20" t="s">
        <v>1067</v>
      </c>
      <c r="F286" s="13"/>
      <c r="G286" s="13" t="s">
        <v>159</v>
      </c>
      <c r="H286" s="14" t="s">
        <v>1068</v>
      </c>
      <c r="I286" s="13">
        <v>382200</v>
      </c>
      <c r="J286" s="13" t="s">
        <v>111</v>
      </c>
      <c r="K286" s="15" t="s">
        <v>1065</v>
      </c>
      <c r="L286" s="15" t="s">
        <v>1069</v>
      </c>
      <c r="M286" s="15" t="s">
        <v>1069</v>
      </c>
      <c r="N286" s="15"/>
      <c r="O286" s="15"/>
      <c r="P286" s="15" t="s">
        <v>1069</v>
      </c>
      <c r="Q286" s="15"/>
      <c r="S286" s="35" t="s">
        <v>77</v>
      </c>
      <c r="T286" s="13">
        <v>2020</v>
      </c>
      <c r="U286" s="17">
        <v>8.1189999999999998</v>
      </c>
      <c r="V286" s="17">
        <v>1.1160000000000001</v>
      </c>
      <c r="W286" s="36">
        <f t="shared" si="49"/>
        <v>0.13745535164429118</v>
      </c>
      <c r="X286" s="17">
        <v>0.64300000000000002</v>
      </c>
      <c r="Y286" s="17"/>
      <c r="AA286" s="15" t="s">
        <v>99</v>
      </c>
      <c r="AB286" s="17" t="s">
        <v>1070</v>
      </c>
      <c r="AC286" s="17" t="s">
        <v>61</v>
      </c>
      <c r="AD286" s="17" t="s">
        <v>61</v>
      </c>
      <c r="AE286" s="17" t="s">
        <v>86</v>
      </c>
      <c r="AF286" s="17"/>
      <c r="AG286" s="15"/>
      <c r="AI286" s="42">
        <f t="shared" ca="1" si="45"/>
        <v>956</v>
      </c>
      <c r="AJ286" s="42">
        <f t="shared" ca="1" si="44"/>
        <v>729</v>
      </c>
      <c r="AK286" s="13"/>
      <c r="AL286" s="36" t="str">
        <f t="shared" si="46"/>
        <v>Aborted</v>
      </c>
      <c r="AM286" s="37">
        <v>44708</v>
      </c>
      <c r="AN286" s="37">
        <v>44708</v>
      </c>
      <c r="AO286" s="37" t="s">
        <v>65</v>
      </c>
      <c r="AP286" s="37">
        <v>44754</v>
      </c>
      <c r="AQ286" s="38"/>
      <c r="AR286" s="38"/>
      <c r="AS286" s="38"/>
      <c r="AT286" s="38"/>
      <c r="AU286" s="38"/>
      <c r="AV286" s="38"/>
      <c r="AW286" s="38">
        <v>44754</v>
      </c>
      <c r="AX286" s="38">
        <v>44767</v>
      </c>
      <c r="AY286" s="38">
        <v>44935</v>
      </c>
      <c r="AZ286" s="38"/>
      <c r="BA286" s="39">
        <f t="shared" si="43"/>
        <v>0.33333333333333331</v>
      </c>
      <c r="BB286" s="38"/>
      <c r="BC286" s="11" t="s">
        <v>7</v>
      </c>
    </row>
    <row r="287" spans="2:55" x14ac:dyDescent="0.35">
      <c r="B287" s="16">
        <f>IF(D287=$A$516,1,IF(D287=$A$517,2,IF(D287=$A$518,3,IF(D287=$A$519,4,IF(D287=$A$520,5,IF(D287=$A$521,6))))))</f>
        <v>5</v>
      </c>
      <c r="D287" s="20" t="str">
        <f t="shared" si="47"/>
        <v>abt</v>
      </c>
      <c r="E287" s="20" t="s">
        <v>1386</v>
      </c>
      <c r="F287" s="14"/>
      <c r="G287" s="13" t="s">
        <v>208</v>
      </c>
      <c r="H287" s="14" t="s">
        <v>1387</v>
      </c>
      <c r="I287" s="13">
        <v>464210</v>
      </c>
      <c r="J287" s="13" t="s">
        <v>251</v>
      </c>
      <c r="K287" s="15" t="s">
        <v>1383</v>
      </c>
      <c r="L287" s="15" t="s">
        <v>1388</v>
      </c>
      <c r="M287" s="15"/>
      <c r="N287" s="15"/>
      <c r="O287" s="15"/>
      <c r="P287" s="15"/>
      <c r="Q287" s="15"/>
      <c r="S287" s="35" t="s">
        <v>77</v>
      </c>
      <c r="T287" s="13">
        <v>2019</v>
      </c>
      <c r="U287" s="17">
        <v>41.018999999999998</v>
      </c>
      <c r="V287" s="17">
        <v>2.94</v>
      </c>
      <c r="W287" s="36">
        <f t="shared" si="49"/>
        <v>7.1674102245300964E-2</v>
      </c>
      <c r="X287" s="17">
        <v>1.1100000000000001</v>
      </c>
      <c r="Y287" s="17">
        <v>-7.1</v>
      </c>
      <c r="AA287" s="15" t="s">
        <v>99</v>
      </c>
      <c r="AB287" s="17" t="s">
        <v>1385</v>
      </c>
      <c r="AC287" s="21" t="s">
        <v>78</v>
      </c>
      <c r="AD287" s="17" t="s">
        <v>78</v>
      </c>
      <c r="AE287" s="17" t="s">
        <v>62</v>
      </c>
      <c r="AF287" s="17"/>
      <c r="AG287" s="15"/>
      <c r="AI287" s="42">
        <f t="shared" ca="1" si="45"/>
        <v>1287</v>
      </c>
      <c r="AJ287" s="42">
        <f t="shared" ca="1" si="44"/>
        <v>1155</v>
      </c>
      <c r="AK287" s="13"/>
      <c r="AL287" s="36" t="str">
        <f t="shared" si="46"/>
        <v>Aborted</v>
      </c>
      <c r="AM287" s="37">
        <v>44377</v>
      </c>
      <c r="AN287" s="37">
        <v>44390</v>
      </c>
      <c r="AO287" s="37" t="s">
        <v>65</v>
      </c>
      <c r="AP287" s="37">
        <v>44390</v>
      </c>
      <c r="AQ287" s="38">
        <v>44390</v>
      </c>
      <c r="AR287" s="38"/>
      <c r="AS287" s="38"/>
      <c r="AT287" s="38"/>
      <c r="AU287" s="38"/>
      <c r="AV287" s="38"/>
      <c r="AW287" s="38"/>
      <c r="AX287" s="38">
        <v>44390</v>
      </c>
      <c r="AY287" s="38">
        <v>44509</v>
      </c>
      <c r="AZ287" s="38"/>
      <c r="BA287" s="39">
        <f t="shared" si="43"/>
        <v>0.44444444444444442</v>
      </c>
      <c r="BB287" s="38"/>
      <c r="BC287" s="11" t="s">
        <v>7</v>
      </c>
    </row>
    <row r="288" spans="2:55" x14ac:dyDescent="0.35">
      <c r="B288" s="16">
        <f>IF(D288=$A$516,1,IF(D288=$A$517,2,IF(D288=$A$518,3,IF(D288=$A$519,4,IF(D288=$A$520,5,IF(D288=$A$521,6))))))</f>
        <v>5</v>
      </c>
      <c r="D288" s="20" t="str">
        <f t="shared" si="47"/>
        <v>abt</v>
      </c>
      <c r="E288" s="12" t="s">
        <v>1323</v>
      </c>
      <c r="F288" s="13"/>
      <c r="G288" s="13" t="s">
        <v>340</v>
      </c>
      <c r="H288" s="14" t="s">
        <v>1324</v>
      </c>
      <c r="I288" s="13"/>
      <c r="J288" s="13" t="s">
        <v>779</v>
      </c>
      <c r="K288" s="15" t="s">
        <v>780</v>
      </c>
      <c r="L288" s="15" t="s">
        <v>1325</v>
      </c>
      <c r="M288" s="15" t="s">
        <v>1325</v>
      </c>
      <c r="N288" s="15"/>
      <c r="O288" s="15"/>
      <c r="P288" s="15"/>
      <c r="Q288" s="15"/>
      <c r="S288" s="35" t="s">
        <v>77</v>
      </c>
      <c r="T288" s="13">
        <v>2020</v>
      </c>
      <c r="U288" s="17">
        <v>16.581</v>
      </c>
      <c r="V288" s="17">
        <v>2.7770000000000001</v>
      </c>
      <c r="W288" s="36">
        <f t="shared" si="49"/>
        <v>0.16748085157710635</v>
      </c>
      <c r="X288" s="17">
        <v>1.704</v>
      </c>
      <c r="Y288" s="17">
        <v>2.7189999999999999</v>
      </c>
      <c r="AA288" s="15" t="s">
        <v>99</v>
      </c>
      <c r="AB288" s="17" t="s">
        <v>783</v>
      </c>
      <c r="AC288" s="21" t="s">
        <v>61</v>
      </c>
      <c r="AD288" s="21" t="s">
        <v>61</v>
      </c>
      <c r="AE288" s="17" t="s">
        <v>86</v>
      </c>
      <c r="AF288" s="17"/>
      <c r="AG288" s="15"/>
      <c r="AI288" s="42">
        <f t="shared" ca="1" si="45"/>
        <v>1168</v>
      </c>
      <c r="AJ288" s="42">
        <f t="shared" ca="1" si="44"/>
        <v>1092</v>
      </c>
      <c r="AK288" s="13"/>
      <c r="AL288" s="36" t="str">
        <f t="shared" si="46"/>
        <v>Aborted</v>
      </c>
      <c r="AM288" s="37">
        <v>44496</v>
      </c>
      <c r="AN288" s="37">
        <v>44496</v>
      </c>
      <c r="AO288" s="37" t="s">
        <v>65</v>
      </c>
      <c r="AP288" s="37">
        <v>44496</v>
      </c>
      <c r="AQ288" s="38">
        <v>44510</v>
      </c>
      <c r="AR288" s="38"/>
      <c r="AS288" s="38"/>
      <c r="AT288" s="38"/>
      <c r="AU288" s="38"/>
      <c r="AV288" s="38"/>
      <c r="AW288" s="38">
        <v>44510</v>
      </c>
      <c r="AX288" s="38">
        <v>44529</v>
      </c>
      <c r="AY288" s="38">
        <v>44572</v>
      </c>
      <c r="AZ288" s="38"/>
      <c r="BA288" s="39">
        <f t="shared" si="43"/>
        <v>0.44444444444444442</v>
      </c>
      <c r="BB288" s="38"/>
      <c r="BC288" s="11" t="s">
        <v>7</v>
      </c>
    </row>
    <row r="289" spans="2:55" x14ac:dyDescent="0.35">
      <c r="B289" s="16">
        <f>IF(D289=$A$516,1,IF(D289=$A$517,2,IF(D289=$A$518,3,IF(D289=$A$519,4,IF(D289=$A$520,5,IF(D289=$A$521,6))))))</f>
        <v>5</v>
      </c>
      <c r="D289" s="20" t="str">
        <f t="shared" si="47"/>
        <v>abt</v>
      </c>
      <c r="E289" s="20" t="s">
        <v>1003</v>
      </c>
      <c r="F289" s="13"/>
      <c r="G289" s="13" t="s">
        <v>103</v>
      </c>
      <c r="H289" s="14" t="s">
        <v>1004</v>
      </c>
      <c r="I289" s="13">
        <v>432902</v>
      </c>
      <c r="J289" s="13" t="s">
        <v>111</v>
      </c>
      <c r="K289" s="15" t="s">
        <v>1005</v>
      </c>
      <c r="M289" s="15"/>
      <c r="N289" s="15"/>
      <c r="O289" s="15"/>
      <c r="P289" s="15"/>
      <c r="Q289" s="15"/>
      <c r="S289" s="35" t="s">
        <v>77</v>
      </c>
      <c r="T289" s="13">
        <v>2020</v>
      </c>
      <c r="U289" s="17">
        <v>53.1</v>
      </c>
      <c r="V289" s="17">
        <v>6.5</v>
      </c>
      <c r="W289" s="36">
        <f t="shared" si="49"/>
        <v>0.1224105461393597</v>
      </c>
      <c r="X289" s="17">
        <v>3</v>
      </c>
      <c r="Y289" s="17">
        <v>-3.3</v>
      </c>
      <c r="AA289" s="15" t="s">
        <v>927</v>
      </c>
      <c r="AB289" s="17"/>
      <c r="AC289" s="21" t="s">
        <v>61</v>
      </c>
      <c r="AD289" s="21" t="s">
        <v>61</v>
      </c>
      <c r="AE289" s="25"/>
      <c r="AF289" s="17"/>
      <c r="AG289" s="15"/>
      <c r="AI289" s="42">
        <f t="shared" ca="1" si="45"/>
        <v>925</v>
      </c>
      <c r="AJ289" s="42">
        <f t="shared" ca="1" si="44"/>
        <v>728</v>
      </c>
      <c r="AK289" s="13"/>
      <c r="AL289" s="36" t="str">
        <f t="shared" si="46"/>
        <v>Aborted</v>
      </c>
      <c r="AM289" s="37">
        <v>44739</v>
      </c>
      <c r="AN289" s="75">
        <v>44739</v>
      </c>
      <c r="AO289" s="37" t="s">
        <v>65</v>
      </c>
      <c r="AP289" s="37" t="s">
        <v>65</v>
      </c>
      <c r="AQ289" s="38">
        <v>44739</v>
      </c>
      <c r="AR289" s="38"/>
      <c r="AS289" s="38"/>
      <c r="AT289" s="38"/>
      <c r="AU289" s="38"/>
      <c r="AV289" s="38"/>
      <c r="AW289" s="38">
        <v>44748</v>
      </c>
      <c r="AX289" s="38">
        <v>44810</v>
      </c>
      <c r="AY289" s="38">
        <v>44936</v>
      </c>
      <c r="AZ289" s="38"/>
      <c r="BA289" s="39">
        <f t="shared" si="43"/>
        <v>0.44444444444444442</v>
      </c>
      <c r="BB289" s="38"/>
      <c r="BC289" s="11" t="s">
        <v>7</v>
      </c>
    </row>
    <row r="290" spans="2:55" x14ac:dyDescent="0.35">
      <c r="B290" s="16">
        <f>IF(D290=$A$516,1,IF(D290=$A$517,2,IF(D290=$A$518,3,IF(D290=$A$519,4,IF(D290=$A$520,5,IF(D290=$A$521,6))))))</f>
        <v>5</v>
      </c>
      <c r="D290" s="20" t="str">
        <f t="shared" si="47"/>
        <v>abt</v>
      </c>
      <c r="E290" s="20" t="s">
        <v>1444</v>
      </c>
      <c r="F290" s="13"/>
      <c r="G290" s="13" t="s">
        <v>425</v>
      </c>
      <c r="H290" s="13"/>
      <c r="I290" s="13"/>
      <c r="J290" s="13"/>
      <c r="K290" s="15"/>
      <c r="L290" s="15"/>
      <c r="M290" s="15"/>
      <c r="N290" s="15"/>
      <c r="O290" s="15"/>
      <c r="P290" s="15"/>
      <c r="Q290" s="15"/>
      <c r="S290" s="35"/>
      <c r="T290" s="13"/>
      <c r="U290" s="17"/>
      <c r="V290" s="17"/>
      <c r="W290" s="36"/>
      <c r="X290" s="17"/>
      <c r="Y290" s="17"/>
      <c r="AA290" s="632"/>
      <c r="AB290" s="17"/>
      <c r="AC290" s="21" t="s">
        <v>61</v>
      </c>
      <c r="AD290" s="17" t="s">
        <v>61</v>
      </c>
      <c r="AE290" s="17"/>
      <c r="AF290" s="17"/>
      <c r="AG290" s="15"/>
      <c r="AI290" s="42">
        <f t="shared" ca="1" si="45"/>
        <v>1467</v>
      </c>
      <c r="AJ290" s="42">
        <f t="shared" ca="1" si="44"/>
        <v>1344</v>
      </c>
      <c r="AK290" s="13"/>
      <c r="AL290" s="36" t="str">
        <f t="shared" si="46"/>
        <v>Aborted</v>
      </c>
      <c r="AM290" s="37">
        <v>44197</v>
      </c>
      <c r="AN290" s="37">
        <v>44197</v>
      </c>
      <c r="AO290" s="37" t="s">
        <v>65</v>
      </c>
      <c r="AP290" s="37"/>
      <c r="AQ290" s="38"/>
      <c r="AR290" s="38"/>
      <c r="AS290" s="38"/>
      <c r="AT290" s="38"/>
      <c r="AU290" s="38"/>
      <c r="AV290" s="38"/>
      <c r="AW290" s="38"/>
      <c r="AX290" s="38">
        <v>44285</v>
      </c>
      <c r="AY290" s="38">
        <v>44320</v>
      </c>
      <c r="AZ290" s="38"/>
      <c r="BA290" s="39">
        <f t="shared" si="43"/>
        <v>0.22222222222222221</v>
      </c>
      <c r="BB290" s="38"/>
      <c r="BC290" s="11" t="s">
        <v>7</v>
      </c>
    </row>
    <row r="291" spans="2:55" x14ac:dyDescent="0.35">
      <c r="B291" s="16">
        <f>IF(D291=$A$516,1,IF(D291=$A$517,2,IF(D291=$A$518,3,IF(D291=$A$519,4,IF(D291=$A$520,5,IF(D291=$A$521,6))))))</f>
        <v>5</v>
      </c>
      <c r="D291" s="20" t="str">
        <f t="shared" si="47"/>
        <v>abt</v>
      </c>
      <c r="E291" s="12" t="s">
        <v>1405</v>
      </c>
      <c r="F291" s="14"/>
      <c r="G291" s="13" t="s">
        <v>226</v>
      </c>
      <c r="H291" s="14" t="s">
        <v>1406</v>
      </c>
      <c r="I291" s="13">
        <v>422200</v>
      </c>
      <c r="J291" s="13" t="s">
        <v>1407</v>
      </c>
      <c r="K291" s="15" t="s">
        <v>1408</v>
      </c>
      <c r="L291" s="15"/>
      <c r="M291" s="15"/>
      <c r="N291" s="15"/>
      <c r="O291" s="15"/>
      <c r="P291" s="15"/>
      <c r="Q291" s="15"/>
      <c r="S291" s="35" t="s">
        <v>144</v>
      </c>
      <c r="T291" s="13">
        <v>2019</v>
      </c>
      <c r="U291" s="17">
        <v>30.501000000000001</v>
      </c>
      <c r="V291" s="17">
        <v>-6.7670000000000003</v>
      </c>
      <c r="W291" s="36">
        <f t="shared" ref="W291:W302" si="50">+V291/U291</f>
        <v>-0.2218615783089079</v>
      </c>
      <c r="X291" s="17">
        <v>-9.3989999999999991</v>
      </c>
      <c r="Y291" s="17">
        <v>16.158999999999999</v>
      </c>
      <c r="AA291" s="632"/>
      <c r="AB291" s="17"/>
      <c r="AC291" s="21" t="s">
        <v>61</v>
      </c>
      <c r="AD291" s="17" t="s">
        <v>61</v>
      </c>
      <c r="AE291" s="17" t="s">
        <v>62</v>
      </c>
      <c r="AF291" s="17"/>
      <c r="AG291" s="15"/>
      <c r="AI291" s="42">
        <f t="shared" ca="1" si="45"/>
        <v>1338</v>
      </c>
      <c r="AJ291" s="42">
        <f t="shared" ca="1" si="44"/>
        <v>1260</v>
      </c>
      <c r="AK291" s="13"/>
      <c r="AL291" s="36" t="str">
        <f t="shared" si="46"/>
        <v>Aborted</v>
      </c>
      <c r="AM291" s="37">
        <v>44326</v>
      </c>
      <c r="AN291" s="37">
        <v>44326</v>
      </c>
      <c r="AO291" s="37" t="s">
        <v>65</v>
      </c>
      <c r="AP291" s="37">
        <v>44326</v>
      </c>
      <c r="AQ291" s="38"/>
      <c r="AR291" s="38"/>
      <c r="AS291" s="38"/>
      <c r="AT291" s="38"/>
      <c r="AU291" s="38"/>
      <c r="AV291" s="38"/>
      <c r="AW291" s="38"/>
      <c r="AX291" s="38">
        <v>44341</v>
      </c>
      <c r="AY291" s="38">
        <v>44404</v>
      </c>
      <c r="AZ291" s="38"/>
      <c r="BA291" s="39">
        <f t="shared" si="43"/>
        <v>0.33333333333333331</v>
      </c>
      <c r="BB291" s="38"/>
      <c r="BC291" s="11" t="s">
        <v>7</v>
      </c>
    </row>
    <row r="292" spans="2:55" x14ac:dyDescent="0.35">
      <c r="B292" s="16">
        <f>IF(D292=$A$516,1,IF(D292=$A$517,2,IF(D292=$A$518,3,IF(D292=$A$519,4,IF(D292=$A$520,5,IF(D292=$A$521,6))))))</f>
        <v>5</v>
      </c>
      <c r="D292" s="20" t="str">
        <f t="shared" si="47"/>
        <v>abt</v>
      </c>
      <c r="E292" s="20" t="s">
        <v>851</v>
      </c>
      <c r="F292" s="13"/>
      <c r="G292" s="13" t="s">
        <v>103</v>
      </c>
      <c r="H292" s="14" t="s">
        <v>852</v>
      </c>
      <c r="I292" s="13">
        <v>467210</v>
      </c>
      <c r="J292" s="13" t="s">
        <v>111</v>
      </c>
      <c r="K292" s="15" t="s">
        <v>853</v>
      </c>
      <c r="L292" s="15" t="s">
        <v>854</v>
      </c>
      <c r="M292" s="15"/>
      <c r="N292" s="15"/>
      <c r="O292" s="15"/>
      <c r="P292" s="15"/>
      <c r="Q292" s="15"/>
      <c r="S292" s="35" t="s">
        <v>77</v>
      </c>
      <c r="T292" s="13">
        <v>2021</v>
      </c>
      <c r="U292" s="17">
        <v>51.274999999999999</v>
      </c>
      <c r="V292" s="17">
        <v>2.6429999999999998</v>
      </c>
      <c r="W292" s="36">
        <f t="shared" si="50"/>
        <v>5.154558751828376E-2</v>
      </c>
      <c r="X292" s="17">
        <v>-1.27</v>
      </c>
      <c r="Y292" s="17">
        <v>21.66</v>
      </c>
      <c r="AA292" s="15" t="s">
        <v>60</v>
      </c>
      <c r="AB292" s="17"/>
      <c r="AC292" s="21" t="s">
        <v>78</v>
      </c>
      <c r="AD292" s="17" t="s">
        <v>78</v>
      </c>
      <c r="AE292" s="17" t="s">
        <v>86</v>
      </c>
      <c r="AF292" s="17"/>
      <c r="AG292" s="15"/>
      <c r="AI292" s="42">
        <f t="shared" ca="1" si="45"/>
        <v>823</v>
      </c>
      <c r="AJ292" s="42">
        <f t="shared" ca="1" si="44"/>
        <v>637</v>
      </c>
      <c r="AK292" s="13"/>
      <c r="AL292" s="36" t="str">
        <f t="shared" si="46"/>
        <v>Aborted</v>
      </c>
      <c r="AM292" s="37">
        <v>44841</v>
      </c>
      <c r="AN292" s="37">
        <v>44841</v>
      </c>
      <c r="AO292" s="37">
        <v>44841</v>
      </c>
      <c r="AP292" s="37">
        <v>44841</v>
      </c>
      <c r="AQ292" s="38">
        <v>44846</v>
      </c>
      <c r="AR292" s="38"/>
      <c r="AS292" s="38"/>
      <c r="AT292" s="38"/>
      <c r="AU292" s="38"/>
      <c r="AV292" s="38"/>
      <c r="AW292" s="38">
        <v>44845</v>
      </c>
      <c r="AX292" s="38">
        <v>44846</v>
      </c>
      <c r="AY292" s="38">
        <v>45027</v>
      </c>
      <c r="AZ292" s="38"/>
      <c r="BA292" s="39">
        <f t="shared" si="43"/>
        <v>0.44444444444444442</v>
      </c>
      <c r="BB292" s="38"/>
      <c r="BC292" s="11" t="s">
        <v>7</v>
      </c>
    </row>
    <row r="293" spans="2:55" x14ac:dyDescent="0.35">
      <c r="B293" s="16">
        <f>IF(D293=$A$516,1,IF(D293=$A$517,2,IF(D293=$A$518,3,IF(D293=$A$519,4,IF(D293=$A$520,5,IF(D293=$A$521,6))))))</f>
        <v>5</v>
      </c>
      <c r="D293" s="20" t="str">
        <f t="shared" si="47"/>
        <v>abt</v>
      </c>
      <c r="E293" s="20" t="s">
        <v>1130</v>
      </c>
      <c r="F293" s="14"/>
      <c r="G293" s="13" t="s">
        <v>226</v>
      </c>
      <c r="H293" s="13">
        <v>1860800984</v>
      </c>
      <c r="I293" s="13">
        <v>329920</v>
      </c>
      <c r="J293" s="13" t="s">
        <v>1131</v>
      </c>
      <c r="K293" s="15" t="s">
        <v>1132</v>
      </c>
      <c r="L293" s="15" t="s">
        <v>299</v>
      </c>
      <c r="M293" s="15" t="s">
        <v>1133</v>
      </c>
      <c r="N293" s="15"/>
      <c r="O293" s="15"/>
      <c r="P293" s="15"/>
      <c r="Q293" s="15"/>
      <c r="S293" s="35" t="s">
        <v>77</v>
      </c>
      <c r="T293" s="13">
        <v>2021</v>
      </c>
      <c r="U293" s="17">
        <v>17.600000000000001</v>
      </c>
      <c r="V293" s="17">
        <v>3.8</v>
      </c>
      <c r="W293" s="36">
        <f t="shared" si="50"/>
        <v>0.21590909090909088</v>
      </c>
      <c r="X293" s="17">
        <v>1.7</v>
      </c>
      <c r="Y293" s="17">
        <v>-8.8000000000000007</v>
      </c>
      <c r="AA293" s="15" t="s">
        <v>140</v>
      </c>
      <c r="AB293" s="17"/>
      <c r="AC293" s="21" t="s">
        <v>585</v>
      </c>
      <c r="AD293" s="21" t="s">
        <v>61</v>
      </c>
      <c r="AE293" s="21" t="s">
        <v>585</v>
      </c>
      <c r="AF293" s="17"/>
      <c r="AG293" s="15"/>
      <c r="AI293" s="42">
        <f t="shared" ca="1" si="45"/>
        <v>968</v>
      </c>
      <c r="AJ293" s="42">
        <f t="shared" ca="1" si="44"/>
        <v>901</v>
      </c>
      <c r="AK293" s="13"/>
      <c r="AL293" s="36" t="str">
        <f t="shared" si="46"/>
        <v>Aborted</v>
      </c>
      <c r="AM293" s="37">
        <v>44696</v>
      </c>
      <c r="AN293" s="37">
        <v>44756</v>
      </c>
      <c r="AO293" s="37" t="s">
        <v>65</v>
      </c>
      <c r="AP293" s="37">
        <v>44756</v>
      </c>
      <c r="AQ293" s="38"/>
      <c r="AR293" s="38"/>
      <c r="AS293" s="38"/>
      <c r="AT293" s="38"/>
      <c r="AU293" s="38"/>
      <c r="AV293" s="38"/>
      <c r="AW293" s="38">
        <v>44763</v>
      </c>
      <c r="AX293" s="38">
        <v>44763</v>
      </c>
      <c r="AY293" s="38">
        <v>44763</v>
      </c>
      <c r="AZ293" s="38"/>
      <c r="BA293" s="39">
        <f t="shared" si="43"/>
        <v>0.33333333333333331</v>
      </c>
      <c r="BB293" s="38"/>
      <c r="BC293" s="11" t="s">
        <v>7</v>
      </c>
    </row>
    <row r="294" spans="2:55" x14ac:dyDescent="0.35">
      <c r="B294" s="16">
        <f>IF(D294=$A$516,1,IF(D294=$A$517,2,IF(D294=$A$518,3,IF(D294=$A$519,4,IF(D294=$A$520,5,IF(D294=$A$521,6))))))</f>
        <v>5</v>
      </c>
      <c r="D294" s="20" t="str">
        <f t="shared" si="47"/>
        <v>abt</v>
      </c>
      <c r="E294" s="12" t="s">
        <v>1290</v>
      </c>
      <c r="F294" s="14"/>
      <c r="G294" s="13" t="s">
        <v>226</v>
      </c>
      <c r="H294" s="41" t="s">
        <v>1291</v>
      </c>
      <c r="I294" s="13">
        <v>259999</v>
      </c>
      <c r="J294" s="13" t="s">
        <v>111</v>
      </c>
      <c r="K294" s="15" t="s">
        <v>1292</v>
      </c>
      <c r="L294" s="15"/>
      <c r="M294" s="15" t="s">
        <v>1293</v>
      </c>
      <c r="N294" s="15" t="s">
        <v>1294</v>
      </c>
      <c r="O294" s="15"/>
      <c r="P294" s="15"/>
      <c r="Q294" s="15" t="s">
        <v>1295</v>
      </c>
      <c r="S294" s="35" t="s">
        <v>77</v>
      </c>
      <c r="T294" s="13">
        <v>2020</v>
      </c>
      <c r="U294" s="17">
        <v>25.394002</v>
      </c>
      <c r="V294" s="17">
        <v>2.893618</v>
      </c>
      <c r="W294" s="36">
        <f t="shared" si="50"/>
        <v>0.1139488765890465</v>
      </c>
      <c r="X294" s="17">
        <v>3.0901000000000002E-4</v>
      </c>
      <c r="Y294" s="17">
        <v>16.451519000000001</v>
      </c>
      <c r="AA294" s="15" t="s">
        <v>99</v>
      </c>
      <c r="AB294" s="17" t="s">
        <v>1296</v>
      </c>
      <c r="AC294" s="21" t="s">
        <v>78</v>
      </c>
      <c r="AD294" s="21" t="s">
        <v>78</v>
      </c>
      <c r="AE294" s="17" t="s">
        <v>86</v>
      </c>
      <c r="AF294" s="17"/>
      <c r="AG294" s="15"/>
      <c r="AI294" s="42">
        <f t="shared" ca="1" si="45"/>
        <v>1102</v>
      </c>
      <c r="AJ294" s="42">
        <f t="shared" ca="1" si="44"/>
        <v>1051</v>
      </c>
      <c r="AK294" s="13"/>
      <c r="AL294" s="36" t="str">
        <f t="shared" si="46"/>
        <v>Aborted</v>
      </c>
      <c r="AM294" s="37">
        <v>44562</v>
      </c>
      <c r="AN294" s="37">
        <v>44562</v>
      </c>
      <c r="AO294" s="37" t="s">
        <v>65</v>
      </c>
      <c r="AP294" s="37" t="s">
        <v>65</v>
      </c>
      <c r="AQ294" s="38"/>
      <c r="AR294" s="38"/>
      <c r="AS294" s="38"/>
      <c r="AT294" s="38"/>
      <c r="AU294" s="38"/>
      <c r="AV294" s="38"/>
      <c r="AW294" s="38"/>
      <c r="AX294" s="38">
        <v>44579</v>
      </c>
      <c r="AY294" s="38">
        <v>44613</v>
      </c>
      <c r="AZ294" s="38"/>
      <c r="BA294" s="39">
        <f t="shared" si="43"/>
        <v>0.33333333333333331</v>
      </c>
      <c r="BB294" s="38"/>
      <c r="BC294" s="11" t="s">
        <v>7</v>
      </c>
    </row>
    <row r="295" spans="2:55" x14ac:dyDescent="0.35">
      <c r="B295" s="16">
        <f>IF(D295=$A$516,1,IF(D295=$A$517,2,IF(D295=$A$518,3,IF(D295=$A$519,4,IF(D295=$A$520,5,IF(D295=$A$521,6))))))</f>
        <v>5</v>
      </c>
      <c r="D295" s="20" t="str">
        <f t="shared" si="47"/>
        <v>abt</v>
      </c>
      <c r="E295" s="20" t="s">
        <v>484</v>
      </c>
      <c r="F295" s="13"/>
      <c r="G295" s="13" t="s">
        <v>485</v>
      </c>
      <c r="H295" s="14"/>
      <c r="I295" s="13"/>
      <c r="J295" s="13" t="s">
        <v>452</v>
      </c>
      <c r="K295" s="15" t="s">
        <v>486</v>
      </c>
      <c r="L295" s="15"/>
      <c r="M295" s="15"/>
      <c r="N295" s="15"/>
      <c r="O295" s="15"/>
      <c r="P295" s="15"/>
      <c r="Q295" s="15"/>
      <c r="S295" s="17" t="s">
        <v>77</v>
      </c>
      <c r="T295" s="13">
        <v>2022</v>
      </c>
      <c r="U295" s="17">
        <v>4.0999999999999996</v>
      </c>
      <c r="V295" s="17">
        <v>0.8</v>
      </c>
      <c r="W295" s="36">
        <f t="shared" si="50"/>
        <v>0.19512195121951223</v>
      </c>
      <c r="X295" s="17">
        <v>0.04</v>
      </c>
      <c r="Y295" s="17">
        <v>4.9000000000000002E-2</v>
      </c>
      <c r="AA295" s="15" t="s">
        <v>60</v>
      </c>
      <c r="AB295" s="15"/>
      <c r="AC295" s="17" t="s">
        <v>78</v>
      </c>
      <c r="AD295" s="21" t="s">
        <v>78</v>
      </c>
      <c r="AE295" s="13" t="s">
        <v>128</v>
      </c>
      <c r="AF295" s="17"/>
      <c r="AG295" s="15"/>
      <c r="AI295" s="42">
        <f t="shared" ca="1" si="45"/>
        <v>643</v>
      </c>
      <c r="AJ295" s="42">
        <f t="shared" ca="1" si="44"/>
        <v>336</v>
      </c>
      <c r="AK295" s="13"/>
      <c r="AL295" s="36" t="str">
        <f t="shared" si="46"/>
        <v>Aborted</v>
      </c>
      <c r="AM295" s="37">
        <v>45021</v>
      </c>
      <c r="AN295" s="37">
        <v>45021</v>
      </c>
      <c r="AO295" s="37" t="s">
        <v>65</v>
      </c>
      <c r="AP295" s="37">
        <v>45021</v>
      </c>
      <c r="AQ295" s="38">
        <v>45061</v>
      </c>
      <c r="AR295" s="38">
        <v>45107</v>
      </c>
      <c r="AS295" s="38"/>
      <c r="AT295" s="38"/>
      <c r="AU295" s="38"/>
      <c r="AV295" s="38"/>
      <c r="AW295" s="38">
        <v>45111</v>
      </c>
      <c r="AX295" s="38">
        <v>45208</v>
      </c>
      <c r="AY295" s="38">
        <v>45328</v>
      </c>
      <c r="AZ295" s="38"/>
      <c r="BA295" s="39">
        <f t="shared" si="43"/>
        <v>0.55555555555555558</v>
      </c>
      <c r="BB295" s="38"/>
      <c r="BC295" s="11" t="s">
        <v>7</v>
      </c>
    </row>
    <row r="296" spans="2:55" x14ac:dyDescent="0.35">
      <c r="B296" s="16">
        <f>IF(D296=$A$516,1,IF(D296=$A$517,2,IF(D296=$A$518,3,IF(D296=$A$519,4,IF(D296=$A$520,5,IF(D296=$A$521,6))))))</f>
        <v>5</v>
      </c>
      <c r="D296" s="20" t="str">
        <f t="shared" si="47"/>
        <v>abt</v>
      </c>
      <c r="E296" s="20" t="s">
        <v>1437</v>
      </c>
      <c r="F296" s="13"/>
      <c r="G296" s="13" t="s">
        <v>68</v>
      </c>
      <c r="H296" s="14" t="s">
        <v>1438</v>
      </c>
      <c r="I296" s="13">
        <v>464990</v>
      </c>
      <c r="J296" s="13" t="s">
        <v>587</v>
      </c>
      <c r="K296" s="15" t="s">
        <v>1439</v>
      </c>
      <c r="L296" s="15"/>
      <c r="M296" s="15"/>
      <c r="N296" s="15"/>
      <c r="O296" s="15"/>
      <c r="P296" s="15"/>
      <c r="Q296" s="15"/>
      <c r="S296" s="35" t="s">
        <v>77</v>
      </c>
      <c r="T296" s="13">
        <v>2019</v>
      </c>
      <c r="U296" s="17">
        <v>12.02</v>
      </c>
      <c r="V296" s="17">
        <v>0.31</v>
      </c>
      <c r="W296" s="36">
        <f t="shared" si="50"/>
        <v>2.5790349417637273E-2</v>
      </c>
      <c r="X296" s="17">
        <v>0.09</v>
      </c>
      <c r="Y296" s="17">
        <v>-0.31</v>
      </c>
      <c r="AA296" s="15" t="s">
        <v>60</v>
      </c>
      <c r="AB296" s="17"/>
      <c r="AC296" s="17" t="s">
        <v>61</v>
      </c>
      <c r="AD296" s="17" t="s">
        <v>61</v>
      </c>
      <c r="AE296" s="17"/>
      <c r="AF296" s="17"/>
      <c r="AG296" s="15"/>
      <c r="AI296" s="42">
        <f t="shared" ca="1" si="45"/>
        <v>1387</v>
      </c>
      <c r="AJ296" s="42">
        <f t="shared" ca="1" si="44"/>
        <v>1337</v>
      </c>
      <c r="AK296" s="13"/>
      <c r="AL296" s="36" t="str">
        <f t="shared" si="46"/>
        <v>Aborted</v>
      </c>
      <c r="AM296" s="37">
        <v>44277</v>
      </c>
      <c r="AN296" s="37">
        <v>44277</v>
      </c>
      <c r="AO296" s="37" t="s">
        <v>65</v>
      </c>
      <c r="AP296" s="37" t="s">
        <v>65</v>
      </c>
      <c r="AQ296" s="38"/>
      <c r="AR296" s="38"/>
      <c r="AS296" s="38"/>
      <c r="AT296" s="38"/>
      <c r="AU296" s="38"/>
      <c r="AV296" s="38"/>
      <c r="AW296" s="38"/>
      <c r="AX296" s="38">
        <v>44313</v>
      </c>
      <c r="AY296" s="38">
        <v>44327</v>
      </c>
      <c r="AZ296" s="38"/>
      <c r="BA296" s="39">
        <f t="shared" si="43"/>
        <v>0.33333333333333331</v>
      </c>
      <c r="BB296" s="38"/>
      <c r="BC296" s="11" t="s">
        <v>7</v>
      </c>
    </row>
    <row r="297" spans="2:55" x14ac:dyDescent="0.35">
      <c r="B297" s="16">
        <f>IF(D297=$A$516,1,IF(D297=$A$517,2,IF(D297=$A$518,3,IF(D297=$A$519,4,IF(D297=$A$520,5,IF(D297=$A$521,6))))))</f>
        <v>5</v>
      </c>
      <c r="D297" s="20" t="str">
        <f t="shared" si="47"/>
        <v>abt</v>
      </c>
      <c r="E297" s="12" t="s">
        <v>1227</v>
      </c>
      <c r="F297" s="13"/>
      <c r="G297" s="13" t="s">
        <v>1228</v>
      </c>
      <c r="H297" s="14" t="s">
        <v>1229</v>
      </c>
      <c r="I297" s="13">
        <v>255000</v>
      </c>
      <c r="J297" s="13" t="s">
        <v>111</v>
      </c>
      <c r="K297" s="15" t="s">
        <v>1230</v>
      </c>
      <c r="L297" s="15"/>
      <c r="M297" s="15"/>
      <c r="N297" s="15"/>
      <c r="O297" s="15"/>
      <c r="P297" s="15"/>
      <c r="Q297" s="15"/>
      <c r="S297" s="35" t="s">
        <v>144</v>
      </c>
      <c r="T297" s="13">
        <v>2020</v>
      </c>
      <c r="U297" s="17">
        <v>570.36146599999995</v>
      </c>
      <c r="V297" s="17">
        <v>57.703000000000003</v>
      </c>
      <c r="W297" s="36">
        <f t="shared" si="50"/>
        <v>0.10116917681111369</v>
      </c>
      <c r="X297" s="17">
        <v>3.8210130000000002</v>
      </c>
      <c r="Y297" s="17">
        <v>137.412328</v>
      </c>
      <c r="AA297" s="15" t="s">
        <v>237</v>
      </c>
      <c r="AB297" s="17" t="s">
        <v>601</v>
      </c>
      <c r="AC297" s="21" t="s">
        <v>78</v>
      </c>
      <c r="AD297" s="21" t="s">
        <v>78</v>
      </c>
      <c r="AE297" s="17" t="s">
        <v>86</v>
      </c>
      <c r="AF297" s="17"/>
      <c r="AG297" s="15"/>
      <c r="AI297" s="42">
        <f t="shared" ca="1" si="45"/>
        <v>1180</v>
      </c>
      <c r="AJ297" s="42">
        <f t="shared" ca="1" si="44"/>
        <v>959</v>
      </c>
      <c r="AK297" s="13"/>
      <c r="AL297" s="36" t="str">
        <f t="shared" si="46"/>
        <v>Aborted</v>
      </c>
      <c r="AM297" s="37">
        <v>44484</v>
      </c>
      <c r="AN297" s="37">
        <v>44484</v>
      </c>
      <c r="AO297" s="37" t="s">
        <v>65</v>
      </c>
      <c r="AP297" s="37" t="s">
        <v>65</v>
      </c>
      <c r="AQ297" s="38">
        <v>44617</v>
      </c>
      <c r="AR297" s="38"/>
      <c r="AS297" s="38"/>
      <c r="AT297" s="38"/>
      <c r="AU297" s="38"/>
      <c r="AV297" s="38"/>
      <c r="AW297" s="38">
        <v>44642</v>
      </c>
      <c r="AX297" s="38">
        <v>44656</v>
      </c>
      <c r="AY297" s="38">
        <v>44705</v>
      </c>
      <c r="AZ297" s="38"/>
      <c r="BA297" s="39">
        <f t="shared" si="43"/>
        <v>0.44444444444444442</v>
      </c>
      <c r="BB297" s="38"/>
      <c r="BC297" s="11" t="s">
        <v>7</v>
      </c>
    </row>
    <row r="298" spans="2:55" x14ac:dyDescent="0.35">
      <c r="B298" s="16">
        <f>IF(D298=$A$516,1,IF(D298=$A$517,2,IF(D298=$A$518,3,IF(D298=$A$519,4,IF(D298=$A$520,5,IF(D298=$A$521,6))))))</f>
        <v>5</v>
      </c>
      <c r="D298" s="20" t="str">
        <f t="shared" si="47"/>
        <v>abt</v>
      </c>
      <c r="E298" s="12" t="s">
        <v>918</v>
      </c>
      <c r="F298" s="13"/>
      <c r="G298" s="13" t="s">
        <v>371</v>
      </c>
      <c r="H298" s="14" t="s">
        <v>919</v>
      </c>
      <c r="I298" s="13">
        <v>222909</v>
      </c>
      <c r="J298" s="13" t="s">
        <v>111</v>
      </c>
      <c r="K298" s="15" t="s">
        <v>920</v>
      </c>
      <c r="L298" s="15"/>
      <c r="M298" s="15"/>
      <c r="N298" s="15"/>
      <c r="O298" s="15"/>
      <c r="P298" s="15"/>
      <c r="Q298" s="15"/>
      <c r="S298" s="35" t="s">
        <v>77</v>
      </c>
      <c r="T298" s="13">
        <v>2020</v>
      </c>
      <c r="U298" s="17">
        <v>5.7539999999999996</v>
      </c>
      <c r="V298" s="17">
        <v>0.80300000000000005</v>
      </c>
      <c r="W298" s="36">
        <f t="shared" si="50"/>
        <v>0.13955509210983666</v>
      </c>
      <c r="X298" s="17">
        <v>0.437</v>
      </c>
      <c r="Y298" s="17" t="s">
        <v>921</v>
      </c>
      <c r="AA298" s="15" t="s">
        <v>99</v>
      </c>
      <c r="AB298" s="15" t="s">
        <v>922</v>
      </c>
      <c r="AC298" s="21" t="s">
        <v>78</v>
      </c>
      <c r="AD298" s="17" t="s">
        <v>78</v>
      </c>
      <c r="AE298" s="17"/>
      <c r="AF298" s="17"/>
      <c r="AG298" s="15"/>
      <c r="AI298" s="42">
        <f t="shared" ca="1" si="45"/>
        <v>859</v>
      </c>
      <c r="AJ298" s="42">
        <f t="shared" ca="1" si="44"/>
        <v>700</v>
      </c>
      <c r="AK298" s="13" t="s">
        <v>87</v>
      </c>
      <c r="AL298" s="36" t="str">
        <f t="shared" si="46"/>
        <v>Aborted</v>
      </c>
      <c r="AM298" s="37">
        <v>44805</v>
      </c>
      <c r="AN298" s="37">
        <f>+AM298</f>
        <v>44805</v>
      </c>
      <c r="AO298" s="37" t="s">
        <v>65</v>
      </c>
      <c r="AP298" s="37" t="s">
        <v>65</v>
      </c>
      <c r="AQ298" s="38">
        <v>44818</v>
      </c>
      <c r="AR298" s="38"/>
      <c r="AS298" s="38"/>
      <c r="AT298" s="38"/>
      <c r="AU298" s="38"/>
      <c r="AV298" s="38"/>
      <c r="AW298" s="38">
        <v>44818</v>
      </c>
      <c r="AX298" s="38">
        <v>44845</v>
      </c>
      <c r="AY298" s="38">
        <v>44964</v>
      </c>
      <c r="AZ298" s="38"/>
      <c r="BA298" s="39">
        <f t="shared" si="43"/>
        <v>0.44444444444444442</v>
      </c>
      <c r="BB298" s="38"/>
      <c r="BC298" s="11" t="s">
        <v>7</v>
      </c>
    </row>
    <row r="299" spans="2:55" x14ac:dyDescent="0.35">
      <c r="B299" s="16">
        <f>IF(D299=$A$516,1,IF(D299=$A$517,2,IF(D299=$A$518,3,IF(D299=$A$519,4,IF(D299=$A$520,5,IF(D299=$A$521,6))))))</f>
        <v>5</v>
      </c>
      <c r="D299" s="20" t="str">
        <f t="shared" si="47"/>
        <v>abt</v>
      </c>
      <c r="E299" s="20" t="s">
        <v>992</v>
      </c>
      <c r="F299" s="14"/>
      <c r="G299" s="13" t="s">
        <v>828</v>
      </c>
      <c r="H299" s="13">
        <v>676600885</v>
      </c>
      <c r="I299" s="13">
        <v>107200</v>
      </c>
      <c r="J299" s="13" t="s">
        <v>83</v>
      </c>
      <c r="K299" s="15" t="s">
        <v>993</v>
      </c>
      <c r="L299" s="15"/>
      <c r="M299" s="15" t="s">
        <v>994</v>
      </c>
      <c r="N299" s="15"/>
      <c r="O299" s="15"/>
      <c r="P299" s="15"/>
      <c r="Q299" s="15"/>
      <c r="S299" s="35" t="s">
        <v>77</v>
      </c>
      <c r="T299" s="13">
        <v>2019</v>
      </c>
      <c r="U299" s="17">
        <v>5.0999999999999996</v>
      </c>
      <c r="V299" s="17">
        <v>0.89</v>
      </c>
      <c r="W299" s="36">
        <f t="shared" si="50"/>
        <v>0.17450980392156865</v>
      </c>
      <c r="X299" s="17">
        <v>0.48</v>
      </c>
      <c r="Y299" s="17">
        <v>-0.55500000000000005</v>
      </c>
      <c r="AA299" s="15" t="s">
        <v>60</v>
      </c>
      <c r="AB299" s="17"/>
      <c r="AC299" s="21" t="s">
        <v>61</v>
      </c>
      <c r="AD299" s="17" t="s">
        <v>61</v>
      </c>
      <c r="AE299" s="17" t="s">
        <v>62</v>
      </c>
      <c r="AF299" s="17"/>
      <c r="AG299" s="15"/>
      <c r="AI299" s="42">
        <f t="shared" ca="1" si="45"/>
        <v>862</v>
      </c>
      <c r="AJ299" s="42">
        <f t="shared" ca="1" si="44"/>
        <v>728</v>
      </c>
      <c r="AK299" s="13"/>
      <c r="AL299" s="36" t="str">
        <f t="shared" si="46"/>
        <v>Aborted</v>
      </c>
      <c r="AM299" s="37">
        <v>44802</v>
      </c>
      <c r="AN299" s="37">
        <v>44802</v>
      </c>
      <c r="AO299" s="37" t="s">
        <v>65</v>
      </c>
      <c r="AP299" s="37" t="s">
        <v>65</v>
      </c>
      <c r="AQ299" s="38">
        <v>44789</v>
      </c>
      <c r="AR299" s="38">
        <v>44812</v>
      </c>
      <c r="AS299" s="38"/>
      <c r="AT299" s="38"/>
      <c r="AU299" s="38"/>
      <c r="AV299" s="38"/>
      <c r="AW299" s="38">
        <v>44830</v>
      </c>
      <c r="AX299" s="38">
        <v>44838</v>
      </c>
      <c r="AY299" s="38">
        <v>44936</v>
      </c>
      <c r="AZ299" s="38"/>
      <c r="BA299" s="39">
        <f t="shared" ref="BA299:BA362" si="51">+IF(AY299="","",COUNTA(AN299:AV299)/(COUNTA(AN299:AV299)+COUNTBLANK(AN299:AV299)))</f>
        <v>0.55555555555555558</v>
      </c>
      <c r="BB299" s="38"/>
      <c r="BC299" s="11" t="s">
        <v>7</v>
      </c>
    </row>
    <row r="300" spans="2:55" x14ac:dyDescent="0.35">
      <c r="B300" s="16">
        <f>IF(D300=$A$516,1,IF(D300=$A$517,2,IF(D300=$A$518,3,IF(D300=$A$519,4,IF(D300=$A$520,5,IF(D300=$A$521,6))))))</f>
        <v>5</v>
      </c>
      <c r="D300" s="20" t="str">
        <f t="shared" si="47"/>
        <v>abt</v>
      </c>
      <c r="E300" s="20" t="s">
        <v>1044</v>
      </c>
      <c r="F300" s="13"/>
      <c r="G300" s="13" t="s">
        <v>195</v>
      </c>
      <c r="H300" s="14" t="s">
        <v>1045</v>
      </c>
      <c r="I300" s="13">
        <v>103000</v>
      </c>
      <c r="J300" s="13" t="s">
        <v>83</v>
      </c>
      <c r="K300" s="15" t="s">
        <v>1046</v>
      </c>
      <c r="L300" s="15" t="s">
        <v>1047</v>
      </c>
      <c r="M300" s="15"/>
      <c r="N300" s="15"/>
      <c r="O300" s="15"/>
      <c r="P300" s="15"/>
      <c r="Q300" s="15"/>
      <c r="S300" s="35" t="s">
        <v>77</v>
      </c>
      <c r="T300" s="13">
        <v>2021</v>
      </c>
      <c r="U300" s="17">
        <v>106</v>
      </c>
      <c r="V300" s="17">
        <v>4.8860000000000001</v>
      </c>
      <c r="W300" s="36">
        <f t="shared" si="50"/>
        <v>4.6094339622641513E-2</v>
      </c>
      <c r="X300" s="17">
        <v>1.099</v>
      </c>
      <c r="Y300" s="17">
        <v>13.86</v>
      </c>
      <c r="AA300" s="15" t="s">
        <v>60</v>
      </c>
      <c r="AB300" s="17"/>
      <c r="AC300" s="21" t="s">
        <v>78</v>
      </c>
      <c r="AD300" s="21" t="s">
        <v>78</v>
      </c>
      <c r="AE300" s="17" t="s">
        <v>86</v>
      </c>
      <c r="AF300" s="17" t="s">
        <v>128</v>
      </c>
      <c r="AG300" s="15"/>
      <c r="AI300" s="42">
        <f t="shared" ca="1" si="45"/>
        <v>813</v>
      </c>
      <c r="AJ300" s="42">
        <f t="shared" ca="1" si="44"/>
        <v>180</v>
      </c>
      <c r="AK300" s="13" t="s">
        <v>64</v>
      </c>
      <c r="AL300" s="36" t="str">
        <f t="shared" si="46"/>
        <v>Aborted</v>
      </c>
      <c r="AM300" s="37">
        <v>44851</v>
      </c>
      <c r="AN300" s="37">
        <v>44851</v>
      </c>
      <c r="AO300" s="37" t="s">
        <v>65</v>
      </c>
      <c r="AP300" s="37" t="s">
        <v>65</v>
      </c>
      <c r="AQ300" s="38">
        <v>44858</v>
      </c>
      <c r="AR300" s="38">
        <v>44869</v>
      </c>
      <c r="AS300" s="38">
        <v>44876</v>
      </c>
      <c r="AT300" s="38"/>
      <c r="AU300" s="38"/>
      <c r="AV300" s="38"/>
      <c r="AW300" s="38">
        <v>45484</v>
      </c>
      <c r="AX300" s="38">
        <v>44880</v>
      </c>
      <c r="AY300" s="38">
        <v>44936</v>
      </c>
      <c r="AZ300" s="38"/>
      <c r="BA300" s="39">
        <f t="shared" si="51"/>
        <v>0.66666666666666663</v>
      </c>
      <c r="BB300" s="38"/>
      <c r="BC300" s="11" t="s">
        <v>7</v>
      </c>
    </row>
    <row r="301" spans="2:55" x14ac:dyDescent="0.35">
      <c r="B301" s="16">
        <f>IF(D301=$A$516,1,IF(D301=$A$517,2,IF(D301=$A$518,3,IF(D301=$A$519,4,IF(D301=$A$520,5,IF(D301=$A$521,6))))))</f>
        <v>5</v>
      </c>
      <c r="D301" s="20" t="str">
        <f t="shared" si="47"/>
        <v>abt</v>
      </c>
      <c r="E301" s="20" t="s">
        <v>963</v>
      </c>
      <c r="F301" s="13"/>
      <c r="G301" s="13" t="s">
        <v>68</v>
      </c>
      <c r="H301" s="14" t="s">
        <v>964</v>
      </c>
      <c r="I301" s="13">
        <v>222000</v>
      </c>
      <c r="J301" s="13" t="s">
        <v>96</v>
      </c>
      <c r="K301" s="15" t="s">
        <v>965</v>
      </c>
      <c r="L301" s="15"/>
      <c r="M301" s="15"/>
      <c r="N301" s="15"/>
      <c r="O301" s="15"/>
      <c r="P301" s="15"/>
      <c r="Q301" s="15"/>
      <c r="S301" s="35" t="s">
        <v>77</v>
      </c>
      <c r="T301" s="13">
        <v>2021</v>
      </c>
      <c r="U301" s="17">
        <v>20.100000000000001</v>
      </c>
      <c r="V301" s="17">
        <v>1.9</v>
      </c>
      <c r="W301" s="36">
        <f t="shared" si="50"/>
        <v>9.4527363184079588E-2</v>
      </c>
      <c r="X301" s="17">
        <v>0.91100000000000003</v>
      </c>
      <c r="Y301" s="17">
        <v>0.45900000000000002</v>
      </c>
      <c r="AA301" s="15" t="s">
        <v>60</v>
      </c>
      <c r="AB301" s="25"/>
      <c r="AC301" s="21" t="s">
        <v>78</v>
      </c>
      <c r="AD301" s="17" t="s">
        <v>78</v>
      </c>
      <c r="AE301" s="17" t="s">
        <v>79</v>
      </c>
      <c r="AF301" s="17"/>
      <c r="AG301" s="15"/>
      <c r="AH301" s="677">
        <v>1</v>
      </c>
      <c r="AI301" s="42">
        <f t="shared" ca="1" si="45"/>
        <v>951</v>
      </c>
      <c r="AJ301" s="42">
        <f t="shared" ca="1" si="44"/>
        <v>728</v>
      </c>
      <c r="AK301" s="13"/>
      <c r="AL301" s="36" t="str">
        <f t="shared" si="46"/>
        <v>Aborted</v>
      </c>
      <c r="AM301" s="37">
        <v>44713</v>
      </c>
      <c r="AN301" s="37">
        <f>+AM301</f>
        <v>44713</v>
      </c>
      <c r="AO301" s="37" t="s">
        <v>65</v>
      </c>
      <c r="AP301" s="37" t="s">
        <v>65</v>
      </c>
      <c r="AQ301" s="38"/>
      <c r="AR301" s="38"/>
      <c r="AS301" s="38"/>
      <c r="AT301" s="38"/>
      <c r="AU301" s="38"/>
      <c r="AV301" s="38"/>
      <c r="AW301" s="38">
        <v>44837</v>
      </c>
      <c r="AX301" s="38">
        <v>44859</v>
      </c>
      <c r="AY301" s="38">
        <v>44936</v>
      </c>
      <c r="AZ301" s="38"/>
      <c r="BA301" s="39">
        <f t="shared" si="51"/>
        <v>0.33333333333333331</v>
      </c>
      <c r="BB301" s="38"/>
      <c r="BC301" s="11" t="s">
        <v>7</v>
      </c>
    </row>
    <row r="302" spans="2:55" x14ac:dyDescent="0.35">
      <c r="B302" s="16">
        <f>IF(D302=$A$516,1,IF(D302=$A$517,2,IF(D302=$A$518,3,IF(D302=$A$519,4,IF(D302=$A$520,5,IF(D302=$A$521,6))))))</f>
        <v>5</v>
      </c>
      <c r="D302" s="20" t="str">
        <f t="shared" si="47"/>
        <v>abt</v>
      </c>
      <c r="E302" s="20" t="s">
        <v>331</v>
      </c>
      <c r="F302" s="13"/>
      <c r="G302" s="13" t="s">
        <v>103</v>
      </c>
      <c r="H302" s="14" t="s">
        <v>118</v>
      </c>
      <c r="I302" s="13">
        <v>731102</v>
      </c>
      <c r="J302" s="13" t="s">
        <v>119</v>
      </c>
      <c r="K302" s="15" t="s">
        <v>120</v>
      </c>
      <c r="L302" s="15" t="s">
        <v>332</v>
      </c>
      <c r="M302" s="15"/>
      <c r="N302" s="15"/>
      <c r="O302" s="15"/>
      <c r="P302" s="15"/>
      <c r="Q302" s="15"/>
      <c r="S302" s="35" t="s">
        <v>77</v>
      </c>
      <c r="T302" s="13">
        <v>2022</v>
      </c>
      <c r="U302" s="17">
        <v>3.8</v>
      </c>
      <c r="V302" s="17">
        <v>6.0000000000000001E-3</v>
      </c>
      <c r="W302" s="36">
        <f t="shared" si="50"/>
        <v>1.5789473684210528E-3</v>
      </c>
      <c r="X302" s="17" t="s">
        <v>65</v>
      </c>
      <c r="Y302" s="17" t="s">
        <v>65</v>
      </c>
      <c r="AA302" s="15" t="s">
        <v>60</v>
      </c>
      <c r="AB302" s="17"/>
      <c r="AC302" s="17" t="s">
        <v>78</v>
      </c>
      <c r="AD302" s="17" t="s">
        <v>78</v>
      </c>
      <c r="AE302" s="17" t="s">
        <v>62</v>
      </c>
      <c r="AF302" s="17"/>
      <c r="AG302" s="15" t="s">
        <v>122</v>
      </c>
      <c r="AI302" s="42">
        <f t="shared" ca="1" si="45"/>
        <v>820</v>
      </c>
      <c r="AJ302" s="42">
        <f t="shared" ca="1" si="44"/>
        <v>364</v>
      </c>
      <c r="AK302" s="13" t="s">
        <v>87</v>
      </c>
      <c r="AL302" s="36" t="str">
        <f t="shared" si="46"/>
        <v>Aborted</v>
      </c>
      <c r="AM302" s="37">
        <v>44844</v>
      </c>
      <c r="AN302" s="75">
        <f>+AM302</f>
        <v>44844</v>
      </c>
      <c r="AO302" s="37" t="s">
        <v>65</v>
      </c>
      <c r="AP302" s="37">
        <v>44849</v>
      </c>
      <c r="AQ302" s="38">
        <v>45204</v>
      </c>
      <c r="AR302" s="38"/>
      <c r="AS302" s="38"/>
      <c r="AT302" s="38"/>
      <c r="AU302" s="38"/>
      <c r="AV302" s="38"/>
      <c r="AW302" s="38">
        <v>45204</v>
      </c>
      <c r="AX302" s="38">
        <v>45216</v>
      </c>
      <c r="AY302" s="38">
        <v>45300</v>
      </c>
      <c r="AZ302" s="38"/>
      <c r="BA302" s="39">
        <f t="shared" si="51"/>
        <v>0.44444444444444442</v>
      </c>
      <c r="BB302" s="38"/>
      <c r="BC302" s="11" t="s">
        <v>7</v>
      </c>
    </row>
    <row r="303" spans="2:55" x14ac:dyDescent="0.35">
      <c r="B303" s="16">
        <f>IF(D303=$A$516,1,IF(D303=$A$517,2,IF(D303=$A$518,3,IF(D303=$A$519,4,IF(D303=$A$520,5,IF(D303=$A$521,6))))))</f>
        <v>5</v>
      </c>
      <c r="D303" s="20" t="str">
        <f t="shared" si="47"/>
        <v>abt</v>
      </c>
      <c r="E303" s="12" t="s">
        <v>1198</v>
      </c>
      <c r="F303" s="13"/>
      <c r="G303" s="13"/>
      <c r="H303" s="13"/>
      <c r="I303" s="13"/>
      <c r="J303" s="13" t="s">
        <v>342</v>
      </c>
      <c r="K303" s="15" t="s">
        <v>343</v>
      </c>
      <c r="L303" s="15"/>
      <c r="M303" s="15"/>
      <c r="N303" s="15"/>
      <c r="O303" s="15"/>
      <c r="P303" s="15"/>
      <c r="Q303" s="15"/>
      <c r="S303" s="35"/>
      <c r="T303" s="13"/>
      <c r="U303" s="17"/>
      <c r="V303" s="17"/>
      <c r="W303" s="36"/>
      <c r="X303" s="17"/>
      <c r="Y303" s="17"/>
      <c r="AA303" s="15" t="s">
        <v>99</v>
      </c>
      <c r="AB303" s="17" t="s">
        <v>461</v>
      </c>
      <c r="AC303" s="21" t="s">
        <v>78</v>
      </c>
      <c r="AD303" s="21" t="s">
        <v>78</v>
      </c>
      <c r="AE303" s="61" t="s">
        <v>86</v>
      </c>
      <c r="AF303" s="17"/>
      <c r="AG303" s="15"/>
      <c r="AI303" s="42">
        <f t="shared" ca="1" si="45"/>
        <v>1016</v>
      </c>
      <c r="AJ303" s="42">
        <f t="shared" ca="1" si="44"/>
        <v>854</v>
      </c>
      <c r="AK303" s="13"/>
      <c r="AL303" s="36" t="str">
        <f t="shared" si="46"/>
        <v>Aborted</v>
      </c>
      <c r="AM303" s="37">
        <v>44648</v>
      </c>
      <c r="AN303" s="75">
        <v>44637</v>
      </c>
      <c r="AO303" s="37" t="s">
        <v>65</v>
      </c>
      <c r="AP303" s="37" t="s">
        <v>65</v>
      </c>
      <c r="AQ303" s="38">
        <v>44659</v>
      </c>
      <c r="AR303" s="38">
        <v>44697</v>
      </c>
      <c r="AS303" s="38">
        <v>44736</v>
      </c>
      <c r="AT303" s="38"/>
      <c r="AU303" s="38"/>
      <c r="AV303" s="38"/>
      <c r="AW303" s="38">
        <v>44764</v>
      </c>
      <c r="AX303" s="38">
        <v>44802</v>
      </c>
      <c r="AY303" s="38">
        <v>44810</v>
      </c>
      <c r="AZ303" s="38"/>
      <c r="BA303" s="39">
        <f t="shared" si="51"/>
        <v>0.66666666666666663</v>
      </c>
      <c r="BB303" s="38"/>
      <c r="BC303" s="11" t="s">
        <v>7</v>
      </c>
    </row>
    <row r="304" spans="2:55" x14ac:dyDescent="0.35">
      <c r="B304" s="16">
        <f>IF(D304=$A$516,1,IF(D304=$A$517,2,IF(D304=$A$518,3,IF(D304=$A$519,4,IF(D304=$A$520,5,IF(D304=$A$521,6))))))</f>
        <v>5</v>
      </c>
      <c r="D304" s="20" t="str">
        <f t="shared" si="47"/>
        <v>abt</v>
      </c>
      <c r="E304" s="20" t="s">
        <v>694</v>
      </c>
      <c r="F304" s="13" t="s">
        <v>695</v>
      </c>
      <c r="G304" s="13" t="s">
        <v>91</v>
      </c>
      <c r="H304" s="14"/>
      <c r="I304" s="13"/>
      <c r="J304" s="13" t="s">
        <v>111</v>
      </c>
      <c r="K304" s="15" t="s">
        <v>696</v>
      </c>
      <c r="L304" s="15"/>
      <c r="M304" s="15"/>
      <c r="N304" s="15"/>
      <c r="O304" s="15"/>
      <c r="P304" s="15"/>
      <c r="Q304" s="15"/>
      <c r="S304" s="35" t="s">
        <v>77</v>
      </c>
      <c r="T304" s="13">
        <v>2022</v>
      </c>
      <c r="U304" s="17">
        <v>10.282999999999999</v>
      </c>
      <c r="V304" s="17">
        <v>2.6880000000000002</v>
      </c>
      <c r="W304" s="36">
        <f>+V304/U304</f>
        <v>0.26140231449965967</v>
      </c>
      <c r="X304" s="17"/>
      <c r="Y304" s="17"/>
      <c r="AA304" s="15" t="s">
        <v>253</v>
      </c>
      <c r="AB304" s="17"/>
      <c r="AC304" s="21" t="s">
        <v>78</v>
      </c>
      <c r="AD304" s="21" t="s">
        <v>78</v>
      </c>
      <c r="AE304" s="17" t="s">
        <v>86</v>
      </c>
      <c r="AF304" s="17"/>
      <c r="AG304" s="15"/>
      <c r="AI304" s="42">
        <f t="shared" ca="1" si="45"/>
        <v>596</v>
      </c>
      <c r="AJ304" s="42">
        <f t="shared" ca="1" si="44"/>
        <v>490</v>
      </c>
      <c r="AK304" s="13" t="s">
        <v>87</v>
      </c>
      <c r="AL304" s="36" t="str">
        <f t="shared" si="46"/>
        <v>Aborted</v>
      </c>
      <c r="AM304" s="37">
        <v>45068</v>
      </c>
      <c r="AN304" s="37">
        <v>45068</v>
      </c>
      <c r="AO304" s="37" t="s">
        <v>65</v>
      </c>
      <c r="AP304" s="37" t="s">
        <v>65</v>
      </c>
      <c r="AQ304" s="38">
        <f>+AN304</f>
        <v>45068</v>
      </c>
      <c r="AR304" s="38" t="s">
        <v>65</v>
      </c>
      <c r="AS304" s="38" t="s">
        <v>65</v>
      </c>
      <c r="AT304" s="38" t="s">
        <v>65</v>
      </c>
      <c r="AU304" s="38" t="s">
        <v>65</v>
      </c>
      <c r="AV304" s="38">
        <v>45068</v>
      </c>
      <c r="AW304" s="38">
        <v>45128</v>
      </c>
      <c r="AX304" s="38">
        <v>45126</v>
      </c>
      <c r="AY304" s="38">
        <v>45174</v>
      </c>
      <c r="AZ304" s="38"/>
      <c r="BA304" s="39">
        <f t="shared" si="51"/>
        <v>1</v>
      </c>
      <c r="BB304" s="38"/>
      <c r="BC304" s="11" t="s">
        <v>7</v>
      </c>
    </row>
    <row r="305" spans="2:55" x14ac:dyDescent="0.35">
      <c r="B305" s="16">
        <f>IF(D305=$A$516,1,IF(D305=$A$517,2,IF(D305=$A$518,3,IF(D305=$A$519,4,IF(D305=$A$520,5,IF(D305=$A$521,6))))))</f>
        <v>5</v>
      </c>
      <c r="D305" s="20" t="str">
        <f t="shared" si="47"/>
        <v>abt</v>
      </c>
      <c r="E305" s="20" t="s">
        <v>697</v>
      </c>
      <c r="F305" s="13" t="s">
        <v>698</v>
      </c>
      <c r="G305" s="13" t="s">
        <v>91</v>
      </c>
      <c r="H305" s="14"/>
      <c r="I305" s="13"/>
      <c r="J305" s="13" t="s">
        <v>111</v>
      </c>
      <c r="K305" s="15" t="s">
        <v>699</v>
      </c>
      <c r="L305" s="15"/>
      <c r="M305" s="15"/>
      <c r="N305" s="15"/>
      <c r="O305" s="15"/>
      <c r="P305" s="15"/>
      <c r="Q305" s="15"/>
      <c r="S305" s="35" t="s">
        <v>77</v>
      </c>
      <c r="T305" s="13">
        <v>2022</v>
      </c>
      <c r="U305" s="17">
        <v>50</v>
      </c>
      <c r="V305" s="17">
        <v>7</v>
      </c>
      <c r="W305" s="36">
        <f>+V305/U305</f>
        <v>0.14000000000000001</v>
      </c>
      <c r="X305" s="17"/>
      <c r="Y305" s="17"/>
      <c r="AA305" s="15" t="s">
        <v>60</v>
      </c>
      <c r="AB305" s="25"/>
      <c r="AC305" s="21" t="s">
        <v>78</v>
      </c>
      <c r="AD305" s="21" t="s">
        <v>78</v>
      </c>
      <c r="AE305" s="17" t="s">
        <v>62</v>
      </c>
      <c r="AF305" s="17" t="s">
        <v>313</v>
      </c>
      <c r="AG305" s="15"/>
      <c r="AI305" s="42">
        <f t="shared" ca="1" si="45"/>
        <v>581</v>
      </c>
      <c r="AJ305" s="42">
        <f t="shared" ca="1" si="44"/>
        <v>496</v>
      </c>
      <c r="AK305" s="13" t="s">
        <v>87</v>
      </c>
      <c r="AL305" s="36" t="str">
        <f t="shared" si="46"/>
        <v>Aborted</v>
      </c>
      <c r="AM305" s="37">
        <v>45083</v>
      </c>
      <c r="AN305" s="37">
        <v>45083</v>
      </c>
      <c r="AO305" s="37" t="s">
        <v>65</v>
      </c>
      <c r="AP305" s="37" t="s">
        <v>65</v>
      </c>
      <c r="AQ305" s="38">
        <f>+AN305</f>
        <v>45083</v>
      </c>
      <c r="AR305" s="38" t="s">
        <v>65</v>
      </c>
      <c r="AS305" s="38" t="s">
        <v>65</v>
      </c>
      <c r="AT305" s="38" t="s">
        <v>65</v>
      </c>
      <c r="AU305" s="38" t="s">
        <v>65</v>
      </c>
      <c r="AV305" s="38">
        <v>45083</v>
      </c>
      <c r="AW305" s="38">
        <v>44752</v>
      </c>
      <c r="AX305" s="38">
        <v>44752</v>
      </c>
      <c r="AY305" s="38">
        <v>45168</v>
      </c>
      <c r="AZ305" s="38"/>
      <c r="BA305" s="39">
        <f t="shared" si="51"/>
        <v>1</v>
      </c>
      <c r="BB305" s="38"/>
      <c r="BC305" s="11" t="s">
        <v>7</v>
      </c>
    </row>
    <row r="306" spans="2:55" x14ac:dyDescent="0.35">
      <c r="B306" s="16">
        <f>IF(D306=$A$516,1,IF(D306=$A$517,2,IF(D306=$A$518,3,IF(D306=$A$519,4,IF(D306=$A$520,5,IF(D306=$A$521,6))))))</f>
        <v>5</v>
      </c>
      <c r="D306" s="20" t="str">
        <f t="shared" si="47"/>
        <v>abt</v>
      </c>
      <c r="E306" s="12" t="s">
        <v>1275</v>
      </c>
      <c r="F306" s="14"/>
      <c r="G306" s="13"/>
      <c r="H306" s="13"/>
      <c r="I306" s="13"/>
      <c r="J306" s="13"/>
      <c r="K306" s="15"/>
      <c r="L306" s="15"/>
      <c r="M306" s="15"/>
      <c r="N306" s="15"/>
      <c r="O306" s="15"/>
      <c r="P306" s="15"/>
      <c r="Q306" s="15"/>
      <c r="S306" s="35"/>
      <c r="T306" s="13"/>
      <c r="U306" s="17"/>
      <c r="V306" s="17"/>
      <c r="W306" s="36"/>
      <c r="X306" s="17"/>
      <c r="Y306" s="17"/>
      <c r="AA306" s="15" t="s">
        <v>590</v>
      </c>
      <c r="AB306" s="25" t="s">
        <v>1199</v>
      </c>
      <c r="AC306" s="21" t="s">
        <v>61</v>
      </c>
      <c r="AD306" s="21" t="s">
        <v>61</v>
      </c>
      <c r="AE306" s="17"/>
      <c r="AF306" s="17"/>
      <c r="AG306" s="15"/>
      <c r="AI306" s="42">
        <f t="shared" ca="1" si="45"/>
        <v>1169</v>
      </c>
      <c r="AJ306" s="42">
        <f t="shared" ca="1" si="44"/>
        <v>1029</v>
      </c>
      <c r="AK306" s="13"/>
      <c r="AL306" s="36" t="str">
        <f t="shared" si="46"/>
        <v>Aborted</v>
      </c>
      <c r="AM306" s="37">
        <v>44495</v>
      </c>
      <c r="AN306" s="37">
        <v>44495</v>
      </c>
      <c r="AO306" s="37" t="s">
        <v>65</v>
      </c>
      <c r="AP306" s="37">
        <v>44488</v>
      </c>
      <c r="AQ306" s="38">
        <f>+AN306</f>
        <v>44495</v>
      </c>
      <c r="AR306" s="38" t="s">
        <v>65</v>
      </c>
      <c r="AS306" s="38" t="s">
        <v>65</v>
      </c>
      <c r="AT306" s="38">
        <v>44498</v>
      </c>
      <c r="AU306" s="38"/>
      <c r="AV306" s="38"/>
      <c r="AW306" s="38"/>
      <c r="AX306" s="38">
        <v>44544</v>
      </c>
      <c r="AY306" s="38">
        <v>44635</v>
      </c>
      <c r="AZ306" s="38"/>
      <c r="BA306" s="39">
        <f t="shared" si="51"/>
        <v>0.77777777777777779</v>
      </c>
      <c r="BB306" s="38"/>
      <c r="BC306" s="11" t="s">
        <v>7</v>
      </c>
    </row>
    <row r="307" spans="2:55" x14ac:dyDescent="0.35">
      <c r="B307" s="16">
        <f>IF(D307=$A$516,1,IF(D307=$A$517,2,IF(D307=$A$518,3,IF(D307=$A$519,4,IF(D307=$A$520,5,IF(D307=$A$521,6))))))</f>
        <v>5</v>
      </c>
      <c r="D307" s="20" t="str">
        <f t="shared" si="47"/>
        <v>abt</v>
      </c>
      <c r="E307" s="20" t="s">
        <v>655</v>
      </c>
      <c r="F307" s="13" t="s">
        <v>656</v>
      </c>
      <c r="G307" s="13" t="s">
        <v>657</v>
      </c>
      <c r="H307" s="13"/>
      <c r="I307" s="13"/>
      <c r="J307" s="13" t="s">
        <v>658</v>
      </c>
      <c r="K307" s="15" t="s">
        <v>659</v>
      </c>
      <c r="L307" s="15"/>
      <c r="M307" s="15"/>
      <c r="N307" s="15"/>
      <c r="O307" s="15"/>
      <c r="P307" s="15"/>
      <c r="Q307" s="15"/>
      <c r="S307" s="35" t="s">
        <v>77</v>
      </c>
      <c r="T307" s="13">
        <v>2021</v>
      </c>
      <c r="U307" s="17">
        <v>133</v>
      </c>
      <c r="V307" s="17">
        <v>21</v>
      </c>
      <c r="W307" s="36">
        <f>+V307/U307</f>
        <v>0.15789473684210525</v>
      </c>
      <c r="X307" s="17"/>
      <c r="Y307" s="17"/>
      <c r="AA307" s="15" t="s">
        <v>253</v>
      </c>
      <c r="AB307" s="25"/>
      <c r="AC307" s="21" t="s">
        <v>61</v>
      </c>
      <c r="AD307" s="17" t="s">
        <v>61</v>
      </c>
      <c r="AE307" s="17" t="s">
        <v>128</v>
      </c>
      <c r="AF307" s="17"/>
      <c r="AG307" s="15"/>
      <c r="AI307" s="42">
        <f t="shared" ca="1" si="45"/>
        <v>775</v>
      </c>
      <c r="AJ307" s="42">
        <f t="shared" ca="1" si="44"/>
        <v>483</v>
      </c>
      <c r="AK307" s="13" t="s">
        <v>87</v>
      </c>
      <c r="AL307" s="36" t="str">
        <f t="shared" si="46"/>
        <v>Aborted</v>
      </c>
      <c r="AM307" s="37">
        <v>44889</v>
      </c>
      <c r="AN307" s="75">
        <v>44889</v>
      </c>
      <c r="AO307" s="37" t="s">
        <v>65</v>
      </c>
      <c r="AP307" s="37">
        <v>44889</v>
      </c>
      <c r="AQ307" s="38">
        <v>44904</v>
      </c>
      <c r="AR307" s="38" t="s">
        <v>65</v>
      </c>
      <c r="AS307" s="38" t="s">
        <v>65</v>
      </c>
      <c r="AT307" s="38" t="s">
        <v>65</v>
      </c>
      <c r="AU307" s="38" t="s">
        <v>65</v>
      </c>
      <c r="AV307" s="38">
        <v>44907</v>
      </c>
      <c r="AW307" s="38">
        <v>45181</v>
      </c>
      <c r="AX307" s="38">
        <v>45104</v>
      </c>
      <c r="AY307" s="38">
        <v>45181</v>
      </c>
      <c r="AZ307" s="38"/>
      <c r="BA307" s="39">
        <f t="shared" si="51"/>
        <v>1</v>
      </c>
      <c r="BB307" s="38"/>
      <c r="BC307" s="11" t="s">
        <v>7</v>
      </c>
    </row>
    <row r="308" spans="2:55" x14ac:dyDescent="0.35">
      <c r="B308" s="16">
        <f>IF(D308=$A$516,1,IF(D308=$A$517,2,IF(D308=$A$518,3,IF(D308=$A$519,4,IF(D308=$A$520,5,IF(D308=$A$521,6))))))</f>
        <v>5</v>
      </c>
      <c r="D308" s="20" t="str">
        <f t="shared" si="47"/>
        <v>abt</v>
      </c>
      <c r="E308" s="20" t="s">
        <v>1246</v>
      </c>
      <c r="F308" s="14"/>
      <c r="G308" s="13" t="s">
        <v>68</v>
      </c>
      <c r="H308" s="14" t="s">
        <v>1247</v>
      </c>
      <c r="I308" s="13">
        <v>471120</v>
      </c>
      <c r="J308" s="13" t="s">
        <v>1248</v>
      </c>
      <c r="K308" s="15" t="s">
        <v>1249</v>
      </c>
      <c r="L308" s="15"/>
      <c r="M308" s="15"/>
      <c r="N308" s="15"/>
      <c r="O308" s="15"/>
      <c r="P308" s="15"/>
      <c r="Q308" s="15"/>
      <c r="S308" s="35" t="s">
        <v>77</v>
      </c>
      <c r="T308" s="13">
        <v>2019</v>
      </c>
      <c r="U308" s="17">
        <v>111.25</v>
      </c>
      <c r="V308" s="17">
        <v>7.85</v>
      </c>
      <c r="W308" s="36">
        <f>+V308/U308</f>
        <v>7.0561797752808991E-2</v>
      </c>
      <c r="X308" s="17">
        <v>3.11</v>
      </c>
      <c r="Y308" s="17">
        <v>5.55</v>
      </c>
      <c r="AA308" s="15" t="s">
        <v>60</v>
      </c>
      <c r="AB308" s="17"/>
      <c r="AC308" s="21" t="s">
        <v>61</v>
      </c>
      <c r="AD308" s="17" t="s">
        <v>61</v>
      </c>
      <c r="AE308" s="17" t="s">
        <v>79</v>
      </c>
      <c r="AF308" s="76" t="s">
        <v>562</v>
      </c>
      <c r="AG308" s="15"/>
      <c r="AH308" s="677">
        <v>1</v>
      </c>
      <c r="AI308" s="42">
        <f t="shared" ca="1" si="45"/>
        <v>1467</v>
      </c>
      <c r="AJ308" s="42">
        <f t="shared" ca="1" si="44"/>
        <v>1001</v>
      </c>
      <c r="AK308" s="13"/>
      <c r="AL308" s="36" t="str">
        <f t="shared" si="46"/>
        <v>Aborted</v>
      </c>
      <c r="AM308" s="37">
        <v>44197</v>
      </c>
      <c r="AN308" s="37">
        <v>44264</v>
      </c>
      <c r="AO308" s="37" t="s">
        <v>65</v>
      </c>
      <c r="AP308" s="37">
        <v>44264</v>
      </c>
      <c r="AQ308" s="38" t="s">
        <v>65</v>
      </c>
      <c r="AR308" s="38">
        <v>44617</v>
      </c>
      <c r="AS308" s="38">
        <v>44657</v>
      </c>
      <c r="AT308" s="38"/>
      <c r="AU308" s="38"/>
      <c r="AV308" s="38"/>
      <c r="AW308" s="38">
        <v>44614</v>
      </c>
      <c r="AX308" s="38">
        <v>44657</v>
      </c>
      <c r="AY308" s="38">
        <v>44663</v>
      </c>
      <c r="AZ308" s="38"/>
      <c r="BA308" s="39">
        <f t="shared" si="51"/>
        <v>0.66666666666666663</v>
      </c>
      <c r="BB308" s="38"/>
      <c r="BC308" s="11" t="s">
        <v>7</v>
      </c>
    </row>
    <row r="309" spans="2:55" x14ac:dyDescent="0.35">
      <c r="B309" s="16">
        <f>IF(D309=$A$516,1,IF(D309=$A$517,2,IF(D309=$A$518,3,IF(D309=$A$519,4,IF(D309=$A$520,5,IF(D309=$A$521,6))))))</f>
        <v>5</v>
      </c>
      <c r="D309" s="20" t="str">
        <f t="shared" si="47"/>
        <v>abt</v>
      </c>
      <c r="E309" s="20" t="s">
        <v>894</v>
      </c>
      <c r="F309" s="13"/>
      <c r="G309" s="13" t="s">
        <v>425</v>
      </c>
      <c r="H309" s="13"/>
      <c r="I309" s="13"/>
      <c r="J309" s="13" t="s">
        <v>111</v>
      </c>
      <c r="K309" s="15" t="s">
        <v>895</v>
      </c>
      <c r="L309" s="15"/>
      <c r="M309" s="15"/>
      <c r="N309" s="15"/>
      <c r="O309" s="15"/>
      <c r="P309" s="15"/>
      <c r="Q309" s="15"/>
      <c r="S309" s="35"/>
      <c r="T309" s="13"/>
      <c r="U309" s="17"/>
      <c r="V309" s="17"/>
      <c r="W309" s="36"/>
      <c r="X309" s="17"/>
      <c r="Y309" s="17"/>
      <c r="AA309" s="15" t="s">
        <v>253</v>
      </c>
      <c r="AC309" s="21" t="s">
        <v>78</v>
      </c>
      <c r="AD309" s="21" t="s">
        <v>78</v>
      </c>
      <c r="AE309" s="61" t="s">
        <v>62</v>
      </c>
      <c r="AF309" s="17"/>
      <c r="AG309" s="15"/>
      <c r="AI309" s="42">
        <f t="shared" ca="1" si="45"/>
        <v>816</v>
      </c>
      <c r="AJ309" s="42">
        <f t="shared" ca="1" si="44"/>
        <v>665</v>
      </c>
      <c r="AK309" s="13" t="s">
        <v>64</v>
      </c>
      <c r="AL309" s="36" t="str">
        <f t="shared" si="46"/>
        <v>Aborted</v>
      </c>
      <c r="AM309" s="37">
        <v>44848</v>
      </c>
      <c r="AN309" s="37">
        <v>44848</v>
      </c>
      <c r="AO309" s="37" t="s">
        <v>65</v>
      </c>
      <c r="AP309" s="37" t="s">
        <v>65</v>
      </c>
      <c r="AQ309" s="38">
        <f>+AN309</f>
        <v>44848</v>
      </c>
      <c r="AR309" s="38" t="s">
        <v>65</v>
      </c>
      <c r="AS309" s="38" t="s">
        <v>65</v>
      </c>
      <c r="AT309" s="38" t="s">
        <v>65</v>
      </c>
      <c r="AU309" s="38" t="s">
        <v>65</v>
      </c>
      <c r="AV309" s="38">
        <v>44848</v>
      </c>
      <c r="AW309" s="38">
        <v>44950</v>
      </c>
      <c r="AX309" s="38">
        <v>44950</v>
      </c>
      <c r="AY309" s="38">
        <v>44999</v>
      </c>
      <c r="AZ309" s="38"/>
      <c r="BA309" s="39">
        <f t="shared" si="51"/>
        <v>1</v>
      </c>
      <c r="BB309" s="38"/>
      <c r="BC309" s="11" t="s">
        <v>7</v>
      </c>
    </row>
    <row r="310" spans="2:55" x14ac:dyDescent="0.35">
      <c r="B310" s="16">
        <f>IF(D310=$A$516,1,IF(D310=$A$517,2,IF(D310=$A$518,3,IF(D310=$A$519,4,IF(D310=$A$520,5,IF(D310=$A$521,6))))))</f>
        <v>5</v>
      </c>
      <c r="D310" s="20" t="str">
        <f t="shared" si="47"/>
        <v>abt</v>
      </c>
      <c r="E310" s="20" t="s">
        <v>607</v>
      </c>
      <c r="F310" s="13" t="s">
        <v>608</v>
      </c>
      <c r="G310" s="13" t="s">
        <v>91</v>
      </c>
      <c r="H310" s="14"/>
      <c r="I310" s="13"/>
      <c r="J310" s="13" t="s">
        <v>83</v>
      </c>
      <c r="K310" s="15" t="s">
        <v>609</v>
      </c>
      <c r="L310" s="15"/>
      <c r="M310" s="15"/>
      <c r="N310" s="15"/>
      <c r="O310" s="15"/>
      <c r="P310" s="15"/>
      <c r="Q310" s="15"/>
      <c r="S310" s="17"/>
      <c r="T310" s="13">
        <v>2023</v>
      </c>
      <c r="U310" s="17">
        <v>30</v>
      </c>
      <c r="V310" s="17">
        <v>4</v>
      </c>
      <c r="W310" s="36">
        <f>+V310/U310</f>
        <v>0.13333333333333333</v>
      </c>
      <c r="X310" s="17"/>
      <c r="Y310" s="17"/>
      <c r="AA310" s="15" t="s">
        <v>253</v>
      </c>
      <c r="AB310" s="15"/>
      <c r="AC310" s="17" t="s">
        <v>61</v>
      </c>
      <c r="AD310" s="21" t="s">
        <v>61</v>
      </c>
      <c r="AE310" s="13" t="s">
        <v>62</v>
      </c>
      <c r="AF310" s="13"/>
      <c r="AG310" s="15"/>
      <c r="AI310" s="42">
        <f t="shared" ca="1" si="45"/>
        <v>489</v>
      </c>
      <c r="AJ310" s="42">
        <f t="shared" ca="1" si="44"/>
        <v>455</v>
      </c>
      <c r="AK310" s="13" t="s">
        <v>87</v>
      </c>
      <c r="AL310" s="36" t="str">
        <f t="shared" si="46"/>
        <v>Aborted</v>
      </c>
      <c r="AM310" s="37">
        <v>45175</v>
      </c>
      <c r="AN310" s="37">
        <v>45175</v>
      </c>
      <c r="AO310" s="37" t="s">
        <v>65</v>
      </c>
      <c r="AP310" s="37" t="s">
        <v>65</v>
      </c>
      <c r="AQ310" s="38">
        <v>45175</v>
      </c>
      <c r="AR310" s="38" t="s">
        <v>65</v>
      </c>
      <c r="AS310" s="38" t="s">
        <v>65</v>
      </c>
      <c r="AT310" s="38" t="s">
        <v>65</v>
      </c>
      <c r="AU310" s="38" t="s">
        <v>65</v>
      </c>
      <c r="AV310" s="38">
        <v>45175</v>
      </c>
      <c r="AW310" s="38"/>
      <c r="AX310" s="38">
        <v>45209</v>
      </c>
      <c r="AY310" s="38">
        <v>45209</v>
      </c>
      <c r="AZ310" s="38"/>
      <c r="BA310" s="39">
        <f t="shared" si="51"/>
        <v>1</v>
      </c>
      <c r="BB310" s="38"/>
      <c r="BC310" s="11" t="s">
        <v>7</v>
      </c>
    </row>
    <row r="311" spans="2:55" x14ac:dyDescent="0.35">
      <c r="B311" s="16">
        <f>IF(D311=$A$516,1,IF(D311=$A$517,2,IF(D311=$A$518,3,IF(D311=$A$519,4,IF(D311=$A$520,5,IF(D311=$A$521,6))))))</f>
        <v>5</v>
      </c>
      <c r="D311" s="20" t="str">
        <f t="shared" si="47"/>
        <v>abt</v>
      </c>
      <c r="E311" s="20" t="s">
        <v>733</v>
      </c>
      <c r="F311" s="13"/>
      <c r="G311" s="13"/>
      <c r="H311" s="14"/>
      <c r="I311" s="13"/>
      <c r="J311" s="13" t="s">
        <v>132</v>
      </c>
      <c r="K311" s="15"/>
      <c r="L311" s="15"/>
      <c r="M311" s="15"/>
      <c r="N311" s="15"/>
      <c r="O311" s="15"/>
      <c r="P311" s="15"/>
      <c r="Q311" s="15"/>
      <c r="S311" s="35"/>
      <c r="T311" s="13"/>
      <c r="U311" s="17"/>
      <c r="V311" s="17"/>
      <c r="W311" s="36"/>
      <c r="X311" s="17"/>
      <c r="Y311" s="17"/>
      <c r="AA311" s="15" t="s">
        <v>253</v>
      </c>
      <c r="AB311" s="17"/>
      <c r="AC311" s="21" t="s">
        <v>78</v>
      </c>
      <c r="AD311" s="21" t="s">
        <v>78</v>
      </c>
      <c r="AE311" s="17" t="s">
        <v>62</v>
      </c>
      <c r="AF311" s="17"/>
      <c r="AG311" s="15"/>
      <c r="AI311" s="42">
        <f t="shared" ca="1" si="45"/>
        <v>706</v>
      </c>
      <c r="AJ311" s="42">
        <f t="shared" ca="1" si="44"/>
        <v>588</v>
      </c>
      <c r="AK311" s="13" t="s">
        <v>87</v>
      </c>
      <c r="AL311" s="36" t="str">
        <f t="shared" si="46"/>
        <v>Aborted</v>
      </c>
      <c r="AM311" s="37">
        <v>44958</v>
      </c>
      <c r="AN311" s="37">
        <f>+AM311</f>
        <v>44958</v>
      </c>
      <c r="AO311" s="37" t="s">
        <v>65</v>
      </c>
      <c r="AP311" s="37" t="s">
        <v>65</v>
      </c>
      <c r="AQ311" s="38">
        <f>+AN311</f>
        <v>44958</v>
      </c>
      <c r="AR311" s="38" t="s">
        <v>65</v>
      </c>
      <c r="AS311" s="38" t="s">
        <v>65</v>
      </c>
      <c r="AT311" s="38" t="s">
        <v>65</v>
      </c>
      <c r="AU311" s="38" t="s">
        <v>65</v>
      </c>
      <c r="AV311" s="38" t="s">
        <v>65</v>
      </c>
      <c r="AW311" s="38">
        <v>45076</v>
      </c>
      <c r="AX311" s="38"/>
      <c r="AY311" s="38">
        <v>45076</v>
      </c>
      <c r="AZ311" s="38"/>
      <c r="BA311" s="39">
        <f t="shared" si="51"/>
        <v>1</v>
      </c>
      <c r="BB311" s="38"/>
      <c r="BC311" s="11" t="s">
        <v>7</v>
      </c>
    </row>
    <row r="312" spans="2:55" x14ac:dyDescent="0.35">
      <c r="B312" s="16">
        <f>IF(D312=$A$516,1,IF(D312=$A$517,2,IF(D312=$A$518,3,IF(D312=$A$519,4,IF(D312=$A$520,5,IF(D312=$A$521,6))))))</f>
        <v>5</v>
      </c>
      <c r="D312" s="20" t="str">
        <f t="shared" si="47"/>
        <v>abt</v>
      </c>
      <c r="E312" s="20" t="s">
        <v>710</v>
      </c>
      <c r="F312" s="13" t="s">
        <v>711</v>
      </c>
      <c r="G312" s="13" t="s">
        <v>712</v>
      </c>
      <c r="H312" s="14"/>
      <c r="I312" s="13"/>
      <c r="J312" s="13" t="s">
        <v>294</v>
      </c>
      <c r="K312" s="15" t="s">
        <v>713</v>
      </c>
      <c r="L312" s="15"/>
      <c r="M312" s="15"/>
      <c r="N312" s="15"/>
      <c r="O312" s="15"/>
      <c r="P312" s="15"/>
      <c r="Q312" s="15"/>
      <c r="S312" s="35" t="s">
        <v>77</v>
      </c>
      <c r="T312" s="13">
        <v>2022</v>
      </c>
      <c r="U312" s="17">
        <v>9.9</v>
      </c>
      <c r="V312" s="17">
        <v>2</v>
      </c>
      <c r="W312" s="36">
        <f>+V312/U312</f>
        <v>0.20202020202020202</v>
      </c>
      <c r="X312" s="17"/>
      <c r="Y312" s="17"/>
      <c r="AA312" s="15" t="s">
        <v>253</v>
      </c>
      <c r="AB312" s="17"/>
      <c r="AC312" s="21" t="s">
        <v>78</v>
      </c>
      <c r="AD312" s="21" t="s">
        <v>78</v>
      </c>
      <c r="AE312" s="17" t="s">
        <v>62</v>
      </c>
      <c r="AF312" s="17" t="s">
        <v>128</v>
      </c>
      <c r="AG312" s="15"/>
      <c r="AI312" s="42">
        <f t="shared" ca="1" si="45"/>
        <v>840</v>
      </c>
      <c r="AJ312" s="42">
        <f t="shared" ca="1" si="44"/>
        <v>522</v>
      </c>
      <c r="AK312" s="13" t="s">
        <v>87</v>
      </c>
      <c r="AL312" s="36" t="str">
        <f t="shared" si="46"/>
        <v>Aborted</v>
      </c>
      <c r="AM312" s="37">
        <v>44824</v>
      </c>
      <c r="AN312" s="37">
        <v>44824</v>
      </c>
      <c r="AO312" s="37" t="s">
        <v>65</v>
      </c>
      <c r="AP312" s="37" t="s">
        <v>65</v>
      </c>
      <c r="AQ312" s="38">
        <f>+AN312</f>
        <v>44824</v>
      </c>
      <c r="AR312" s="38" t="s">
        <v>65</v>
      </c>
      <c r="AS312" s="38" t="s">
        <v>65</v>
      </c>
      <c r="AT312" s="38" t="s">
        <v>65</v>
      </c>
      <c r="AU312" s="38" t="s">
        <v>65</v>
      </c>
      <c r="AV312" s="38">
        <v>44824</v>
      </c>
      <c r="AW312" s="38">
        <v>45142</v>
      </c>
      <c r="AX312" s="38"/>
      <c r="AY312" s="38">
        <v>45142</v>
      </c>
      <c r="AZ312" s="38"/>
      <c r="BA312" s="39">
        <f t="shared" si="51"/>
        <v>1</v>
      </c>
      <c r="BB312" s="38"/>
      <c r="BC312" s="11" t="s">
        <v>7</v>
      </c>
    </row>
    <row r="313" spans="2:55" x14ac:dyDescent="0.35">
      <c r="B313" s="16">
        <f>IF(D313=$A$516,1,IF(D313=$A$517,2,IF(D313=$A$518,3,IF(D313=$A$519,4,IF(D313=$A$520,5,IF(D313=$A$521,6))))))</f>
        <v>5</v>
      </c>
      <c r="D313" s="20" t="str">
        <f t="shared" si="47"/>
        <v>abt</v>
      </c>
      <c r="E313" s="20" t="s">
        <v>687</v>
      </c>
      <c r="F313" s="13" t="s">
        <v>688</v>
      </c>
      <c r="G313" s="13" t="s">
        <v>689</v>
      </c>
      <c r="H313" s="14"/>
      <c r="I313" s="13"/>
      <c r="J313" s="13" t="s">
        <v>83</v>
      </c>
      <c r="K313" s="15" t="s">
        <v>690</v>
      </c>
      <c r="L313" s="15"/>
      <c r="M313" s="15"/>
      <c r="N313" s="15"/>
      <c r="O313" s="15"/>
      <c r="P313" s="15"/>
      <c r="Q313" s="15"/>
      <c r="S313" s="35" t="s">
        <v>77</v>
      </c>
      <c r="T313" s="13">
        <v>2022</v>
      </c>
      <c r="U313" s="17">
        <v>31</v>
      </c>
      <c r="V313" s="17">
        <v>5.8</v>
      </c>
      <c r="W313" s="36">
        <f>+V313/U313</f>
        <v>0.18709677419354839</v>
      </c>
      <c r="X313" s="17"/>
      <c r="Y313" s="17"/>
      <c r="AA313" s="15" t="s">
        <v>253</v>
      </c>
      <c r="AB313" s="25"/>
      <c r="AC313" s="21" t="s">
        <v>153</v>
      </c>
      <c r="AD313" s="21" t="s">
        <v>153</v>
      </c>
      <c r="AE313" s="17"/>
      <c r="AF313" s="17"/>
      <c r="AG313" s="15"/>
      <c r="AI313" s="42">
        <f t="shared" ca="1" si="45"/>
        <v>620</v>
      </c>
      <c r="AJ313" s="42">
        <f t="shared" ca="1" si="44"/>
        <v>483</v>
      </c>
      <c r="AK313" s="13" t="s">
        <v>87</v>
      </c>
      <c r="AL313" s="36" t="str">
        <f t="shared" si="46"/>
        <v>Aborted</v>
      </c>
      <c r="AM313" s="37">
        <v>45044</v>
      </c>
      <c r="AN313" s="37">
        <v>44824</v>
      </c>
      <c r="AO313" s="37" t="s">
        <v>65</v>
      </c>
      <c r="AP313" s="37" t="s">
        <v>65</v>
      </c>
      <c r="AQ313" s="38">
        <f>+AN313</f>
        <v>44824</v>
      </c>
      <c r="AR313" s="38" t="s">
        <v>65</v>
      </c>
      <c r="AS313" s="38" t="s">
        <v>65</v>
      </c>
      <c r="AT313" s="38" t="s">
        <v>65</v>
      </c>
      <c r="AU313" s="38" t="s">
        <v>65</v>
      </c>
      <c r="AV313" s="38">
        <v>44824</v>
      </c>
      <c r="AW313" s="38">
        <v>44652</v>
      </c>
      <c r="AX313" s="38"/>
      <c r="AY313" s="38">
        <v>45181</v>
      </c>
      <c r="AZ313" s="38"/>
      <c r="BA313" s="39">
        <f t="shared" si="51"/>
        <v>1</v>
      </c>
      <c r="BB313" s="38"/>
      <c r="BC313" s="11" t="s">
        <v>7</v>
      </c>
    </row>
    <row r="314" spans="2:55" x14ac:dyDescent="0.35">
      <c r="B314" s="16">
        <f>IF(D314=$A$516,1,IF(D314=$A$517,2,IF(D314=$A$518,3,IF(D314=$A$519,4,IF(D314=$A$520,5,IF(D314=$A$521,6))))))</f>
        <v>5</v>
      </c>
      <c r="D314" s="20" t="str">
        <f t="shared" si="47"/>
        <v>abt</v>
      </c>
      <c r="E314" s="12" t="s">
        <v>767</v>
      </c>
      <c r="F314" s="14"/>
      <c r="G314" s="13" t="s">
        <v>259</v>
      </c>
      <c r="H314" s="14"/>
      <c r="I314" s="13"/>
      <c r="J314" s="13" t="s">
        <v>83</v>
      </c>
      <c r="K314" s="15" t="s">
        <v>768</v>
      </c>
      <c r="L314" s="15"/>
      <c r="M314" s="15"/>
      <c r="N314" s="15"/>
      <c r="O314" s="15"/>
      <c r="P314" s="15"/>
      <c r="Q314" s="15"/>
      <c r="S314" s="35"/>
      <c r="T314" s="13"/>
      <c r="U314" s="17"/>
      <c r="V314" s="17"/>
      <c r="W314" s="36"/>
      <c r="X314" s="17"/>
      <c r="Y314" s="17"/>
      <c r="AA314" s="15" t="s">
        <v>140</v>
      </c>
      <c r="AB314" s="17"/>
      <c r="AC314" s="21" t="s">
        <v>61</v>
      </c>
      <c r="AD314" s="17" t="s">
        <v>61</v>
      </c>
      <c r="AE314" s="17" t="s">
        <v>79</v>
      </c>
      <c r="AF314" s="17"/>
      <c r="AG314" s="15"/>
      <c r="AH314" s="677">
        <v>1</v>
      </c>
      <c r="AI314" s="42">
        <f t="shared" ca="1" si="45"/>
        <v>621</v>
      </c>
      <c r="AJ314" s="42">
        <f t="shared" ref="AJ314:AJ377" ca="1" si="52">+(IF(AL314="Closed","-",IF(TODAY()-MAX(AN314:BA314)&gt;0,TODAY()-MAX(AN314:BA314),0)))</f>
        <v>621</v>
      </c>
      <c r="AK314" s="13" t="s">
        <v>64</v>
      </c>
      <c r="AL314" s="36" t="str">
        <f t="shared" si="46"/>
        <v>Aborted</v>
      </c>
      <c r="AM314" s="37">
        <v>45043</v>
      </c>
      <c r="AN314" s="75">
        <v>45043</v>
      </c>
      <c r="AO314" s="37" t="s">
        <v>65</v>
      </c>
      <c r="AP314" s="37">
        <v>45043</v>
      </c>
      <c r="AQ314" s="38"/>
      <c r="AR314" s="38"/>
      <c r="AS314" s="38"/>
      <c r="AT314" s="38"/>
      <c r="AU314" s="38"/>
      <c r="AV314" s="38"/>
      <c r="AW314" s="38"/>
      <c r="AX314" s="38">
        <v>45043</v>
      </c>
      <c r="AY314" s="38">
        <v>45043</v>
      </c>
      <c r="AZ314" s="38"/>
      <c r="BA314" s="39">
        <f t="shared" si="51"/>
        <v>0.33333333333333331</v>
      </c>
      <c r="BB314" s="38"/>
      <c r="BC314" s="11" t="s">
        <v>7</v>
      </c>
    </row>
    <row r="315" spans="2:55" x14ac:dyDescent="0.35">
      <c r="B315" s="16">
        <f>IF(D315=$A$516,1,IF(D315=$A$517,2,IF(D315=$A$518,3,IF(D315=$A$519,4,IF(D315=$A$520,5,IF(D315=$A$521,6))))))</f>
        <v>5</v>
      </c>
      <c r="D315" s="20" t="str">
        <f t="shared" si="47"/>
        <v>abt</v>
      </c>
      <c r="E315" s="12" t="s">
        <v>827</v>
      </c>
      <c r="F315" s="13"/>
      <c r="G315" s="13" t="s">
        <v>828</v>
      </c>
      <c r="H315" s="79">
        <v>11177300156</v>
      </c>
      <c r="I315" s="79">
        <v>101300</v>
      </c>
      <c r="J315" s="13" t="s">
        <v>83</v>
      </c>
      <c r="K315" s="15" t="s">
        <v>829</v>
      </c>
      <c r="L315" s="15" t="s">
        <v>830</v>
      </c>
      <c r="M315" s="15"/>
      <c r="N315" s="15"/>
      <c r="O315" s="15"/>
      <c r="P315" s="15"/>
      <c r="Q315" s="15"/>
      <c r="S315" s="35" t="s">
        <v>77</v>
      </c>
      <c r="T315" s="13">
        <v>2020</v>
      </c>
      <c r="U315" s="17">
        <v>9.8000000000000007</v>
      </c>
      <c r="V315" s="17">
        <v>0.8</v>
      </c>
      <c r="W315" s="36">
        <f>+V315/U315</f>
        <v>8.1632653061224483E-2</v>
      </c>
      <c r="X315" s="17">
        <v>0.5</v>
      </c>
      <c r="Y315" s="17">
        <v>-2.8</v>
      </c>
      <c r="AA315" s="15" t="s">
        <v>99</v>
      </c>
      <c r="AB315" s="17" t="s">
        <v>831</v>
      </c>
      <c r="AC315" s="21" t="s">
        <v>78</v>
      </c>
      <c r="AD315" s="21" t="s">
        <v>78</v>
      </c>
      <c r="AE315" s="61" t="s">
        <v>128</v>
      </c>
      <c r="AF315" s="17"/>
      <c r="AG315" s="15"/>
      <c r="AI315" s="42">
        <f t="shared" ca="1" si="45"/>
        <v>994</v>
      </c>
      <c r="AJ315" s="42">
        <f t="shared" ca="1" si="52"/>
        <v>637</v>
      </c>
      <c r="AK315" s="13" t="s">
        <v>87</v>
      </c>
      <c r="AL315" s="36" t="str">
        <f t="shared" si="46"/>
        <v>Aborted</v>
      </c>
      <c r="AM315" s="37">
        <v>44670</v>
      </c>
      <c r="AN315" s="75">
        <v>44670</v>
      </c>
      <c r="AO315" s="37" t="s">
        <v>65</v>
      </c>
      <c r="AP315" s="37" t="s">
        <v>65</v>
      </c>
      <c r="AQ315" s="38">
        <v>44683</v>
      </c>
      <c r="AR315" s="38">
        <v>44894</v>
      </c>
      <c r="AS315" s="38"/>
      <c r="AT315" s="38"/>
      <c r="AU315" s="38"/>
      <c r="AV315" s="38"/>
      <c r="AW315" s="38">
        <v>44957</v>
      </c>
      <c r="AX315" s="38">
        <v>44898</v>
      </c>
      <c r="AY315" s="38">
        <v>45027</v>
      </c>
      <c r="AZ315" s="38"/>
      <c r="BA315" s="39">
        <f t="shared" si="51"/>
        <v>0.55555555555555558</v>
      </c>
      <c r="BB315" s="38"/>
      <c r="BC315" s="11" t="s">
        <v>7</v>
      </c>
    </row>
    <row r="316" spans="2:55" x14ac:dyDescent="0.35">
      <c r="B316" s="16">
        <f>IF(D316=$A$516,1,IF(D316=$A$517,2,IF(D316=$A$518,3,IF(D316=$A$519,4,IF(D316=$A$520,5,IF(D316=$A$521,6))))))</f>
        <v>5</v>
      </c>
      <c r="D316" s="20" t="str">
        <f t="shared" si="47"/>
        <v>abt</v>
      </c>
      <c r="E316" s="20" t="s">
        <v>624</v>
      </c>
      <c r="F316" s="13"/>
      <c r="G316" s="13" t="s">
        <v>94</v>
      </c>
      <c r="H316" s="14" t="s">
        <v>95</v>
      </c>
      <c r="I316" s="13">
        <v>222909</v>
      </c>
      <c r="J316" s="13" t="s">
        <v>96</v>
      </c>
      <c r="K316" s="15" t="s">
        <v>97</v>
      </c>
      <c r="L316" s="15" t="s">
        <v>98</v>
      </c>
      <c r="M316" s="15" t="s">
        <v>98</v>
      </c>
      <c r="N316" s="15"/>
      <c r="O316" s="15"/>
      <c r="P316" s="15"/>
      <c r="Q316" s="15"/>
      <c r="S316" s="35" t="s">
        <v>77</v>
      </c>
      <c r="T316" s="13">
        <v>2019</v>
      </c>
      <c r="U316" s="17">
        <v>79.17</v>
      </c>
      <c r="V316" s="17">
        <v>6.97</v>
      </c>
      <c r="W316" s="36">
        <f>+V316/U316</f>
        <v>8.8038398383225969E-2</v>
      </c>
      <c r="X316" s="17">
        <v>2.2400000000000002</v>
      </c>
      <c r="Y316" s="17">
        <v>40.340000000000003</v>
      </c>
      <c r="AA316" s="15" t="s">
        <v>99</v>
      </c>
      <c r="AB316" s="17" t="s">
        <v>100</v>
      </c>
      <c r="AC316" s="21" t="s">
        <v>78</v>
      </c>
      <c r="AD316" s="21" t="s">
        <v>78</v>
      </c>
      <c r="AE316" s="17" t="s">
        <v>79</v>
      </c>
      <c r="AF316" s="17" t="s">
        <v>62</v>
      </c>
      <c r="AG316" s="15"/>
      <c r="AH316" s="677">
        <v>1</v>
      </c>
      <c r="AI316" s="42">
        <f t="shared" ca="1" si="45"/>
        <v>484</v>
      </c>
      <c r="AJ316" s="42">
        <f t="shared" ca="1" si="52"/>
        <v>455</v>
      </c>
      <c r="AK316" s="13" t="s">
        <v>87</v>
      </c>
      <c r="AL316" s="36" t="str">
        <f t="shared" si="46"/>
        <v>Aborted</v>
      </c>
      <c r="AM316" s="37">
        <v>45180</v>
      </c>
      <c r="AN316" s="75">
        <f>+AM316</f>
        <v>45180</v>
      </c>
      <c r="AO316" s="37" t="s">
        <v>65</v>
      </c>
      <c r="AP316" s="37" t="s">
        <v>65</v>
      </c>
      <c r="AQ316" s="38">
        <f>+AN316</f>
        <v>45180</v>
      </c>
      <c r="AR316" s="38" t="s">
        <v>65</v>
      </c>
      <c r="AS316" s="38">
        <v>45180</v>
      </c>
      <c r="AT316" s="38"/>
      <c r="AU316" s="38"/>
      <c r="AV316" s="38"/>
      <c r="AW316" s="38">
        <v>45180</v>
      </c>
      <c r="AX316" s="38"/>
      <c r="AY316" s="38">
        <v>45209</v>
      </c>
      <c r="AZ316" s="38"/>
      <c r="BA316" s="39">
        <f t="shared" si="51"/>
        <v>0.66666666666666663</v>
      </c>
      <c r="BB316" s="38"/>
      <c r="BC316" s="11" t="s">
        <v>7</v>
      </c>
    </row>
    <row r="317" spans="2:55" x14ac:dyDescent="0.35">
      <c r="B317" s="16">
        <f>IF(D317=$A$516,1,IF(D317=$A$517,2,IF(D317=$A$518,3,IF(D317=$A$519,4,IF(D317=$A$520,5,IF(D317=$A$521,6))))))</f>
        <v>5</v>
      </c>
      <c r="D317" s="20" t="str">
        <f t="shared" si="47"/>
        <v>abt</v>
      </c>
      <c r="E317" s="20" t="s">
        <v>691</v>
      </c>
      <c r="F317" s="13" t="s">
        <v>692</v>
      </c>
      <c r="G317" s="13" t="s">
        <v>94</v>
      </c>
      <c r="H317" s="14" t="s">
        <v>95</v>
      </c>
      <c r="I317" s="13">
        <v>222909</v>
      </c>
      <c r="J317" s="13" t="s">
        <v>96</v>
      </c>
      <c r="K317" s="15" t="s">
        <v>97</v>
      </c>
      <c r="L317" s="15" t="s">
        <v>98</v>
      </c>
      <c r="M317" s="15" t="s">
        <v>98</v>
      </c>
      <c r="N317" s="15"/>
      <c r="O317" s="15"/>
      <c r="P317" s="15"/>
      <c r="Q317" s="15"/>
      <c r="S317" s="35" t="s">
        <v>77</v>
      </c>
      <c r="T317" s="13">
        <v>2019</v>
      </c>
      <c r="U317" s="17">
        <v>79.17</v>
      </c>
      <c r="V317" s="17">
        <v>6.97</v>
      </c>
      <c r="W317" s="36">
        <f>+V317/U317</f>
        <v>8.8038398383225969E-2</v>
      </c>
      <c r="X317" s="17">
        <v>2.2400000000000002</v>
      </c>
      <c r="Y317" s="17">
        <v>40.340000000000003</v>
      </c>
      <c r="AA317" s="15" t="s">
        <v>99</v>
      </c>
      <c r="AB317" s="25" t="s">
        <v>100</v>
      </c>
      <c r="AC317" s="21" t="s">
        <v>78</v>
      </c>
      <c r="AD317" s="21" t="s">
        <v>78</v>
      </c>
      <c r="AE317" s="17" t="s">
        <v>79</v>
      </c>
      <c r="AF317" s="17" t="s">
        <v>62</v>
      </c>
      <c r="AG317" s="15"/>
      <c r="AH317" s="677">
        <v>1</v>
      </c>
      <c r="AI317" s="42">
        <f t="shared" ca="1" si="45"/>
        <v>1408</v>
      </c>
      <c r="AJ317" s="42">
        <f t="shared" ca="1" si="52"/>
        <v>484</v>
      </c>
      <c r="AK317" s="13" t="s">
        <v>87</v>
      </c>
      <c r="AL317" s="36" t="str">
        <f t="shared" si="46"/>
        <v>Aborted</v>
      </c>
      <c r="AM317" s="37">
        <v>44256</v>
      </c>
      <c r="AN317" s="37">
        <v>44270</v>
      </c>
      <c r="AO317" s="37" t="s">
        <v>65</v>
      </c>
      <c r="AP317" s="37">
        <v>44294</v>
      </c>
      <c r="AQ317" s="38">
        <v>44294</v>
      </c>
      <c r="AR317" s="38">
        <v>44308</v>
      </c>
      <c r="AS317" s="38">
        <v>44342</v>
      </c>
      <c r="AT317" s="38">
        <v>44344</v>
      </c>
      <c r="AU317" s="38">
        <v>44489</v>
      </c>
      <c r="AV317" s="38">
        <v>44530</v>
      </c>
      <c r="AW317" s="38">
        <v>45180</v>
      </c>
      <c r="AX317" s="38">
        <v>44917</v>
      </c>
      <c r="AY317" s="38">
        <v>44943</v>
      </c>
      <c r="AZ317" s="38"/>
      <c r="BA317" s="39">
        <f t="shared" si="51"/>
        <v>1</v>
      </c>
      <c r="BB317" s="38"/>
      <c r="BC317" s="11" t="s">
        <v>7</v>
      </c>
    </row>
    <row r="318" spans="2:55" x14ac:dyDescent="0.35">
      <c r="B318" s="16">
        <f>IF(D318=$A$516,1,IF(D318=$A$517,2,IF(D318=$A$518,3,IF(D318=$A$519,4,IF(D318=$A$520,5,IF(D318=$A$521,6))))))</f>
        <v>5</v>
      </c>
      <c r="D318" s="20" t="str">
        <f t="shared" si="47"/>
        <v>abt</v>
      </c>
      <c r="E318" s="20" t="s">
        <v>702</v>
      </c>
      <c r="F318" s="13" t="s">
        <v>65</v>
      </c>
      <c r="G318" s="13" t="s">
        <v>94</v>
      </c>
      <c r="H318" s="14" t="s">
        <v>95</v>
      </c>
      <c r="I318" s="13">
        <v>222909</v>
      </c>
      <c r="J318" s="13" t="s">
        <v>96</v>
      </c>
      <c r="K318" s="15" t="s">
        <v>97</v>
      </c>
      <c r="L318" s="15" t="s">
        <v>98</v>
      </c>
      <c r="M318" s="15" t="s">
        <v>98</v>
      </c>
      <c r="N318" s="15"/>
      <c r="O318" s="15"/>
      <c r="P318" s="15"/>
      <c r="Q318" s="15"/>
      <c r="S318" s="35" t="s">
        <v>77</v>
      </c>
      <c r="T318" s="13">
        <v>2019</v>
      </c>
      <c r="U318" s="17">
        <v>79.17</v>
      </c>
      <c r="V318" s="17">
        <v>6.97</v>
      </c>
      <c r="W318" s="36">
        <f>+V318/U318</f>
        <v>8.8038398383225969E-2</v>
      </c>
      <c r="X318" s="17">
        <v>2.2400000000000002</v>
      </c>
      <c r="Y318" s="17">
        <v>40.340000000000003</v>
      </c>
      <c r="AA318" s="15" t="s">
        <v>99</v>
      </c>
      <c r="AB318" s="17" t="s">
        <v>100</v>
      </c>
      <c r="AC318" s="21" t="s">
        <v>78</v>
      </c>
      <c r="AD318" s="21" t="s">
        <v>78</v>
      </c>
      <c r="AE318" s="17" t="s">
        <v>79</v>
      </c>
      <c r="AF318" s="17" t="s">
        <v>62</v>
      </c>
      <c r="AG318" s="15"/>
      <c r="AH318" s="677">
        <v>1</v>
      </c>
      <c r="AI318" s="42">
        <f t="shared" ca="1" si="45"/>
        <v>731</v>
      </c>
      <c r="AJ318" s="42">
        <f t="shared" ca="1" si="52"/>
        <v>491</v>
      </c>
      <c r="AK318" s="13" t="s">
        <v>87</v>
      </c>
      <c r="AL318" s="36" t="str">
        <f t="shared" si="46"/>
        <v>Aborted</v>
      </c>
      <c r="AM318" s="37">
        <v>44933</v>
      </c>
      <c r="AN318" s="37">
        <f>+AM318</f>
        <v>44933</v>
      </c>
      <c r="AO318" s="37" t="s">
        <v>65</v>
      </c>
      <c r="AP318" s="37">
        <v>44933</v>
      </c>
      <c r="AQ318" s="38">
        <v>44933</v>
      </c>
      <c r="AR318" s="38" t="s">
        <v>65</v>
      </c>
      <c r="AS318" s="38" t="s">
        <v>65</v>
      </c>
      <c r="AT318" s="38"/>
      <c r="AU318" s="38"/>
      <c r="AV318" s="38"/>
      <c r="AW318" s="38">
        <v>45012</v>
      </c>
      <c r="AX318" s="38">
        <v>45037</v>
      </c>
      <c r="AY318" s="38">
        <v>45173</v>
      </c>
      <c r="AZ318" s="38"/>
      <c r="BA318" s="39">
        <f t="shared" si="51"/>
        <v>0.66666666666666663</v>
      </c>
      <c r="BB318" s="38"/>
      <c r="BC318" s="11" t="s">
        <v>7</v>
      </c>
    </row>
    <row r="319" spans="2:55" x14ac:dyDescent="0.35">
      <c r="B319" s="16">
        <f>IF(D319=$A$516,1,IF(D319=$A$517,2,IF(D319=$A$518,3,IF(D319=$A$519,4,IF(D319=$A$520,5,IF(D319=$A$521,6))))))</f>
        <v>5</v>
      </c>
      <c r="D319" s="20" t="str">
        <f t="shared" si="47"/>
        <v>abt</v>
      </c>
      <c r="E319" s="12" t="s">
        <v>804</v>
      </c>
      <c r="F319" s="13"/>
      <c r="G319" s="13" t="s">
        <v>68</v>
      </c>
      <c r="H319" s="14" t="s">
        <v>805</v>
      </c>
      <c r="I319" s="13">
        <v>105200</v>
      </c>
      <c r="J319" s="13" t="s">
        <v>83</v>
      </c>
      <c r="K319" s="15" t="s">
        <v>806</v>
      </c>
      <c r="L319" s="15"/>
      <c r="M319" s="15"/>
      <c r="N319" s="15"/>
      <c r="O319" s="15"/>
      <c r="P319" s="15"/>
      <c r="Q319" s="15"/>
      <c r="S319" s="35" t="s">
        <v>77</v>
      </c>
      <c r="T319" s="13">
        <v>2019</v>
      </c>
      <c r="U319" s="17">
        <v>2.6701739999999998</v>
      </c>
      <c r="V319" s="17">
        <v>0.31465500000000002</v>
      </c>
      <c r="W319" s="36">
        <f>+V319/U319</f>
        <v>0.11784063510467858</v>
      </c>
      <c r="X319" s="17">
        <v>4.1791000000000002E-2</v>
      </c>
      <c r="Y319" s="17">
        <v>0.99570199999999998</v>
      </c>
      <c r="AA319" s="15" t="s">
        <v>60</v>
      </c>
      <c r="AB319" s="17"/>
      <c r="AC319" s="21" t="s">
        <v>61</v>
      </c>
      <c r="AD319" s="17" t="s">
        <v>61</v>
      </c>
      <c r="AE319" s="17" t="s">
        <v>86</v>
      </c>
      <c r="AF319" s="17" t="s">
        <v>128</v>
      </c>
      <c r="AG319" s="15"/>
      <c r="AI319" s="42">
        <f t="shared" ca="1" si="45"/>
        <v>1224</v>
      </c>
      <c r="AJ319" s="42">
        <f t="shared" ca="1" si="52"/>
        <v>637</v>
      </c>
      <c r="AK319" s="13" t="s">
        <v>87</v>
      </c>
      <c r="AL319" s="36" t="str">
        <f t="shared" si="46"/>
        <v>Aborted</v>
      </c>
      <c r="AM319" s="37">
        <v>44440</v>
      </c>
      <c r="AN319" s="37">
        <v>44440</v>
      </c>
      <c r="AO319" s="37" t="s">
        <v>65</v>
      </c>
      <c r="AP319" s="37" t="s">
        <v>65</v>
      </c>
      <c r="AQ319" s="38">
        <v>44466</v>
      </c>
      <c r="AR319" s="38">
        <v>44644</v>
      </c>
      <c r="AS319" s="38">
        <v>44950</v>
      </c>
      <c r="AT319" s="38">
        <v>44951</v>
      </c>
      <c r="AU319" s="38"/>
      <c r="AV319" s="38"/>
      <c r="AW319" s="38">
        <v>44951</v>
      </c>
      <c r="AX319" s="38">
        <v>44977</v>
      </c>
      <c r="AY319" s="38">
        <v>45027</v>
      </c>
      <c r="AZ319" s="38"/>
      <c r="BA319" s="39">
        <f t="shared" si="51"/>
        <v>0.77777777777777779</v>
      </c>
      <c r="BB319" s="38"/>
      <c r="BC319" s="11" t="s">
        <v>7</v>
      </c>
    </row>
    <row r="320" spans="2:55" x14ac:dyDescent="0.35">
      <c r="B320" s="16">
        <f>IF(D320=$A$516,1,IF(D320=$A$517,2,IF(D320=$A$518,3,IF(D320=$A$519,4,IF(D320=$A$520,5,IF(D320=$A$521,6))))))</f>
        <v>5</v>
      </c>
      <c r="D320" s="20" t="str">
        <f t="shared" si="47"/>
        <v>abt</v>
      </c>
      <c r="E320" s="12" t="s">
        <v>1346</v>
      </c>
      <c r="F320" s="13"/>
      <c r="G320" s="13" t="s">
        <v>1309</v>
      </c>
      <c r="H320" s="13"/>
      <c r="I320" s="13"/>
      <c r="J320" s="13"/>
      <c r="K320" s="15"/>
      <c r="L320" s="15"/>
      <c r="M320" s="15"/>
      <c r="N320" s="15"/>
      <c r="O320" s="15"/>
      <c r="P320" s="15"/>
      <c r="Q320" s="15"/>
      <c r="S320" s="35"/>
      <c r="T320" s="13"/>
      <c r="U320" s="17"/>
      <c r="V320" s="17"/>
      <c r="W320" s="36"/>
      <c r="X320" s="17"/>
      <c r="Y320" s="17"/>
      <c r="AA320" s="632"/>
      <c r="AB320" s="17"/>
      <c r="AC320" s="21" t="s">
        <v>61</v>
      </c>
      <c r="AD320" s="21" t="s">
        <v>61</v>
      </c>
      <c r="AE320" s="17" t="s">
        <v>62</v>
      </c>
      <c r="AF320" s="17"/>
      <c r="AG320" s="15"/>
      <c r="AI320" s="42">
        <f t="shared" ca="1" si="45"/>
        <v>1286</v>
      </c>
      <c r="AJ320" s="42">
        <f t="shared" ca="1" si="52"/>
        <v>1092</v>
      </c>
      <c r="AK320" s="13"/>
      <c r="AL320" s="36" t="str">
        <f t="shared" si="46"/>
        <v>Aborted</v>
      </c>
      <c r="AM320" s="37">
        <v>44378</v>
      </c>
      <c r="AN320" s="37">
        <v>44378</v>
      </c>
      <c r="AO320" s="37" t="s">
        <v>65</v>
      </c>
      <c r="AP320" s="37"/>
      <c r="AQ320" s="38"/>
      <c r="AR320" s="38"/>
      <c r="AS320" s="38"/>
      <c r="AT320" s="38"/>
      <c r="AU320" s="38"/>
      <c r="AV320" s="38"/>
      <c r="AW320" s="38"/>
      <c r="AX320" s="38">
        <v>44460</v>
      </c>
      <c r="AY320" s="38">
        <v>44572</v>
      </c>
      <c r="AZ320" s="121"/>
      <c r="BA320" s="39">
        <f t="shared" si="51"/>
        <v>0.22222222222222221</v>
      </c>
      <c r="BB320" s="38"/>
      <c r="BC320" s="11" t="s">
        <v>7</v>
      </c>
    </row>
    <row r="321" spans="2:55" x14ac:dyDescent="0.35">
      <c r="B321" s="16">
        <f>IF(D321=$A$516,1,IF(D321=$A$517,2,IF(D321=$A$518,3,IF(D321=$A$519,4,IF(D321=$A$520,5,IF(D321=$A$521,6))))))</f>
        <v>5</v>
      </c>
      <c r="D321" s="20" t="str">
        <f t="shared" si="47"/>
        <v>abt</v>
      </c>
      <c r="E321" s="12" t="s">
        <v>1302</v>
      </c>
      <c r="F321" s="14"/>
      <c r="G321" s="13" t="s">
        <v>68</v>
      </c>
      <c r="H321" s="14" t="s">
        <v>1303</v>
      </c>
      <c r="I321" s="13"/>
      <c r="J321" s="13" t="s">
        <v>1018</v>
      </c>
      <c r="K321" s="15" t="s">
        <v>1304</v>
      </c>
      <c r="L321" s="15"/>
      <c r="M321" s="15"/>
      <c r="N321" s="15"/>
      <c r="O321" s="15"/>
      <c r="P321" s="15"/>
      <c r="Q321" s="15"/>
      <c r="S321" s="35"/>
      <c r="T321" s="13"/>
      <c r="U321" s="17"/>
      <c r="V321" s="17"/>
      <c r="W321" s="36"/>
      <c r="X321" s="17"/>
      <c r="Y321" s="17"/>
      <c r="AA321" s="15" t="s">
        <v>140</v>
      </c>
      <c r="AB321" s="17"/>
      <c r="AC321" s="21" t="s">
        <v>61</v>
      </c>
      <c r="AD321" s="21" t="s">
        <v>61</v>
      </c>
      <c r="AE321" s="17"/>
      <c r="AF321" s="17"/>
      <c r="AG321" s="15"/>
      <c r="AI321" s="42">
        <f t="shared" ca="1" si="45"/>
        <v>1075</v>
      </c>
      <c r="AJ321" s="42">
        <f t="shared" ca="1" si="52"/>
        <v>1058</v>
      </c>
      <c r="AK321" s="13"/>
      <c r="AL321" s="36" t="str">
        <f t="shared" si="46"/>
        <v>Aborted</v>
      </c>
      <c r="AM321" s="37">
        <v>44589</v>
      </c>
      <c r="AN321" s="37">
        <v>44589</v>
      </c>
      <c r="AO321" s="37">
        <v>44599</v>
      </c>
      <c r="AP321" s="37"/>
      <c r="AQ321" s="38"/>
      <c r="AR321" s="38"/>
      <c r="AS321" s="38"/>
      <c r="AT321" s="38"/>
      <c r="AU321" s="38"/>
      <c r="AV321" s="38"/>
      <c r="AW321" s="38"/>
      <c r="AX321" s="38"/>
      <c r="AY321" s="38">
        <v>44606</v>
      </c>
      <c r="AZ321" s="38"/>
      <c r="BA321" s="39">
        <f t="shared" si="51"/>
        <v>0.22222222222222221</v>
      </c>
      <c r="BB321" s="38"/>
      <c r="BC321" s="11" t="s">
        <v>7</v>
      </c>
    </row>
    <row r="322" spans="2:55" x14ac:dyDescent="0.35">
      <c r="B322" s="16">
        <f>IF(D322=$A$516,1,IF(D322=$A$517,2,IF(D322=$A$518,3,IF(D322=$A$519,4,IF(D322=$A$520,5,IF(D322=$A$521,6))))))</f>
        <v>5</v>
      </c>
      <c r="D322" s="20" t="str">
        <f t="shared" si="47"/>
        <v>abt</v>
      </c>
      <c r="E322" s="20" t="s">
        <v>774</v>
      </c>
      <c r="F322" s="13"/>
      <c r="G322" s="13" t="s">
        <v>326</v>
      </c>
      <c r="H322" s="14" t="s">
        <v>775</v>
      </c>
      <c r="I322" s="13">
        <v>889100</v>
      </c>
      <c r="J322" s="13" t="s">
        <v>57</v>
      </c>
      <c r="K322" s="15" t="s">
        <v>58</v>
      </c>
      <c r="L322" s="15" t="s">
        <v>776</v>
      </c>
      <c r="M322" s="20"/>
      <c r="N322" s="15"/>
      <c r="O322" s="15"/>
      <c r="P322" s="15"/>
      <c r="Q322" s="15"/>
      <c r="S322" s="35" t="s">
        <v>77</v>
      </c>
      <c r="T322" s="13">
        <v>2021</v>
      </c>
      <c r="U322" s="17">
        <f>1422/1000</f>
        <v>1.4219999999999999</v>
      </c>
      <c r="V322" s="17">
        <f>270/1000</f>
        <v>0.27</v>
      </c>
      <c r="W322" s="36">
        <f>+V322/U322</f>
        <v>0.189873417721519</v>
      </c>
      <c r="X322" s="17" t="s">
        <v>65</v>
      </c>
      <c r="Y322" s="17" t="s">
        <v>65</v>
      </c>
      <c r="AA322" s="15" t="s">
        <v>140</v>
      </c>
      <c r="AB322" s="17"/>
      <c r="AC322" s="21" t="s">
        <v>61</v>
      </c>
      <c r="AD322" s="17" t="s">
        <v>61</v>
      </c>
      <c r="AE322" s="17" t="s">
        <v>62</v>
      </c>
      <c r="AF322" s="17"/>
      <c r="AG322" s="15"/>
      <c r="AI322" s="42">
        <f t="shared" ca="1" si="45"/>
        <v>735</v>
      </c>
      <c r="AJ322" s="42">
        <f t="shared" ca="1" si="52"/>
        <v>637</v>
      </c>
      <c r="AK322" s="13" t="s">
        <v>64</v>
      </c>
      <c r="AL322" s="36" t="str">
        <f t="shared" si="46"/>
        <v>Aborted</v>
      </c>
      <c r="AM322" s="37">
        <v>44929</v>
      </c>
      <c r="AN322" s="75">
        <f>+AM322</f>
        <v>44929</v>
      </c>
      <c r="AO322" s="37" t="s">
        <v>65</v>
      </c>
      <c r="AP322" s="37">
        <v>44942</v>
      </c>
      <c r="AQ322" s="38">
        <v>44944</v>
      </c>
      <c r="AR322" s="38">
        <v>44963</v>
      </c>
      <c r="AS322" s="38">
        <v>44975</v>
      </c>
      <c r="AT322" s="38"/>
      <c r="AU322" s="38"/>
      <c r="AV322" s="38"/>
      <c r="AW322" s="38">
        <v>44998</v>
      </c>
      <c r="AX322" s="38">
        <v>45006</v>
      </c>
      <c r="AY322" s="38">
        <v>45027</v>
      </c>
      <c r="AZ322" s="38"/>
      <c r="BA322" s="39">
        <f t="shared" si="51"/>
        <v>0.66666666666666663</v>
      </c>
      <c r="BB322" s="38"/>
      <c r="BC322" s="11" t="s">
        <v>7</v>
      </c>
    </row>
    <row r="323" spans="2:55" x14ac:dyDescent="0.35">
      <c r="B323" s="16">
        <f>IF(D323=$A$516,1,IF(D323=$A$517,2,IF(D323=$A$518,3,IF(D323=$A$519,4,IF(D323=$A$520,5,IF(D323=$A$521,6))))))</f>
        <v>5</v>
      </c>
      <c r="D323" s="20" t="str">
        <f t="shared" si="47"/>
        <v>abt</v>
      </c>
      <c r="E323" s="20" t="s">
        <v>1007</v>
      </c>
      <c r="F323" s="14"/>
      <c r="G323" s="13" t="s">
        <v>1008</v>
      </c>
      <c r="H323" s="14" t="s">
        <v>1009</v>
      </c>
      <c r="I323" s="13">
        <v>172200</v>
      </c>
      <c r="J323" s="13" t="s">
        <v>1010</v>
      </c>
      <c r="K323" s="15" t="s">
        <v>1011</v>
      </c>
      <c r="L323" s="15"/>
      <c r="M323" s="15"/>
      <c r="N323" s="15"/>
      <c r="O323" s="15"/>
      <c r="P323" s="15"/>
      <c r="Q323" s="15"/>
      <c r="S323" s="35" t="s">
        <v>77</v>
      </c>
      <c r="T323" s="13">
        <v>2020</v>
      </c>
      <c r="U323" s="17">
        <v>46.1</v>
      </c>
      <c r="V323" s="17">
        <v>23.5</v>
      </c>
      <c r="W323" s="36">
        <f>+V323/U323</f>
        <v>0.50976138828633399</v>
      </c>
      <c r="X323" s="17">
        <v>14.5</v>
      </c>
      <c r="Y323" s="17">
        <v>-8.9</v>
      </c>
      <c r="AA323" s="15" t="s">
        <v>99</v>
      </c>
      <c r="AB323" s="17" t="s">
        <v>1012</v>
      </c>
      <c r="AC323" s="21" t="s">
        <v>78</v>
      </c>
      <c r="AD323" s="21" t="s">
        <v>78</v>
      </c>
      <c r="AE323" s="17"/>
      <c r="AF323" s="17"/>
      <c r="AG323" s="15"/>
      <c r="AI323" s="42">
        <f t="shared" ca="1" si="45"/>
        <v>939</v>
      </c>
      <c r="AJ323" s="42">
        <f t="shared" ca="1" si="52"/>
        <v>728</v>
      </c>
      <c r="AK323" s="13"/>
      <c r="AL323" s="36" t="str">
        <f t="shared" si="46"/>
        <v>Aborted</v>
      </c>
      <c r="AM323" s="37">
        <v>44725</v>
      </c>
      <c r="AN323" s="37">
        <v>44725</v>
      </c>
      <c r="AO323" s="37" t="s">
        <v>65</v>
      </c>
      <c r="AP323" s="37" t="s">
        <v>65</v>
      </c>
      <c r="AQ323" s="38"/>
      <c r="AR323" s="38"/>
      <c r="AS323" s="38"/>
      <c r="AT323" s="38"/>
      <c r="AU323" s="38"/>
      <c r="AV323" s="38"/>
      <c r="AW323" s="38">
        <v>44732</v>
      </c>
      <c r="AX323" s="38">
        <v>44740</v>
      </c>
      <c r="AY323" s="38">
        <v>44936</v>
      </c>
      <c r="AZ323" s="38"/>
      <c r="BA323" s="39">
        <f t="shared" si="51"/>
        <v>0.33333333333333331</v>
      </c>
      <c r="BB323" s="38"/>
      <c r="BC323" s="11" t="s">
        <v>7</v>
      </c>
    </row>
    <row r="324" spans="2:55" x14ac:dyDescent="0.35">
      <c r="B324" s="16">
        <f>IF(D324=$A$516,1,IF(D324=$A$517,2,IF(D324=$A$518,3,IF(D324=$A$519,4,IF(D324=$A$520,5,IF(D324=$A$521,6))))))</f>
        <v>5</v>
      </c>
      <c r="D324" s="20" t="str">
        <f t="shared" si="47"/>
        <v>abt</v>
      </c>
      <c r="E324" s="20" t="s">
        <v>1140</v>
      </c>
      <c r="F324" s="14"/>
      <c r="G324" s="13" t="s">
        <v>1141</v>
      </c>
      <c r="H324" s="14" t="s">
        <v>1142</v>
      </c>
      <c r="I324" s="13">
        <v>152010</v>
      </c>
      <c r="J324" s="13" t="s">
        <v>251</v>
      </c>
      <c r="K324" s="15" t="s">
        <v>1143</v>
      </c>
      <c r="L324" s="15" t="s">
        <v>1144</v>
      </c>
      <c r="M324" s="15"/>
      <c r="N324" s="15"/>
      <c r="O324" s="15"/>
      <c r="P324" s="15"/>
      <c r="Q324" s="15"/>
      <c r="S324" s="35" t="s">
        <v>77</v>
      </c>
      <c r="T324" s="13">
        <v>2020</v>
      </c>
      <c r="U324" s="17">
        <v>2.1277370000000002</v>
      </c>
      <c r="V324" s="17">
        <v>-5.1512000000000002E-2</v>
      </c>
      <c r="W324" s="36">
        <f>+V324/U324</f>
        <v>-2.4209759006869738E-2</v>
      </c>
      <c r="X324" s="17">
        <v>-0.372</v>
      </c>
      <c r="Y324" s="17">
        <v>1.393</v>
      </c>
      <c r="AA324" s="15" t="s">
        <v>99</v>
      </c>
      <c r="AB324" s="17" t="s">
        <v>1145</v>
      </c>
      <c r="AC324" s="21" t="s">
        <v>61</v>
      </c>
      <c r="AD324" s="21" t="s">
        <v>61</v>
      </c>
      <c r="AE324" s="17" t="s">
        <v>86</v>
      </c>
      <c r="AF324" s="17"/>
      <c r="AG324" s="15"/>
      <c r="AI324" s="42">
        <f t="shared" ca="1" si="45"/>
        <v>945</v>
      </c>
      <c r="AJ324" s="42">
        <f t="shared" ca="1" si="52"/>
        <v>840</v>
      </c>
      <c r="AK324" s="13"/>
      <c r="AL324" s="36" t="str">
        <f t="shared" si="46"/>
        <v>Aborted</v>
      </c>
      <c r="AM324" s="37">
        <v>44719</v>
      </c>
      <c r="AN324" s="75">
        <v>44721</v>
      </c>
      <c r="AO324" s="37" t="s">
        <v>65</v>
      </c>
      <c r="AP324" s="37" t="s">
        <v>65</v>
      </c>
      <c r="AQ324" s="38">
        <v>44744</v>
      </c>
      <c r="AR324" s="38">
        <v>44819</v>
      </c>
      <c r="AS324" s="38"/>
      <c r="AT324" s="38"/>
      <c r="AU324" s="38"/>
      <c r="AV324" s="38"/>
      <c r="AW324" s="38">
        <v>44819</v>
      </c>
      <c r="AX324" s="38"/>
      <c r="AY324" s="121">
        <v>44824</v>
      </c>
      <c r="AZ324" s="121"/>
      <c r="BA324" s="39">
        <f t="shared" si="51"/>
        <v>0.55555555555555558</v>
      </c>
      <c r="BB324" s="38"/>
      <c r="BC324" s="11" t="s">
        <v>7</v>
      </c>
    </row>
    <row r="325" spans="2:55" x14ac:dyDescent="0.35">
      <c r="B325" s="16">
        <f>IF(D325=$A$516,1,IF(D325=$A$517,2,IF(D325=$A$518,3,IF(D325=$A$519,4,IF(D325=$A$520,5,IF(D325=$A$521,6))))))</f>
        <v>5</v>
      </c>
      <c r="D325" s="20" t="str">
        <f t="shared" si="47"/>
        <v>abt</v>
      </c>
      <c r="E325" s="20" t="s">
        <v>832</v>
      </c>
      <c r="F325" s="14"/>
      <c r="G325" s="13" t="s">
        <v>292</v>
      </c>
      <c r="H325" s="14" t="s">
        <v>833</v>
      </c>
      <c r="I325" s="13">
        <v>242010</v>
      </c>
      <c r="J325" s="13" t="s">
        <v>111</v>
      </c>
      <c r="K325" s="15" t="s">
        <v>496</v>
      </c>
      <c r="L325" s="15" t="s">
        <v>834</v>
      </c>
      <c r="M325" s="15" t="s">
        <v>834</v>
      </c>
      <c r="N325" s="15" t="s">
        <v>835</v>
      </c>
      <c r="O325" s="15" t="s">
        <v>836</v>
      </c>
      <c r="P325" s="15"/>
      <c r="Q325" s="15"/>
      <c r="S325" s="35" t="s">
        <v>144</v>
      </c>
      <c r="T325" s="13">
        <v>2020</v>
      </c>
      <c r="U325" s="17">
        <v>6.7</v>
      </c>
      <c r="V325" s="17">
        <v>0.93899999999999995</v>
      </c>
      <c r="W325" s="36">
        <f>+V325/U325</f>
        <v>0.14014925373134327</v>
      </c>
      <c r="X325" s="17">
        <v>0.379</v>
      </c>
      <c r="Y325" s="17">
        <v>-1.2</v>
      </c>
      <c r="AA325" s="15" t="s">
        <v>99</v>
      </c>
      <c r="AB325" s="17" t="s">
        <v>837</v>
      </c>
      <c r="AC325" s="21" t="s">
        <v>86</v>
      </c>
      <c r="AD325" s="21" t="s">
        <v>78</v>
      </c>
      <c r="AE325" s="17" t="s">
        <v>86</v>
      </c>
      <c r="AF325" s="17"/>
      <c r="AG325" s="15"/>
      <c r="AI325" s="42">
        <f t="shared" ca="1" si="45"/>
        <v>854</v>
      </c>
      <c r="AJ325" s="42">
        <f t="shared" ca="1" si="52"/>
        <v>637</v>
      </c>
      <c r="AK325" s="13"/>
      <c r="AL325" s="36" t="str">
        <f t="shared" si="46"/>
        <v>Aborted</v>
      </c>
      <c r="AM325" s="37">
        <v>44810</v>
      </c>
      <c r="AN325" s="37">
        <v>44810</v>
      </c>
      <c r="AO325" s="37" t="s">
        <v>65</v>
      </c>
      <c r="AP325" s="37" t="s">
        <v>65</v>
      </c>
      <c r="AQ325" s="38">
        <v>44862</v>
      </c>
      <c r="AR325" s="38">
        <v>44882</v>
      </c>
      <c r="AS325" s="38"/>
      <c r="AT325" s="38"/>
      <c r="AU325" s="38"/>
      <c r="AV325" s="38"/>
      <c r="AW325" s="38">
        <v>44882</v>
      </c>
      <c r="AX325" s="38">
        <v>44893</v>
      </c>
      <c r="AY325" s="38">
        <v>45027</v>
      </c>
      <c r="AZ325" s="38"/>
      <c r="BA325" s="39">
        <f t="shared" si="51"/>
        <v>0.55555555555555558</v>
      </c>
      <c r="BB325" s="38"/>
      <c r="BC325" s="11" t="s">
        <v>7</v>
      </c>
    </row>
    <row r="326" spans="2:55" x14ac:dyDescent="0.35">
      <c r="B326" s="16">
        <f>IF(D326=$A$516,1,IF(D326=$A$517,2,IF(D326=$A$518,3,IF(D326=$A$519,4,IF(D326=$A$520,5,IF(D326=$A$521,6))))))</f>
        <v>5</v>
      </c>
      <c r="D326" s="20" t="str">
        <f t="shared" si="47"/>
        <v>abt</v>
      </c>
      <c r="E326" s="20" t="s">
        <v>440</v>
      </c>
      <c r="F326" s="13"/>
      <c r="G326" s="13" t="s">
        <v>437</v>
      </c>
      <c r="H326" s="13"/>
      <c r="I326" s="13"/>
      <c r="J326" s="13"/>
      <c r="K326" s="15" t="s">
        <v>441</v>
      </c>
      <c r="L326" s="15" t="s">
        <v>442</v>
      </c>
      <c r="M326" s="15"/>
      <c r="N326" s="15"/>
      <c r="O326" s="15"/>
      <c r="P326" s="15"/>
      <c r="Q326" s="15"/>
      <c r="S326" s="17"/>
      <c r="T326" s="13"/>
      <c r="U326" s="17"/>
      <c r="V326" s="17"/>
      <c r="W326" s="36"/>
      <c r="X326" s="17"/>
      <c r="Y326" s="17"/>
      <c r="AA326" s="15" t="s">
        <v>140</v>
      </c>
      <c r="AB326" s="15"/>
      <c r="AC326" s="21" t="s">
        <v>78</v>
      </c>
      <c r="AD326" s="21" t="s">
        <v>78</v>
      </c>
      <c r="AE326" s="13" t="s">
        <v>86</v>
      </c>
      <c r="AF326" s="17" t="s">
        <v>128</v>
      </c>
      <c r="AG326" s="15" t="s">
        <v>435</v>
      </c>
      <c r="AI326" s="42">
        <f t="shared" ca="1" si="45"/>
        <v>464</v>
      </c>
      <c r="AJ326" s="42">
        <f t="shared" ca="1" si="52"/>
        <v>364</v>
      </c>
      <c r="AK326" s="13" t="s">
        <v>720</v>
      </c>
      <c r="AL326" s="36" t="str">
        <f t="shared" si="46"/>
        <v>Aborted</v>
      </c>
      <c r="AM326" s="37">
        <v>45200</v>
      </c>
      <c r="AN326" s="75">
        <v>45200</v>
      </c>
      <c r="AO326" s="37">
        <v>45225</v>
      </c>
      <c r="AP326" s="37">
        <v>45229</v>
      </c>
      <c r="AQ326" s="38"/>
      <c r="AR326" s="38"/>
      <c r="AS326" s="38"/>
      <c r="AT326" s="38"/>
      <c r="AU326" s="38"/>
      <c r="AV326" s="38"/>
      <c r="AW326" s="38">
        <v>45229</v>
      </c>
      <c r="AX326" s="38">
        <v>45229</v>
      </c>
      <c r="AY326" s="38">
        <v>45300</v>
      </c>
      <c r="AZ326" s="38"/>
      <c r="BA326" s="39">
        <f t="shared" si="51"/>
        <v>0.33333333333333331</v>
      </c>
      <c r="BB326" s="38"/>
      <c r="BC326" s="11" t="s">
        <v>7</v>
      </c>
    </row>
    <row r="327" spans="2:55" x14ac:dyDescent="0.35">
      <c r="B327" s="16">
        <f>IF(D327=$A$516,1,IF(D327=$A$517,2,IF(D327=$A$518,3,IF(D327=$A$519,4,IF(D327=$A$520,5,IF(D327=$A$521,6))))))</f>
        <v>5</v>
      </c>
      <c r="D327" s="20" t="str">
        <f t="shared" si="47"/>
        <v>abt</v>
      </c>
      <c r="E327" s="12" t="s">
        <v>1179</v>
      </c>
      <c r="F327" s="14"/>
      <c r="G327" s="13" t="s">
        <v>444</v>
      </c>
      <c r="H327" s="14" t="s">
        <v>1180</v>
      </c>
      <c r="I327" s="13">
        <v>205300</v>
      </c>
      <c r="J327" s="13" t="s">
        <v>83</v>
      </c>
      <c r="K327" s="15" t="s">
        <v>1181</v>
      </c>
      <c r="L327" s="15"/>
      <c r="M327" s="15"/>
      <c r="N327" s="15"/>
      <c r="O327" s="15"/>
      <c r="P327" s="15"/>
      <c r="Q327" s="15"/>
      <c r="S327" s="35" t="s">
        <v>77</v>
      </c>
      <c r="T327" s="13">
        <v>2020</v>
      </c>
      <c r="U327" s="17">
        <v>49.097000000000001</v>
      </c>
      <c r="V327" s="17">
        <v>6.7949999999999999</v>
      </c>
      <c r="W327" s="36">
        <f>+V327/U327</f>
        <v>0.13839949487748743</v>
      </c>
      <c r="X327" s="17">
        <v>0.47899999999999998</v>
      </c>
      <c r="Y327" s="17">
        <v>14.375</v>
      </c>
      <c r="AA327" s="15" t="s">
        <v>99</v>
      </c>
      <c r="AB327" s="17" t="s">
        <v>1182</v>
      </c>
      <c r="AC327" s="21" t="s">
        <v>78</v>
      </c>
      <c r="AD327" s="21" t="s">
        <v>78</v>
      </c>
      <c r="AE327" s="61"/>
      <c r="AF327" s="17"/>
      <c r="AG327" s="15"/>
      <c r="AI327" s="42">
        <f t="shared" ca="1" si="45"/>
        <v>994</v>
      </c>
      <c r="AJ327" s="42">
        <f t="shared" ca="1" si="52"/>
        <v>854</v>
      </c>
      <c r="AK327" s="13"/>
      <c r="AL327" s="36" t="str">
        <f t="shared" si="46"/>
        <v>Aborted</v>
      </c>
      <c r="AM327" s="37">
        <v>44670</v>
      </c>
      <c r="AN327" s="37">
        <v>44670</v>
      </c>
      <c r="AO327" s="37" t="s">
        <v>65</v>
      </c>
      <c r="AP327" s="37" t="s">
        <v>65</v>
      </c>
      <c r="AQ327" s="38">
        <v>44672</v>
      </c>
      <c r="AR327" s="38"/>
      <c r="AS327" s="38"/>
      <c r="AT327" s="38"/>
      <c r="AU327" s="38"/>
      <c r="AV327" s="38"/>
      <c r="AW327" s="38">
        <v>44680</v>
      </c>
      <c r="AX327" s="38">
        <v>44727</v>
      </c>
      <c r="AY327" s="38">
        <v>44810</v>
      </c>
      <c r="AZ327" s="38"/>
      <c r="BA327" s="39">
        <f t="shared" si="51"/>
        <v>0.44444444444444442</v>
      </c>
      <c r="BB327" s="38"/>
      <c r="BC327" s="11" t="s">
        <v>7</v>
      </c>
    </row>
    <row r="328" spans="2:55" x14ac:dyDescent="0.35">
      <c r="B328" s="16">
        <f>IF(D328=$A$516,1,IF(D328=$A$517,2,IF(D328=$A$518,3,IF(D328=$A$519,4,IF(D328=$A$520,5,IF(D328=$A$521,6))))))</f>
        <v>5</v>
      </c>
      <c r="D328" s="20" t="str">
        <f t="shared" si="47"/>
        <v>abt</v>
      </c>
      <c r="E328" s="20" t="s">
        <v>1402</v>
      </c>
      <c r="F328" s="13"/>
      <c r="G328" s="13" t="s">
        <v>91</v>
      </c>
      <c r="H328" s="13"/>
      <c r="I328" s="13"/>
      <c r="J328" s="13" t="s">
        <v>57</v>
      </c>
      <c r="K328" s="15" t="s">
        <v>58</v>
      </c>
      <c r="L328" s="15" t="s">
        <v>59</v>
      </c>
      <c r="M328" s="15"/>
      <c r="N328" s="15"/>
      <c r="O328" s="15"/>
      <c r="P328" s="15"/>
      <c r="Q328" s="15"/>
      <c r="S328" s="35"/>
      <c r="T328" s="13"/>
      <c r="U328" s="17"/>
      <c r="V328" s="17"/>
      <c r="W328" s="36"/>
      <c r="X328" s="17"/>
      <c r="Y328" s="17"/>
      <c r="AA328" s="15" t="s">
        <v>60</v>
      </c>
      <c r="AB328" s="17"/>
      <c r="AC328" s="21" t="s">
        <v>61</v>
      </c>
      <c r="AD328" s="17" t="s">
        <v>61</v>
      </c>
      <c r="AE328" s="17" t="s">
        <v>86</v>
      </c>
      <c r="AF328" s="17" t="s">
        <v>62</v>
      </c>
      <c r="AG328" s="15" t="s">
        <v>1403</v>
      </c>
      <c r="AI328" s="42">
        <f t="shared" ca="1" si="45"/>
        <v>1467</v>
      </c>
      <c r="AJ328" s="42">
        <f t="shared" ca="1" si="52"/>
        <v>1222</v>
      </c>
      <c r="AK328" s="13"/>
      <c r="AL328" s="36" t="str">
        <f t="shared" si="46"/>
        <v>Aborted</v>
      </c>
      <c r="AM328" s="37">
        <v>44197</v>
      </c>
      <c r="AN328" s="37">
        <f t="shared" ref="AN328:AN334" si="53">+AM328</f>
        <v>44197</v>
      </c>
      <c r="AO328" s="37" t="s">
        <v>65</v>
      </c>
      <c r="AP328" s="37" t="s">
        <v>65</v>
      </c>
      <c r="AQ328" s="38">
        <f t="shared" ref="AQ328:AQ334" si="54">+AN328</f>
        <v>44197</v>
      </c>
      <c r="AR328" s="38" t="s">
        <v>65</v>
      </c>
      <c r="AS328" s="38" t="s">
        <v>65</v>
      </c>
      <c r="AT328" s="38" t="s">
        <v>65</v>
      </c>
      <c r="AU328" s="38" t="s">
        <v>65</v>
      </c>
      <c r="AV328" s="38" t="s">
        <v>65</v>
      </c>
      <c r="AW328" s="38">
        <v>44442</v>
      </c>
      <c r="AX328" s="38"/>
      <c r="AY328" s="38">
        <v>44442</v>
      </c>
      <c r="AZ328" s="38"/>
      <c r="BA328" s="39">
        <f t="shared" si="51"/>
        <v>1</v>
      </c>
      <c r="BB328" s="38"/>
      <c r="BC328" s="11" t="s">
        <v>7</v>
      </c>
    </row>
    <row r="329" spans="2:55" x14ac:dyDescent="0.35">
      <c r="B329" s="16">
        <f>IF(D329=$A$516,1,IF(D329=$A$517,2,IF(D329=$A$518,3,IF(D329=$A$519,4,IF(D329=$A$520,5,IF(D329=$A$521,6))))))</f>
        <v>5</v>
      </c>
      <c r="D329" s="20" t="str">
        <f t="shared" si="47"/>
        <v>abt</v>
      </c>
      <c r="E329" s="20" t="s">
        <v>1361</v>
      </c>
      <c r="F329" s="14"/>
      <c r="G329" s="13" t="s">
        <v>91</v>
      </c>
      <c r="H329" s="13"/>
      <c r="I329" s="13"/>
      <c r="J329" s="13" t="s">
        <v>57</v>
      </c>
      <c r="K329" s="15" t="s">
        <v>58</v>
      </c>
      <c r="L329" s="15" t="s">
        <v>59</v>
      </c>
      <c r="M329" s="15"/>
      <c r="N329" s="15"/>
      <c r="O329" s="15"/>
      <c r="P329" s="15"/>
      <c r="Q329" s="15"/>
      <c r="S329" s="35"/>
      <c r="T329" s="13"/>
      <c r="U329" s="17"/>
      <c r="V329" s="17"/>
      <c r="W329" s="36"/>
      <c r="X329" s="17"/>
      <c r="Y329" s="17"/>
      <c r="AA329" s="15" t="s">
        <v>60</v>
      </c>
      <c r="AB329" s="25"/>
      <c r="AC329" s="21" t="s">
        <v>61</v>
      </c>
      <c r="AD329" s="17" t="s">
        <v>61</v>
      </c>
      <c r="AE329" s="17" t="s">
        <v>62</v>
      </c>
      <c r="AF329" s="17"/>
      <c r="AG329" s="15"/>
      <c r="AI329" s="42">
        <f t="shared" ca="1" si="45"/>
        <v>1467</v>
      </c>
      <c r="AJ329" s="42">
        <f t="shared" ca="1" si="52"/>
        <v>1092</v>
      </c>
      <c r="AK329" s="13" t="s">
        <v>64</v>
      </c>
      <c r="AL329" s="36" t="str">
        <f t="shared" si="46"/>
        <v>Aborted</v>
      </c>
      <c r="AM329" s="37">
        <v>44197</v>
      </c>
      <c r="AN329" s="37">
        <f t="shared" si="53"/>
        <v>44197</v>
      </c>
      <c r="AO329" s="37" t="s">
        <v>65</v>
      </c>
      <c r="AP329" s="37" t="s">
        <v>65</v>
      </c>
      <c r="AQ329" s="38">
        <f t="shared" si="54"/>
        <v>44197</v>
      </c>
      <c r="AR329" s="38" t="s">
        <v>65</v>
      </c>
      <c r="AS329" s="38" t="s">
        <v>65</v>
      </c>
      <c r="AT329" s="38" t="s">
        <v>65</v>
      </c>
      <c r="AU329" s="38" t="s">
        <v>65</v>
      </c>
      <c r="AV329" s="38" t="s">
        <v>65</v>
      </c>
      <c r="AW329" s="38">
        <v>44572</v>
      </c>
      <c r="AX329" s="38">
        <v>44516</v>
      </c>
      <c r="AY329" s="38">
        <v>44572</v>
      </c>
      <c r="AZ329" s="38"/>
      <c r="BA329" s="39">
        <f t="shared" si="51"/>
        <v>1</v>
      </c>
      <c r="BB329" s="38"/>
      <c r="BC329" s="11" t="s">
        <v>7</v>
      </c>
    </row>
    <row r="330" spans="2:55" x14ac:dyDescent="0.35">
      <c r="B330" s="16">
        <f>IF(D330=$A$516,1,IF(D330=$A$517,2,IF(D330=$A$518,3,IF(D330=$A$519,4,IF(D330=$A$520,5,IF(D330=$A$521,6))))))</f>
        <v>5</v>
      </c>
      <c r="D330" s="20" t="str">
        <f t="shared" si="47"/>
        <v>abt</v>
      </c>
      <c r="E330" s="20" t="s">
        <v>1427</v>
      </c>
      <c r="F330" s="13"/>
      <c r="G330" s="13" t="s">
        <v>91</v>
      </c>
      <c r="H330" s="13"/>
      <c r="I330" s="13"/>
      <c r="J330" s="13" t="s">
        <v>57</v>
      </c>
      <c r="K330" s="15" t="s">
        <v>58</v>
      </c>
      <c r="L330" s="15" t="s">
        <v>59</v>
      </c>
      <c r="M330" s="15"/>
      <c r="N330" s="15"/>
      <c r="O330" s="15"/>
      <c r="P330" s="15"/>
      <c r="Q330" s="15"/>
      <c r="S330" s="35"/>
      <c r="T330" s="13"/>
      <c r="U330" s="17"/>
      <c r="V330" s="17"/>
      <c r="W330" s="36"/>
      <c r="X330" s="17"/>
      <c r="Y330" s="17"/>
      <c r="AA330" s="15" t="s">
        <v>60</v>
      </c>
      <c r="AB330" s="17"/>
      <c r="AC330" s="21" t="s">
        <v>61</v>
      </c>
      <c r="AD330" s="17" t="s">
        <v>61</v>
      </c>
      <c r="AE330" s="17" t="s">
        <v>62</v>
      </c>
      <c r="AF330" s="17"/>
      <c r="AG330" s="15" t="s">
        <v>1428</v>
      </c>
      <c r="AI330" s="42">
        <f t="shared" ref="AI330:AI393" ca="1" si="55">+TODAY()-AM330</f>
        <v>1467</v>
      </c>
      <c r="AJ330" s="42">
        <f t="shared" ca="1" si="52"/>
        <v>1309</v>
      </c>
      <c r="AK330" s="13"/>
      <c r="AL330" s="36" t="str">
        <f t="shared" ref="AL330:AL393" si="56">+IF(BB330="",IF(AZ330="",IF(AY330="",IF(AX330="",COUNTA(AN330:AV330)/9,"On-hold"),"Aborted"),"Closed"),"RIP")</f>
        <v>Aborted</v>
      </c>
      <c r="AM330" s="37">
        <v>44197</v>
      </c>
      <c r="AN330" s="37">
        <f t="shared" si="53"/>
        <v>44197</v>
      </c>
      <c r="AO330" s="37" t="s">
        <v>65</v>
      </c>
      <c r="AP330" s="37" t="s">
        <v>65</v>
      </c>
      <c r="AQ330" s="38">
        <f t="shared" si="54"/>
        <v>44197</v>
      </c>
      <c r="AR330" s="38" t="s">
        <v>65</v>
      </c>
      <c r="AS330" s="38" t="s">
        <v>65</v>
      </c>
      <c r="AT330" s="38" t="s">
        <v>65</v>
      </c>
      <c r="AU330" s="38" t="s">
        <v>65</v>
      </c>
      <c r="AV330" s="38" t="s">
        <v>65</v>
      </c>
      <c r="AW330" s="38">
        <v>44355</v>
      </c>
      <c r="AX330" s="38">
        <v>44341</v>
      </c>
      <c r="AY330" s="38">
        <v>44355</v>
      </c>
      <c r="AZ330" s="38"/>
      <c r="BA330" s="39">
        <f t="shared" si="51"/>
        <v>1</v>
      </c>
      <c r="BB330" s="38"/>
      <c r="BC330" s="11" t="s">
        <v>7</v>
      </c>
    </row>
    <row r="331" spans="2:55" x14ac:dyDescent="0.35">
      <c r="B331" s="16">
        <f>IF(D331=$A$516,1,IF(D331=$A$517,2,IF(D331=$A$518,3,IF(D331=$A$519,4,IF(D331=$A$520,5,IF(D331=$A$521,6))))))</f>
        <v>5</v>
      </c>
      <c r="D331" s="20" t="str">
        <f t="shared" si="47"/>
        <v>abt</v>
      </c>
      <c r="E331" s="20" t="s">
        <v>1315</v>
      </c>
      <c r="F331" s="14"/>
      <c r="G331" s="13" t="s">
        <v>91</v>
      </c>
      <c r="H331" s="14"/>
      <c r="I331" s="13"/>
      <c r="J331" s="13" t="s">
        <v>57</v>
      </c>
      <c r="K331" s="15" t="s">
        <v>58</v>
      </c>
      <c r="L331" s="15" t="s">
        <v>59</v>
      </c>
      <c r="M331" s="15"/>
      <c r="N331" s="15"/>
      <c r="O331" s="15"/>
      <c r="P331" s="15"/>
      <c r="Q331" s="15"/>
      <c r="S331" s="35"/>
      <c r="T331" s="13"/>
      <c r="U331" s="17"/>
      <c r="V331" s="17"/>
      <c r="W331" s="36"/>
      <c r="X331" s="17"/>
      <c r="Y331" s="17"/>
      <c r="AA331" s="15" t="s">
        <v>60</v>
      </c>
      <c r="AB331" s="17"/>
      <c r="AC331" s="21" t="s">
        <v>61</v>
      </c>
      <c r="AD331" s="21" t="s">
        <v>61</v>
      </c>
      <c r="AE331" s="17" t="s">
        <v>62</v>
      </c>
      <c r="AF331" s="17"/>
      <c r="AG331" s="15"/>
      <c r="AI331" s="42">
        <f t="shared" ca="1" si="55"/>
        <v>1167</v>
      </c>
      <c r="AJ331" s="42">
        <f t="shared" ca="1" si="52"/>
        <v>1092</v>
      </c>
      <c r="AK331" s="13"/>
      <c r="AL331" s="36" t="str">
        <f t="shared" si="56"/>
        <v>Aborted</v>
      </c>
      <c r="AM331" s="37">
        <v>44497</v>
      </c>
      <c r="AN331" s="37">
        <f t="shared" si="53"/>
        <v>44497</v>
      </c>
      <c r="AO331" s="37" t="s">
        <v>65</v>
      </c>
      <c r="AP331" s="37" t="s">
        <v>65</v>
      </c>
      <c r="AQ331" s="38">
        <f t="shared" si="54"/>
        <v>44497</v>
      </c>
      <c r="AR331" s="38" t="s">
        <v>65</v>
      </c>
      <c r="AS331" s="38" t="s">
        <v>65</v>
      </c>
      <c r="AT331" s="38" t="s">
        <v>65</v>
      </c>
      <c r="AU331" s="38" t="s">
        <v>65</v>
      </c>
      <c r="AV331" s="38" t="s">
        <v>65</v>
      </c>
      <c r="AW331" s="38">
        <v>44572</v>
      </c>
      <c r="AX331" s="38"/>
      <c r="AY331" s="38">
        <v>44572</v>
      </c>
      <c r="AZ331" s="38"/>
      <c r="BA331" s="39">
        <f t="shared" si="51"/>
        <v>1</v>
      </c>
      <c r="BB331" s="38"/>
      <c r="BC331" s="11" t="s">
        <v>7</v>
      </c>
    </row>
    <row r="332" spans="2:55" x14ac:dyDescent="0.35">
      <c r="B332" s="16">
        <f>IF(D332=$A$516,1,IF(D332=$A$517,2,IF(D332=$A$518,3,IF(D332=$A$519,4,IF(D332=$A$520,5,IF(D332=$A$521,6))))))</f>
        <v>5</v>
      </c>
      <c r="D332" s="20" t="str">
        <f t="shared" si="47"/>
        <v>abt</v>
      </c>
      <c r="E332" s="20" t="s">
        <v>1373</v>
      </c>
      <c r="F332" s="13"/>
      <c r="G332" s="13" t="s">
        <v>91</v>
      </c>
      <c r="H332" s="13"/>
      <c r="I332" s="13"/>
      <c r="J332" s="13" t="s">
        <v>57</v>
      </c>
      <c r="K332" s="15" t="s">
        <v>58</v>
      </c>
      <c r="L332" s="15" t="s">
        <v>59</v>
      </c>
      <c r="M332" s="15"/>
      <c r="N332" s="15"/>
      <c r="O332" s="15"/>
      <c r="P332" s="15"/>
      <c r="Q332" s="15"/>
      <c r="S332" s="35"/>
      <c r="T332" s="13"/>
      <c r="U332" s="17"/>
      <c r="V332" s="17"/>
      <c r="W332" s="36"/>
      <c r="X332" s="17"/>
      <c r="Y332" s="17"/>
      <c r="AA332" s="15" t="s">
        <v>60</v>
      </c>
      <c r="AB332" s="25"/>
      <c r="AC332" s="21" t="s">
        <v>61</v>
      </c>
      <c r="AD332" s="17" t="s">
        <v>61</v>
      </c>
      <c r="AE332" s="17" t="s">
        <v>62</v>
      </c>
      <c r="AF332" s="17"/>
      <c r="AG332" s="15"/>
      <c r="AI332" s="42">
        <f t="shared" ca="1" si="55"/>
        <v>1467</v>
      </c>
      <c r="AJ332" s="42">
        <f t="shared" ca="1" si="52"/>
        <v>1155</v>
      </c>
      <c r="AK332" s="13"/>
      <c r="AL332" s="36" t="str">
        <f t="shared" si="56"/>
        <v>Aborted</v>
      </c>
      <c r="AM332" s="37">
        <v>44197</v>
      </c>
      <c r="AN332" s="37">
        <f t="shared" si="53"/>
        <v>44197</v>
      </c>
      <c r="AO332" s="37" t="s">
        <v>65</v>
      </c>
      <c r="AP332" s="37" t="s">
        <v>65</v>
      </c>
      <c r="AQ332" s="38">
        <f t="shared" si="54"/>
        <v>44197</v>
      </c>
      <c r="AR332" s="38" t="s">
        <v>65</v>
      </c>
      <c r="AS332" s="38" t="s">
        <v>65</v>
      </c>
      <c r="AT332" s="38" t="s">
        <v>65</v>
      </c>
      <c r="AU332" s="38" t="s">
        <v>65</v>
      </c>
      <c r="AV332" s="38" t="s">
        <v>65</v>
      </c>
      <c r="AW332" s="38">
        <v>44509</v>
      </c>
      <c r="AX332" s="38">
        <v>44502</v>
      </c>
      <c r="AY332" s="38">
        <v>44509</v>
      </c>
      <c r="AZ332" s="38"/>
      <c r="BA332" s="39">
        <f t="shared" si="51"/>
        <v>1</v>
      </c>
      <c r="BB332" s="38"/>
      <c r="BC332" s="11" t="s">
        <v>7</v>
      </c>
    </row>
    <row r="333" spans="2:55" x14ac:dyDescent="0.35">
      <c r="B333" s="16">
        <f>IF(D333=$A$516,1,IF(D333=$A$517,2,IF(D333=$A$518,3,IF(D333=$A$519,4,IF(D333=$A$520,5,IF(D333=$A$521,6))))))</f>
        <v>5</v>
      </c>
      <c r="D333" s="20" t="str">
        <f t="shared" ref="D333:D396" si="57">IF(AL333="Closed","cls",IF(AL333=1,"sgn",IF(AL333="On-hold","hld",IF(AL333="Aborted","abt",IF(AL333&lt;1,"wip","RIP")))))</f>
        <v>abt</v>
      </c>
      <c r="E333" s="20" t="s">
        <v>1360</v>
      </c>
      <c r="F333" s="14"/>
      <c r="G333" s="13" t="s">
        <v>91</v>
      </c>
      <c r="H333" s="14"/>
      <c r="I333" s="13"/>
      <c r="J333" s="13" t="s">
        <v>57</v>
      </c>
      <c r="K333" s="15" t="s">
        <v>58</v>
      </c>
      <c r="L333" s="15" t="s">
        <v>59</v>
      </c>
      <c r="M333" s="15"/>
      <c r="N333" s="15"/>
      <c r="O333" s="15"/>
      <c r="P333" s="15"/>
      <c r="Q333" s="15"/>
      <c r="S333" s="35"/>
      <c r="T333" s="13"/>
      <c r="U333" s="17"/>
      <c r="V333" s="17"/>
      <c r="W333" s="36"/>
      <c r="X333" s="17"/>
      <c r="Y333" s="17"/>
      <c r="AA333" s="15" t="s">
        <v>60</v>
      </c>
      <c r="AB333" s="25"/>
      <c r="AC333" s="21" t="s">
        <v>61</v>
      </c>
      <c r="AD333" s="21" t="s">
        <v>61</v>
      </c>
      <c r="AE333" s="17" t="s">
        <v>62</v>
      </c>
      <c r="AF333" s="17"/>
      <c r="AG333" s="15"/>
      <c r="AI333" s="42">
        <f t="shared" ca="1" si="55"/>
        <v>1467</v>
      </c>
      <c r="AJ333" s="42">
        <f t="shared" ca="1" si="52"/>
        <v>1092</v>
      </c>
      <c r="AK333" s="13" t="s">
        <v>64</v>
      </c>
      <c r="AL333" s="36" t="str">
        <f t="shared" si="56"/>
        <v>Aborted</v>
      </c>
      <c r="AM333" s="37">
        <v>44197</v>
      </c>
      <c r="AN333" s="37">
        <f t="shared" si="53"/>
        <v>44197</v>
      </c>
      <c r="AO333" s="37" t="s">
        <v>65</v>
      </c>
      <c r="AP333" s="37" t="s">
        <v>65</v>
      </c>
      <c r="AQ333" s="38">
        <f t="shared" si="54"/>
        <v>44197</v>
      </c>
      <c r="AR333" s="38" t="s">
        <v>65</v>
      </c>
      <c r="AS333" s="38" t="s">
        <v>65</v>
      </c>
      <c r="AT333" s="38" t="s">
        <v>65</v>
      </c>
      <c r="AU333" s="38" t="s">
        <v>65</v>
      </c>
      <c r="AV333" s="38" t="s">
        <v>65</v>
      </c>
      <c r="AW333" s="38"/>
      <c r="AX333" s="38">
        <v>44481</v>
      </c>
      <c r="AY333" s="38">
        <v>44572</v>
      </c>
      <c r="AZ333" s="38"/>
      <c r="BA333" s="39">
        <f t="shared" si="51"/>
        <v>1</v>
      </c>
      <c r="BB333" s="38"/>
      <c r="BC333" s="11" t="s">
        <v>7</v>
      </c>
    </row>
    <row r="334" spans="2:55" x14ac:dyDescent="0.35">
      <c r="B334" s="16">
        <f>IF(D334=$A$516,1,IF(D334=$A$517,2,IF(D334=$A$518,3,IF(D334=$A$519,4,IF(D334=$A$520,5,IF(D334=$A$521,6))))))</f>
        <v>5</v>
      </c>
      <c r="D334" s="20" t="str">
        <f t="shared" si="57"/>
        <v>abt</v>
      </c>
      <c r="E334" s="20" t="s">
        <v>1254</v>
      </c>
      <c r="F334" s="14"/>
      <c r="G334" s="13" t="s">
        <v>91</v>
      </c>
      <c r="H334" s="13"/>
      <c r="I334" s="13"/>
      <c r="J334" s="13" t="s">
        <v>57</v>
      </c>
      <c r="K334" s="15" t="s">
        <v>58</v>
      </c>
      <c r="L334" s="15" t="s">
        <v>59</v>
      </c>
      <c r="M334" s="15"/>
      <c r="N334" s="15"/>
      <c r="O334" s="15"/>
      <c r="P334" s="15"/>
      <c r="Q334" s="15"/>
      <c r="S334" s="35"/>
      <c r="T334" s="13"/>
      <c r="U334" s="17"/>
      <c r="V334" s="17"/>
      <c r="W334" s="36"/>
      <c r="X334" s="17"/>
      <c r="Y334" s="17"/>
      <c r="AA334" s="15" t="s">
        <v>60</v>
      </c>
      <c r="AB334" s="17"/>
      <c r="AC334" s="21" t="s">
        <v>61</v>
      </c>
      <c r="AD334" s="21" t="s">
        <v>61</v>
      </c>
      <c r="AE334" s="17" t="s">
        <v>62</v>
      </c>
      <c r="AF334" s="17"/>
      <c r="AG334" s="15"/>
      <c r="AI334" s="42">
        <f t="shared" ca="1" si="55"/>
        <v>1467</v>
      </c>
      <c r="AJ334" s="42">
        <f t="shared" ca="1" si="52"/>
        <v>1001</v>
      </c>
      <c r="AK334" s="13" t="s">
        <v>64</v>
      </c>
      <c r="AL334" s="36" t="str">
        <f t="shared" si="56"/>
        <v>Aborted</v>
      </c>
      <c r="AM334" s="37">
        <v>44197</v>
      </c>
      <c r="AN334" s="37">
        <f t="shared" si="53"/>
        <v>44197</v>
      </c>
      <c r="AO334" s="37" t="s">
        <v>65</v>
      </c>
      <c r="AP334" s="37" t="s">
        <v>65</v>
      </c>
      <c r="AQ334" s="38">
        <f t="shared" si="54"/>
        <v>44197</v>
      </c>
      <c r="AR334" s="38" t="s">
        <v>65</v>
      </c>
      <c r="AS334" s="38" t="s">
        <v>65</v>
      </c>
      <c r="AT334" s="38" t="s">
        <v>65</v>
      </c>
      <c r="AU334" s="38" t="s">
        <v>65</v>
      </c>
      <c r="AV334" s="38" t="s">
        <v>65</v>
      </c>
      <c r="AW334" s="38"/>
      <c r="AX334" s="38"/>
      <c r="AY334" s="38">
        <v>44663</v>
      </c>
      <c r="AZ334" s="38"/>
      <c r="BA334" s="39">
        <f t="shared" si="51"/>
        <v>1</v>
      </c>
      <c r="BB334" s="38"/>
      <c r="BC334" s="11" t="s">
        <v>7</v>
      </c>
    </row>
    <row r="335" spans="2:55" x14ac:dyDescent="0.35">
      <c r="B335" s="16">
        <f>IF(D335=$A$516,1,IF(D335=$A$517,2,IF(D335=$A$518,3,IF(D335=$A$519,4,IF(D335=$A$520,5,IF(D335=$A$521,6))))))</f>
        <v>5</v>
      </c>
      <c r="D335" s="20" t="str">
        <f t="shared" si="57"/>
        <v>abt</v>
      </c>
      <c r="E335" s="12" t="s">
        <v>1262</v>
      </c>
      <c r="F335" s="14"/>
      <c r="G335" s="13" t="s">
        <v>326</v>
      </c>
      <c r="H335" s="14" t="s">
        <v>1263</v>
      </c>
      <c r="I335" s="13">
        <v>464210</v>
      </c>
      <c r="J335" s="13" t="s">
        <v>1018</v>
      </c>
      <c r="K335" s="15" t="s">
        <v>1264</v>
      </c>
      <c r="L335" s="15"/>
      <c r="M335" s="15"/>
      <c r="N335" s="15"/>
      <c r="O335" s="15"/>
      <c r="P335" s="15"/>
      <c r="Q335" s="15"/>
      <c r="S335" s="35" t="s">
        <v>144</v>
      </c>
      <c r="T335" s="13">
        <v>2020</v>
      </c>
      <c r="U335" s="17">
        <v>41.856999999999999</v>
      </c>
      <c r="V335" s="17">
        <v>7.1509999999999998</v>
      </c>
      <c r="W335" s="36">
        <f t="shared" ref="W335:W340" si="58">+V335/U335</f>
        <v>0.17084358649688225</v>
      </c>
      <c r="X335" s="17">
        <v>5.0039999999999996</v>
      </c>
      <c r="Y335" s="17">
        <v>-13.999000000000001</v>
      </c>
      <c r="AA335" s="15" t="s">
        <v>60</v>
      </c>
      <c r="AB335" s="17"/>
      <c r="AC335" s="21" t="s">
        <v>61</v>
      </c>
      <c r="AD335" s="21" t="s">
        <v>61</v>
      </c>
      <c r="AE335" s="17" t="s">
        <v>62</v>
      </c>
      <c r="AF335" s="17"/>
      <c r="AG335" s="15"/>
      <c r="AI335" s="42">
        <f t="shared" ca="1" si="55"/>
        <v>1075</v>
      </c>
      <c r="AJ335" s="42">
        <f t="shared" ca="1" si="52"/>
        <v>1026</v>
      </c>
      <c r="AK335" s="13"/>
      <c r="AL335" s="36" t="str">
        <f t="shared" si="56"/>
        <v>Aborted</v>
      </c>
      <c r="AM335" s="37">
        <v>44589</v>
      </c>
      <c r="AN335" s="37">
        <v>44607</v>
      </c>
      <c r="AO335" s="37" t="s">
        <v>65</v>
      </c>
      <c r="AP335" s="37" t="s">
        <v>65</v>
      </c>
      <c r="AQ335" s="38">
        <v>44629</v>
      </c>
      <c r="AR335" s="38"/>
      <c r="AS335" s="38"/>
      <c r="AT335" s="38"/>
      <c r="AU335" s="38"/>
      <c r="AV335" s="38"/>
      <c r="AW335" s="38">
        <v>44638</v>
      </c>
      <c r="AX335" s="38"/>
      <c r="AY335" s="38">
        <v>44638</v>
      </c>
      <c r="AZ335" s="38"/>
      <c r="BA335" s="39">
        <f t="shared" si="51"/>
        <v>0.44444444444444442</v>
      </c>
      <c r="BB335" s="38"/>
      <c r="BC335" s="11" t="s">
        <v>7</v>
      </c>
    </row>
    <row r="336" spans="2:55" x14ac:dyDescent="0.35">
      <c r="B336" s="16">
        <f>IF(D336=$A$516,1,IF(D336=$A$517,2,IF(D336=$A$518,3,IF(D336=$A$519,4,IF(D336=$A$520,5,IF(D336=$A$521,6))))))</f>
        <v>5</v>
      </c>
      <c r="D336" s="20" t="str">
        <f t="shared" si="57"/>
        <v>abt</v>
      </c>
      <c r="E336" s="12" t="s">
        <v>1374</v>
      </c>
      <c r="F336" s="13"/>
      <c r="G336" s="13" t="s">
        <v>103</v>
      </c>
      <c r="H336" s="14" t="s">
        <v>1375</v>
      </c>
      <c r="I336" s="13">
        <v>701000</v>
      </c>
      <c r="J336" s="13" t="s">
        <v>1376</v>
      </c>
      <c r="K336" s="15" t="s">
        <v>1377</v>
      </c>
      <c r="L336" s="15"/>
      <c r="M336" s="15"/>
      <c r="N336" s="15"/>
      <c r="O336" s="15"/>
      <c r="P336" s="15"/>
      <c r="Q336" s="15"/>
      <c r="S336" s="35" t="s">
        <v>144</v>
      </c>
      <c r="T336" s="13">
        <v>2020</v>
      </c>
      <c r="U336" s="17">
        <v>1041.5350000000001</v>
      </c>
      <c r="V336" s="17">
        <v>47.996699999999997</v>
      </c>
      <c r="W336" s="36">
        <f t="shared" si="58"/>
        <v>4.6082656847825559E-2</v>
      </c>
      <c r="X336" s="17">
        <v>12.269</v>
      </c>
      <c r="Y336" s="17">
        <v>72.05</v>
      </c>
      <c r="AA336" s="632"/>
      <c r="AB336" s="17"/>
      <c r="AC336" s="21" t="s">
        <v>61</v>
      </c>
      <c r="AD336" s="17" t="s">
        <v>61</v>
      </c>
      <c r="AE336" s="17" t="s">
        <v>62</v>
      </c>
      <c r="AF336" s="17"/>
      <c r="AG336" s="15"/>
      <c r="AI336" s="42">
        <f t="shared" ca="1" si="55"/>
        <v>1351</v>
      </c>
      <c r="AJ336" s="42">
        <f t="shared" ca="1" si="52"/>
        <v>1155</v>
      </c>
      <c r="AK336" s="13"/>
      <c r="AL336" s="36" t="str">
        <f t="shared" si="56"/>
        <v>Aborted</v>
      </c>
      <c r="AM336" s="37">
        <v>44313</v>
      </c>
      <c r="AN336" s="37">
        <v>44313</v>
      </c>
      <c r="AO336" s="37" t="s">
        <v>65</v>
      </c>
      <c r="AP336" s="37">
        <v>44369</v>
      </c>
      <c r="AQ336" s="38"/>
      <c r="AR336" s="38"/>
      <c r="AS336" s="38"/>
      <c r="AT336" s="38"/>
      <c r="AU336" s="38"/>
      <c r="AV336" s="38"/>
      <c r="AW336" s="38">
        <v>44383</v>
      </c>
      <c r="AX336" s="38">
        <v>44446</v>
      </c>
      <c r="AY336" s="38">
        <v>44509</v>
      </c>
      <c r="AZ336" s="38"/>
      <c r="BA336" s="39">
        <f t="shared" si="51"/>
        <v>0.33333333333333331</v>
      </c>
      <c r="BB336" s="38"/>
      <c r="BC336" s="11" t="s">
        <v>7</v>
      </c>
    </row>
    <row r="337" spans="2:55" x14ac:dyDescent="0.35">
      <c r="B337" s="148">
        <f>IF(D337=$A$516,1,IF(D337=$A$517,2,IF(D337=$A$518,3,IF(D337=$A$519,4,IF(D337=$A$520,5,IF(D337=$A$521,6))))))</f>
        <v>5</v>
      </c>
      <c r="D337" s="20" t="str">
        <f t="shared" si="57"/>
        <v>abt</v>
      </c>
      <c r="E337" s="141" t="s">
        <v>2643</v>
      </c>
      <c r="F337" s="13"/>
      <c r="G337" s="13" t="s">
        <v>428</v>
      </c>
      <c r="H337" s="14"/>
      <c r="I337" s="13"/>
      <c r="J337" s="13" t="s">
        <v>1460</v>
      </c>
      <c r="K337" s="15" t="s">
        <v>2639</v>
      </c>
      <c r="L337" s="15" t="s">
        <v>2899</v>
      </c>
      <c r="M337" s="15"/>
      <c r="N337" s="15"/>
      <c r="O337" s="15"/>
      <c r="P337" s="15"/>
      <c r="Q337" s="15"/>
      <c r="S337" s="35" t="s">
        <v>77</v>
      </c>
      <c r="T337" s="13">
        <v>2022</v>
      </c>
      <c r="U337" s="17">
        <v>4.4000000000000004</v>
      </c>
      <c r="V337" s="17">
        <v>0.46200000000000002</v>
      </c>
      <c r="W337" s="36">
        <f t="shared" si="58"/>
        <v>0.105</v>
      </c>
      <c r="X337" s="17">
        <v>0.34599999999999997</v>
      </c>
      <c r="Y337" s="17">
        <v>0.36</v>
      </c>
      <c r="AA337" s="15" t="s">
        <v>140</v>
      </c>
      <c r="AB337" s="17"/>
      <c r="AC337" s="21" t="s">
        <v>61</v>
      </c>
      <c r="AD337" s="21" t="s">
        <v>61</v>
      </c>
      <c r="AE337" s="17" t="s">
        <v>128</v>
      </c>
      <c r="AF337" s="17"/>
      <c r="AG337" s="15" t="s">
        <v>2640</v>
      </c>
      <c r="AI337" s="42">
        <f t="shared" ca="1" si="55"/>
        <v>413</v>
      </c>
      <c r="AJ337" s="42">
        <f t="shared" ca="1" si="52"/>
        <v>364</v>
      </c>
      <c r="AK337" s="13" t="s">
        <v>720</v>
      </c>
      <c r="AL337" s="36" t="str">
        <f t="shared" si="56"/>
        <v>Aborted</v>
      </c>
      <c r="AM337" s="37">
        <v>45251</v>
      </c>
      <c r="AN337" s="37">
        <v>45265</v>
      </c>
      <c r="AO337" s="37">
        <v>45271</v>
      </c>
      <c r="AP337" s="37">
        <v>45271</v>
      </c>
      <c r="AQ337" s="38">
        <v>45273</v>
      </c>
      <c r="AR337" s="38"/>
      <c r="AS337" s="38"/>
      <c r="AT337" s="38"/>
      <c r="AU337" s="38"/>
      <c r="AV337" s="38"/>
      <c r="AW337" s="38">
        <v>45271</v>
      </c>
      <c r="AX337" s="38">
        <v>45271</v>
      </c>
      <c r="AY337" s="38">
        <v>45300</v>
      </c>
      <c r="AZ337" s="38"/>
      <c r="BA337" s="39">
        <f t="shared" si="51"/>
        <v>0.44444444444444442</v>
      </c>
      <c r="BB337" s="38"/>
      <c r="BC337" s="11" t="s">
        <v>7</v>
      </c>
    </row>
    <row r="338" spans="2:55" x14ac:dyDescent="0.35">
      <c r="B338" s="16">
        <f>IF(D338=$A$516,1,IF(D338=$A$517,2,IF(D338=$A$518,3,IF(D338=$A$519,4,IF(D338=$A$520,5,IF(D338=$A$521,6))))))</f>
        <v>5</v>
      </c>
      <c r="D338" s="20" t="str">
        <f t="shared" si="57"/>
        <v>abt</v>
      </c>
      <c r="E338" s="20" t="s">
        <v>1158</v>
      </c>
      <c r="F338" s="13"/>
      <c r="G338" s="13" t="s">
        <v>1159</v>
      </c>
      <c r="H338" s="14" t="s">
        <v>1160</v>
      </c>
      <c r="I338" s="13" t="s">
        <v>858</v>
      </c>
      <c r="J338" s="13" t="s">
        <v>1049</v>
      </c>
      <c r="K338" s="15" t="s">
        <v>1161</v>
      </c>
      <c r="L338" s="15"/>
      <c r="M338" s="15"/>
      <c r="N338" s="15"/>
      <c r="O338" s="15"/>
      <c r="P338" s="15"/>
      <c r="Q338" s="15"/>
      <c r="S338" s="35" t="s">
        <v>77</v>
      </c>
      <c r="T338" s="13">
        <v>2021</v>
      </c>
      <c r="U338" s="17">
        <v>16.3</v>
      </c>
      <c r="V338" s="17">
        <v>1.43</v>
      </c>
      <c r="W338" s="36">
        <f t="shared" si="58"/>
        <v>8.7730061349693245E-2</v>
      </c>
      <c r="X338" s="17">
        <v>0.64</v>
      </c>
      <c r="Y338" s="17">
        <v>3.89</v>
      </c>
      <c r="AA338" s="15" t="s">
        <v>140</v>
      </c>
      <c r="AB338" s="17"/>
      <c r="AC338" s="21" t="s">
        <v>61</v>
      </c>
      <c r="AD338" s="21" t="s">
        <v>61</v>
      </c>
      <c r="AE338" s="17" t="s">
        <v>86</v>
      </c>
      <c r="AF338" s="76" t="s">
        <v>562</v>
      </c>
      <c r="AG338" s="15"/>
      <c r="AI338" s="42">
        <f t="shared" ca="1" si="55"/>
        <v>855</v>
      </c>
      <c r="AJ338" s="42">
        <f t="shared" ca="1" si="52"/>
        <v>847</v>
      </c>
      <c r="AK338" s="13"/>
      <c r="AL338" s="36" t="str">
        <f t="shared" si="56"/>
        <v>Aborted</v>
      </c>
      <c r="AM338" s="37">
        <v>44809</v>
      </c>
      <c r="AN338" s="37">
        <v>44812</v>
      </c>
      <c r="AO338" s="37" t="s">
        <v>65</v>
      </c>
      <c r="AP338" s="37"/>
      <c r="AQ338" s="38"/>
      <c r="AR338" s="38"/>
      <c r="AS338" s="38"/>
      <c r="AT338" s="38"/>
      <c r="AU338" s="38"/>
      <c r="AV338" s="38"/>
      <c r="AW338" s="38">
        <v>44812</v>
      </c>
      <c r="AX338" s="38"/>
      <c r="AY338" s="38">
        <v>44817</v>
      </c>
      <c r="AZ338" s="38"/>
      <c r="BA338" s="39">
        <f t="shared" si="51"/>
        <v>0.22222222222222221</v>
      </c>
      <c r="BB338" s="38"/>
      <c r="BC338" s="11" t="s">
        <v>7</v>
      </c>
    </row>
    <row r="339" spans="2:55" x14ac:dyDescent="0.35">
      <c r="B339" s="16">
        <f>IF(D339=$A$516,1,IF(D339=$A$517,2,IF(D339=$A$518,3,IF(D339=$A$519,4,IF(D339=$A$520,5,IF(D339=$A$521,6))))))</f>
        <v>5</v>
      </c>
      <c r="D339" s="20" t="str">
        <f t="shared" si="57"/>
        <v>abt</v>
      </c>
      <c r="E339" s="12" t="s">
        <v>1281</v>
      </c>
      <c r="F339" s="14"/>
      <c r="G339" s="13" t="s">
        <v>68</v>
      </c>
      <c r="H339" s="14" t="s">
        <v>1282</v>
      </c>
      <c r="I339" s="13">
        <v>255000</v>
      </c>
      <c r="J339" s="13" t="s">
        <v>111</v>
      </c>
      <c r="K339" s="15" t="s">
        <v>1283</v>
      </c>
      <c r="L339" s="15"/>
      <c r="M339" s="15"/>
      <c r="N339" s="15"/>
      <c r="O339" s="15"/>
      <c r="P339" s="15"/>
      <c r="Q339" s="15"/>
      <c r="S339" s="35" t="s">
        <v>77</v>
      </c>
      <c r="T339" s="13">
        <v>2019</v>
      </c>
      <c r="U339" s="17">
        <v>18.467489</v>
      </c>
      <c r="V339" s="17">
        <v>2.1850019999999999</v>
      </c>
      <c r="W339" s="36">
        <f t="shared" si="58"/>
        <v>0.11831613924340227</v>
      </c>
      <c r="X339" s="17">
        <v>1.0534999999999999E-2</v>
      </c>
      <c r="Y339" s="17">
        <v>13.470366</v>
      </c>
      <c r="AA339" s="15" t="s">
        <v>99</v>
      </c>
      <c r="AB339" s="17" t="s">
        <v>1284</v>
      </c>
      <c r="AC339" s="21" t="s">
        <v>78</v>
      </c>
      <c r="AD339" s="21" t="s">
        <v>78</v>
      </c>
      <c r="AE339" s="17" t="s">
        <v>86</v>
      </c>
      <c r="AF339" s="17" t="s">
        <v>79</v>
      </c>
      <c r="AG339" s="15"/>
      <c r="AH339" s="677">
        <v>1</v>
      </c>
      <c r="AI339" s="42">
        <f t="shared" ca="1" si="55"/>
        <v>1196</v>
      </c>
      <c r="AJ339" s="42">
        <f t="shared" ca="1" si="52"/>
        <v>1051</v>
      </c>
      <c r="AK339" s="13"/>
      <c r="AL339" s="36" t="str">
        <f t="shared" si="56"/>
        <v>Aborted</v>
      </c>
      <c r="AM339" s="37">
        <v>44468</v>
      </c>
      <c r="AN339" s="37">
        <v>44468</v>
      </c>
      <c r="AO339" s="37" t="s">
        <v>65</v>
      </c>
      <c r="AP339" s="37" t="s">
        <v>65</v>
      </c>
      <c r="AQ339" s="38">
        <v>44505</v>
      </c>
      <c r="AR339" s="38" t="s">
        <v>65</v>
      </c>
      <c r="AS339" s="38">
        <v>44517</v>
      </c>
      <c r="AT339" s="38">
        <v>44526</v>
      </c>
      <c r="AU339" s="38"/>
      <c r="AV339" s="38"/>
      <c r="AW339" s="38">
        <v>44526</v>
      </c>
      <c r="AX339" s="38">
        <v>44587</v>
      </c>
      <c r="AY339" s="38">
        <v>44613</v>
      </c>
      <c r="AZ339" s="38"/>
      <c r="BA339" s="39">
        <f t="shared" si="51"/>
        <v>0.77777777777777779</v>
      </c>
      <c r="BB339" s="38"/>
      <c r="BC339" s="11" t="s">
        <v>7</v>
      </c>
    </row>
    <row r="340" spans="2:55" x14ac:dyDescent="0.35">
      <c r="B340" s="16">
        <f>IF(D340=$A$516,1,IF(D340=$A$517,2,IF(D340=$A$518,3,IF(D340=$A$519,4,IF(D340=$A$520,5,IF(D340=$A$521,6))))))</f>
        <v>5</v>
      </c>
      <c r="D340" s="20" t="str">
        <f t="shared" si="57"/>
        <v>abt</v>
      </c>
      <c r="E340" s="12" t="s">
        <v>1113</v>
      </c>
      <c r="F340" s="13"/>
      <c r="G340" s="13" t="s">
        <v>226</v>
      </c>
      <c r="H340" s="14" t="s">
        <v>1114</v>
      </c>
      <c r="I340" s="13">
        <v>281200</v>
      </c>
      <c r="J340" s="13" t="s">
        <v>111</v>
      </c>
      <c r="K340" s="15" t="s">
        <v>1115</v>
      </c>
      <c r="L340" s="15"/>
      <c r="M340" s="15"/>
      <c r="N340" s="15"/>
      <c r="O340" s="15"/>
      <c r="P340" s="15"/>
      <c r="Q340" s="15"/>
      <c r="S340" s="35" t="s">
        <v>77</v>
      </c>
      <c r="T340" s="13">
        <v>2020</v>
      </c>
      <c r="U340" s="17">
        <v>59.07</v>
      </c>
      <c r="V340" s="17">
        <v>12.478999999999999</v>
      </c>
      <c r="W340" s="36">
        <f t="shared" si="58"/>
        <v>0.21125782969358387</v>
      </c>
      <c r="X340" s="17">
        <v>7.2549999999999999</v>
      </c>
      <c r="Y340" s="17">
        <v>-11.335000000000001</v>
      </c>
      <c r="AA340" s="15" t="s">
        <v>99</v>
      </c>
      <c r="AB340" s="17" t="s">
        <v>257</v>
      </c>
      <c r="AC340" s="21" t="s">
        <v>78</v>
      </c>
      <c r="AD340" s="21" t="s">
        <v>78</v>
      </c>
      <c r="AE340" s="17" t="s">
        <v>86</v>
      </c>
      <c r="AF340" s="17"/>
      <c r="AG340" s="15"/>
      <c r="AI340" s="42">
        <f t="shared" ca="1" si="55"/>
        <v>1176</v>
      </c>
      <c r="AJ340" s="42">
        <f t="shared" ca="1" si="52"/>
        <v>819</v>
      </c>
      <c r="AK340" s="13"/>
      <c r="AL340" s="36" t="str">
        <f t="shared" si="56"/>
        <v>Aborted</v>
      </c>
      <c r="AM340" s="37">
        <v>44488</v>
      </c>
      <c r="AN340" s="37">
        <v>44488</v>
      </c>
      <c r="AO340" s="37" t="s">
        <v>65</v>
      </c>
      <c r="AP340" s="37">
        <v>44593</v>
      </c>
      <c r="AQ340" s="38">
        <v>44593</v>
      </c>
      <c r="AR340" s="38">
        <v>44620</v>
      </c>
      <c r="AS340" s="38"/>
      <c r="AT340" s="38"/>
      <c r="AU340" s="38"/>
      <c r="AV340" s="38"/>
      <c r="AW340" s="38">
        <v>44722</v>
      </c>
      <c r="AX340" s="38">
        <v>44727</v>
      </c>
      <c r="AY340" s="38">
        <v>44845</v>
      </c>
      <c r="AZ340" s="38"/>
      <c r="BA340" s="39">
        <f t="shared" si="51"/>
        <v>0.55555555555555558</v>
      </c>
      <c r="BB340" s="38"/>
      <c r="BC340" s="11" t="s">
        <v>7</v>
      </c>
    </row>
    <row r="341" spans="2:55" x14ac:dyDescent="0.35">
      <c r="B341" s="16">
        <f>IF(D341=$A$516,1,IF(D341=$A$517,2,IF(D341=$A$518,3,IF(D341=$A$519,4,IF(D341=$A$520,5,IF(D341=$A$521,6))))))</f>
        <v>5</v>
      </c>
      <c r="D341" s="20" t="str">
        <f t="shared" si="57"/>
        <v>abt</v>
      </c>
      <c r="E341" s="20" t="s">
        <v>432</v>
      </c>
      <c r="F341" s="13"/>
      <c r="G341" s="13" t="s">
        <v>103</v>
      </c>
      <c r="H341" s="13"/>
      <c r="I341" s="13"/>
      <c r="J341" s="13"/>
      <c r="K341" s="15" t="s">
        <v>433</v>
      </c>
      <c r="L341" s="15" t="s">
        <v>434</v>
      </c>
      <c r="M341" s="15"/>
      <c r="N341" s="15"/>
      <c r="O341" s="15"/>
      <c r="P341" s="15"/>
      <c r="Q341" s="15"/>
      <c r="S341" s="17"/>
      <c r="T341" s="13"/>
      <c r="U341" s="17"/>
      <c r="V341" s="17"/>
      <c r="W341" s="36"/>
      <c r="X341" s="17"/>
      <c r="Y341" s="17"/>
      <c r="AA341" s="15" t="s">
        <v>140</v>
      </c>
      <c r="AC341" s="21" t="s">
        <v>78</v>
      </c>
      <c r="AD341" s="21" t="s">
        <v>78</v>
      </c>
      <c r="AE341" s="13" t="s">
        <v>86</v>
      </c>
      <c r="AF341" s="17" t="s">
        <v>128</v>
      </c>
      <c r="AG341" s="15" t="s">
        <v>435</v>
      </c>
      <c r="AI341" s="42">
        <f t="shared" ca="1" si="55"/>
        <v>498</v>
      </c>
      <c r="AJ341" s="42">
        <f t="shared" ca="1" si="52"/>
        <v>364</v>
      </c>
      <c r="AK341" s="13" t="s">
        <v>720</v>
      </c>
      <c r="AL341" s="36" t="str">
        <f t="shared" si="56"/>
        <v>Aborted</v>
      </c>
      <c r="AM341" s="37">
        <v>45166</v>
      </c>
      <c r="AN341" s="37">
        <v>45181</v>
      </c>
      <c r="AO341" s="37" t="s">
        <v>65</v>
      </c>
      <c r="AP341" s="37">
        <v>45187</v>
      </c>
      <c r="AQ341" s="38"/>
      <c r="AR341" s="38"/>
      <c r="AS341" s="38"/>
      <c r="AT341" s="38"/>
      <c r="AU341" s="38"/>
      <c r="AV341" s="38"/>
      <c r="AW341" s="38">
        <v>45187</v>
      </c>
      <c r="AX341" s="38">
        <v>45187</v>
      </c>
      <c r="AY341" s="38">
        <v>45300</v>
      </c>
      <c r="AZ341" s="38"/>
      <c r="BA341" s="39">
        <f t="shared" si="51"/>
        <v>0.33333333333333331</v>
      </c>
      <c r="BB341" s="38"/>
      <c r="BC341" s="11" t="s">
        <v>7</v>
      </c>
    </row>
    <row r="342" spans="2:55" x14ac:dyDescent="0.35">
      <c r="B342" s="16">
        <f>IF(D342=$A$516,1,IF(D342=$A$517,2,IF(D342=$A$518,3,IF(D342=$A$519,4,IF(D342=$A$520,5,IF(D342=$A$521,6))))))</f>
        <v>5</v>
      </c>
      <c r="D342" s="20" t="str">
        <f t="shared" si="57"/>
        <v>abt</v>
      </c>
      <c r="E342" s="20" t="s">
        <v>1409</v>
      </c>
      <c r="F342" s="13"/>
      <c r="G342" s="13" t="s">
        <v>103</v>
      </c>
      <c r="H342" s="14" t="s">
        <v>1410</v>
      </c>
      <c r="I342" s="13">
        <v>467502</v>
      </c>
      <c r="J342" s="13" t="s">
        <v>96</v>
      </c>
      <c r="K342" s="15" t="s">
        <v>1411</v>
      </c>
      <c r="L342" s="15" t="s">
        <v>1412</v>
      </c>
      <c r="M342" s="15" t="s">
        <v>1413</v>
      </c>
      <c r="N342" s="15"/>
      <c r="O342" s="15"/>
      <c r="P342" s="15"/>
      <c r="Q342" s="15"/>
      <c r="S342" s="35" t="s">
        <v>144</v>
      </c>
      <c r="T342" s="13">
        <v>2019</v>
      </c>
      <c r="U342" s="17">
        <v>54.41</v>
      </c>
      <c r="V342" s="17">
        <v>7.09</v>
      </c>
      <c r="W342" s="36">
        <f>+V342/U342</f>
        <v>0.13030692887336887</v>
      </c>
      <c r="X342" s="17">
        <v>3.69</v>
      </c>
      <c r="Y342" s="17">
        <v>-5.53</v>
      </c>
      <c r="AA342" s="15" t="s">
        <v>99</v>
      </c>
      <c r="AB342" s="17" t="s">
        <v>1414</v>
      </c>
      <c r="AC342" s="21" t="s">
        <v>78</v>
      </c>
      <c r="AD342" s="17" t="s">
        <v>78</v>
      </c>
      <c r="AE342" s="17"/>
      <c r="AF342" s="17"/>
      <c r="AG342" s="15"/>
      <c r="AI342" s="42">
        <f t="shared" ca="1" si="55"/>
        <v>1433</v>
      </c>
      <c r="AJ342" s="42">
        <f t="shared" ca="1" si="52"/>
        <v>1302</v>
      </c>
      <c r="AK342" s="13"/>
      <c r="AL342" s="36" t="str">
        <f t="shared" si="56"/>
        <v>Aborted</v>
      </c>
      <c r="AM342" s="37">
        <v>44231</v>
      </c>
      <c r="AN342" s="37">
        <v>44256</v>
      </c>
      <c r="AO342" s="37">
        <v>44271</v>
      </c>
      <c r="AP342" s="37">
        <v>44271</v>
      </c>
      <c r="AQ342" s="38"/>
      <c r="AR342" s="38"/>
      <c r="AS342" s="38"/>
      <c r="AT342" s="38"/>
      <c r="AU342" s="38"/>
      <c r="AV342" s="38"/>
      <c r="AW342" s="38">
        <v>44319</v>
      </c>
      <c r="AX342" s="38"/>
      <c r="AY342" s="38">
        <v>44362</v>
      </c>
      <c r="AZ342" s="38"/>
      <c r="BA342" s="39">
        <f t="shared" si="51"/>
        <v>0.33333333333333331</v>
      </c>
      <c r="BB342" s="38"/>
      <c r="BC342" s="11" t="s">
        <v>7</v>
      </c>
    </row>
    <row r="343" spans="2:55" x14ac:dyDescent="0.35">
      <c r="B343" s="16">
        <f>IF(D343=$A$516,1,IF(D343=$A$517,2,IF(D343=$A$518,3,IF(D343=$A$519,4,IF(D343=$A$520,5,IF(D343=$A$521,6))))))</f>
        <v>5</v>
      </c>
      <c r="D343" s="20" t="str">
        <f t="shared" si="57"/>
        <v>abt</v>
      </c>
      <c r="E343" s="20" t="s">
        <v>982</v>
      </c>
      <c r="F343" s="13"/>
      <c r="G343" s="13" t="s">
        <v>983</v>
      </c>
      <c r="H343" s="14"/>
      <c r="I343" s="13"/>
      <c r="J343" s="13" t="s">
        <v>119</v>
      </c>
      <c r="K343" s="15" t="s">
        <v>984</v>
      </c>
      <c r="L343" s="15" t="s">
        <v>985</v>
      </c>
      <c r="M343" s="15"/>
      <c r="N343" s="15"/>
      <c r="O343" s="15"/>
      <c r="P343" s="15"/>
      <c r="Q343" s="15"/>
      <c r="S343" s="35" t="s">
        <v>77</v>
      </c>
      <c r="T343" s="13">
        <v>2021</v>
      </c>
      <c r="U343" s="17">
        <v>1.1240000000000001</v>
      </c>
      <c r="V343" s="17">
        <v>0.38</v>
      </c>
      <c r="W343" s="36">
        <f>+V343/U343</f>
        <v>0.33807829181494659</v>
      </c>
      <c r="X343" s="17">
        <v>0.33400000000000002</v>
      </c>
      <c r="Y343" s="17" t="s">
        <v>65</v>
      </c>
      <c r="AA343" s="15" t="s">
        <v>99</v>
      </c>
      <c r="AB343" s="17" t="s">
        <v>732</v>
      </c>
      <c r="AC343" s="21" t="s">
        <v>61</v>
      </c>
      <c r="AD343" s="21" t="s">
        <v>61</v>
      </c>
      <c r="AE343" s="17" t="s">
        <v>79</v>
      </c>
      <c r="AF343" s="76" t="s">
        <v>562</v>
      </c>
      <c r="AG343" s="15"/>
      <c r="AH343" s="677">
        <v>1</v>
      </c>
      <c r="AI343" s="42">
        <f t="shared" ca="1" si="55"/>
        <v>948</v>
      </c>
      <c r="AJ343" s="42">
        <f t="shared" ca="1" si="52"/>
        <v>728</v>
      </c>
      <c r="AK343" s="13"/>
      <c r="AL343" s="36" t="str">
        <f t="shared" si="56"/>
        <v>Aborted</v>
      </c>
      <c r="AM343" s="37">
        <v>44716</v>
      </c>
      <c r="AN343" s="37">
        <v>44716</v>
      </c>
      <c r="AO343" s="37" t="s">
        <v>65</v>
      </c>
      <c r="AP343" s="37" t="s">
        <v>65</v>
      </c>
      <c r="AQ343" s="38">
        <v>44741</v>
      </c>
      <c r="AR343" s="38" t="s">
        <v>65</v>
      </c>
      <c r="AS343" s="38" t="s">
        <v>65</v>
      </c>
      <c r="AT343" s="38">
        <v>44748</v>
      </c>
      <c r="AU343" s="38">
        <v>44763</v>
      </c>
      <c r="AV343" s="38"/>
      <c r="AW343" s="38">
        <v>44837</v>
      </c>
      <c r="AX343" s="38">
        <v>44844</v>
      </c>
      <c r="AY343" s="38">
        <v>44936</v>
      </c>
      <c r="AZ343" s="38"/>
      <c r="BA343" s="39">
        <f t="shared" si="51"/>
        <v>0.88888888888888884</v>
      </c>
      <c r="BB343" s="38"/>
      <c r="BC343" s="11" t="s">
        <v>7</v>
      </c>
    </row>
    <row r="344" spans="2:55" x14ac:dyDescent="0.35">
      <c r="B344" s="16">
        <f>IF(D344=$A$516,1,IF(D344=$A$517,2,IF(D344=$A$518,3,IF(D344=$A$519,4,IF(D344=$A$520,5,IF(D344=$A$521,6))))))</f>
        <v>5</v>
      </c>
      <c r="D344" s="20" t="str">
        <f t="shared" si="57"/>
        <v>abt</v>
      </c>
      <c r="E344" s="12" t="s">
        <v>586</v>
      </c>
      <c r="F344" s="13"/>
      <c r="G344" s="13" t="s">
        <v>425</v>
      </c>
      <c r="H344" s="13"/>
      <c r="I344" s="20"/>
      <c r="J344" s="13" t="s">
        <v>587</v>
      </c>
      <c r="K344" s="15" t="s">
        <v>588</v>
      </c>
      <c r="L344" s="15" t="s">
        <v>589</v>
      </c>
      <c r="M344" s="15"/>
      <c r="N344" s="15"/>
      <c r="O344" s="15"/>
      <c r="P344" s="15"/>
      <c r="Q344" s="15"/>
      <c r="S344" s="35"/>
      <c r="T344" s="13"/>
      <c r="U344" s="17"/>
      <c r="V344" s="17"/>
      <c r="W344" s="36"/>
      <c r="X344" s="17"/>
      <c r="Y344" s="17"/>
      <c r="AA344" s="15" t="s">
        <v>590</v>
      </c>
      <c r="AB344" s="17" t="s">
        <v>591</v>
      </c>
      <c r="AC344" s="21" t="s">
        <v>78</v>
      </c>
      <c r="AD344" s="21" t="s">
        <v>78</v>
      </c>
      <c r="AE344" s="17" t="s">
        <v>62</v>
      </c>
      <c r="AF344" s="17" t="s">
        <v>128</v>
      </c>
      <c r="AG344" s="15"/>
      <c r="AI344" s="42">
        <f t="shared" ca="1" si="55"/>
        <v>1163</v>
      </c>
      <c r="AJ344" s="42">
        <f t="shared" ca="1" si="52"/>
        <v>364</v>
      </c>
      <c r="AK344" s="13" t="s">
        <v>544</v>
      </c>
      <c r="AL344" s="36" t="str">
        <f t="shared" si="56"/>
        <v>Aborted</v>
      </c>
      <c r="AM344" s="37">
        <v>44501</v>
      </c>
      <c r="AN344" s="37">
        <v>44501</v>
      </c>
      <c r="AO344" s="37" t="s">
        <v>65</v>
      </c>
      <c r="AP344" s="37">
        <v>44511</v>
      </c>
      <c r="AQ344" s="38">
        <v>44511</v>
      </c>
      <c r="AR344" s="38" t="s">
        <v>65</v>
      </c>
      <c r="AS344" s="38">
        <v>44515</v>
      </c>
      <c r="AT344" s="38">
        <v>44533</v>
      </c>
      <c r="AU344" s="38" t="s">
        <v>65</v>
      </c>
      <c r="AV344" s="38">
        <v>44735</v>
      </c>
      <c r="AW344" s="38">
        <v>45125</v>
      </c>
      <c r="AX344" s="38">
        <v>44887</v>
      </c>
      <c r="AY344" s="38">
        <v>45300</v>
      </c>
      <c r="AZ344" s="38"/>
      <c r="BA344" s="39">
        <f t="shared" si="51"/>
        <v>1</v>
      </c>
      <c r="BB344" s="38"/>
      <c r="BC344" s="11" t="s">
        <v>7</v>
      </c>
    </row>
    <row r="345" spans="2:55" x14ac:dyDescent="0.35">
      <c r="B345" s="16">
        <f>IF(D345=$A$516,1,IF(D345=$A$517,2,IF(D345=$A$518,3,IF(D345=$A$519,4,IF(D345=$A$520,5,IF(D345=$A$521,6))))))</f>
        <v>5</v>
      </c>
      <c r="D345" s="20" t="str">
        <f t="shared" si="57"/>
        <v>abt</v>
      </c>
      <c r="E345" s="20" t="s">
        <v>2578</v>
      </c>
      <c r="F345" s="14"/>
      <c r="G345" s="13" t="s">
        <v>1040</v>
      </c>
      <c r="H345" s="12"/>
      <c r="I345" s="13"/>
      <c r="J345" s="13" t="s">
        <v>2579</v>
      </c>
      <c r="K345" s="15" t="s">
        <v>2581</v>
      </c>
      <c r="L345" s="15"/>
      <c r="M345" s="15"/>
      <c r="N345" s="15"/>
      <c r="O345" s="15"/>
      <c r="P345" s="15"/>
      <c r="Q345" s="15"/>
      <c r="S345" s="35"/>
      <c r="T345" s="13">
        <v>2023</v>
      </c>
      <c r="U345" s="17">
        <v>25</v>
      </c>
      <c r="V345" s="17"/>
      <c r="W345" s="36">
        <f t="shared" ref="W345:W350" si="59">+V345/U345</f>
        <v>0</v>
      </c>
      <c r="X345" s="17"/>
      <c r="Y345" s="17"/>
      <c r="AA345" s="15" t="s">
        <v>253</v>
      </c>
      <c r="AB345" s="17"/>
      <c r="AC345" s="21" t="s">
        <v>78</v>
      </c>
      <c r="AD345" s="21" t="s">
        <v>78</v>
      </c>
      <c r="AE345" s="17" t="s">
        <v>62</v>
      </c>
      <c r="AF345" s="17"/>
      <c r="AG345" s="15"/>
      <c r="AI345" s="42">
        <f t="shared" ca="1" si="55"/>
        <v>419</v>
      </c>
      <c r="AJ345" s="42">
        <f t="shared" ca="1" si="52"/>
        <v>336</v>
      </c>
      <c r="AK345" s="13" t="s">
        <v>544</v>
      </c>
      <c r="AL345" s="36" t="str">
        <f t="shared" si="56"/>
        <v>Aborted</v>
      </c>
      <c r="AM345" s="37">
        <v>45245</v>
      </c>
      <c r="AN345" s="172">
        <v>45245</v>
      </c>
      <c r="AO345" s="37" t="s">
        <v>65</v>
      </c>
      <c r="AP345" s="37" t="s">
        <v>65</v>
      </c>
      <c r="AQ345" s="38">
        <f>+AN345</f>
        <v>45245</v>
      </c>
      <c r="AR345" s="38" t="s">
        <v>65</v>
      </c>
      <c r="AS345" s="38" t="s">
        <v>65</v>
      </c>
      <c r="AT345" s="38" t="s">
        <v>65</v>
      </c>
      <c r="AU345" s="38" t="s">
        <v>65</v>
      </c>
      <c r="AV345" s="38">
        <v>45257</v>
      </c>
      <c r="AW345" s="38"/>
      <c r="AX345" s="38">
        <v>45314</v>
      </c>
      <c r="AY345" s="38">
        <v>45328</v>
      </c>
      <c r="AZ345" s="38"/>
      <c r="BA345" s="39">
        <f t="shared" si="51"/>
        <v>1</v>
      </c>
      <c r="BB345" s="38"/>
      <c r="BC345" s="11" t="s">
        <v>7</v>
      </c>
    </row>
    <row r="346" spans="2:55" x14ac:dyDescent="0.35">
      <c r="B346" s="16">
        <f>IF(D346=$A$516,1,IF(D346=$A$517,2,IF(D346=$A$518,3,IF(D346=$A$519,4,IF(D346=$A$520,5,IF(D346=$A$521,6))))))</f>
        <v>5</v>
      </c>
      <c r="D346" s="20" t="str">
        <f t="shared" si="57"/>
        <v>abt</v>
      </c>
      <c r="E346" s="20" t="s">
        <v>1389</v>
      </c>
      <c r="F346" s="13"/>
      <c r="G346" s="13" t="s">
        <v>103</v>
      </c>
      <c r="H346" s="14" t="s">
        <v>1390</v>
      </c>
      <c r="I346" s="13">
        <v>561011</v>
      </c>
      <c r="J346" s="13" t="s">
        <v>83</v>
      </c>
      <c r="K346" s="15" t="s">
        <v>1391</v>
      </c>
      <c r="L346" s="15"/>
      <c r="M346" s="15"/>
      <c r="N346" s="15"/>
      <c r="O346" s="15"/>
      <c r="P346" s="15"/>
      <c r="Q346" s="15"/>
      <c r="S346" s="35" t="s">
        <v>77</v>
      </c>
      <c r="T346" s="13">
        <v>2020</v>
      </c>
      <c r="U346" s="17">
        <v>7.2720000000000002</v>
      </c>
      <c r="V346" s="17">
        <v>0.52300000000000002</v>
      </c>
      <c r="W346" s="36">
        <f t="shared" si="59"/>
        <v>7.1919691969196925E-2</v>
      </c>
      <c r="X346" s="17">
        <v>7.3999999999999996E-2</v>
      </c>
      <c r="Y346" s="17">
        <v>0.36499999999999999</v>
      </c>
      <c r="AA346" s="632"/>
      <c r="AB346" s="17"/>
      <c r="AC346" s="21" t="s">
        <v>61</v>
      </c>
      <c r="AD346" s="17" t="s">
        <v>61</v>
      </c>
      <c r="AE346" s="17"/>
      <c r="AF346" s="17"/>
      <c r="AG346" s="15"/>
      <c r="AI346" s="42">
        <f t="shared" ca="1" si="55"/>
        <v>1467</v>
      </c>
      <c r="AJ346" s="42">
        <f t="shared" ca="1" si="52"/>
        <v>1169</v>
      </c>
      <c r="AK346" s="13"/>
      <c r="AL346" s="36" t="str">
        <f t="shared" si="56"/>
        <v>Aborted</v>
      </c>
      <c r="AM346" s="37">
        <v>44197</v>
      </c>
      <c r="AN346" s="75">
        <v>44197</v>
      </c>
      <c r="AO346" s="37" t="s">
        <v>65</v>
      </c>
      <c r="AP346" s="37" t="s">
        <v>65</v>
      </c>
      <c r="AQ346" s="38"/>
      <c r="AR346" s="38"/>
      <c r="AS346" s="38"/>
      <c r="AT346" s="38"/>
      <c r="AU346" s="38"/>
      <c r="AV346" s="38"/>
      <c r="AW346" s="38">
        <v>44313</v>
      </c>
      <c r="AX346" s="38">
        <v>44327</v>
      </c>
      <c r="AY346" s="38">
        <v>44495</v>
      </c>
      <c r="AZ346" s="38"/>
      <c r="BA346" s="39">
        <f t="shared" si="51"/>
        <v>0.33333333333333331</v>
      </c>
      <c r="BB346" s="38"/>
      <c r="BC346" s="11" t="s">
        <v>7</v>
      </c>
    </row>
    <row r="347" spans="2:55" x14ac:dyDescent="0.35">
      <c r="B347" s="16">
        <f>IF(D347=$A$516,1,IF(D347=$A$517,2,IF(D347=$A$518,3,IF(D347=$A$519,4,IF(D347=$A$520,5,IF(D347=$A$521,6))))))</f>
        <v>5</v>
      </c>
      <c r="D347" s="20" t="str">
        <f t="shared" si="57"/>
        <v>abt</v>
      </c>
      <c r="E347" s="12" t="s">
        <v>1162</v>
      </c>
      <c r="F347" s="13"/>
      <c r="G347" s="13" t="s">
        <v>873</v>
      </c>
      <c r="H347" s="14" t="s">
        <v>874</v>
      </c>
      <c r="I347" s="13">
        <v>8129999</v>
      </c>
      <c r="J347" s="13" t="s">
        <v>105</v>
      </c>
      <c r="K347" s="15" t="s">
        <v>875</v>
      </c>
      <c r="L347" s="15" t="s">
        <v>1163</v>
      </c>
      <c r="M347" s="15" t="s">
        <v>1163</v>
      </c>
      <c r="N347" s="15" t="s">
        <v>1164</v>
      </c>
      <c r="O347" s="15"/>
      <c r="P347" s="15"/>
      <c r="Q347" s="15"/>
      <c r="S347" s="35" t="s">
        <v>144</v>
      </c>
      <c r="T347" s="13">
        <v>2020</v>
      </c>
      <c r="U347" s="17">
        <v>57.8</v>
      </c>
      <c r="V347" s="17">
        <v>3.96</v>
      </c>
      <c r="W347" s="36">
        <f t="shared" si="59"/>
        <v>6.8512110726643607E-2</v>
      </c>
      <c r="X347" s="17">
        <v>1.1559999999999999</v>
      </c>
      <c r="Y347" s="17">
        <v>0.2</v>
      </c>
      <c r="AA347" s="15" t="s">
        <v>60</v>
      </c>
      <c r="AB347" s="17"/>
      <c r="AC347" s="21" t="s">
        <v>61</v>
      </c>
      <c r="AD347" s="21" t="s">
        <v>61</v>
      </c>
      <c r="AE347" s="17" t="s">
        <v>86</v>
      </c>
      <c r="AF347" s="17" t="s">
        <v>79</v>
      </c>
      <c r="AG347" s="15"/>
      <c r="AH347" s="677">
        <v>1</v>
      </c>
      <c r="AI347" s="42">
        <f t="shared" ca="1" si="55"/>
        <v>949</v>
      </c>
      <c r="AJ347" s="42">
        <f t="shared" ca="1" si="52"/>
        <v>889</v>
      </c>
      <c r="AK347" s="13"/>
      <c r="AL347" s="36" t="str">
        <f t="shared" si="56"/>
        <v>Aborted</v>
      </c>
      <c r="AM347" s="37">
        <v>44715</v>
      </c>
      <c r="AN347" s="75">
        <f>+AM347</f>
        <v>44715</v>
      </c>
      <c r="AO347" s="37" t="s">
        <v>65</v>
      </c>
      <c r="AP347" s="37" t="s">
        <v>65</v>
      </c>
      <c r="AQ347" s="38">
        <f>+AN347</f>
        <v>44715</v>
      </c>
      <c r="AR347" s="38">
        <v>44718</v>
      </c>
      <c r="AS347" s="38" t="s">
        <v>65</v>
      </c>
      <c r="AT347" s="38">
        <v>44720</v>
      </c>
      <c r="AU347" s="38" t="s">
        <v>65</v>
      </c>
      <c r="AV347" s="38">
        <v>44736</v>
      </c>
      <c r="AW347" s="38"/>
      <c r="AX347" s="38"/>
      <c r="AY347" s="38">
        <v>44775</v>
      </c>
      <c r="AZ347" s="38"/>
      <c r="BA347" s="39">
        <f t="shared" si="51"/>
        <v>1</v>
      </c>
      <c r="BB347" s="38"/>
      <c r="BC347" s="11" t="s">
        <v>7</v>
      </c>
    </row>
    <row r="348" spans="2:55" x14ac:dyDescent="0.35">
      <c r="B348" s="16">
        <f>IF(D348=$A$516,1,IF(D348=$A$517,2,IF(D348=$A$518,3,IF(D348=$A$519,4,IF(D348=$A$520,5,IF(D348=$A$521,6))))))</f>
        <v>5</v>
      </c>
      <c r="D348" s="20" t="str">
        <f t="shared" si="57"/>
        <v>abt</v>
      </c>
      <c r="E348" s="12" t="s">
        <v>871</v>
      </c>
      <c r="F348" s="14" t="s">
        <v>872</v>
      </c>
      <c r="G348" s="13" t="s">
        <v>873</v>
      </c>
      <c r="H348" s="14" t="s">
        <v>874</v>
      </c>
      <c r="I348" s="13">
        <v>8129999</v>
      </c>
      <c r="J348" s="13" t="s">
        <v>105</v>
      </c>
      <c r="K348" s="15" t="s">
        <v>875</v>
      </c>
      <c r="L348" s="15"/>
      <c r="M348" s="15"/>
      <c r="N348" s="15"/>
      <c r="O348" s="15"/>
      <c r="P348" s="15"/>
      <c r="Q348" s="15"/>
      <c r="S348" s="35" t="s">
        <v>144</v>
      </c>
      <c r="T348" s="13">
        <v>2019</v>
      </c>
      <c r="U348" s="17">
        <v>61.72</v>
      </c>
      <c r="V348" s="17">
        <v>8.8000000000000007</v>
      </c>
      <c r="W348" s="36">
        <f t="shared" si="59"/>
        <v>0.14257939079714843</v>
      </c>
      <c r="X348" s="17">
        <v>4.5999999999999996</v>
      </c>
      <c r="Y348" s="17">
        <v>-1.01</v>
      </c>
      <c r="AA348" s="15" t="s">
        <v>60</v>
      </c>
      <c r="AB348" s="17"/>
      <c r="AC348" s="21" t="s">
        <v>61</v>
      </c>
      <c r="AD348" s="21" t="s">
        <v>61</v>
      </c>
      <c r="AE348" s="17" t="s">
        <v>86</v>
      </c>
      <c r="AF348" s="17"/>
      <c r="AG348" s="15"/>
      <c r="AI348" s="42">
        <f t="shared" ca="1" si="55"/>
        <v>1467</v>
      </c>
      <c r="AJ348" s="42">
        <f t="shared" ca="1" si="52"/>
        <v>637</v>
      </c>
      <c r="AK348" s="13"/>
      <c r="AL348" s="36" t="str">
        <f t="shared" si="56"/>
        <v>Aborted</v>
      </c>
      <c r="AM348" s="37">
        <v>44197</v>
      </c>
      <c r="AN348" s="37">
        <v>44197</v>
      </c>
      <c r="AO348" s="37" t="s">
        <v>65</v>
      </c>
      <c r="AP348" s="37" t="s">
        <v>65</v>
      </c>
      <c r="AQ348" s="38">
        <f>+AN348</f>
        <v>44197</v>
      </c>
      <c r="AR348" s="38" t="s">
        <v>65</v>
      </c>
      <c r="AS348" s="38">
        <v>44460</v>
      </c>
      <c r="AT348" s="38">
        <v>44496</v>
      </c>
      <c r="AU348" s="38"/>
      <c r="AV348" s="38"/>
      <c r="AW348" s="38">
        <v>44964</v>
      </c>
      <c r="AX348" s="38">
        <v>44544</v>
      </c>
      <c r="AY348" s="38">
        <v>45027</v>
      </c>
      <c r="AZ348" s="38"/>
      <c r="BA348" s="39">
        <f t="shared" si="51"/>
        <v>0.77777777777777779</v>
      </c>
      <c r="BB348" s="38"/>
      <c r="BC348" s="11" t="s">
        <v>7</v>
      </c>
    </row>
    <row r="349" spans="2:55" x14ac:dyDescent="0.35">
      <c r="B349" s="16">
        <f>IF(D349=$A$516,1,IF(D349=$A$517,2,IF(D349=$A$518,3,IF(D349=$A$519,4,IF(D349=$A$520,5,IF(D349=$A$521,6))))))</f>
        <v>5</v>
      </c>
      <c r="D349" s="20" t="str">
        <f t="shared" si="57"/>
        <v>abt</v>
      </c>
      <c r="E349" s="12" t="s">
        <v>1370</v>
      </c>
      <c r="F349" s="13"/>
      <c r="G349" s="13" t="s">
        <v>226</v>
      </c>
      <c r="H349" s="14" t="s">
        <v>1371</v>
      </c>
      <c r="I349" s="13">
        <v>131000</v>
      </c>
      <c r="J349" s="13" t="s">
        <v>1349</v>
      </c>
      <c r="K349" s="15" t="s">
        <v>1372</v>
      </c>
      <c r="L349" s="15"/>
      <c r="M349" s="15"/>
      <c r="N349" s="15"/>
      <c r="O349" s="15"/>
      <c r="P349" s="15"/>
      <c r="Q349" s="15"/>
      <c r="S349" s="35" t="s">
        <v>77</v>
      </c>
      <c r="T349" s="13">
        <v>2020</v>
      </c>
      <c r="U349" s="17">
        <v>4.8871520000000004</v>
      </c>
      <c r="V349" s="17">
        <v>-0.46919699999999998</v>
      </c>
      <c r="W349" s="36">
        <f t="shared" si="59"/>
        <v>-9.6006222028698907E-2</v>
      </c>
      <c r="X349" s="17">
        <v>-0.39141300000000001</v>
      </c>
      <c r="Y349" s="17">
        <v>2.2040549999999999</v>
      </c>
      <c r="AA349" s="15" t="s">
        <v>99</v>
      </c>
      <c r="AB349" s="17" t="s">
        <v>1345</v>
      </c>
      <c r="AC349" s="21" t="s">
        <v>78</v>
      </c>
      <c r="AD349" s="17" t="s">
        <v>78</v>
      </c>
      <c r="AE349" s="17" t="s">
        <v>62</v>
      </c>
      <c r="AF349" s="17"/>
      <c r="AG349" s="15"/>
      <c r="AI349" s="42">
        <f t="shared" ca="1" si="55"/>
        <v>1224</v>
      </c>
      <c r="AJ349" s="42">
        <f t="shared" ca="1" si="52"/>
        <v>1155</v>
      </c>
      <c r="AK349" s="13"/>
      <c r="AL349" s="36" t="str">
        <f t="shared" si="56"/>
        <v>Aborted</v>
      </c>
      <c r="AM349" s="37">
        <v>44440</v>
      </c>
      <c r="AN349" s="75">
        <v>44440</v>
      </c>
      <c r="AO349" s="37" t="s">
        <v>65</v>
      </c>
      <c r="AP349" s="37">
        <v>44467</v>
      </c>
      <c r="AQ349" s="38"/>
      <c r="AR349" s="38"/>
      <c r="AS349" s="38"/>
      <c r="AT349" s="38"/>
      <c r="AU349" s="38"/>
      <c r="AV349" s="38"/>
      <c r="AW349" s="38">
        <v>44467</v>
      </c>
      <c r="AX349" s="38"/>
      <c r="AY349" s="38">
        <v>44509</v>
      </c>
      <c r="AZ349" s="38"/>
      <c r="BA349" s="39">
        <f t="shared" si="51"/>
        <v>0.33333333333333331</v>
      </c>
      <c r="BB349" s="38"/>
      <c r="BC349" s="11" t="s">
        <v>7</v>
      </c>
    </row>
    <row r="350" spans="2:55" x14ac:dyDescent="0.35">
      <c r="B350" s="16">
        <f>IF(D350=$A$516,1,IF(D350=$A$517,2,IF(D350=$A$518,3,IF(D350=$A$519,4,IF(D350=$A$520,5,IF(D350=$A$521,6))))))</f>
        <v>5</v>
      </c>
      <c r="D350" s="20" t="str">
        <f t="shared" si="57"/>
        <v>abt</v>
      </c>
      <c r="E350" s="12" t="s">
        <v>1316</v>
      </c>
      <c r="F350" s="14"/>
      <c r="G350" s="13" t="s">
        <v>271</v>
      </c>
      <c r="H350" s="14" t="s">
        <v>1317</v>
      </c>
      <c r="I350" s="13">
        <v>283000</v>
      </c>
      <c r="J350" s="13" t="s">
        <v>149</v>
      </c>
      <c r="K350" s="15" t="s">
        <v>1318</v>
      </c>
      <c r="L350" s="15"/>
      <c r="M350" s="15"/>
      <c r="N350" s="15"/>
      <c r="O350" s="15"/>
      <c r="P350" s="15"/>
      <c r="Q350" s="15"/>
      <c r="S350" s="35" t="s">
        <v>77</v>
      </c>
      <c r="T350" s="13">
        <v>2020</v>
      </c>
      <c r="U350" s="17">
        <v>8.7050000000000001</v>
      </c>
      <c r="V350" s="17">
        <v>6.2E-2</v>
      </c>
      <c r="W350" s="36">
        <f t="shared" si="59"/>
        <v>7.1223434807581847E-3</v>
      </c>
      <c r="X350" s="17">
        <v>6.1272320000000002</v>
      </c>
      <c r="Y350" s="17">
        <v>0.35399999999999998</v>
      </c>
      <c r="AA350" s="631" t="s">
        <v>140</v>
      </c>
      <c r="AB350" s="17"/>
      <c r="AC350" s="21" t="s">
        <v>78</v>
      </c>
      <c r="AD350" s="21" t="s">
        <v>78</v>
      </c>
      <c r="AE350" s="76" t="s">
        <v>562</v>
      </c>
      <c r="AF350" s="17"/>
      <c r="AG350" s="15"/>
      <c r="AI350" s="42">
        <f t="shared" ca="1" si="55"/>
        <v>1141</v>
      </c>
      <c r="AJ350" s="42">
        <f t="shared" ca="1" si="52"/>
        <v>1092</v>
      </c>
      <c r="AK350" s="13"/>
      <c r="AL350" s="36" t="str">
        <f t="shared" si="56"/>
        <v>Aborted</v>
      </c>
      <c r="AM350" s="37">
        <v>44523</v>
      </c>
      <c r="AN350" s="37">
        <v>44523</v>
      </c>
      <c r="AO350" s="37" t="s">
        <v>65</v>
      </c>
      <c r="AP350" s="37">
        <v>44523</v>
      </c>
      <c r="AQ350" s="38"/>
      <c r="AR350" s="38"/>
      <c r="AS350" s="38"/>
      <c r="AT350" s="38"/>
      <c r="AU350" s="38"/>
      <c r="AV350" s="38"/>
      <c r="AW350" s="38"/>
      <c r="AX350" s="38"/>
      <c r="AY350" s="38">
        <v>44572</v>
      </c>
      <c r="AZ350" s="38"/>
      <c r="BA350" s="39">
        <f t="shared" si="51"/>
        <v>0.33333333333333331</v>
      </c>
      <c r="BB350" s="38"/>
      <c r="BC350" s="11" t="s">
        <v>7</v>
      </c>
    </row>
    <row r="351" spans="2:55" x14ac:dyDescent="0.35">
      <c r="B351" s="16">
        <f>IF(D351=$A$516,1,IF(D351=$A$517,2,IF(D351=$A$518,3,IF(D351=$A$519,4,IF(D351=$A$520,5,IF(D351=$A$521,6))))))</f>
        <v>5</v>
      </c>
      <c r="D351" s="20" t="str">
        <f t="shared" si="57"/>
        <v>abt</v>
      </c>
      <c r="E351" s="12" t="s">
        <v>1175</v>
      </c>
      <c r="F351" s="13"/>
      <c r="G351" s="13" t="s">
        <v>1176</v>
      </c>
      <c r="H351" s="119"/>
      <c r="I351" s="13"/>
      <c r="J351" s="13" t="s">
        <v>119</v>
      </c>
      <c r="K351" s="15" t="s">
        <v>1177</v>
      </c>
      <c r="L351" s="15" t="s">
        <v>1178</v>
      </c>
      <c r="M351" s="15"/>
      <c r="N351" s="15"/>
      <c r="O351" s="15"/>
      <c r="P351" s="15"/>
      <c r="Q351" s="15"/>
      <c r="S351" s="35"/>
      <c r="T351" s="13"/>
      <c r="U351" s="17"/>
      <c r="V351" s="17"/>
      <c r="W351" s="36"/>
      <c r="X351" s="17"/>
      <c r="Y351" s="17"/>
      <c r="AA351" s="15" t="s">
        <v>590</v>
      </c>
      <c r="AB351" s="17" t="s">
        <v>732</v>
      </c>
      <c r="AC351" s="21" t="s">
        <v>61</v>
      </c>
      <c r="AD351" s="21" t="s">
        <v>61</v>
      </c>
      <c r="AE351" s="17" t="s">
        <v>62</v>
      </c>
      <c r="AF351" s="76" t="s">
        <v>562</v>
      </c>
      <c r="AG351" s="15"/>
      <c r="AI351" s="42">
        <f t="shared" ca="1" si="55"/>
        <v>1071</v>
      </c>
      <c r="AJ351" s="42">
        <f t="shared" ca="1" si="52"/>
        <v>854</v>
      </c>
      <c r="AK351" s="13"/>
      <c r="AL351" s="36" t="str">
        <f t="shared" si="56"/>
        <v>Aborted</v>
      </c>
      <c r="AM351" s="37">
        <v>44593</v>
      </c>
      <c r="AN351" s="37">
        <v>44593</v>
      </c>
      <c r="AO351" s="37" t="s">
        <v>65</v>
      </c>
      <c r="AP351" s="37" t="s">
        <v>65</v>
      </c>
      <c r="AQ351" s="38">
        <f>+AN351</f>
        <v>44593</v>
      </c>
      <c r="AR351" s="38" t="s">
        <v>65</v>
      </c>
      <c r="AS351" s="38" t="s">
        <v>65</v>
      </c>
      <c r="AT351" s="38">
        <v>44609</v>
      </c>
      <c r="AU351" s="38" t="s">
        <v>65</v>
      </c>
      <c r="AV351" s="38">
        <v>44628</v>
      </c>
      <c r="AW351" s="38"/>
      <c r="AX351" s="38">
        <v>44726</v>
      </c>
      <c r="AY351" s="38">
        <v>44810</v>
      </c>
      <c r="AZ351" s="38"/>
      <c r="BA351" s="39">
        <f t="shared" si="51"/>
        <v>1</v>
      </c>
      <c r="BB351" s="38"/>
      <c r="BC351" s="11" t="s">
        <v>7</v>
      </c>
    </row>
    <row r="352" spans="2:55" x14ac:dyDescent="0.35">
      <c r="B352" s="16">
        <f>IF(D352=$A$516,1,IF(D352=$A$517,2,IF(D352=$A$518,3,IF(D352=$A$519,4,IF(D352=$A$520,5,IF(D352=$A$521,6))))))</f>
        <v>5</v>
      </c>
      <c r="D352" s="20" t="str">
        <f t="shared" si="57"/>
        <v>abt</v>
      </c>
      <c r="E352" s="12" t="s">
        <v>1274</v>
      </c>
      <c r="F352" s="14"/>
      <c r="G352" s="13" t="s">
        <v>425</v>
      </c>
      <c r="H352" s="13"/>
      <c r="I352" s="13"/>
      <c r="J352" s="13"/>
      <c r="K352" s="15"/>
      <c r="L352" s="15"/>
      <c r="M352" s="15"/>
      <c r="N352" s="15"/>
      <c r="O352" s="15"/>
      <c r="P352" s="15"/>
      <c r="Q352" s="15"/>
      <c r="S352" s="35"/>
      <c r="T352" s="13"/>
      <c r="U352" s="17"/>
      <c r="V352" s="17"/>
      <c r="W352" s="36"/>
      <c r="X352" s="17"/>
      <c r="Y352" s="17"/>
      <c r="AA352" s="632"/>
      <c r="AB352" s="17"/>
      <c r="AC352" s="21" t="s">
        <v>61</v>
      </c>
      <c r="AD352" s="21" t="s">
        <v>61</v>
      </c>
      <c r="AE352" s="17"/>
      <c r="AF352" s="17"/>
      <c r="AG352" s="15"/>
      <c r="AI352" s="42">
        <f t="shared" ca="1" si="55"/>
        <v>1155</v>
      </c>
      <c r="AJ352" s="42">
        <f t="shared" ca="1" si="52"/>
        <v>1029</v>
      </c>
      <c r="AK352" s="13"/>
      <c r="AL352" s="36" t="str">
        <f t="shared" si="56"/>
        <v>Aborted</v>
      </c>
      <c r="AM352" s="37">
        <v>44509</v>
      </c>
      <c r="AN352" s="37">
        <v>44509</v>
      </c>
      <c r="AO352" s="37" t="s">
        <v>65</v>
      </c>
      <c r="AP352" s="37" t="s">
        <v>65</v>
      </c>
      <c r="AQ352" s="38">
        <f>+AN352</f>
        <v>44509</v>
      </c>
      <c r="AR352" s="38" t="s">
        <v>65</v>
      </c>
      <c r="AS352" s="38"/>
      <c r="AT352" s="38"/>
      <c r="AU352" s="38"/>
      <c r="AV352" s="38"/>
      <c r="AW352" s="38"/>
      <c r="AX352" s="38">
        <v>44572</v>
      </c>
      <c r="AY352" s="38">
        <v>44635</v>
      </c>
      <c r="AZ352" s="38"/>
      <c r="BA352" s="39">
        <f t="shared" si="51"/>
        <v>0.55555555555555558</v>
      </c>
      <c r="BB352" s="38"/>
      <c r="BC352" s="11" t="s">
        <v>7</v>
      </c>
    </row>
    <row r="353" spans="2:55" x14ac:dyDescent="0.35">
      <c r="B353" s="16">
        <f>IF(D353=$A$516,1,IF(D353=$A$517,2,IF(D353=$A$518,3,IF(D353=$A$519,4,IF(D353=$A$520,5,IF(D353=$A$521,6))))))</f>
        <v>5</v>
      </c>
      <c r="D353" s="20" t="str">
        <f t="shared" si="57"/>
        <v>abt</v>
      </c>
      <c r="E353" s="20" t="s">
        <v>610</v>
      </c>
      <c r="F353" s="13"/>
      <c r="G353" s="13"/>
      <c r="H353" s="14"/>
      <c r="I353" s="13"/>
      <c r="J353" s="13"/>
      <c r="K353" s="15"/>
      <c r="L353" s="15"/>
      <c r="M353" s="15"/>
      <c r="N353" s="15"/>
      <c r="O353" s="15"/>
      <c r="P353" s="15"/>
      <c r="Q353" s="15"/>
      <c r="S353" s="35"/>
      <c r="T353" s="13"/>
      <c r="U353" s="17"/>
      <c r="V353" s="17"/>
      <c r="W353" s="36"/>
      <c r="X353" s="17"/>
      <c r="Y353" s="17"/>
      <c r="AA353" s="15" t="s">
        <v>140</v>
      </c>
      <c r="AB353" s="17"/>
      <c r="AC353" s="21" t="s">
        <v>61</v>
      </c>
      <c r="AD353" s="21" t="s">
        <v>61</v>
      </c>
      <c r="AE353" s="17" t="s">
        <v>79</v>
      </c>
      <c r="AF353" s="17"/>
      <c r="AG353" s="15" t="s">
        <v>611</v>
      </c>
      <c r="AH353" s="677">
        <v>1</v>
      </c>
      <c r="AI353" s="42">
        <f t="shared" ca="1" si="55"/>
        <v>449</v>
      </c>
      <c r="AJ353" s="42">
        <f t="shared" ca="1" si="52"/>
        <v>434</v>
      </c>
      <c r="AK353" s="13"/>
      <c r="AL353" s="36" t="str">
        <f t="shared" si="56"/>
        <v>Aborted</v>
      </c>
      <c r="AM353" s="37">
        <v>45215</v>
      </c>
      <c r="AN353" s="37">
        <v>45215</v>
      </c>
      <c r="AO353" s="37">
        <v>45226</v>
      </c>
      <c r="AP353" s="37">
        <v>45226</v>
      </c>
      <c r="AQ353" s="38"/>
      <c r="AR353" s="38"/>
      <c r="AS353" s="38"/>
      <c r="AT353" s="38"/>
      <c r="AU353" s="38"/>
      <c r="AV353" s="38"/>
      <c r="AW353" s="38"/>
      <c r="AX353" s="38"/>
      <c r="AY353" s="38">
        <v>45230</v>
      </c>
      <c r="AZ353" s="38"/>
      <c r="BA353" s="39">
        <f t="shared" si="51"/>
        <v>0.33333333333333331</v>
      </c>
      <c r="BB353" s="38"/>
      <c r="BC353" s="11" t="s">
        <v>7</v>
      </c>
    </row>
    <row r="354" spans="2:55" x14ac:dyDescent="0.35">
      <c r="B354" s="16">
        <f>IF(D354=$A$516,1,IF(D354=$A$517,2,IF(D354=$A$518,3,IF(D354=$A$519,4,IF(D354=$A$520,5,IF(D354=$A$521,6))))))</f>
        <v>5</v>
      </c>
      <c r="D354" s="20" t="str">
        <f t="shared" si="57"/>
        <v>abt</v>
      </c>
      <c r="E354" s="20" t="s">
        <v>941</v>
      </c>
      <c r="F354" s="13"/>
      <c r="G354" s="13" t="s">
        <v>208</v>
      </c>
      <c r="H354" s="14" t="s">
        <v>942</v>
      </c>
      <c r="I354" s="14" t="s">
        <v>943</v>
      </c>
      <c r="J354" s="13" t="s">
        <v>119</v>
      </c>
      <c r="K354" s="15" t="s">
        <v>944</v>
      </c>
      <c r="L354" s="15"/>
      <c r="M354" s="15"/>
      <c r="N354" s="15"/>
      <c r="O354" s="15"/>
      <c r="P354" s="15"/>
      <c r="Q354" s="15"/>
      <c r="S354" s="35" t="s">
        <v>144</v>
      </c>
      <c r="T354" s="13">
        <v>2020</v>
      </c>
      <c r="U354" s="17">
        <v>309.233</v>
      </c>
      <c r="V354" s="17">
        <v>58.308</v>
      </c>
      <c r="W354" s="36">
        <f>+V354/U354</f>
        <v>0.18855684871925052</v>
      </c>
      <c r="X354" s="17">
        <v>-30.715</v>
      </c>
      <c r="Y354" s="17">
        <v>9.1579999999999995</v>
      </c>
      <c r="AA354" s="15" t="s">
        <v>60</v>
      </c>
      <c r="AB354" s="17"/>
      <c r="AC354" s="21" t="s">
        <v>86</v>
      </c>
      <c r="AD354" s="21" t="s">
        <v>61</v>
      </c>
      <c r="AE354" s="13" t="s">
        <v>86</v>
      </c>
      <c r="AF354" s="17"/>
      <c r="AG354" s="15"/>
      <c r="AI354" s="42">
        <f t="shared" ca="1" si="55"/>
        <v>784</v>
      </c>
      <c r="AJ354" s="42">
        <f t="shared" ca="1" si="52"/>
        <v>728</v>
      </c>
      <c r="AK354" s="13" t="s">
        <v>64</v>
      </c>
      <c r="AL354" s="36" t="str">
        <f t="shared" si="56"/>
        <v>Aborted</v>
      </c>
      <c r="AM354" s="37">
        <v>44880</v>
      </c>
      <c r="AN354" s="37">
        <f>+AM354</f>
        <v>44880</v>
      </c>
      <c r="AO354" s="37" t="s">
        <v>65</v>
      </c>
      <c r="AP354" s="37">
        <v>44880</v>
      </c>
      <c r="AQ354" s="38"/>
      <c r="AR354" s="38"/>
      <c r="AS354" s="38"/>
      <c r="AT354" s="38"/>
      <c r="AU354" s="38"/>
      <c r="AV354" s="38"/>
      <c r="AW354" s="38">
        <v>44880</v>
      </c>
      <c r="AX354" s="38">
        <v>44893</v>
      </c>
      <c r="AY354" s="38">
        <v>44936</v>
      </c>
      <c r="AZ354" s="38"/>
      <c r="BA354" s="39">
        <f t="shared" si="51"/>
        <v>0.33333333333333331</v>
      </c>
      <c r="BB354" s="38"/>
      <c r="BC354" s="11" t="s">
        <v>7</v>
      </c>
    </row>
    <row r="355" spans="2:55" x14ac:dyDescent="0.35">
      <c r="B355" s="16">
        <f>IF(D355=$A$516,1,IF(D355=$A$517,2,IF(D355=$A$518,3,IF(D355=$A$519,4,IF(D355=$A$520,5,IF(D355=$A$521,6))))))</f>
        <v>5</v>
      </c>
      <c r="D355" s="20" t="str">
        <f t="shared" si="57"/>
        <v>abt</v>
      </c>
      <c r="E355" s="20" t="s">
        <v>910</v>
      </c>
      <c r="F355" s="13" t="s">
        <v>911</v>
      </c>
      <c r="G355" s="13" t="s">
        <v>572</v>
      </c>
      <c r="H355" s="14" t="s">
        <v>912</v>
      </c>
      <c r="I355" s="13">
        <v>463310</v>
      </c>
      <c r="J355" s="13" t="s">
        <v>83</v>
      </c>
      <c r="K355" s="15" t="s">
        <v>913</v>
      </c>
      <c r="L355" s="15" t="s">
        <v>914</v>
      </c>
      <c r="M355" s="15"/>
      <c r="N355" s="15"/>
      <c r="O355" s="15"/>
      <c r="P355" s="15"/>
      <c r="Q355" s="15"/>
      <c r="S355" s="35" t="s">
        <v>144</v>
      </c>
      <c r="T355" s="13">
        <v>2021</v>
      </c>
      <c r="U355" s="17">
        <v>564</v>
      </c>
      <c r="V355" s="17">
        <v>32.392000000000003</v>
      </c>
      <c r="W355" s="36">
        <f>+V355/U355</f>
        <v>5.7432624113475182E-2</v>
      </c>
      <c r="X355" s="17">
        <v>15.486000000000001</v>
      </c>
      <c r="Y355" s="17">
        <v>100.48099999999999</v>
      </c>
      <c r="AA355" s="15" t="s">
        <v>140</v>
      </c>
      <c r="AB355" s="25"/>
      <c r="AC355" s="21" t="s">
        <v>79</v>
      </c>
      <c r="AD355" s="21" t="s">
        <v>78</v>
      </c>
      <c r="AE355" s="17" t="s">
        <v>86</v>
      </c>
      <c r="AF355" s="17" t="s">
        <v>79</v>
      </c>
      <c r="AG355" s="15"/>
      <c r="AH355" s="677">
        <v>1</v>
      </c>
      <c r="AI355" s="42">
        <f t="shared" ca="1" si="55"/>
        <v>701</v>
      </c>
      <c r="AJ355" s="42">
        <f t="shared" ca="1" si="52"/>
        <v>686</v>
      </c>
      <c r="AK355" s="13" t="s">
        <v>64</v>
      </c>
      <c r="AL355" s="36" t="str">
        <f t="shared" si="56"/>
        <v>Aborted</v>
      </c>
      <c r="AM355" s="37">
        <v>44963</v>
      </c>
      <c r="AN355" s="37">
        <v>44963</v>
      </c>
      <c r="AO355" s="37">
        <v>44963</v>
      </c>
      <c r="AP355" s="37">
        <v>44963</v>
      </c>
      <c r="AQ355" s="38"/>
      <c r="AR355" s="38"/>
      <c r="AS355" s="38"/>
      <c r="AT355" s="38"/>
      <c r="AU355" s="38"/>
      <c r="AV355" s="38"/>
      <c r="AW355" s="38">
        <v>44977</v>
      </c>
      <c r="AX355" s="38"/>
      <c r="AY355" s="38">
        <v>44978</v>
      </c>
      <c r="AZ355" s="38"/>
      <c r="BA355" s="39">
        <f t="shared" si="51"/>
        <v>0.33333333333333331</v>
      </c>
      <c r="BB355" s="38"/>
      <c r="BC355" s="11" t="s">
        <v>7</v>
      </c>
    </row>
    <row r="356" spans="2:55" x14ac:dyDescent="0.35">
      <c r="B356" s="16">
        <f>IF(D356=$A$516,1,IF(D356=$A$517,2,IF(D356=$A$518,3,IF(D356=$A$519,4,IF(D356=$A$520,5,IF(D356=$A$521,6))))))</f>
        <v>5</v>
      </c>
      <c r="D356" s="20" t="str">
        <f t="shared" si="57"/>
        <v>abt</v>
      </c>
      <c r="E356" s="12" t="s">
        <v>469</v>
      </c>
      <c r="F356" s="13"/>
      <c r="G356" s="13" t="s">
        <v>308</v>
      </c>
      <c r="H356" s="13"/>
      <c r="I356" s="13"/>
      <c r="J356" s="13" t="s">
        <v>111</v>
      </c>
      <c r="K356" s="15" t="s">
        <v>470</v>
      </c>
      <c r="L356" s="15" t="s">
        <v>471</v>
      </c>
      <c r="M356" s="15"/>
      <c r="N356" s="15"/>
      <c r="O356" s="15"/>
      <c r="P356" s="15"/>
      <c r="Q356" s="15"/>
      <c r="S356" s="17" t="s">
        <v>77</v>
      </c>
      <c r="T356" s="13">
        <v>2021</v>
      </c>
      <c r="U356" s="17">
        <v>21.120999999999999</v>
      </c>
      <c r="V356" s="17">
        <v>3.0449999999999999</v>
      </c>
      <c r="W356" s="36">
        <f>+V356/U356</f>
        <v>0.1441693101652384</v>
      </c>
      <c r="X356" s="17"/>
      <c r="Y356" s="17">
        <v>-11.112</v>
      </c>
      <c r="AA356" s="15" t="s">
        <v>140</v>
      </c>
      <c r="AB356" s="25"/>
      <c r="AC356" s="21" t="s">
        <v>78</v>
      </c>
      <c r="AD356" s="21" t="s">
        <v>78</v>
      </c>
      <c r="AE356" s="13" t="s">
        <v>62</v>
      </c>
      <c r="AF356" s="17" t="s">
        <v>313</v>
      </c>
      <c r="AG356" s="15"/>
      <c r="AI356" s="42">
        <f t="shared" ca="1" si="55"/>
        <v>617</v>
      </c>
      <c r="AJ356" s="42">
        <f t="shared" ca="1" si="52"/>
        <v>364</v>
      </c>
      <c r="AK356" s="13"/>
      <c r="AL356" s="36" t="str">
        <f t="shared" si="56"/>
        <v>Aborted</v>
      </c>
      <c r="AM356" s="37">
        <v>45047</v>
      </c>
      <c r="AN356" s="75">
        <v>45082</v>
      </c>
      <c r="AO356" s="37" t="s">
        <v>65</v>
      </c>
      <c r="AP356" s="37">
        <v>45085</v>
      </c>
      <c r="AQ356" s="38">
        <v>45085</v>
      </c>
      <c r="AR356" s="38"/>
      <c r="AS356" s="38"/>
      <c r="AT356" s="38"/>
      <c r="AU356" s="38"/>
      <c r="AV356" s="38"/>
      <c r="AW356" s="38">
        <v>45103</v>
      </c>
      <c r="AX356" s="38">
        <v>45132</v>
      </c>
      <c r="AY356" s="38">
        <v>45300</v>
      </c>
      <c r="AZ356" s="38"/>
      <c r="BA356" s="39">
        <f t="shared" si="51"/>
        <v>0.44444444444444442</v>
      </c>
      <c r="BB356" s="38"/>
      <c r="BC356" s="11" t="s">
        <v>7</v>
      </c>
    </row>
    <row r="357" spans="2:55" x14ac:dyDescent="0.35">
      <c r="B357" s="16">
        <f>IF(D357=$A$516,1,IF(D357=$A$517,2,IF(D357=$A$518,3,IF(D357=$A$519,4,IF(D357=$A$520,5,IF(D357=$A$521,6))))))</f>
        <v>5</v>
      </c>
      <c r="D357" s="20" t="str">
        <f t="shared" si="57"/>
        <v>abt</v>
      </c>
      <c r="E357" s="20" t="s">
        <v>1025</v>
      </c>
      <c r="F357" s="14"/>
      <c r="G357" s="13" t="s">
        <v>68</v>
      </c>
      <c r="H357" s="13">
        <v>476350012</v>
      </c>
      <c r="I357" s="13">
        <v>106120</v>
      </c>
      <c r="J357" s="13" t="s">
        <v>1026</v>
      </c>
      <c r="K357" s="15" t="s">
        <v>1027</v>
      </c>
      <c r="L357" s="15" t="s">
        <v>299</v>
      </c>
      <c r="M357" s="15" t="s">
        <v>1028</v>
      </c>
      <c r="N357" s="15"/>
      <c r="O357" s="15"/>
      <c r="P357" s="15"/>
      <c r="Q357" s="15"/>
      <c r="S357" s="35" t="s">
        <v>77</v>
      </c>
      <c r="T357" s="13">
        <v>2021</v>
      </c>
      <c r="U357" s="17">
        <v>48.9</v>
      </c>
      <c r="V357" s="17">
        <v>2.8</v>
      </c>
      <c r="W357" s="36">
        <f>+V357/U357</f>
        <v>5.7259713701431493E-2</v>
      </c>
      <c r="X357" s="17">
        <v>1.1000000000000001</v>
      </c>
      <c r="Y357" s="17">
        <v>4.4000000000000004</v>
      </c>
      <c r="AA357" s="15" t="s">
        <v>140</v>
      </c>
      <c r="AB357" s="17"/>
      <c r="AC357" s="77" t="s">
        <v>585</v>
      </c>
      <c r="AD357" s="21" t="s">
        <v>61</v>
      </c>
      <c r="AE357" s="77" t="s">
        <v>585</v>
      </c>
      <c r="AF357" s="17"/>
      <c r="AG357" s="15"/>
      <c r="AI357" s="42">
        <f t="shared" ca="1" si="55"/>
        <v>1075</v>
      </c>
      <c r="AJ357" s="42">
        <f t="shared" ca="1" si="52"/>
        <v>728</v>
      </c>
      <c r="AK357" s="13"/>
      <c r="AL357" s="36" t="str">
        <f t="shared" si="56"/>
        <v>Aborted</v>
      </c>
      <c r="AM357" s="37">
        <v>44589</v>
      </c>
      <c r="AN357" s="75">
        <v>44589</v>
      </c>
      <c r="AO357" s="37">
        <v>44599</v>
      </c>
      <c r="AP357" s="37">
        <v>44797</v>
      </c>
      <c r="AQ357" s="38"/>
      <c r="AR357" s="38"/>
      <c r="AS357" s="38"/>
      <c r="AT357" s="38"/>
      <c r="AU357" s="38"/>
      <c r="AV357" s="38"/>
      <c r="AW357" s="38">
        <v>44797</v>
      </c>
      <c r="AX357" s="38">
        <v>44823</v>
      </c>
      <c r="AY357" s="38">
        <v>44936</v>
      </c>
      <c r="AZ357" s="38"/>
      <c r="BA357" s="39">
        <f t="shared" si="51"/>
        <v>0.33333333333333331</v>
      </c>
      <c r="BB357" s="38"/>
      <c r="BC357" s="11" t="s">
        <v>7</v>
      </c>
    </row>
    <row r="358" spans="2:55" x14ac:dyDescent="0.35">
      <c r="B358" s="16">
        <f>IF(D358=$A$516,1,IF(D358=$A$517,2,IF(D358=$A$518,3,IF(D358=$A$519,4,IF(D358=$A$520,5,IF(D358=$A$521,6))))))</f>
        <v>5</v>
      </c>
      <c r="D358" s="20" t="str">
        <f t="shared" si="57"/>
        <v>abt</v>
      </c>
      <c r="E358" s="12" t="s">
        <v>759</v>
      </c>
      <c r="F358" s="13"/>
      <c r="G358" s="13" t="s">
        <v>760</v>
      </c>
      <c r="H358" s="13"/>
      <c r="I358" s="13"/>
      <c r="J358" s="268" t="s">
        <v>267</v>
      </c>
      <c r="K358" s="15" t="s">
        <v>761</v>
      </c>
      <c r="L358" s="15" t="s">
        <v>762</v>
      </c>
      <c r="M358" s="15"/>
      <c r="N358" s="15"/>
      <c r="O358" s="15"/>
      <c r="P358" s="15"/>
      <c r="Q358" s="15"/>
      <c r="S358" s="35"/>
      <c r="T358" s="13"/>
      <c r="U358" s="17"/>
      <c r="V358" s="17"/>
      <c r="W358" s="36"/>
      <c r="X358" s="17"/>
      <c r="Y358" s="17"/>
      <c r="AA358" s="15" t="s">
        <v>140</v>
      </c>
      <c r="AB358" s="17"/>
      <c r="AC358" s="21" t="s">
        <v>78</v>
      </c>
      <c r="AD358" s="21" t="s">
        <v>78</v>
      </c>
      <c r="AE358" s="61"/>
      <c r="AF358" s="17" t="s">
        <v>313</v>
      </c>
      <c r="AG358" s="15"/>
      <c r="AI358" s="42">
        <f t="shared" ca="1" si="55"/>
        <v>683</v>
      </c>
      <c r="AJ358" s="42">
        <f t="shared" ca="1" si="52"/>
        <v>637</v>
      </c>
      <c r="AK358" s="13" t="s">
        <v>87</v>
      </c>
      <c r="AL358" s="36" t="str">
        <f t="shared" si="56"/>
        <v>Aborted</v>
      </c>
      <c r="AM358" s="37">
        <v>44981</v>
      </c>
      <c r="AN358" s="75">
        <v>44991</v>
      </c>
      <c r="AO358" s="37">
        <v>44994</v>
      </c>
      <c r="AP358" s="37"/>
      <c r="AQ358" s="38"/>
      <c r="AR358" s="38"/>
      <c r="AS358" s="38"/>
      <c r="AT358" s="38"/>
      <c r="AU358" s="38"/>
      <c r="AV358" s="38"/>
      <c r="AW358" s="38">
        <v>44663</v>
      </c>
      <c r="AX358" s="38"/>
      <c r="AY358" s="38">
        <v>45027</v>
      </c>
      <c r="AZ358" s="38"/>
      <c r="BA358" s="39">
        <f t="shared" si="51"/>
        <v>0.22222222222222221</v>
      </c>
      <c r="BB358" s="38"/>
      <c r="BC358" s="11" t="s">
        <v>7</v>
      </c>
    </row>
    <row r="359" spans="2:55" x14ac:dyDescent="0.35">
      <c r="B359" s="16">
        <f>IF(D359=$A$516,1,IF(D359=$A$517,2,IF(D359=$A$518,3,IF(D359=$A$519,4,IF(D359=$A$520,5,IF(D359=$A$521,6))))))</f>
        <v>5</v>
      </c>
      <c r="D359" s="20" t="str">
        <f t="shared" si="57"/>
        <v>abt</v>
      </c>
      <c r="E359" s="12" t="s">
        <v>1265</v>
      </c>
      <c r="F359" s="13"/>
      <c r="G359" s="13" t="s">
        <v>1224</v>
      </c>
      <c r="H359" s="14" t="s">
        <v>1225</v>
      </c>
      <c r="I359" s="13">
        <v>106100</v>
      </c>
      <c r="J359" s="13" t="s">
        <v>83</v>
      </c>
      <c r="K359" s="15" t="s">
        <v>1226</v>
      </c>
      <c r="L359" s="15"/>
      <c r="M359" s="15"/>
      <c r="N359" s="15"/>
      <c r="O359" s="15"/>
      <c r="P359" s="15"/>
      <c r="Q359" s="15"/>
      <c r="S359" s="35" t="s">
        <v>77</v>
      </c>
      <c r="T359" s="13">
        <v>2019</v>
      </c>
      <c r="U359" s="17">
        <v>58.317</v>
      </c>
      <c r="V359" s="17">
        <v>4.7649999999999997</v>
      </c>
      <c r="W359" s="36">
        <f>+V359/U359</f>
        <v>8.1708592691667942E-2</v>
      </c>
      <c r="X359" s="17">
        <v>1.911</v>
      </c>
      <c r="Y359" s="17">
        <v>10.506</v>
      </c>
      <c r="AA359" s="15" t="s">
        <v>60</v>
      </c>
      <c r="AB359" s="17"/>
      <c r="AC359" s="21" t="s">
        <v>78</v>
      </c>
      <c r="AD359" s="21" t="s">
        <v>78</v>
      </c>
      <c r="AE359" s="17"/>
      <c r="AF359" s="17"/>
      <c r="AG359" s="15"/>
      <c r="AI359" s="42">
        <f t="shared" ca="1" si="55"/>
        <v>1176</v>
      </c>
      <c r="AJ359" s="42">
        <f t="shared" ca="1" si="52"/>
        <v>1029</v>
      </c>
      <c r="AK359" s="13"/>
      <c r="AL359" s="36" t="str">
        <f t="shared" si="56"/>
        <v>Aborted</v>
      </c>
      <c r="AM359" s="37">
        <v>44488</v>
      </c>
      <c r="AN359" s="37">
        <v>44488</v>
      </c>
      <c r="AO359" s="37" t="s">
        <v>65</v>
      </c>
      <c r="AP359" s="37" t="s">
        <v>65</v>
      </c>
      <c r="AQ359" s="38">
        <v>44523</v>
      </c>
      <c r="AR359" s="38">
        <v>44608</v>
      </c>
      <c r="AS359" s="38"/>
      <c r="AT359" s="38"/>
      <c r="AU359" s="38"/>
      <c r="AV359" s="38"/>
      <c r="AW359" s="38"/>
      <c r="AX359" s="38">
        <v>44614</v>
      </c>
      <c r="AY359" s="38">
        <v>44635</v>
      </c>
      <c r="AZ359" s="38"/>
      <c r="BA359" s="39">
        <f t="shared" si="51"/>
        <v>0.55555555555555558</v>
      </c>
      <c r="BB359" s="38"/>
      <c r="BC359" s="11" t="s">
        <v>7</v>
      </c>
    </row>
    <row r="360" spans="2:55" x14ac:dyDescent="0.35">
      <c r="B360" s="16">
        <f>IF(D360=$A$516,1,IF(D360=$A$517,2,IF(D360=$A$518,3,IF(D360=$A$519,4,IF(D360=$A$520,5,IF(D360=$A$521,6))))))</f>
        <v>5</v>
      </c>
      <c r="D360" s="20" t="str">
        <f t="shared" si="57"/>
        <v>abt</v>
      </c>
      <c r="E360" s="12" t="s">
        <v>1223</v>
      </c>
      <c r="F360" s="13"/>
      <c r="G360" s="13" t="s">
        <v>1224</v>
      </c>
      <c r="H360" s="14" t="s">
        <v>1225</v>
      </c>
      <c r="I360" s="13">
        <v>106100</v>
      </c>
      <c r="J360" s="13" t="s">
        <v>83</v>
      </c>
      <c r="K360" s="15" t="s">
        <v>1226</v>
      </c>
      <c r="L360" s="15"/>
      <c r="M360" s="15"/>
      <c r="N360" s="15"/>
      <c r="O360" s="15"/>
      <c r="P360" s="15"/>
      <c r="Q360" s="15"/>
      <c r="S360" s="35" t="s">
        <v>77</v>
      </c>
      <c r="T360" s="13">
        <v>2019</v>
      </c>
      <c r="U360" s="17">
        <v>58.317</v>
      </c>
      <c r="V360" s="17">
        <v>4.7649999999999997</v>
      </c>
      <c r="W360" s="36">
        <f>+V360/U360</f>
        <v>8.1708592691667942E-2</v>
      </c>
      <c r="X360" s="17">
        <v>1.911</v>
      </c>
      <c r="Y360" s="17">
        <v>10.506</v>
      </c>
      <c r="AA360" s="15" t="s">
        <v>60</v>
      </c>
      <c r="AB360" s="17"/>
      <c r="AC360" s="21" t="s">
        <v>78</v>
      </c>
      <c r="AD360" s="21" t="s">
        <v>78</v>
      </c>
      <c r="AE360" s="17"/>
      <c r="AF360" s="17"/>
      <c r="AG360" s="15"/>
      <c r="AI360" s="42">
        <f t="shared" ca="1" si="55"/>
        <v>1035</v>
      </c>
      <c r="AJ360" s="42">
        <f t="shared" ca="1" si="52"/>
        <v>959</v>
      </c>
      <c r="AK360" s="13"/>
      <c r="AL360" s="36" t="str">
        <f t="shared" si="56"/>
        <v>Aborted</v>
      </c>
      <c r="AM360" s="37">
        <v>44629</v>
      </c>
      <c r="AN360" s="37">
        <f>+AM360</f>
        <v>44629</v>
      </c>
      <c r="AO360" s="37" t="s">
        <v>65</v>
      </c>
      <c r="AP360" s="37" t="s">
        <v>65</v>
      </c>
      <c r="AQ360" s="38">
        <v>44629</v>
      </c>
      <c r="AR360" s="38">
        <v>44655</v>
      </c>
      <c r="AS360" s="38"/>
      <c r="AT360" s="38"/>
      <c r="AU360" s="38"/>
      <c r="AV360" s="38"/>
      <c r="AW360" s="38">
        <v>44642</v>
      </c>
      <c r="AX360" s="38">
        <v>44663</v>
      </c>
      <c r="AY360" s="38">
        <v>44705</v>
      </c>
      <c r="AZ360" s="38"/>
      <c r="BA360" s="39">
        <f t="shared" si="51"/>
        <v>0.55555555555555558</v>
      </c>
      <c r="BB360" s="38"/>
      <c r="BC360" s="11" t="s">
        <v>7</v>
      </c>
    </row>
    <row r="361" spans="2:55" x14ac:dyDescent="0.35">
      <c r="B361" s="16">
        <f>IF(D361=$A$516,1,IF(D361=$A$517,2,IF(D361=$A$518,3,IF(D361=$A$519,4,IF(D361=$A$520,5,IF(D361=$A$521,6))))))</f>
        <v>5</v>
      </c>
      <c r="D361" s="20" t="str">
        <f t="shared" si="57"/>
        <v>abt</v>
      </c>
      <c r="E361" s="12" t="s">
        <v>751</v>
      </c>
      <c r="F361" s="13"/>
      <c r="G361" s="13" t="s">
        <v>278</v>
      </c>
      <c r="H361" s="13"/>
      <c r="I361" s="13"/>
      <c r="J361" s="13" t="s">
        <v>179</v>
      </c>
      <c r="K361" s="15" t="s">
        <v>752</v>
      </c>
      <c r="L361" s="15" t="s">
        <v>753</v>
      </c>
      <c r="M361" s="15"/>
      <c r="N361" s="15"/>
      <c r="O361" s="15"/>
      <c r="P361" s="15"/>
      <c r="Q361" s="15"/>
      <c r="S361" s="35"/>
      <c r="T361" s="13"/>
      <c r="U361" s="17"/>
      <c r="V361" s="17"/>
      <c r="W361" s="36"/>
      <c r="X361" s="17"/>
      <c r="Y361" s="17"/>
      <c r="AA361" s="15" t="s">
        <v>99</v>
      </c>
      <c r="AB361" s="17" t="s">
        <v>754</v>
      </c>
      <c r="AC361" s="21" t="s">
        <v>78</v>
      </c>
      <c r="AD361" s="21" t="s">
        <v>78</v>
      </c>
      <c r="AE361" s="17"/>
      <c r="AF361" s="17"/>
      <c r="AG361" s="15"/>
      <c r="AI361" s="42">
        <f t="shared" ca="1" si="55"/>
        <v>921</v>
      </c>
      <c r="AJ361" s="42">
        <f t="shared" ca="1" si="52"/>
        <v>556</v>
      </c>
      <c r="AK361" s="13" t="s">
        <v>87</v>
      </c>
      <c r="AL361" s="36" t="str">
        <f t="shared" si="56"/>
        <v>Aborted</v>
      </c>
      <c r="AM361" s="37">
        <v>44743</v>
      </c>
      <c r="AN361" s="37">
        <v>44743</v>
      </c>
      <c r="AO361" s="37" t="s">
        <v>65</v>
      </c>
      <c r="AP361" s="37">
        <v>45108</v>
      </c>
      <c r="AQ361" s="38">
        <v>45007</v>
      </c>
      <c r="AR361" s="38"/>
      <c r="AS361" s="38"/>
      <c r="AT361" s="38"/>
      <c r="AU361" s="38"/>
      <c r="AV361" s="38"/>
      <c r="AW361" s="38">
        <v>44727</v>
      </c>
      <c r="AX361" s="38">
        <v>45006</v>
      </c>
      <c r="AY361" s="38">
        <v>44942</v>
      </c>
      <c r="AZ361" s="38"/>
      <c r="BA361" s="39">
        <f t="shared" si="51"/>
        <v>0.44444444444444442</v>
      </c>
      <c r="BB361" s="38"/>
      <c r="BC361" s="11" t="s">
        <v>7</v>
      </c>
    </row>
    <row r="362" spans="2:55" x14ac:dyDescent="0.35">
      <c r="B362" s="16">
        <f>IF(D362=$A$516,1,IF(D362=$A$517,2,IF(D362=$A$518,3,IF(D362=$A$519,4,IF(D362=$A$520,5,IF(D362=$A$521,6))))))</f>
        <v>5</v>
      </c>
      <c r="D362" s="20" t="str">
        <f t="shared" si="57"/>
        <v>abt</v>
      </c>
      <c r="E362" s="12" t="s">
        <v>1297</v>
      </c>
      <c r="F362" s="14"/>
      <c r="G362" s="13" t="s">
        <v>1298</v>
      </c>
      <c r="H362" s="14" t="s">
        <v>1299</v>
      </c>
      <c r="I362" s="13">
        <v>861000</v>
      </c>
      <c r="J362" s="13" t="s">
        <v>1010</v>
      </c>
      <c r="K362" s="15" t="s">
        <v>1300</v>
      </c>
      <c r="L362" s="15"/>
      <c r="M362" s="15"/>
      <c r="N362" s="15"/>
      <c r="O362" s="15"/>
      <c r="P362" s="15"/>
      <c r="Q362" s="15"/>
      <c r="S362" s="35" t="s">
        <v>77</v>
      </c>
      <c r="T362" s="13">
        <v>2020</v>
      </c>
      <c r="U362" s="17">
        <v>7.3259999999999996</v>
      </c>
      <c r="V362" s="17">
        <v>0.64359999999999995</v>
      </c>
      <c r="W362" s="36">
        <f>+V362/U362</f>
        <v>8.7851487851487844E-2</v>
      </c>
      <c r="X362" s="17">
        <v>0.21640000000000001</v>
      </c>
      <c r="Y362" s="17">
        <v>6.9099999999999995E-2</v>
      </c>
      <c r="AA362" s="631" t="s">
        <v>99</v>
      </c>
      <c r="AB362" s="17" t="s">
        <v>1174</v>
      </c>
      <c r="AC362" s="21" t="s">
        <v>78</v>
      </c>
      <c r="AD362" s="21" t="s">
        <v>78</v>
      </c>
      <c r="AE362" s="17"/>
      <c r="AF362" s="17"/>
      <c r="AG362" s="15"/>
      <c r="AI362" s="42">
        <f t="shared" ca="1" si="55"/>
        <v>1166</v>
      </c>
      <c r="AJ362" s="42">
        <f t="shared" ca="1" si="52"/>
        <v>1051</v>
      </c>
      <c r="AK362" s="13"/>
      <c r="AL362" s="36" t="str">
        <f t="shared" si="56"/>
        <v>Aborted</v>
      </c>
      <c r="AM362" s="37">
        <v>44498</v>
      </c>
      <c r="AN362" s="37">
        <v>44498</v>
      </c>
      <c r="AO362" s="37" t="s">
        <v>65</v>
      </c>
      <c r="AP362" s="37">
        <v>44498</v>
      </c>
      <c r="AQ362" s="38">
        <v>44510</v>
      </c>
      <c r="AR362" s="38">
        <v>44524</v>
      </c>
      <c r="AS362" s="38"/>
      <c r="AT362" s="38"/>
      <c r="AU362" s="38"/>
      <c r="AV362" s="38"/>
      <c r="AW362" s="38"/>
      <c r="AX362" s="38">
        <v>44572</v>
      </c>
      <c r="AY362" s="38">
        <v>44613</v>
      </c>
      <c r="AZ362" s="38"/>
      <c r="BA362" s="39">
        <f t="shared" si="51"/>
        <v>0.55555555555555558</v>
      </c>
      <c r="BB362" s="38"/>
      <c r="BC362" s="11" t="s">
        <v>7</v>
      </c>
    </row>
    <row r="363" spans="2:55" x14ac:dyDescent="0.35">
      <c r="B363" s="16">
        <f>IF(D363=$A$516,1,IF(D363=$A$517,2,IF(D363=$A$518,3,IF(D363=$A$519,4,IF(D363=$A$520,5,IF(D363=$A$521,6))))))</f>
        <v>5</v>
      </c>
      <c r="D363" s="20" t="str">
        <f t="shared" si="57"/>
        <v>abt</v>
      </c>
      <c r="E363" s="20" t="s">
        <v>794</v>
      </c>
      <c r="F363" s="13"/>
      <c r="G363" s="13" t="s">
        <v>232</v>
      </c>
      <c r="H363" s="14" t="s">
        <v>795</v>
      </c>
      <c r="I363" s="13"/>
      <c r="J363" s="13" t="s">
        <v>796</v>
      </c>
      <c r="K363" s="15" t="s">
        <v>797</v>
      </c>
      <c r="L363" s="15" t="s">
        <v>798</v>
      </c>
      <c r="M363" s="15"/>
      <c r="N363" s="15"/>
      <c r="O363" s="15"/>
      <c r="P363" s="15"/>
      <c r="Q363" s="15"/>
      <c r="S363" s="17" t="s">
        <v>77</v>
      </c>
      <c r="T363" s="13">
        <v>2021</v>
      </c>
      <c r="U363" s="17">
        <v>32.799999999999997</v>
      </c>
      <c r="V363" s="17">
        <v>5.2</v>
      </c>
      <c r="W363" s="36">
        <f>+V363/U363</f>
        <v>0.15853658536585369</v>
      </c>
      <c r="X363" s="17">
        <v>2.5</v>
      </c>
      <c r="Y363" s="17">
        <v>6.3</v>
      </c>
      <c r="AA363" s="15" t="s">
        <v>60</v>
      </c>
      <c r="AB363" s="17"/>
      <c r="AC363" s="21" t="s">
        <v>78</v>
      </c>
      <c r="AD363" s="17" t="s">
        <v>78</v>
      </c>
      <c r="AE363" s="17"/>
      <c r="AF363" s="17"/>
      <c r="AG363" s="15"/>
      <c r="AI363" s="42">
        <f t="shared" ca="1" si="55"/>
        <v>690</v>
      </c>
      <c r="AJ363" s="42">
        <f t="shared" ca="1" si="52"/>
        <v>637</v>
      </c>
      <c r="AK363" s="13" t="s">
        <v>87</v>
      </c>
      <c r="AL363" s="36" t="str">
        <f t="shared" si="56"/>
        <v>Aborted</v>
      </c>
      <c r="AM363" s="37">
        <v>44974</v>
      </c>
      <c r="AN363" s="37">
        <v>44974</v>
      </c>
      <c r="AO363" s="37" t="s">
        <v>65</v>
      </c>
      <c r="AP363" s="37" t="s">
        <v>65</v>
      </c>
      <c r="AQ363" s="38">
        <v>44987</v>
      </c>
      <c r="AR363" s="38"/>
      <c r="AS363" s="38"/>
      <c r="AT363" s="38"/>
      <c r="AU363" s="38"/>
      <c r="AV363" s="38"/>
      <c r="AW363" s="38">
        <v>44981</v>
      </c>
      <c r="AX363" s="38">
        <v>44992</v>
      </c>
      <c r="AY363" s="38">
        <v>45027</v>
      </c>
      <c r="AZ363" s="38"/>
      <c r="BA363" s="39">
        <f t="shared" ref="BA363:BA426" si="60">+IF(AY363="","",COUNTA(AN363:AV363)/(COUNTA(AN363:AV363)+COUNTBLANK(AN363:AV363)))</f>
        <v>0.44444444444444442</v>
      </c>
      <c r="BB363" s="38"/>
      <c r="BC363" s="11" t="s">
        <v>7</v>
      </c>
    </row>
    <row r="364" spans="2:55" x14ac:dyDescent="0.35">
      <c r="B364" s="16">
        <f>IF(D364=$A$516,1,IF(D364=$A$517,2,IF(D364=$A$518,3,IF(D364=$A$519,4,IF(D364=$A$520,5,IF(D364=$A$521,6))))))</f>
        <v>5</v>
      </c>
      <c r="D364" s="20" t="str">
        <f t="shared" si="57"/>
        <v>abt</v>
      </c>
      <c r="E364" s="20" t="s">
        <v>436</v>
      </c>
      <c r="F364" s="13"/>
      <c r="G364" s="13" t="s">
        <v>437</v>
      </c>
      <c r="H364" s="13"/>
      <c r="I364" s="13"/>
      <c r="J364" s="13"/>
      <c r="K364" s="15" t="s">
        <v>438</v>
      </c>
      <c r="L364" s="15" t="s">
        <v>439</v>
      </c>
      <c r="M364" s="15"/>
      <c r="N364" s="15"/>
      <c r="O364" s="15"/>
      <c r="P364" s="15"/>
      <c r="Q364" s="15"/>
      <c r="S364" s="17"/>
      <c r="T364" s="13"/>
      <c r="U364" s="17"/>
      <c r="V364" s="17"/>
      <c r="W364" s="36"/>
      <c r="X364" s="17"/>
      <c r="Y364" s="17"/>
      <c r="AA364" s="15" t="s">
        <v>140</v>
      </c>
      <c r="AB364" s="15"/>
      <c r="AC364" s="21" t="s">
        <v>78</v>
      </c>
      <c r="AD364" s="21" t="s">
        <v>78</v>
      </c>
      <c r="AE364" s="13" t="s">
        <v>86</v>
      </c>
      <c r="AF364" s="17" t="s">
        <v>128</v>
      </c>
      <c r="AG364" s="15" t="s">
        <v>435</v>
      </c>
      <c r="AI364" s="42">
        <f t="shared" ca="1" si="55"/>
        <v>439</v>
      </c>
      <c r="AJ364" s="42">
        <f t="shared" ca="1" si="52"/>
        <v>364</v>
      </c>
      <c r="AK364" s="13" t="s">
        <v>720</v>
      </c>
      <c r="AL364" s="36" t="str">
        <f t="shared" si="56"/>
        <v>Aborted</v>
      </c>
      <c r="AM364" s="37">
        <v>45225</v>
      </c>
      <c r="AN364" s="37">
        <v>45225</v>
      </c>
      <c r="AO364" s="37" t="s">
        <v>65</v>
      </c>
      <c r="AP364" s="37">
        <v>45229</v>
      </c>
      <c r="AQ364" s="38"/>
      <c r="AR364" s="38"/>
      <c r="AS364" s="38"/>
      <c r="AT364" s="38"/>
      <c r="AU364" s="38"/>
      <c r="AV364" s="38"/>
      <c r="AW364" s="38">
        <v>45229</v>
      </c>
      <c r="AX364" s="38">
        <v>45229</v>
      </c>
      <c r="AY364" s="38">
        <v>45300</v>
      </c>
      <c r="AZ364" s="38"/>
      <c r="BA364" s="39">
        <f t="shared" si="60"/>
        <v>0.33333333333333331</v>
      </c>
      <c r="BB364" s="38"/>
      <c r="BC364" s="11" t="s">
        <v>7</v>
      </c>
    </row>
    <row r="365" spans="2:55" x14ac:dyDescent="0.35">
      <c r="B365" s="16">
        <f>IF(D365=$A$516,1,IF(D365=$A$517,2,IF(D365=$A$518,3,IF(D365=$A$519,4,IF(D365=$A$520,5,IF(D365=$A$521,6))))))</f>
        <v>5</v>
      </c>
      <c r="D365" s="20" t="str">
        <f t="shared" si="57"/>
        <v>abt</v>
      </c>
      <c r="E365" s="20" t="s">
        <v>1420</v>
      </c>
      <c r="F365" s="14"/>
      <c r="G365" s="13" t="s">
        <v>1309</v>
      </c>
      <c r="H365" s="13"/>
      <c r="I365" s="13"/>
      <c r="J365" s="13" t="s">
        <v>1376</v>
      </c>
      <c r="K365" s="15" t="s">
        <v>1421</v>
      </c>
      <c r="L365" s="15"/>
      <c r="M365" s="15"/>
      <c r="N365" s="15"/>
      <c r="O365" s="15"/>
      <c r="P365" s="15"/>
      <c r="Q365" s="15"/>
      <c r="S365" s="35"/>
      <c r="T365" s="13"/>
      <c r="U365" s="17"/>
      <c r="V365" s="17"/>
      <c r="W365" s="36"/>
      <c r="X365" s="17"/>
      <c r="Y365" s="17"/>
      <c r="AA365" s="632"/>
      <c r="AB365" s="17"/>
      <c r="AC365" s="21" t="s">
        <v>61</v>
      </c>
      <c r="AD365" s="17" t="s">
        <v>61</v>
      </c>
      <c r="AE365" s="17" t="s">
        <v>62</v>
      </c>
      <c r="AF365" s="17"/>
      <c r="AG365" s="15"/>
      <c r="AI365" s="42">
        <f t="shared" ca="1" si="55"/>
        <v>1400</v>
      </c>
      <c r="AJ365" s="42">
        <f t="shared" ca="1" si="52"/>
        <v>1309</v>
      </c>
      <c r="AK365" s="13"/>
      <c r="AL365" s="36" t="str">
        <f t="shared" si="56"/>
        <v>Aborted</v>
      </c>
      <c r="AM365" s="37">
        <v>44264</v>
      </c>
      <c r="AN365" s="75">
        <v>44264</v>
      </c>
      <c r="AO365" s="37" t="s">
        <v>65</v>
      </c>
      <c r="AP365" s="37">
        <v>44313</v>
      </c>
      <c r="AQ365" s="38"/>
      <c r="AR365" s="38"/>
      <c r="AS365" s="38"/>
      <c r="AT365" s="38"/>
      <c r="AU365" s="38"/>
      <c r="AV365" s="38"/>
      <c r="AW365" s="38"/>
      <c r="AX365" s="38"/>
      <c r="AY365" s="38">
        <v>44355</v>
      </c>
      <c r="AZ365" s="38"/>
      <c r="BA365" s="39">
        <f t="shared" si="60"/>
        <v>0.33333333333333331</v>
      </c>
      <c r="BB365" s="38"/>
      <c r="BC365" s="11" t="s">
        <v>7</v>
      </c>
    </row>
    <row r="366" spans="2:55" x14ac:dyDescent="0.35">
      <c r="B366" s="16">
        <f>IF(D366=$A$516,1,IF(D366=$A$517,2,IF(D366=$A$518,3,IF(D366=$A$519,4,IF(D366=$A$520,5,IF(D366=$A$521,6))))))</f>
        <v>5</v>
      </c>
      <c r="D366" s="20" t="str">
        <f t="shared" si="57"/>
        <v>abt</v>
      </c>
      <c r="E366" s="20" t="s">
        <v>906</v>
      </c>
      <c r="F366" s="13"/>
      <c r="G366" s="13" t="s">
        <v>103</v>
      </c>
      <c r="H366" s="14" t="s">
        <v>545</v>
      </c>
      <c r="I366" s="13">
        <v>663000</v>
      </c>
      <c r="J366" s="13" t="s">
        <v>546</v>
      </c>
      <c r="K366" s="15" t="s">
        <v>547</v>
      </c>
      <c r="L366" s="15" t="s">
        <v>548</v>
      </c>
      <c r="M366" s="15"/>
      <c r="N366" s="15"/>
      <c r="O366" s="15"/>
      <c r="P366" s="15"/>
      <c r="Q366" s="15"/>
      <c r="S366" s="35" t="s">
        <v>77</v>
      </c>
      <c r="T366" s="13">
        <v>2020</v>
      </c>
      <c r="U366" s="17">
        <v>1.43</v>
      </c>
      <c r="V366" s="17" t="s">
        <v>65</v>
      </c>
      <c r="W366" s="36"/>
      <c r="X366" s="17" t="s">
        <v>65</v>
      </c>
      <c r="Y366" s="17" t="s">
        <v>65</v>
      </c>
      <c r="AA366" s="15" t="s">
        <v>60</v>
      </c>
      <c r="AB366" s="17"/>
      <c r="AC366" s="17" t="s">
        <v>78</v>
      </c>
      <c r="AD366" s="17" t="s">
        <v>78</v>
      </c>
      <c r="AE366" s="17" t="s">
        <v>86</v>
      </c>
      <c r="AF366" s="17"/>
      <c r="AG366" s="15"/>
      <c r="AI366" s="42">
        <f t="shared" ca="1" si="55"/>
        <v>833</v>
      </c>
      <c r="AJ366" s="42">
        <f t="shared" ca="1" si="52"/>
        <v>691</v>
      </c>
      <c r="AK366" s="13" t="s">
        <v>64</v>
      </c>
      <c r="AL366" s="36" t="str">
        <f t="shared" si="56"/>
        <v>Aborted</v>
      </c>
      <c r="AM366" s="37">
        <v>44831</v>
      </c>
      <c r="AN366" s="37">
        <v>44831</v>
      </c>
      <c r="AO366" s="37">
        <v>44831</v>
      </c>
      <c r="AP366" s="37">
        <v>44831</v>
      </c>
      <c r="AQ366" s="38">
        <v>44834</v>
      </c>
      <c r="AR366" s="38" t="s">
        <v>65</v>
      </c>
      <c r="AS366" s="38">
        <v>44908</v>
      </c>
      <c r="AT366" s="38">
        <v>44936</v>
      </c>
      <c r="AU366" s="38" t="s">
        <v>65</v>
      </c>
      <c r="AV366" s="38">
        <v>44942</v>
      </c>
      <c r="AW366" s="38"/>
      <c r="AX366" s="38"/>
      <c r="AY366" s="38">
        <v>44973</v>
      </c>
      <c r="AZ366" s="38"/>
      <c r="BA366" s="39">
        <f t="shared" si="60"/>
        <v>1</v>
      </c>
      <c r="BB366" s="38"/>
      <c r="BC366" s="11" t="s">
        <v>7</v>
      </c>
    </row>
    <row r="367" spans="2:55" x14ac:dyDescent="0.35">
      <c r="B367" s="16">
        <f>IF(D367=$A$516,1,IF(D367=$A$517,2,IF(D367=$A$518,3,IF(D367=$A$519,4,IF(D367=$A$520,5,IF(D367=$A$521,6))))))</f>
        <v>5</v>
      </c>
      <c r="D367" s="20" t="str">
        <f t="shared" si="57"/>
        <v>abt</v>
      </c>
      <c r="E367" s="12" t="s">
        <v>1077</v>
      </c>
      <c r="F367" s="13"/>
      <c r="G367" s="13" t="s">
        <v>371</v>
      </c>
      <c r="H367" s="14" t="s">
        <v>1078</v>
      </c>
      <c r="I367" s="13">
        <v>243200</v>
      </c>
      <c r="J367" s="13" t="s">
        <v>111</v>
      </c>
      <c r="K367" s="15" t="s">
        <v>1079</v>
      </c>
      <c r="L367" s="15"/>
      <c r="M367" s="15"/>
      <c r="N367" s="15"/>
      <c r="O367" s="15"/>
      <c r="P367" s="15"/>
      <c r="Q367" s="15"/>
      <c r="S367" s="35" t="s">
        <v>77</v>
      </c>
      <c r="T367" s="13">
        <v>2020</v>
      </c>
      <c r="U367" s="17">
        <v>13.141999999999999</v>
      </c>
      <c r="V367" s="17">
        <v>1.1411</v>
      </c>
      <c r="W367" s="36">
        <f t="shared" ref="W367:W372" si="61">+V367/U367</f>
        <v>8.6828488814487903E-2</v>
      </c>
      <c r="X367" s="17">
        <v>0.46300000000000002</v>
      </c>
      <c r="Y367" s="17">
        <v>6.7</v>
      </c>
      <c r="AA367" s="15" t="s">
        <v>99</v>
      </c>
      <c r="AB367" s="17" t="s">
        <v>922</v>
      </c>
      <c r="AC367" s="21" t="s">
        <v>78</v>
      </c>
      <c r="AD367" s="21" t="s">
        <v>78</v>
      </c>
      <c r="AE367" s="61" t="s">
        <v>86</v>
      </c>
      <c r="AF367" s="17"/>
      <c r="AG367" s="15"/>
      <c r="AI367" s="42">
        <f t="shared" ca="1" si="55"/>
        <v>994</v>
      </c>
      <c r="AJ367" s="42">
        <f t="shared" ca="1" si="52"/>
        <v>729</v>
      </c>
      <c r="AK367" s="13"/>
      <c r="AL367" s="36" t="str">
        <f t="shared" si="56"/>
        <v>Aborted</v>
      </c>
      <c r="AM367" s="37">
        <v>44670</v>
      </c>
      <c r="AN367" s="37">
        <v>44670</v>
      </c>
      <c r="AO367" s="37" t="s">
        <v>65</v>
      </c>
      <c r="AP367" s="37"/>
      <c r="AQ367" s="38"/>
      <c r="AR367" s="38"/>
      <c r="AS367" s="38"/>
      <c r="AT367" s="38"/>
      <c r="AU367" s="38"/>
      <c r="AV367" s="38"/>
      <c r="AW367" s="38"/>
      <c r="AX367" s="38">
        <v>44696</v>
      </c>
      <c r="AY367" s="38">
        <v>44935</v>
      </c>
      <c r="AZ367" s="38"/>
      <c r="BA367" s="39">
        <f t="shared" si="60"/>
        <v>0.22222222222222221</v>
      </c>
      <c r="BB367" s="38"/>
      <c r="BC367" s="11" t="s">
        <v>7</v>
      </c>
    </row>
    <row r="368" spans="2:55" x14ac:dyDescent="0.35">
      <c r="B368" s="16">
        <f>IF(D368=$A$516,1,IF(D368=$A$517,2,IF(D368=$A$518,3,IF(D368=$A$519,4,IF(D368=$A$520,5,IF(D368=$A$521,6))))))</f>
        <v>5</v>
      </c>
      <c r="D368" s="20" t="str">
        <f t="shared" si="57"/>
        <v>abt</v>
      </c>
      <c r="E368" s="12" t="s">
        <v>1063</v>
      </c>
      <c r="F368" s="13"/>
      <c r="G368" s="14" t="s">
        <v>103</v>
      </c>
      <c r="H368" s="14" t="s">
        <v>1064</v>
      </c>
      <c r="I368" s="13">
        <v>682001</v>
      </c>
      <c r="J368" s="13" t="s">
        <v>111</v>
      </c>
      <c r="K368" s="15" t="s">
        <v>1065</v>
      </c>
      <c r="L368" s="15"/>
      <c r="M368" s="15" t="s">
        <v>1066</v>
      </c>
      <c r="N368" s="15"/>
      <c r="O368" s="15"/>
      <c r="P368" s="15"/>
      <c r="Q368" s="15"/>
      <c r="S368" s="35" t="s">
        <v>144</v>
      </c>
      <c r="T368" s="13">
        <v>2020</v>
      </c>
      <c r="U368" s="17">
        <v>13.9</v>
      </c>
      <c r="V368" s="17">
        <v>1.6859999999999999</v>
      </c>
      <c r="W368" s="36">
        <f t="shared" si="61"/>
        <v>0.12129496402877697</v>
      </c>
      <c r="X368" s="17">
        <v>0.79900000000000004</v>
      </c>
      <c r="Y368" s="17">
        <v>1.077</v>
      </c>
      <c r="AA368" s="15" t="s">
        <v>99</v>
      </c>
      <c r="AB368" s="17" t="s">
        <v>305</v>
      </c>
      <c r="AC368" s="21" t="s">
        <v>61</v>
      </c>
      <c r="AD368" s="21" t="s">
        <v>61</v>
      </c>
      <c r="AE368" s="61" t="s">
        <v>86</v>
      </c>
      <c r="AF368" s="17" t="s">
        <v>128</v>
      </c>
      <c r="AG368" s="15"/>
      <c r="AI368" s="42">
        <f t="shared" ca="1" si="55"/>
        <v>986</v>
      </c>
      <c r="AJ368" s="42">
        <f t="shared" ca="1" si="52"/>
        <v>729</v>
      </c>
      <c r="AK368" s="13"/>
      <c r="AL368" s="36" t="str">
        <f t="shared" si="56"/>
        <v>Aborted</v>
      </c>
      <c r="AM368" s="37">
        <v>44678</v>
      </c>
      <c r="AN368" s="37">
        <f>+AM368</f>
        <v>44678</v>
      </c>
      <c r="AO368" s="37" t="s">
        <v>65</v>
      </c>
      <c r="AP368" s="37" t="s">
        <v>65</v>
      </c>
      <c r="AQ368" s="38">
        <v>44732</v>
      </c>
      <c r="AR368" s="38"/>
      <c r="AS368" s="38"/>
      <c r="AT368" s="38"/>
      <c r="AU368" s="38"/>
      <c r="AV368" s="38"/>
      <c r="AW368" s="38">
        <v>44767</v>
      </c>
      <c r="AX368" s="38">
        <v>44768</v>
      </c>
      <c r="AY368" s="38">
        <v>44935</v>
      </c>
      <c r="AZ368" s="38"/>
      <c r="BA368" s="39">
        <f t="shared" si="60"/>
        <v>0.44444444444444442</v>
      </c>
      <c r="BB368" s="38"/>
      <c r="BC368" s="11" t="s">
        <v>7</v>
      </c>
    </row>
    <row r="369" spans="2:55" x14ac:dyDescent="0.35">
      <c r="B369" s="16">
        <f>IF(D369=$A$516,1,IF(D369=$A$517,2,IF(D369=$A$518,3,IF(D369=$A$519,4,IF(D369=$A$520,5,IF(D369=$A$521,6))))))</f>
        <v>5</v>
      </c>
      <c r="D369" s="20" t="str">
        <f t="shared" si="57"/>
        <v>abt</v>
      </c>
      <c r="E369" s="12" t="s">
        <v>629</v>
      </c>
      <c r="F369" s="14" t="s">
        <v>596</v>
      </c>
      <c r="G369" s="13" t="s">
        <v>177</v>
      </c>
      <c r="H369" s="14" t="s">
        <v>597</v>
      </c>
      <c r="I369" s="13">
        <v>702209</v>
      </c>
      <c r="J369" s="13" t="s">
        <v>598</v>
      </c>
      <c r="K369" s="15" t="s">
        <v>599</v>
      </c>
      <c r="L369" s="15" t="s">
        <v>600</v>
      </c>
      <c r="M369" s="15"/>
      <c r="N369" s="15"/>
      <c r="O369" s="15"/>
      <c r="P369" s="15"/>
      <c r="Q369" s="15"/>
      <c r="S369" s="35" t="s">
        <v>77</v>
      </c>
      <c r="T369" s="13">
        <v>2020</v>
      </c>
      <c r="U369" s="17">
        <v>1.6990000000000001</v>
      </c>
      <c r="V369" s="17">
        <v>0.254247</v>
      </c>
      <c r="W369" s="36">
        <f t="shared" si="61"/>
        <v>0.14964508534432019</v>
      </c>
      <c r="X369" s="17">
        <v>2.5000000000000001E-2</v>
      </c>
      <c r="Y369" s="17">
        <v>4.5954639999999998</v>
      </c>
      <c r="AA369" s="15" t="s">
        <v>237</v>
      </c>
      <c r="AB369" s="17" t="s">
        <v>601</v>
      </c>
      <c r="AC369" s="21" t="s">
        <v>78</v>
      </c>
      <c r="AD369" s="21" t="s">
        <v>78</v>
      </c>
      <c r="AE369" s="17" t="s">
        <v>79</v>
      </c>
      <c r="AF369" s="17" t="s">
        <v>128</v>
      </c>
      <c r="AG369" s="15"/>
      <c r="AH369" s="677">
        <v>1</v>
      </c>
      <c r="AI369" s="42">
        <f t="shared" ca="1" si="55"/>
        <v>1224</v>
      </c>
      <c r="AJ369" s="42">
        <f t="shared" ca="1" si="52"/>
        <v>466</v>
      </c>
      <c r="AK369" s="13" t="s">
        <v>501</v>
      </c>
      <c r="AL369" s="36" t="str">
        <f t="shared" si="56"/>
        <v>Aborted</v>
      </c>
      <c r="AM369" s="37">
        <v>44440</v>
      </c>
      <c r="AN369" s="37">
        <f>+AM369</f>
        <v>44440</v>
      </c>
      <c r="AO369" s="37" t="s">
        <v>65</v>
      </c>
      <c r="AP369" s="37" t="s">
        <v>65</v>
      </c>
      <c r="AQ369" s="38">
        <v>45014</v>
      </c>
      <c r="AR369" s="38" t="s">
        <v>65</v>
      </c>
      <c r="AS369" s="38">
        <v>45034</v>
      </c>
      <c r="AT369" s="38">
        <v>45042</v>
      </c>
      <c r="AU369" s="38">
        <v>45043</v>
      </c>
      <c r="AV369" s="38">
        <v>45060</v>
      </c>
      <c r="AW369" s="38">
        <v>45189</v>
      </c>
      <c r="AX369" s="38">
        <v>45173</v>
      </c>
      <c r="AY369" s="38">
        <v>45198</v>
      </c>
      <c r="AZ369" s="38"/>
      <c r="BA369" s="39">
        <f t="shared" si="60"/>
        <v>1</v>
      </c>
      <c r="BB369" s="38"/>
      <c r="BC369" s="11" t="s">
        <v>7</v>
      </c>
    </row>
    <row r="370" spans="2:55" x14ac:dyDescent="0.35">
      <c r="B370" s="16">
        <f>IF(D370=$A$516,1,IF(D370=$A$517,2,IF(D370=$A$518,3,IF(D370=$A$519,4,IF(D370=$A$520,5,IF(D370=$A$521,6))))))</f>
        <v>5</v>
      </c>
      <c r="D370" s="20" t="str">
        <f t="shared" si="57"/>
        <v>abt</v>
      </c>
      <c r="E370" s="12" t="s">
        <v>595</v>
      </c>
      <c r="F370" s="14" t="s">
        <v>596</v>
      </c>
      <c r="G370" s="13" t="s">
        <v>177</v>
      </c>
      <c r="H370" s="14" t="s">
        <v>597</v>
      </c>
      <c r="I370" s="13">
        <v>702209</v>
      </c>
      <c r="J370" s="13" t="s">
        <v>598</v>
      </c>
      <c r="K370" s="15" t="s">
        <v>599</v>
      </c>
      <c r="L370" s="15" t="s">
        <v>600</v>
      </c>
      <c r="M370" s="15"/>
      <c r="N370" s="15"/>
      <c r="O370" s="15"/>
      <c r="P370" s="15"/>
      <c r="Q370" s="15"/>
      <c r="S370" s="35" t="s">
        <v>77</v>
      </c>
      <c r="T370" s="13">
        <v>2020</v>
      </c>
      <c r="U370" s="17">
        <v>1.6990000000000001</v>
      </c>
      <c r="V370" s="17">
        <v>0.254247</v>
      </c>
      <c r="W370" s="36">
        <f t="shared" si="61"/>
        <v>0.14964508534432019</v>
      </c>
      <c r="X370" s="17">
        <v>2.5000000000000001E-2</v>
      </c>
      <c r="Y370" s="17">
        <v>4.5954639999999998</v>
      </c>
      <c r="AA370" s="15" t="s">
        <v>237</v>
      </c>
      <c r="AB370" s="17" t="s">
        <v>601</v>
      </c>
      <c r="AC370" s="21" t="s">
        <v>78</v>
      </c>
      <c r="AD370" s="21" t="s">
        <v>78</v>
      </c>
      <c r="AE370" s="17" t="s">
        <v>79</v>
      </c>
      <c r="AF370" s="17" t="s">
        <v>128</v>
      </c>
      <c r="AG370" s="15"/>
      <c r="AH370" s="677">
        <v>1</v>
      </c>
      <c r="AI370" s="42">
        <f t="shared" ca="1" si="55"/>
        <v>1224</v>
      </c>
      <c r="AJ370" s="42">
        <f t="shared" ca="1" si="52"/>
        <v>420</v>
      </c>
      <c r="AK370" s="13" t="s">
        <v>501</v>
      </c>
      <c r="AL370" s="36" t="str">
        <f t="shared" si="56"/>
        <v>Aborted</v>
      </c>
      <c r="AM370" s="37">
        <v>44440</v>
      </c>
      <c r="AN370" s="37">
        <f>+AM370</f>
        <v>44440</v>
      </c>
      <c r="AO370" s="37" t="s">
        <v>65</v>
      </c>
      <c r="AP370" s="37" t="s">
        <v>65</v>
      </c>
      <c r="AQ370" s="38">
        <v>44459</v>
      </c>
      <c r="AR370" s="38">
        <v>44467</v>
      </c>
      <c r="AS370" s="38">
        <v>44484</v>
      </c>
      <c r="AT370" s="38">
        <v>44780</v>
      </c>
      <c r="AU370" s="38" t="s">
        <v>65</v>
      </c>
      <c r="AV370" s="38">
        <v>44796</v>
      </c>
      <c r="AW370" s="38"/>
      <c r="AX370" s="38">
        <v>45125</v>
      </c>
      <c r="AY370" s="38">
        <v>45244</v>
      </c>
      <c r="AZ370" s="38"/>
      <c r="BA370" s="39">
        <f t="shared" si="60"/>
        <v>1</v>
      </c>
      <c r="BB370" s="38"/>
      <c r="BC370" s="11" t="s">
        <v>7</v>
      </c>
    </row>
    <row r="371" spans="2:55" x14ac:dyDescent="0.35">
      <c r="B371" s="16">
        <f>IF(D371=$A$516,1,IF(D371=$A$517,2,IF(D371=$A$518,3,IF(D371=$A$519,4,IF(D371=$A$520,5,IF(D371=$A$521,6))))))</f>
        <v>5</v>
      </c>
      <c r="D371" s="20" t="str">
        <f t="shared" si="57"/>
        <v>abt</v>
      </c>
      <c r="E371" s="12" t="s">
        <v>1270</v>
      </c>
      <c r="F371" s="14"/>
      <c r="G371" s="13" t="s">
        <v>340</v>
      </c>
      <c r="H371" s="14" t="s">
        <v>1271</v>
      </c>
      <c r="I371" s="13">
        <v>251100</v>
      </c>
      <c r="J371" s="13" t="s">
        <v>255</v>
      </c>
      <c r="K371" s="15" t="s">
        <v>1272</v>
      </c>
      <c r="L371" s="15" t="s">
        <v>1273</v>
      </c>
      <c r="M371" s="15"/>
      <c r="N371" s="15"/>
      <c r="O371" s="15"/>
      <c r="P371" s="15"/>
      <c r="Q371" s="15"/>
      <c r="S371" s="35" t="s">
        <v>77</v>
      </c>
      <c r="T371" s="13">
        <v>2020</v>
      </c>
      <c r="U371" s="17">
        <v>9.6999999999999993</v>
      </c>
      <c r="V371" s="17">
        <v>1.1000000000000001</v>
      </c>
      <c r="W371" s="36">
        <f t="shared" si="61"/>
        <v>0.11340206185567012</v>
      </c>
      <c r="X371" s="17"/>
      <c r="Y371" s="17"/>
      <c r="AA371" s="15" t="s">
        <v>99</v>
      </c>
      <c r="AB371" s="17" t="s">
        <v>460</v>
      </c>
      <c r="AC371" s="21" t="s">
        <v>61</v>
      </c>
      <c r="AD371" s="21" t="s">
        <v>61</v>
      </c>
      <c r="AE371" s="17" t="s">
        <v>79</v>
      </c>
      <c r="AF371" s="76" t="s">
        <v>562</v>
      </c>
      <c r="AG371" s="15"/>
      <c r="AH371" s="677">
        <v>1</v>
      </c>
      <c r="AI371" s="42">
        <f t="shared" ca="1" si="55"/>
        <v>1145</v>
      </c>
      <c r="AJ371" s="42">
        <f t="shared" ca="1" si="52"/>
        <v>1029</v>
      </c>
      <c r="AK371" s="13"/>
      <c r="AL371" s="36" t="str">
        <f t="shared" si="56"/>
        <v>Aborted</v>
      </c>
      <c r="AM371" s="37">
        <v>44519</v>
      </c>
      <c r="AN371" s="37">
        <v>44519</v>
      </c>
      <c r="AO371" s="37">
        <v>44519</v>
      </c>
      <c r="AP371" s="37">
        <v>44519</v>
      </c>
      <c r="AQ371" s="38">
        <v>44519</v>
      </c>
      <c r="AR371" s="38">
        <v>44524</v>
      </c>
      <c r="AS371" s="38" t="s">
        <v>65</v>
      </c>
      <c r="AT371" s="38">
        <v>44547</v>
      </c>
      <c r="AU371" s="38">
        <v>44566</v>
      </c>
      <c r="AV371" s="38"/>
      <c r="AW371" s="38">
        <v>44571</v>
      </c>
      <c r="AX371" s="38">
        <v>44579</v>
      </c>
      <c r="AY371" s="38">
        <v>44635</v>
      </c>
      <c r="AZ371" s="38"/>
      <c r="BA371" s="39">
        <f t="shared" si="60"/>
        <v>0.88888888888888884</v>
      </c>
      <c r="BB371" s="38"/>
      <c r="BC371" s="11" t="s">
        <v>7</v>
      </c>
    </row>
    <row r="372" spans="2:55" x14ac:dyDescent="0.35">
      <c r="B372" s="16">
        <f>IF(D372=$A$516,1,IF(D372=$A$517,2,IF(D372=$A$518,3,IF(D372=$A$519,4,IF(D372=$A$520,5,IF(D372=$A$521,6))))))</f>
        <v>5</v>
      </c>
      <c r="D372" s="20" t="str">
        <f t="shared" si="57"/>
        <v>abt</v>
      </c>
      <c r="E372" s="20" t="s">
        <v>1429</v>
      </c>
      <c r="F372" s="13"/>
      <c r="G372" s="13" t="s">
        <v>174</v>
      </c>
      <c r="H372" s="14" t="s">
        <v>1430</v>
      </c>
      <c r="I372" s="13">
        <v>464730</v>
      </c>
      <c r="J372" s="13" t="s">
        <v>74</v>
      </c>
      <c r="K372" s="15" t="s">
        <v>1431</v>
      </c>
      <c r="L372" s="15"/>
      <c r="M372" s="15"/>
      <c r="N372" s="15"/>
      <c r="O372" s="15"/>
      <c r="P372" s="15"/>
      <c r="Q372" s="15"/>
      <c r="S372" s="35" t="s">
        <v>77</v>
      </c>
      <c r="T372" s="13">
        <v>2019</v>
      </c>
      <c r="U372" s="17">
        <v>244.73</v>
      </c>
      <c r="V372" s="17">
        <v>12.01</v>
      </c>
      <c r="W372" s="36">
        <f t="shared" si="61"/>
        <v>4.9074490254566255E-2</v>
      </c>
      <c r="X372" s="17">
        <v>8.61</v>
      </c>
      <c r="Y372" s="17">
        <v>39.1</v>
      </c>
      <c r="AA372" s="15" t="s">
        <v>237</v>
      </c>
      <c r="AB372" s="17" t="s">
        <v>1432</v>
      </c>
      <c r="AC372" s="21" t="s">
        <v>78</v>
      </c>
      <c r="AD372" s="17" t="s">
        <v>78</v>
      </c>
      <c r="AE372" s="17"/>
      <c r="AF372" s="17"/>
      <c r="AG372" s="15"/>
      <c r="AI372" s="42">
        <f t="shared" ca="1" si="55"/>
        <v>1363</v>
      </c>
      <c r="AJ372" s="42">
        <f t="shared" ca="1" si="52"/>
        <v>1309</v>
      </c>
      <c r="AK372" s="13"/>
      <c r="AL372" s="36" t="str">
        <f t="shared" si="56"/>
        <v>Aborted</v>
      </c>
      <c r="AM372" s="37">
        <v>44301</v>
      </c>
      <c r="AN372" s="75"/>
      <c r="AO372" s="37" t="s">
        <v>65</v>
      </c>
      <c r="AP372" s="37"/>
      <c r="AQ372" s="38"/>
      <c r="AR372" s="38"/>
      <c r="AS372" s="38"/>
      <c r="AT372" s="38"/>
      <c r="AU372" s="38"/>
      <c r="AV372" s="38"/>
      <c r="AW372" s="38"/>
      <c r="AX372" s="38">
        <v>44301</v>
      </c>
      <c r="AY372" s="38">
        <v>44355</v>
      </c>
      <c r="AZ372" s="38"/>
      <c r="BA372" s="39">
        <f t="shared" si="60"/>
        <v>0.1111111111111111</v>
      </c>
      <c r="BB372" s="38"/>
      <c r="BC372" s="11" t="s">
        <v>7</v>
      </c>
    </row>
    <row r="373" spans="2:55" x14ac:dyDescent="0.35">
      <c r="B373" s="16">
        <f>IF(D373=$A$516,1,IF(D373=$A$517,2,IF(D373=$A$518,3,IF(D373=$A$519,4,IF(D373=$A$520,5,IF(D373=$A$521,6))))))</f>
        <v>5</v>
      </c>
      <c r="D373" s="20" t="str">
        <f t="shared" si="57"/>
        <v>abt</v>
      </c>
      <c r="E373" s="12" t="s">
        <v>771</v>
      </c>
      <c r="F373" s="13"/>
      <c r="G373" s="13" t="s">
        <v>103</v>
      </c>
      <c r="H373" s="13"/>
      <c r="I373" s="13"/>
      <c r="J373" s="13" t="s">
        <v>772</v>
      </c>
      <c r="K373" s="15"/>
      <c r="L373" s="15" t="s">
        <v>773</v>
      </c>
      <c r="M373" s="15"/>
      <c r="N373" s="15"/>
      <c r="O373" s="15"/>
      <c r="P373" s="15"/>
      <c r="Q373" s="15"/>
      <c r="S373" s="35"/>
      <c r="T373" s="13"/>
      <c r="U373" s="17"/>
      <c r="V373" s="17"/>
      <c r="W373" s="36"/>
      <c r="X373" s="17"/>
      <c r="Y373" s="17"/>
      <c r="AA373" s="15" t="s">
        <v>60</v>
      </c>
      <c r="AB373" s="17"/>
      <c r="AC373" s="21" t="s">
        <v>78</v>
      </c>
      <c r="AD373" s="21" t="s">
        <v>78</v>
      </c>
      <c r="AE373" s="17"/>
      <c r="AF373" s="17"/>
      <c r="AG373" s="15"/>
      <c r="AI373" s="42">
        <f t="shared" ca="1" si="55"/>
        <v>706</v>
      </c>
      <c r="AJ373" s="42">
        <f t="shared" ca="1" si="52"/>
        <v>468</v>
      </c>
      <c r="AK373" s="13" t="s">
        <v>87</v>
      </c>
      <c r="AL373" s="36" t="str">
        <f t="shared" si="56"/>
        <v>Aborted</v>
      </c>
      <c r="AM373" s="37">
        <v>44958</v>
      </c>
      <c r="AN373" s="37">
        <v>44958</v>
      </c>
      <c r="AO373" s="37" t="s">
        <v>65</v>
      </c>
      <c r="AP373" s="37">
        <v>44958</v>
      </c>
      <c r="AQ373" s="38">
        <v>45006</v>
      </c>
      <c r="AR373" s="38"/>
      <c r="AS373" s="38"/>
      <c r="AT373" s="38"/>
      <c r="AU373" s="38"/>
      <c r="AV373" s="38"/>
      <c r="AW373" s="38">
        <v>45196</v>
      </c>
      <c r="AX373" s="38">
        <v>45006</v>
      </c>
      <c r="AY373" s="38">
        <v>45027</v>
      </c>
      <c r="AZ373" s="38"/>
      <c r="BA373" s="39">
        <f t="shared" si="60"/>
        <v>0.44444444444444442</v>
      </c>
      <c r="BB373" s="38"/>
      <c r="BC373" s="11" t="s">
        <v>7</v>
      </c>
    </row>
    <row r="374" spans="2:55" x14ac:dyDescent="0.35">
      <c r="B374" s="16">
        <f>IF(D374=$A$516,1,IF(D374=$A$517,2,IF(D374=$A$518,3,IF(D374=$A$519,4,IF(D374=$A$520,5,IF(D374=$A$521,6))))))</f>
        <v>5</v>
      </c>
      <c r="D374" s="20" t="str">
        <f t="shared" si="57"/>
        <v>abt</v>
      </c>
      <c r="E374" s="20" t="s">
        <v>1440</v>
      </c>
      <c r="F374" s="13"/>
      <c r="G374" s="13" t="s">
        <v>1141</v>
      </c>
      <c r="H374" s="14" t="s">
        <v>1441</v>
      </c>
      <c r="I374" s="13">
        <v>471120</v>
      </c>
      <c r="J374" s="13" t="s">
        <v>1248</v>
      </c>
      <c r="K374" s="15" t="s">
        <v>1421</v>
      </c>
      <c r="L374" s="15" t="s">
        <v>1442</v>
      </c>
      <c r="M374" s="15" t="s">
        <v>1443</v>
      </c>
      <c r="N374" s="15"/>
      <c r="O374" s="15"/>
      <c r="P374" s="15"/>
      <c r="Q374" s="15"/>
      <c r="S374" s="35" t="s">
        <v>183</v>
      </c>
      <c r="T374" s="13">
        <v>2019</v>
      </c>
      <c r="U374" s="17">
        <v>728.97</v>
      </c>
      <c r="V374" s="17">
        <v>60.07</v>
      </c>
      <c r="W374" s="36">
        <f t="shared" ref="W374:W380" si="62">+V374/U374</f>
        <v>8.2403939805478957E-2</v>
      </c>
      <c r="X374" s="17">
        <v>21.14</v>
      </c>
      <c r="Y374" s="17">
        <v>-6.11</v>
      </c>
      <c r="AA374" s="15" t="s">
        <v>60</v>
      </c>
      <c r="AB374" s="17"/>
      <c r="AC374" s="21" t="s">
        <v>78</v>
      </c>
      <c r="AD374" s="17" t="s">
        <v>78</v>
      </c>
      <c r="AE374" s="17"/>
      <c r="AF374" s="17"/>
      <c r="AG374" s="15"/>
      <c r="AI374" s="42">
        <f t="shared" ca="1" si="55"/>
        <v>1372</v>
      </c>
      <c r="AJ374" s="42">
        <f t="shared" ca="1" si="52"/>
        <v>1337</v>
      </c>
      <c r="AK374" s="13"/>
      <c r="AL374" s="36" t="str">
        <f t="shared" si="56"/>
        <v>Aborted</v>
      </c>
      <c r="AM374" s="37">
        <v>44292</v>
      </c>
      <c r="AN374" s="37">
        <v>44298</v>
      </c>
      <c r="AO374" s="37" t="s">
        <v>65</v>
      </c>
      <c r="AP374" s="37"/>
      <c r="AQ374" s="38"/>
      <c r="AR374" s="38"/>
      <c r="AS374" s="38"/>
      <c r="AT374" s="38"/>
      <c r="AU374" s="38"/>
      <c r="AV374" s="38"/>
      <c r="AW374" s="38"/>
      <c r="AX374" s="38">
        <v>44313</v>
      </c>
      <c r="AY374" s="38">
        <v>44327</v>
      </c>
      <c r="AZ374" s="38"/>
      <c r="BA374" s="39">
        <f t="shared" si="60"/>
        <v>0.22222222222222221</v>
      </c>
      <c r="BB374" s="38"/>
      <c r="BC374" s="11" t="s">
        <v>7</v>
      </c>
    </row>
    <row r="375" spans="2:55" x14ac:dyDescent="0.35">
      <c r="B375" s="16">
        <f>IF(D375=$A$516,1,IF(D375=$A$517,2,IF(D375=$A$518,3,IF(D375=$A$519,4,IF(D375=$A$520,5,IF(D375=$A$521,6))))))</f>
        <v>5</v>
      </c>
      <c r="D375" s="20" t="str">
        <f t="shared" si="57"/>
        <v>abt</v>
      </c>
      <c r="E375" s="12" t="s">
        <v>1165</v>
      </c>
      <c r="F375" s="13"/>
      <c r="G375" s="13" t="s">
        <v>174</v>
      </c>
      <c r="H375" s="41" t="s">
        <v>1166</v>
      </c>
      <c r="I375" s="14" t="s">
        <v>1167</v>
      </c>
      <c r="J375" s="13" t="s">
        <v>1168</v>
      </c>
      <c r="K375" s="15" t="s">
        <v>1169</v>
      </c>
      <c r="L375" s="15" t="s">
        <v>1170</v>
      </c>
      <c r="M375" s="15" t="s">
        <v>1170</v>
      </c>
      <c r="N375" s="15"/>
      <c r="O375" s="15"/>
      <c r="P375" s="15"/>
      <c r="Q375" s="15"/>
      <c r="S375" s="35" t="s">
        <v>144</v>
      </c>
      <c r="T375" s="13">
        <v>2020</v>
      </c>
      <c r="U375" s="17">
        <v>40.799999999999997</v>
      </c>
      <c r="V375" s="17">
        <v>10.7</v>
      </c>
      <c r="W375" s="36">
        <f t="shared" si="62"/>
        <v>0.26225490196078433</v>
      </c>
      <c r="X375" s="17">
        <v>0.7</v>
      </c>
      <c r="Y375" s="17">
        <v>24.5</v>
      </c>
      <c r="AA375" s="15" t="s">
        <v>140</v>
      </c>
      <c r="AB375" s="17"/>
      <c r="AC375" s="21" t="s">
        <v>61</v>
      </c>
      <c r="AD375" s="21" t="s">
        <v>61</v>
      </c>
      <c r="AE375" s="17" t="s">
        <v>79</v>
      </c>
      <c r="AF375" s="17"/>
      <c r="AG375" s="15"/>
      <c r="AH375" s="677">
        <v>1</v>
      </c>
      <c r="AI375" s="42">
        <f t="shared" ca="1" si="55"/>
        <v>1090</v>
      </c>
      <c r="AJ375" s="42">
        <f t="shared" ca="1" si="52"/>
        <v>854</v>
      </c>
      <c r="AK375" s="13"/>
      <c r="AL375" s="36" t="str">
        <f t="shared" si="56"/>
        <v>Aborted</v>
      </c>
      <c r="AM375" s="37">
        <v>44574</v>
      </c>
      <c r="AN375" s="75">
        <v>44578</v>
      </c>
      <c r="AO375" s="37" t="s">
        <v>65</v>
      </c>
      <c r="AP375" s="37" t="s">
        <v>65</v>
      </c>
      <c r="AQ375" s="38">
        <v>44612</v>
      </c>
      <c r="AR375" s="38">
        <v>44628</v>
      </c>
      <c r="AS375" s="38" t="s">
        <v>65</v>
      </c>
      <c r="AT375" s="38">
        <v>44631</v>
      </c>
      <c r="AU375" s="38"/>
      <c r="AV375" s="38"/>
      <c r="AW375" s="38">
        <v>44578</v>
      </c>
      <c r="AX375" s="38">
        <v>44642</v>
      </c>
      <c r="AY375" s="38">
        <v>44810</v>
      </c>
      <c r="AZ375" s="38"/>
      <c r="BA375" s="39">
        <f t="shared" si="60"/>
        <v>0.77777777777777779</v>
      </c>
      <c r="BB375" s="38"/>
      <c r="BC375" s="11" t="s">
        <v>7</v>
      </c>
    </row>
    <row r="376" spans="2:55" x14ac:dyDescent="0.35">
      <c r="B376" s="16">
        <f>IF(D376=$A$516,1,IF(D376=$A$517,2,IF(D376=$A$518,3,IF(D376=$A$519,4,IF(D376=$A$520,5,IF(D376=$A$521,6))))))</f>
        <v>5</v>
      </c>
      <c r="D376" s="20" t="str">
        <f t="shared" si="57"/>
        <v>abt</v>
      </c>
      <c r="E376" s="12" t="s">
        <v>1212</v>
      </c>
      <c r="F376" s="13"/>
      <c r="G376" s="13" t="s">
        <v>326</v>
      </c>
      <c r="H376" s="14" t="s">
        <v>1213</v>
      </c>
      <c r="I376" s="13"/>
      <c r="J376" s="13" t="s">
        <v>83</v>
      </c>
      <c r="K376" s="15" t="s">
        <v>1214</v>
      </c>
      <c r="L376" s="15"/>
      <c r="M376" s="15"/>
      <c r="N376" s="15"/>
      <c r="O376" s="15"/>
      <c r="P376" s="15"/>
      <c r="Q376" s="15"/>
      <c r="S376" s="35" t="s">
        <v>77</v>
      </c>
      <c r="T376" s="13">
        <v>2020</v>
      </c>
      <c r="U376" s="17">
        <v>34.075000000000003</v>
      </c>
      <c r="V376" s="17">
        <v>4.5350000000000001</v>
      </c>
      <c r="W376" s="36">
        <f t="shared" si="62"/>
        <v>0.1330887747615554</v>
      </c>
      <c r="X376" s="17">
        <v>1.9550000000000001</v>
      </c>
      <c r="Y376" s="17">
        <v>15.948</v>
      </c>
      <c r="AA376" s="15" t="s">
        <v>140</v>
      </c>
      <c r="AB376" s="17"/>
      <c r="AC376" s="17" t="s">
        <v>61</v>
      </c>
      <c r="AD376" s="17" t="s">
        <v>61</v>
      </c>
      <c r="AE376" s="17" t="s">
        <v>79</v>
      </c>
      <c r="AF376" s="76" t="s">
        <v>562</v>
      </c>
      <c r="AG376" s="15"/>
      <c r="AH376" s="677">
        <v>1</v>
      </c>
      <c r="AI376" s="42">
        <f t="shared" ca="1" si="55"/>
        <v>1075</v>
      </c>
      <c r="AJ376" s="42">
        <f t="shared" ca="1" si="52"/>
        <v>945</v>
      </c>
      <c r="AK376" s="13"/>
      <c r="AL376" s="36" t="str">
        <f t="shared" si="56"/>
        <v>Aborted</v>
      </c>
      <c r="AM376" s="37">
        <v>44589</v>
      </c>
      <c r="AN376" s="75">
        <v>44599</v>
      </c>
      <c r="AO376" s="37" t="s">
        <v>65</v>
      </c>
      <c r="AP376" s="37">
        <v>44603</v>
      </c>
      <c r="AQ376" s="38">
        <v>44608</v>
      </c>
      <c r="AR376" s="38">
        <v>44635</v>
      </c>
      <c r="AS376" s="38">
        <v>44719</v>
      </c>
      <c r="AT376" s="38"/>
      <c r="AU376" s="38"/>
      <c r="AV376" s="38"/>
      <c r="AW376" s="38">
        <v>44699</v>
      </c>
      <c r="AX376" s="38"/>
      <c r="AY376" s="38">
        <v>44717</v>
      </c>
      <c r="AZ376" s="38"/>
      <c r="BA376" s="39">
        <f t="shared" si="60"/>
        <v>0.66666666666666663</v>
      </c>
      <c r="BB376" s="38"/>
      <c r="BC376" s="11" t="s">
        <v>7</v>
      </c>
    </row>
    <row r="377" spans="2:55" x14ac:dyDescent="0.35">
      <c r="B377" s="16">
        <f>IF(D377=$A$516,1,IF(D377=$A$517,2,IF(D377=$A$518,3,IF(D377=$A$519,4,IF(D377=$A$520,5,IF(D377=$A$521,6))))))</f>
        <v>5</v>
      </c>
      <c r="D377" s="20" t="str">
        <f t="shared" si="57"/>
        <v>abt</v>
      </c>
      <c r="E377" s="12" t="s">
        <v>1071</v>
      </c>
      <c r="F377" s="13"/>
      <c r="G377" s="14" t="s">
        <v>103</v>
      </c>
      <c r="H377" s="14" t="s">
        <v>1072</v>
      </c>
      <c r="I377" s="13">
        <v>469000</v>
      </c>
      <c r="J377" s="13" t="s">
        <v>111</v>
      </c>
      <c r="K377" s="15" t="s">
        <v>1073</v>
      </c>
      <c r="L377" s="15"/>
      <c r="M377" s="15" t="s">
        <v>1074</v>
      </c>
      <c r="N377" s="15" t="s">
        <v>1075</v>
      </c>
      <c r="O377" s="15"/>
      <c r="P377" s="15"/>
      <c r="Q377" s="15"/>
      <c r="S377" s="35" t="s">
        <v>77</v>
      </c>
      <c r="T377" s="13">
        <v>2020</v>
      </c>
      <c r="U377" s="17">
        <v>8.6999999999999993</v>
      </c>
      <c r="V377" s="17">
        <v>1.085</v>
      </c>
      <c r="W377" s="36">
        <f t="shared" si="62"/>
        <v>0.12471264367816093</v>
      </c>
      <c r="X377" s="17">
        <v>0.7</v>
      </c>
      <c r="Y377" s="17">
        <v>-1.8</v>
      </c>
      <c r="AA377" s="15" t="s">
        <v>99</v>
      </c>
      <c r="AB377" s="17" t="s">
        <v>1076</v>
      </c>
      <c r="AC377" s="21" t="s">
        <v>78</v>
      </c>
      <c r="AD377" s="21" t="s">
        <v>78</v>
      </c>
      <c r="AE377" s="61" t="s">
        <v>86</v>
      </c>
      <c r="AF377" s="17"/>
      <c r="AG377" s="15"/>
      <c r="AI377" s="42">
        <f t="shared" ca="1" si="55"/>
        <v>973</v>
      </c>
      <c r="AJ377" s="42">
        <f t="shared" ca="1" si="52"/>
        <v>729</v>
      </c>
      <c r="AK377" s="13"/>
      <c r="AL377" s="36" t="str">
        <f t="shared" si="56"/>
        <v>Aborted</v>
      </c>
      <c r="AM377" s="37">
        <v>44691</v>
      </c>
      <c r="AN377" s="37">
        <v>44691</v>
      </c>
      <c r="AO377" s="37" t="s">
        <v>65</v>
      </c>
      <c r="AP377" s="37"/>
      <c r="AQ377" s="38"/>
      <c r="AR377" s="38"/>
      <c r="AS377" s="38"/>
      <c r="AT377" s="38"/>
      <c r="AU377" s="38"/>
      <c r="AV377" s="38"/>
      <c r="AW377" s="38">
        <v>44713</v>
      </c>
      <c r="AX377" s="38">
        <v>44719</v>
      </c>
      <c r="AY377" s="38">
        <v>44935</v>
      </c>
      <c r="AZ377" s="38"/>
      <c r="BA377" s="39">
        <f t="shared" si="60"/>
        <v>0.22222222222222221</v>
      </c>
      <c r="BB377" s="38"/>
      <c r="BC377" s="11" t="s">
        <v>7</v>
      </c>
    </row>
    <row r="378" spans="2:55" x14ac:dyDescent="0.35">
      <c r="B378" s="16">
        <f>IF(D378=$A$516,1,IF(D378=$A$517,2,IF(D378=$A$518,3,IF(D378=$A$519,4,IF(D378=$A$520,5,IF(D378=$A$521,6))))))</f>
        <v>5</v>
      </c>
      <c r="D378" s="20" t="str">
        <f t="shared" si="57"/>
        <v>abt</v>
      </c>
      <c r="E378" s="15" t="s">
        <v>265</v>
      </c>
      <c r="F378" s="14"/>
      <c r="G378" s="13" t="s">
        <v>103</v>
      </c>
      <c r="H378" s="13" t="s">
        <v>266</v>
      </c>
      <c r="I378" s="13">
        <v>108200</v>
      </c>
      <c r="J378" s="13" t="s">
        <v>267</v>
      </c>
      <c r="K378" s="15" t="s">
        <v>268</v>
      </c>
      <c r="L378" s="15"/>
      <c r="M378" s="15"/>
      <c r="N378" s="15"/>
      <c r="O378" s="15"/>
      <c r="P378" s="15"/>
      <c r="Q378" s="15"/>
      <c r="S378" s="35" t="s">
        <v>77</v>
      </c>
      <c r="T378" s="13">
        <v>2021</v>
      </c>
      <c r="U378" s="17">
        <v>69</v>
      </c>
      <c r="V378" s="17">
        <v>2.8</v>
      </c>
      <c r="W378" s="36">
        <f t="shared" si="62"/>
        <v>4.0579710144927533E-2</v>
      </c>
      <c r="X378" s="17">
        <v>0.22700000000000001</v>
      </c>
      <c r="Y378" s="17">
        <v>1.6093624</v>
      </c>
      <c r="AA378" s="15" t="s">
        <v>60</v>
      </c>
      <c r="AB378" s="17"/>
      <c r="AC378" s="17" t="s">
        <v>2879</v>
      </c>
      <c r="AD378" s="21" t="s">
        <v>153</v>
      </c>
      <c r="AE378" s="17"/>
      <c r="AF378" s="17"/>
      <c r="AG378" s="15"/>
      <c r="AI378" s="42">
        <f t="shared" ca="1" si="55"/>
        <v>835</v>
      </c>
      <c r="AJ378" s="42">
        <f t="shared" ref="AJ378:AJ441" ca="1" si="63">+(IF(AL378="Closed","-",IF(TODAY()-MAX(AN378:BA378)&gt;0,TODAY()-MAX(AN378:BA378),0)))</f>
        <v>350</v>
      </c>
      <c r="AK378" s="13" t="s">
        <v>87</v>
      </c>
      <c r="AL378" s="36" t="str">
        <f t="shared" si="56"/>
        <v>Aborted</v>
      </c>
      <c r="AM378" s="37">
        <v>44829</v>
      </c>
      <c r="AN378" s="37">
        <v>44855</v>
      </c>
      <c r="AO378" s="37" t="s">
        <v>65</v>
      </c>
      <c r="AP378" s="37">
        <v>44856</v>
      </c>
      <c r="AQ378" s="38">
        <v>44882</v>
      </c>
      <c r="AR378" s="38">
        <v>45216</v>
      </c>
      <c r="AS378" s="38">
        <v>45238</v>
      </c>
      <c r="AT378" s="38"/>
      <c r="AU378" s="38"/>
      <c r="AV378" s="38"/>
      <c r="AW378" s="38">
        <v>45238</v>
      </c>
      <c r="AX378" s="38"/>
      <c r="AY378" s="38">
        <v>45314</v>
      </c>
      <c r="AZ378" s="38"/>
      <c r="BA378" s="39">
        <f t="shared" si="60"/>
        <v>0.66666666666666663</v>
      </c>
      <c r="BB378" s="38"/>
      <c r="BC378" s="11" t="s">
        <v>7</v>
      </c>
    </row>
    <row r="379" spans="2:55" x14ac:dyDescent="0.35">
      <c r="B379" s="16">
        <f>IF(D379=$A$516,1,IF(D379=$A$517,2,IF(D379=$A$518,3,IF(D379=$A$519,4,IF(D379=$A$520,5,IF(D379=$A$521,6))))))</f>
        <v>5</v>
      </c>
      <c r="D379" s="20" t="str">
        <f t="shared" si="57"/>
        <v>abt</v>
      </c>
      <c r="E379" s="20" t="s">
        <v>1215</v>
      </c>
      <c r="F379" s="14"/>
      <c r="G379" s="13" t="s">
        <v>333</v>
      </c>
      <c r="H379" s="14" t="s">
        <v>620</v>
      </c>
      <c r="I379" s="13">
        <v>204200</v>
      </c>
      <c r="J379" s="13" t="s">
        <v>621</v>
      </c>
      <c r="K379" s="15" t="s">
        <v>622</v>
      </c>
      <c r="L379" s="15"/>
      <c r="M379" s="15"/>
      <c r="N379" s="15"/>
      <c r="O379" s="15"/>
      <c r="P379" s="15"/>
      <c r="Q379" s="15"/>
      <c r="S379" s="35" t="s">
        <v>77</v>
      </c>
      <c r="T379" s="13">
        <v>2019</v>
      </c>
      <c r="U379" s="17">
        <v>59.58</v>
      </c>
      <c r="V379" s="17">
        <v>10.44</v>
      </c>
      <c r="W379" s="36">
        <f t="shared" si="62"/>
        <v>0.17522658610271902</v>
      </c>
      <c r="X379" s="17">
        <v>8.1300000000000008</v>
      </c>
      <c r="Y379" s="17">
        <v>-20.83</v>
      </c>
      <c r="AA379" s="632"/>
      <c r="AB379" s="17"/>
      <c r="AC379" s="21" t="s">
        <v>61</v>
      </c>
      <c r="AD379" s="17" t="s">
        <v>61</v>
      </c>
      <c r="AE379" s="17"/>
      <c r="AF379" s="17"/>
      <c r="AG379" s="15"/>
      <c r="AI379" s="42">
        <f t="shared" ca="1" si="55"/>
        <v>1467</v>
      </c>
      <c r="AJ379" s="42">
        <f t="shared" ca="1" si="63"/>
        <v>959</v>
      </c>
      <c r="AK379" s="13"/>
      <c r="AL379" s="36" t="str">
        <f t="shared" si="56"/>
        <v>Aborted</v>
      </c>
      <c r="AM379" s="37">
        <v>44197</v>
      </c>
      <c r="AN379" s="37">
        <f>+AM379</f>
        <v>44197</v>
      </c>
      <c r="AO379" s="37" t="s">
        <v>65</v>
      </c>
      <c r="AP379" s="37" t="s">
        <v>65</v>
      </c>
      <c r="AQ379" s="38">
        <f>+AN379</f>
        <v>44197</v>
      </c>
      <c r="AR379" s="38">
        <v>44696</v>
      </c>
      <c r="AS379" s="38"/>
      <c r="AT379" s="38"/>
      <c r="AU379" s="38"/>
      <c r="AV379" s="38"/>
      <c r="AW379" s="38">
        <v>44696</v>
      </c>
      <c r="AX379" s="38"/>
      <c r="AY379" s="38">
        <v>44705</v>
      </c>
      <c r="AZ379" s="38"/>
      <c r="BA379" s="39">
        <f t="shared" si="60"/>
        <v>0.55555555555555558</v>
      </c>
      <c r="BB379" s="38"/>
      <c r="BC379" s="11" t="s">
        <v>7</v>
      </c>
    </row>
    <row r="380" spans="2:55" x14ac:dyDescent="0.35">
      <c r="B380" s="16">
        <f>IF(D380=$A$516,1,IF(D380=$A$517,2,IF(D380=$A$518,3,IF(D380=$A$519,4,IF(D380=$A$520,5,IF(D380=$A$521,6))))))</f>
        <v>5</v>
      </c>
      <c r="D380" s="20" t="str">
        <f t="shared" si="57"/>
        <v>abt</v>
      </c>
      <c r="E380" s="20" t="s">
        <v>1215</v>
      </c>
      <c r="F380" s="14"/>
      <c r="G380" s="13" t="s">
        <v>333</v>
      </c>
      <c r="H380" s="14" t="s">
        <v>620</v>
      </c>
      <c r="I380" s="13">
        <v>204200</v>
      </c>
      <c r="J380" s="13" t="s">
        <v>621</v>
      </c>
      <c r="K380" s="15" t="s">
        <v>622</v>
      </c>
      <c r="L380" s="15"/>
      <c r="M380" s="15"/>
      <c r="N380" s="15"/>
      <c r="O380" s="15"/>
      <c r="P380" s="15"/>
      <c r="Q380" s="15"/>
      <c r="S380" s="35" t="s">
        <v>77</v>
      </c>
      <c r="T380" s="13">
        <v>2019</v>
      </c>
      <c r="U380" s="17">
        <v>59.58</v>
      </c>
      <c r="V380" s="17">
        <v>10.44</v>
      </c>
      <c r="W380" s="36">
        <f t="shared" si="62"/>
        <v>0.17522658610271902</v>
      </c>
      <c r="X380" s="17">
        <v>8.1300000000000008</v>
      </c>
      <c r="Y380" s="17">
        <v>-20.83</v>
      </c>
      <c r="AA380" s="632"/>
      <c r="AB380" s="17"/>
      <c r="AC380" s="21" t="s">
        <v>61</v>
      </c>
      <c r="AD380" s="17" t="s">
        <v>61</v>
      </c>
      <c r="AE380" s="17"/>
      <c r="AF380" s="17"/>
      <c r="AG380" s="15"/>
      <c r="AI380" s="42">
        <f t="shared" ca="1" si="55"/>
        <v>1467</v>
      </c>
      <c r="AJ380" s="42">
        <f t="shared" ca="1" si="63"/>
        <v>1155</v>
      </c>
      <c r="AK380" s="13"/>
      <c r="AL380" s="36" t="str">
        <f t="shared" si="56"/>
        <v>Aborted</v>
      </c>
      <c r="AM380" s="37">
        <v>44197</v>
      </c>
      <c r="AN380" s="37">
        <v>44197</v>
      </c>
      <c r="AO380" s="37" t="s">
        <v>65</v>
      </c>
      <c r="AP380" s="37" t="s">
        <v>65</v>
      </c>
      <c r="AQ380" s="38">
        <f>+AN380</f>
        <v>44197</v>
      </c>
      <c r="AR380" s="38">
        <v>44404</v>
      </c>
      <c r="AS380" s="38"/>
      <c r="AT380" s="38"/>
      <c r="AU380" s="38"/>
      <c r="AV380" s="38"/>
      <c r="AW380" s="38"/>
      <c r="AX380" s="38">
        <v>44439</v>
      </c>
      <c r="AY380" s="57">
        <v>44509</v>
      </c>
      <c r="AZ380" s="38"/>
      <c r="BA380" s="39">
        <f t="shared" si="60"/>
        <v>0.55555555555555558</v>
      </c>
      <c r="BB380" s="38"/>
      <c r="BC380" s="11" t="s">
        <v>7</v>
      </c>
    </row>
    <row r="381" spans="2:55" x14ac:dyDescent="0.35">
      <c r="B381" s="16">
        <f>IF(D381=$A$516,1,IF(D381=$A$517,2,IF(D381=$A$518,3,IF(D381=$A$519,4,IF(D381=$A$520,5,IF(D381=$A$521,6))))))</f>
        <v>5</v>
      </c>
      <c r="D381" s="20" t="str">
        <f t="shared" si="57"/>
        <v>abt</v>
      </c>
      <c r="E381" s="20" t="s">
        <v>803</v>
      </c>
      <c r="F381" s="13"/>
      <c r="G381" s="13" t="s">
        <v>333</v>
      </c>
      <c r="H381" s="14" t="s">
        <v>620</v>
      </c>
      <c r="I381" s="13">
        <v>204200</v>
      </c>
      <c r="J381" s="13" t="s">
        <v>621</v>
      </c>
      <c r="K381" s="15" t="s">
        <v>622</v>
      </c>
      <c r="L381" s="15"/>
      <c r="M381" s="15"/>
      <c r="N381" s="15"/>
      <c r="O381" s="15"/>
      <c r="P381" s="15"/>
      <c r="Q381" s="15"/>
      <c r="S381" s="35"/>
      <c r="T381" s="13"/>
      <c r="U381" s="17"/>
      <c r="V381" s="17"/>
      <c r="W381" s="36"/>
      <c r="X381" s="17"/>
      <c r="Y381" s="17"/>
      <c r="AA381" s="15" t="s">
        <v>623</v>
      </c>
      <c r="AB381" s="17"/>
      <c r="AC381" s="21" t="s">
        <v>61</v>
      </c>
      <c r="AD381" s="17" t="s">
        <v>61</v>
      </c>
      <c r="AE381" s="17" t="s">
        <v>128</v>
      </c>
      <c r="AF381" s="20"/>
      <c r="AG381" s="15"/>
      <c r="AI381" s="42">
        <f t="shared" ca="1" si="55"/>
        <v>791</v>
      </c>
      <c r="AJ381" s="42">
        <f t="shared" ca="1" si="63"/>
        <v>637</v>
      </c>
      <c r="AK381" s="13" t="s">
        <v>64</v>
      </c>
      <c r="AL381" s="36" t="str">
        <f t="shared" si="56"/>
        <v>Aborted</v>
      </c>
      <c r="AM381" s="37">
        <v>44873</v>
      </c>
      <c r="AN381" s="75">
        <v>44879</v>
      </c>
      <c r="AO381" s="37" t="s">
        <v>65</v>
      </c>
      <c r="AP381" s="37" t="s">
        <v>65</v>
      </c>
      <c r="AQ381" s="38">
        <v>44881</v>
      </c>
      <c r="AR381" s="38">
        <v>44901</v>
      </c>
      <c r="AS381" s="38">
        <v>45005</v>
      </c>
      <c r="AT381" s="38"/>
      <c r="AU381" s="38"/>
      <c r="AV381" s="38"/>
      <c r="AW381" s="38">
        <v>45005</v>
      </c>
      <c r="AX381" s="38">
        <v>44938</v>
      </c>
      <c r="AY381" s="38">
        <v>45027</v>
      </c>
      <c r="AZ381" s="38"/>
      <c r="BA381" s="39">
        <f t="shared" si="60"/>
        <v>0.66666666666666663</v>
      </c>
      <c r="BB381" s="38"/>
      <c r="BC381" s="11" t="s">
        <v>7</v>
      </c>
    </row>
    <row r="382" spans="2:55" x14ac:dyDescent="0.35">
      <c r="B382" s="16">
        <f>IF(D382=$A$516,1,IF(D382=$A$517,2,IF(D382=$A$518,3,IF(D382=$A$519,4,IF(D382=$A$520,5,IF(D382=$A$521,6))))))</f>
        <v>5</v>
      </c>
      <c r="D382" s="20" t="str">
        <f t="shared" si="57"/>
        <v>abt</v>
      </c>
      <c r="E382" s="12" t="s">
        <v>1340</v>
      </c>
      <c r="F382" s="11"/>
      <c r="G382" s="13" t="s">
        <v>226</v>
      </c>
      <c r="H382" s="14" t="s">
        <v>1341</v>
      </c>
      <c r="I382" s="13">
        <v>25064</v>
      </c>
      <c r="J382" s="13" t="s">
        <v>1342</v>
      </c>
      <c r="K382" s="15" t="s">
        <v>1343</v>
      </c>
      <c r="L382" s="15"/>
      <c r="M382" s="15"/>
      <c r="N382" s="15"/>
      <c r="O382" s="15"/>
      <c r="P382" s="15" t="s">
        <v>1344</v>
      </c>
      <c r="Q382" s="15"/>
      <c r="S382" s="35" t="s">
        <v>77</v>
      </c>
      <c r="T382" s="13">
        <v>2020</v>
      </c>
      <c r="U382" s="17">
        <v>18.600480000000001</v>
      </c>
      <c r="V382" s="17">
        <v>1.6451119999999999</v>
      </c>
      <c r="W382" s="36">
        <f t="shared" ref="W382:W387" si="64">+V382/U382</f>
        <v>8.8444599279158376E-2</v>
      </c>
      <c r="X382" s="17">
        <v>0.82748600000000005</v>
      </c>
      <c r="Y382" s="17">
        <v>-3.9161619999999999</v>
      </c>
      <c r="AA382" s="15" t="s">
        <v>99</v>
      </c>
      <c r="AB382" s="17" t="s">
        <v>1345</v>
      </c>
      <c r="AC382" s="21" t="s">
        <v>78</v>
      </c>
      <c r="AD382" s="21" t="s">
        <v>78</v>
      </c>
      <c r="AE382" s="76" t="s">
        <v>562</v>
      </c>
      <c r="AF382" s="17"/>
      <c r="AG382" s="15"/>
      <c r="AI382" s="42">
        <f t="shared" ca="1" si="55"/>
        <v>1210</v>
      </c>
      <c r="AJ382" s="42">
        <f t="shared" ca="1" si="63"/>
        <v>1092</v>
      </c>
      <c r="AK382" s="13"/>
      <c r="AL382" s="36" t="str">
        <f t="shared" si="56"/>
        <v>Aborted</v>
      </c>
      <c r="AM382" s="37">
        <v>44454</v>
      </c>
      <c r="AN382" s="37">
        <v>44454</v>
      </c>
      <c r="AO382" s="37" t="s">
        <v>65</v>
      </c>
      <c r="AP382" s="37">
        <v>44473</v>
      </c>
      <c r="AQ382" s="38">
        <v>44473</v>
      </c>
      <c r="AR382" s="38"/>
      <c r="AS382" s="38"/>
      <c r="AT382" s="38"/>
      <c r="AU382" s="38"/>
      <c r="AV382" s="38"/>
      <c r="AW382" s="38"/>
      <c r="AX382" s="38">
        <v>44488</v>
      </c>
      <c r="AY382" s="38">
        <v>44572</v>
      </c>
      <c r="AZ382" s="38"/>
      <c r="BA382" s="39">
        <f t="shared" si="60"/>
        <v>0.44444444444444442</v>
      </c>
      <c r="BB382" s="38"/>
      <c r="BC382" s="11" t="s">
        <v>7</v>
      </c>
    </row>
    <row r="383" spans="2:55" x14ac:dyDescent="0.35">
      <c r="B383" s="16">
        <f>IF(D383=$A$516,1,IF(D383=$A$517,2,IF(D383=$A$518,3,IF(D383=$A$519,4,IF(D383=$A$520,5,IF(D383=$A$521,6))))))</f>
        <v>5</v>
      </c>
      <c r="D383" s="20" t="str">
        <f t="shared" si="57"/>
        <v>abt</v>
      </c>
      <c r="E383" s="12" t="s">
        <v>1285</v>
      </c>
      <c r="F383" s="14"/>
      <c r="G383" s="13" t="s">
        <v>1286</v>
      </c>
      <c r="H383" s="41" t="s">
        <v>1287</v>
      </c>
      <c r="I383" s="13">
        <v>141000</v>
      </c>
      <c r="J383" s="13" t="s">
        <v>819</v>
      </c>
      <c r="K383" s="15" t="s">
        <v>1288</v>
      </c>
      <c r="L383" s="15" t="s">
        <v>1289</v>
      </c>
      <c r="M383" s="15"/>
      <c r="N383" s="15"/>
      <c r="O383" s="15"/>
      <c r="P383" s="15"/>
      <c r="Q383" s="15"/>
      <c r="S383" s="35" t="s">
        <v>77</v>
      </c>
      <c r="T383" s="13">
        <v>2020</v>
      </c>
      <c r="U383" s="17">
        <v>510.2</v>
      </c>
      <c r="V383" s="17">
        <v>34.529000000000003</v>
      </c>
      <c r="W383" s="36">
        <f t="shared" si="64"/>
        <v>6.7677381419051358E-2</v>
      </c>
      <c r="X383" s="17">
        <v>12.507999999999999</v>
      </c>
      <c r="Y383" s="17">
        <v>-7.9000000000000001E-2</v>
      </c>
      <c r="AA383" s="15" t="s">
        <v>140</v>
      </c>
      <c r="AB383" s="17"/>
      <c r="AC383" s="21" t="s">
        <v>78</v>
      </c>
      <c r="AD383" s="17" t="s">
        <v>78</v>
      </c>
      <c r="AE383" s="17" t="s">
        <v>62</v>
      </c>
      <c r="AF383" s="17"/>
      <c r="AG383" s="15"/>
      <c r="AI383" s="42">
        <f t="shared" ca="1" si="55"/>
        <v>1141</v>
      </c>
      <c r="AJ383" s="42">
        <f t="shared" ca="1" si="63"/>
        <v>1051</v>
      </c>
      <c r="AK383" s="13"/>
      <c r="AL383" s="36" t="str">
        <f t="shared" si="56"/>
        <v>Aborted</v>
      </c>
      <c r="AM383" s="37">
        <v>44523</v>
      </c>
      <c r="AN383" s="37">
        <v>44523</v>
      </c>
      <c r="AO383" s="37" t="s">
        <v>65</v>
      </c>
      <c r="AP383" s="37">
        <v>44526</v>
      </c>
      <c r="AQ383" s="38"/>
      <c r="AR383" s="38"/>
      <c r="AS383" s="38"/>
      <c r="AT383" s="38"/>
      <c r="AU383" s="38"/>
      <c r="AV383" s="38"/>
      <c r="AW383" s="38"/>
      <c r="AX383" s="38">
        <v>44579</v>
      </c>
      <c r="AY383" s="38">
        <v>44613</v>
      </c>
      <c r="AZ383" s="38"/>
      <c r="BA383" s="39">
        <f t="shared" si="60"/>
        <v>0.33333333333333331</v>
      </c>
      <c r="BB383" s="38"/>
      <c r="BC383" s="11" t="s">
        <v>7</v>
      </c>
    </row>
    <row r="384" spans="2:55" x14ac:dyDescent="0.35">
      <c r="B384" s="16">
        <f>IF(D384=$A$516,1,IF(D384=$A$517,2,IF(D384=$A$518,3,IF(D384=$A$519,4,IF(D384=$A$520,5,IF(D384=$A$521,6))))))</f>
        <v>5</v>
      </c>
      <c r="D384" s="20" t="str">
        <f t="shared" si="57"/>
        <v>abt</v>
      </c>
      <c r="E384" s="20" t="s">
        <v>1183</v>
      </c>
      <c r="F384" s="14"/>
      <c r="G384" s="13" t="s">
        <v>924</v>
      </c>
      <c r="H384" s="14" t="s">
        <v>1184</v>
      </c>
      <c r="I384" s="13">
        <v>960110</v>
      </c>
      <c r="J384" s="13" t="s">
        <v>1010</v>
      </c>
      <c r="K384" s="15" t="s">
        <v>1185</v>
      </c>
      <c r="L384" s="15"/>
      <c r="M384" s="15"/>
      <c r="N384" s="15"/>
      <c r="O384" s="15"/>
      <c r="P384" s="15"/>
      <c r="Q384" s="15"/>
      <c r="S384" s="35" t="s">
        <v>77</v>
      </c>
      <c r="T384" s="13">
        <v>2021</v>
      </c>
      <c r="U384" s="17">
        <v>17.899999999999999</v>
      </c>
      <c r="V384" s="17">
        <v>4.9000000000000004</v>
      </c>
      <c r="W384" s="36">
        <f t="shared" si="64"/>
        <v>0.27374301675977658</v>
      </c>
      <c r="X384" s="17">
        <v>1.2</v>
      </c>
      <c r="Y384" s="17">
        <v>-13.6</v>
      </c>
      <c r="AA384" s="15" t="s">
        <v>99</v>
      </c>
      <c r="AB384" s="17" t="s">
        <v>1012</v>
      </c>
      <c r="AC384" s="21" t="s">
        <v>78</v>
      </c>
      <c r="AD384" s="21" t="s">
        <v>78</v>
      </c>
      <c r="AE384" s="76" t="s">
        <v>986</v>
      </c>
      <c r="AF384" s="76" t="s">
        <v>562</v>
      </c>
      <c r="AG384" s="15"/>
      <c r="AI384" s="42">
        <f t="shared" ca="1" si="55"/>
        <v>939</v>
      </c>
      <c r="AJ384" s="42">
        <f t="shared" ca="1" si="63"/>
        <v>854</v>
      </c>
      <c r="AK384" s="13"/>
      <c r="AL384" s="36" t="str">
        <f t="shared" si="56"/>
        <v>Aborted</v>
      </c>
      <c r="AM384" s="37">
        <v>44725</v>
      </c>
      <c r="AN384" s="37">
        <v>44725</v>
      </c>
      <c r="AO384" s="37" t="s">
        <v>65</v>
      </c>
      <c r="AP384" s="37" t="s">
        <v>65</v>
      </c>
      <c r="AQ384" s="38"/>
      <c r="AR384" s="38"/>
      <c r="AS384" s="38"/>
      <c r="AT384" s="38"/>
      <c r="AU384" s="38"/>
      <c r="AV384" s="38"/>
      <c r="AW384" s="38">
        <v>44732</v>
      </c>
      <c r="AX384" s="38">
        <v>44735</v>
      </c>
      <c r="AY384" s="38">
        <v>44810</v>
      </c>
      <c r="AZ384" s="38"/>
      <c r="BA384" s="39">
        <f t="shared" si="60"/>
        <v>0.33333333333333331</v>
      </c>
      <c r="BB384" s="38"/>
      <c r="BC384" s="11" t="s">
        <v>7</v>
      </c>
    </row>
    <row r="385" spans="2:55" x14ac:dyDescent="0.35">
      <c r="B385" s="16">
        <f>IF(D385=$A$516,1,IF(D385=$A$517,2,IF(D385=$A$518,3,IF(D385=$A$519,4,IF(D385=$A$520,5,IF(D385=$A$521,6))))))</f>
        <v>5</v>
      </c>
      <c r="D385" s="20" t="str">
        <f t="shared" si="57"/>
        <v>abt</v>
      </c>
      <c r="E385" s="12" t="s">
        <v>876</v>
      </c>
      <c r="F385" s="14"/>
      <c r="G385" s="13" t="s">
        <v>226</v>
      </c>
      <c r="H385" s="14" t="s">
        <v>877</v>
      </c>
      <c r="I385" s="13"/>
      <c r="J385" s="13" t="s">
        <v>878</v>
      </c>
      <c r="K385" s="15" t="s">
        <v>879</v>
      </c>
      <c r="L385" s="15" t="s">
        <v>880</v>
      </c>
      <c r="M385" s="15"/>
      <c r="N385" s="15"/>
      <c r="O385" s="15"/>
      <c r="P385" s="15"/>
      <c r="Q385" s="15"/>
      <c r="S385" s="35" t="s">
        <v>77</v>
      </c>
      <c r="T385" s="13">
        <v>2021</v>
      </c>
      <c r="U385" s="17">
        <v>47.29</v>
      </c>
      <c r="V385" s="17">
        <v>1.679</v>
      </c>
      <c r="W385" s="36">
        <f t="shared" si="64"/>
        <v>3.5504334954535845E-2</v>
      </c>
      <c r="X385" s="17">
        <v>1.1279999999999999</v>
      </c>
      <c r="Y385" s="17">
        <v>-0.438</v>
      </c>
      <c r="AA385" s="15" t="s">
        <v>99</v>
      </c>
      <c r="AB385" s="17" t="s">
        <v>810</v>
      </c>
      <c r="AC385" s="21" t="s">
        <v>78</v>
      </c>
      <c r="AD385" s="21" t="s">
        <v>78</v>
      </c>
      <c r="AE385" s="61" t="s">
        <v>86</v>
      </c>
      <c r="AF385" s="17"/>
      <c r="AG385" s="15"/>
      <c r="AI385" s="42">
        <f t="shared" ca="1" si="55"/>
        <v>649</v>
      </c>
      <c r="AJ385" s="42">
        <f t="shared" ca="1" si="63"/>
        <v>644</v>
      </c>
      <c r="AK385" s="13" t="s">
        <v>87</v>
      </c>
      <c r="AL385" s="36" t="str">
        <f t="shared" si="56"/>
        <v>Aborted</v>
      </c>
      <c r="AM385" s="37">
        <v>45015</v>
      </c>
      <c r="AN385" s="75">
        <v>45015</v>
      </c>
      <c r="AO385" s="37">
        <v>45015</v>
      </c>
      <c r="AP385" s="37" t="s">
        <v>65</v>
      </c>
      <c r="AQ385" s="38"/>
      <c r="AR385" s="38"/>
      <c r="AS385" s="38"/>
      <c r="AT385" s="38"/>
      <c r="AU385" s="38"/>
      <c r="AV385" s="38"/>
      <c r="AW385" s="38">
        <v>45015</v>
      </c>
      <c r="AX385" s="38"/>
      <c r="AY385" s="38">
        <v>45020</v>
      </c>
      <c r="AZ385" s="38"/>
      <c r="BA385" s="39">
        <f t="shared" si="60"/>
        <v>0.33333333333333331</v>
      </c>
      <c r="BB385" s="38"/>
      <c r="BC385" s="11" t="s">
        <v>7</v>
      </c>
    </row>
    <row r="386" spans="2:55" x14ac:dyDescent="0.35">
      <c r="B386" s="16">
        <f>IF(D386=$A$516,1,IF(D386=$A$517,2,IF(D386=$A$518,3,IF(D386=$A$519,4,IF(D386=$A$520,5,IF(D386=$A$521,6))))))</f>
        <v>5</v>
      </c>
      <c r="D386" s="20" t="str">
        <f t="shared" si="57"/>
        <v>abt</v>
      </c>
      <c r="E386" s="12" t="s">
        <v>521</v>
      </c>
      <c r="F386" s="14" t="s">
        <v>522</v>
      </c>
      <c r="G386" s="13" t="s">
        <v>463</v>
      </c>
      <c r="H386" s="14" t="s">
        <v>491</v>
      </c>
      <c r="I386" s="13"/>
      <c r="J386" s="13" t="s">
        <v>83</v>
      </c>
      <c r="K386" s="15" t="s">
        <v>492</v>
      </c>
      <c r="L386" s="15"/>
      <c r="M386" s="15"/>
      <c r="N386" s="15"/>
      <c r="O386" s="15"/>
      <c r="P386" s="15"/>
      <c r="Q386" s="15"/>
      <c r="S386" s="35" t="s">
        <v>77</v>
      </c>
      <c r="T386" s="13">
        <v>2021</v>
      </c>
      <c r="U386" s="17">
        <v>48.3</v>
      </c>
      <c r="V386" s="17">
        <v>16.03</v>
      </c>
      <c r="W386" s="36">
        <f t="shared" si="64"/>
        <v>0.33188405797101456</v>
      </c>
      <c r="X386" s="17">
        <v>9.8000000000000007</v>
      </c>
      <c r="Y386" s="17">
        <v>-20.6</v>
      </c>
      <c r="AA386" s="15" t="s">
        <v>60</v>
      </c>
      <c r="AB386" s="17" t="s">
        <v>493</v>
      </c>
      <c r="AC386" s="21" t="s">
        <v>78</v>
      </c>
      <c r="AD386" s="21" t="s">
        <v>78</v>
      </c>
      <c r="AE386" s="17" t="s">
        <v>128</v>
      </c>
      <c r="AF386" s="17" t="s">
        <v>313</v>
      </c>
      <c r="AG386" s="15"/>
      <c r="AI386" s="42">
        <f t="shared" ca="1" si="55"/>
        <v>697</v>
      </c>
      <c r="AJ386" s="42">
        <f t="shared" ca="1" si="63"/>
        <v>336</v>
      </c>
      <c r="AK386" s="13" t="s">
        <v>64</v>
      </c>
      <c r="AL386" s="36" t="str">
        <f t="shared" si="56"/>
        <v>Aborted</v>
      </c>
      <c r="AM386" s="37">
        <v>44967</v>
      </c>
      <c r="AN386" s="37">
        <v>44967</v>
      </c>
      <c r="AO386" s="37" t="s">
        <v>65</v>
      </c>
      <c r="AP386" s="37">
        <v>44967</v>
      </c>
      <c r="AQ386" s="38">
        <f>+AN386</f>
        <v>44967</v>
      </c>
      <c r="AR386" s="38" t="s">
        <v>65</v>
      </c>
      <c r="AS386" s="38">
        <v>45014</v>
      </c>
      <c r="AT386" s="38"/>
      <c r="AU386" s="38"/>
      <c r="AV386" s="38"/>
      <c r="AW386" s="38">
        <v>45128</v>
      </c>
      <c r="AX386" s="38">
        <v>45016</v>
      </c>
      <c r="AY386" s="38">
        <v>45328</v>
      </c>
      <c r="AZ386" s="38"/>
      <c r="BA386" s="39">
        <f t="shared" si="60"/>
        <v>0.66666666666666663</v>
      </c>
      <c r="BB386" s="38"/>
      <c r="BC386" s="11" t="s">
        <v>7</v>
      </c>
    </row>
    <row r="387" spans="2:55" x14ac:dyDescent="0.35">
      <c r="B387" s="16">
        <f>IF(D387=$A$516,1,IF(D387=$A$517,2,IF(D387=$A$518,3,IF(D387=$A$519,4,IF(D387=$A$520,5,IF(D387=$A$521,6))))))</f>
        <v>5</v>
      </c>
      <c r="D387" s="20" t="str">
        <f t="shared" si="57"/>
        <v>abt</v>
      </c>
      <c r="E387" s="20" t="s">
        <v>1021</v>
      </c>
      <c r="F387" s="14"/>
      <c r="G387" s="13" t="s">
        <v>68</v>
      </c>
      <c r="H387" s="14" t="s">
        <v>1022</v>
      </c>
      <c r="I387" s="13">
        <v>467210</v>
      </c>
      <c r="J387" s="13" t="s">
        <v>1023</v>
      </c>
      <c r="K387" s="15" t="s">
        <v>1024</v>
      </c>
      <c r="L387" s="15" t="s">
        <v>460</v>
      </c>
      <c r="M387" s="15"/>
      <c r="N387" s="15"/>
      <c r="O387" s="15"/>
      <c r="P387" s="15"/>
      <c r="Q387" s="15"/>
      <c r="S387" s="35" t="s">
        <v>77</v>
      </c>
      <c r="T387" s="13">
        <v>2019</v>
      </c>
      <c r="U387" s="17">
        <v>14.11</v>
      </c>
      <c r="V387" s="17">
        <v>2.99</v>
      </c>
      <c r="W387" s="36">
        <f t="shared" si="64"/>
        <v>0.21190644932671868</v>
      </c>
      <c r="X387" s="17">
        <v>0.01</v>
      </c>
      <c r="Y387" s="17">
        <v>9.06</v>
      </c>
      <c r="AA387" s="15" t="s">
        <v>60</v>
      </c>
      <c r="AB387" s="17"/>
      <c r="AC387" s="21" t="s">
        <v>61</v>
      </c>
      <c r="AD387" s="21" t="s">
        <v>61</v>
      </c>
      <c r="AE387" s="17" t="s">
        <v>62</v>
      </c>
      <c r="AF387" s="17"/>
      <c r="AG387" s="15"/>
      <c r="AI387" s="42">
        <f t="shared" ca="1" si="55"/>
        <v>1467</v>
      </c>
      <c r="AJ387" s="42">
        <f t="shared" ca="1" si="63"/>
        <v>728</v>
      </c>
      <c r="AK387" s="13" t="s">
        <v>87</v>
      </c>
      <c r="AL387" s="36" t="str">
        <f t="shared" si="56"/>
        <v>Aborted</v>
      </c>
      <c r="AM387" s="37">
        <v>44197</v>
      </c>
      <c r="AN387" s="37">
        <v>44197</v>
      </c>
      <c r="AO387" s="37" t="s">
        <v>65</v>
      </c>
      <c r="AP387" s="37">
        <v>44197</v>
      </c>
      <c r="AQ387" s="38">
        <f>+AN387</f>
        <v>44197</v>
      </c>
      <c r="AR387" s="38">
        <v>44337</v>
      </c>
      <c r="AS387" s="38">
        <v>44348</v>
      </c>
      <c r="AT387" s="38"/>
      <c r="AU387" s="38"/>
      <c r="AV387" s="38"/>
      <c r="AW387" s="38">
        <v>44368</v>
      </c>
      <c r="AX387" s="38">
        <v>44397</v>
      </c>
      <c r="AY387" s="38">
        <v>44936</v>
      </c>
      <c r="AZ387" s="38"/>
      <c r="BA387" s="39">
        <f t="shared" si="60"/>
        <v>0.66666666666666663</v>
      </c>
      <c r="BB387" s="38"/>
      <c r="BC387" s="11" t="s">
        <v>7</v>
      </c>
    </row>
    <row r="388" spans="2:55" x14ac:dyDescent="0.35">
      <c r="B388" s="16">
        <f>IF(D388=$A$516,1,IF(D388=$A$517,2,IF(D388=$A$518,3,IF(D388=$A$519,4,IF(D388=$A$520,5,IF(D388=$A$521,6))))))</f>
        <v>5</v>
      </c>
      <c r="D388" s="20" t="str">
        <f t="shared" si="57"/>
        <v>abt</v>
      </c>
      <c r="E388" s="20" t="s">
        <v>1451</v>
      </c>
      <c r="F388" s="13"/>
      <c r="G388" s="13"/>
      <c r="H388" s="13"/>
      <c r="I388" s="13"/>
      <c r="J388" s="13"/>
      <c r="K388" s="15"/>
      <c r="L388" s="15"/>
      <c r="M388" s="15"/>
      <c r="N388" s="15"/>
      <c r="O388" s="15"/>
      <c r="P388" s="15"/>
      <c r="Q388" s="15"/>
      <c r="S388" s="35"/>
      <c r="T388" s="13"/>
      <c r="U388" s="17"/>
      <c r="V388" s="17"/>
      <c r="W388" s="36"/>
      <c r="X388" s="17"/>
      <c r="Y388" s="17"/>
      <c r="AA388" s="632"/>
      <c r="AB388" s="17"/>
      <c r="AC388" s="21" t="s">
        <v>61</v>
      </c>
      <c r="AD388" s="17" t="s">
        <v>61</v>
      </c>
      <c r="AE388" s="17" t="s">
        <v>79</v>
      </c>
      <c r="AF388" s="17"/>
      <c r="AG388" s="15"/>
      <c r="AH388" s="677">
        <v>1</v>
      </c>
      <c r="AI388" s="42">
        <f t="shared" ca="1" si="55"/>
        <v>1467</v>
      </c>
      <c r="AJ388" s="42">
        <f t="shared" ca="1" si="63"/>
        <v>1365</v>
      </c>
      <c r="AK388" s="13"/>
      <c r="AL388" s="36" t="str">
        <f t="shared" si="56"/>
        <v>Aborted</v>
      </c>
      <c r="AM388" s="37">
        <v>44197</v>
      </c>
      <c r="AN388" s="37">
        <v>44197</v>
      </c>
      <c r="AO388" s="37" t="s">
        <v>65</v>
      </c>
      <c r="AP388" s="37">
        <v>44197</v>
      </c>
      <c r="AQ388" s="38">
        <f>+AN388</f>
        <v>44197</v>
      </c>
      <c r="AR388" s="38" t="s">
        <v>65</v>
      </c>
      <c r="AS388" s="38" t="s">
        <v>65</v>
      </c>
      <c r="AT388" s="38"/>
      <c r="AU388" s="38"/>
      <c r="AV388" s="38"/>
      <c r="AW388" s="38">
        <v>44284</v>
      </c>
      <c r="AX388" s="38"/>
      <c r="AY388" s="38">
        <v>44299</v>
      </c>
      <c r="AZ388" s="38"/>
      <c r="BA388" s="39">
        <f t="shared" si="60"/>
        <v>0.66666666666666663</v>
      </c>
      <c r="BB388" s="38"/>
      <c r="BC388" s="11" t="s">
        <v>7</v>
      </c>
    </row>
    <row r="389" spans="2:55" x14ac:dyDescent="0.35">
      <c r="B389" s="16">
        <f>IF(D389=$A$516,1,IF(D389=$A$517,2,IF(D389=$A$518,3,IF(D389=$A$519,4,IF(D389=$A$520,5,IF(D389=$A$521,6))))))</f>
        <v>5</v>
      </c>
      <c r="D389" s="20" t="str">
        <f t="shared" si="57"/>
        <v>abt</v>
      </c>
      <c r="E389" s="20" t="s">
        <v>494</v>
      </c>
      <c r="F389" s="13"/>
      <c r="G389" s="13"/>
      <c r="H389" s="14"/>
      <c r="J389" s="13" t="s">
        <v>83</v>
      </c>
      <c r="K389" s="15"/>
      <c r="L389" s="15"/>
      <c r="N389" s="15"/>
      <c r="O389" s="15"/>
      <c r="P389" s="15"/>
      <c r="Q389" s="15"/>
      <c r="S389" s="35" t="s">
        <v>77</v>
      </c>
      <c r="T389" s="13">
        <v>2022</v>
      </c>
      <c r="U389" s="17">
        <v>2.6509999999999998</v>
      </c>
      <c r="V389" s="17">
        <v>0.19800000000000001</v>
      </c>
      <c r="W389" s="36">
        <f t="shared" ref="W389:W394" si="65">+V389/U389</f>
        <v>7.4688796680497938E-2</v>
      </c>
      <c r="X389" s="17"/>
      <c r="Y389" s="17">
        <v>-0.505</v>
      </c>
      <c r="AA389" s="15" t="s">
        <v>60</v>
      </c>
      <c r="AB389" s="17"/>
      <c r="AC389" s="21" t="s">
        <v>495</v>
      </c>
      <c r="AD389" s="21" t="s">
        <v>86</v>
      </c>
      <c r="AE389" s="17" t="s">
        <v>313</v>
      </c>
      <c r="AF389" s="17"/>
      <c r="AG389" s="15"/>
      <c r="AI389" s="42">
        <f t="shared" ca="1" si="55"/>
        <v>581</v>
      </c>
      <c r="AJ389" s="42">
        <f t="shared" ca="1" si="63"/>
        <v>336</v>
      </c>
      <c r="AK389" s="13"/>
      <c r="AL389" s="36" t="str">
        <f t="shared" si="56"/>
        <v>Aborted</v>
      </c>
      <c r="AM389" s="37">
        <v>45083</v>
      </c>
      <c r="AN389" s="75">
        <v>45083</v>
      </c>
      <c r="AO389" s="37" t="s">
        <v>65</v>
      </c>
      <c r="AP389" s="37"/>
      <c r="AQ389" s="38"/>
      <c r="AR389" s="38"/>
      <c r="AS389" s="38"/>
      <c r="AT389" s="38"/>
      <c r="AU389" s="38"/>
      <c r="AV389" s="38"/>
      <c r="AW389" s="38">
        <v>45083</v>
      </c>
      <c r="AX389" s="38">
        <v>45117</v>
      </c>
      <c r="AY389" s="38">
        <v>45328</v>
      </c>
      <c r="AZ389" s="38"/>
      <c r="BA389" s="39">
        <f t="shared" si="60"/>
        <v>0.22222222222222221</v>
      </c>
      <c r="BB389" s="38"/>
      <c r="BC389" s="11" t="s">
        <v>7</v>
      </c>
    </row>
    <row r="390" spans="2:55" x14ac:dyDescent="0.35">
      <c r="B390" s="16">
        <f>IF(D390=$A$516,1,IF(D390=$A$517,2,IF(D390=$A$518,3,IF(D390=$A$519,4,IF(D390=$A$520,5,IF(D390=$A$521,6))))))</f>
        <v>5</v>
      </c>
      <c r="D390" s="20" t="str">
        <f t="shared" si="57"/>
        <v>abt</v>
      </c>
      <c r="E390" s="12" t="s">
        <v>1084</v>
      </c>
      <c r="F390" s="14"/>
      <c r="G390" s="13" t="s">
        <v>428</v>
      </c>
      <c r="H390" s="14" t="s">
        <v>1085</v>
      </c>
      <c r="I390" s="13">
        <v>107300</v>
      </c>
      <c r="J390" s="13" t="s">
        <v>83</v>
      </c>
      <c r="K390" s="15" t="s">
        <v>1086</v>
      </c>
      <c r="L390" s="15" t="s">
        <v>1087</v>
      </c>
      <c r="M390" s="15"/>
      <c r="N390" s="15"/>
      <c r="O390" s="15"/>
      <c r="P390" s="15"/>
      <c r="Q390" s="15"/>
      <c r="S390" s="35" t="s">
        <v>77</v>
      </c>
      <c r="T390" s="13">
        <v>2021</v>
      </c>
      <c r="U390" s="17">
        <v>11.03</v>
      </c>
      <c r="V390" s="17">
        <v>1.3089999999999999</v>
      </c>
      <c r="W390" s="36">
        <f t="shared" si="65"/>
        <v>0.1186763372620127</v>
      </c>
      <c r="X390" s="17">
        <v>0.48099999999999998</v>
      </c>
      <c r="Y390" s="17">
        <v>2.9289999999999998</v>
      </c>
      <c r="AA390" s="15" t="s">
        <v>140</v>
      </c>
      <c r="AB390" s="17"/>
      <c r="AC390" s="21" t="s">
        <v>61</v>
      </c>
      <c r="AD390" s="21" t="s">
        <v>61</v>
      </c>
      <c r="AE390" s="17" t="s">
        <v>62</v>
      </c>
      <c r="AF390" s="17"/>
      <c r="AG390" s="15"/>
      <c r="AI390" s="42">
        <f t="shared" ca="1" si="55"/>
        <v>972</v>
      </c>
      <c r="AJ390" s="42">
        <f t="shared" ca="1" si="63"/>
        <v>775</v>
      </c>
      <c r="AK390" s="13" t="s">
        <v>87</v>
      </c>
      <c r="AL390" s="36" t="str">
        <f t="shared" si="56"/>
        <v>Aborted</v>
      </c>
      <c r="AM390" s="37">
        <v>44692</v>
      </c>
      <c r="AN390" s="37">
        <v>44872</v>
      </c>
      <c r="AO390" s="37" t="s">
        <v>65</v>
      </c>
      <c r="AP390" s="37">
        <v>44873</v>
      </c>
      <c r="AQ390" s="38">
        <v>44889</v>
      </c>
      <c r="AR390" s="38"/>
      <c r="AS390" s="38"/>
      <c r="AT390" s="38"/>
      <c r="AU390" s="38"/>
      <c r="AV390" s="38"/>
      <c r="AW390" s="38">
        <v>44879</v>
      </c>
      <c r="AX390" s="38"/>
      <c r="AY390" s="38">
        <v>44887</v>
      </c>
      <c r="AZ390" s="38"/>
      <c r="BA390" s="39">
        <f t="shared" si="60"/>
        <v>0.44444444444444442</v>
      </c>
      <c r="BB390" s="38"/>
      <c r="BC390" s="11" t="s">
        <v>7</v>
      </c>
    </row>
    <row r="391" spans="2:55" x14ac:dyDescent="0.35">
      <c r="B391" s="16">
        <f>IF(D391=$A$516,1,IF(D391=$A$517,2,IF(D391=$A$518,3,IF(D391=$A$519,4,IF(D391=$A$520,5,IF(D391=$A$521,6))))))</f>
        <v>5</v>
      </c>
      <c r="D391" s="20" t="str">
        <f t="shared" si="57"/>
        <v>abt</v>
      </c>
      <c r="E391" s="20" t="s">
        <v>1035</v>
      </c>
      <c r="F391" s="14"/>
      <c r="G391" s="13" t="s">
        <v>68</v>
      </c>
      <c r="H391" s="13">
        <v>2226050017</v>
      </c>
      <c r="I391" s="13">
        <v>869012</v>
      </c>
      <c r="J391" s="13" t="s">
        <v>1010</v>
      </c>
      <c r="K391" s="15" t="s">
        <v>1036</v>
      </c>
      <c r="L391" s="15" t="s">
        <v>299</v>
      </c>
      <c r="M391" s="15"/>
      <c r="N391" s="15"/>
      <c r="O391" s="15"/>
      <c r="P391" s="15"/>
      <c r="Q391" s="15"/>
      <c r="S391" s="35" t="s">
        <v>77</v>
      </c>
      <c r="T391" s="13">
        <v>2020</v>
      </c>
      <c r="U391" s="17">
        <v>25.9</v>
      </c>
      <c r="V391" s="17">
        <v>9.4</v>
      </c>
      <c r="W391" s="36">
        <f t="shared" si="65"/>
        <v>0.36293436293436299</v>
      </c>
      <c r="X391" s="17">
        <v>6.4</v>
      </c>
      <c r="Y391" s="17">
        <v>-4.7</v>
      </c>
      <c r="AA391" s="15" t="s">
        <v>140</v>
      </c>
      <c r="AB391" s="17"/>
      <c r="AC391" s="77" t="s">
        <v>585</v>
      </c>
      <c r="AD391" s="21" t="s">
        <v>61</v>
      </c>
      <c r="AE391" s="77" t="s">
        <v>585</v>
      </c>
      <c r="AF391" s="17"/>
      <c r="AG391" s="15"/>
      <c r="AI391" s="42">
        <f t="shared" ca="1" si="55"/>
        <v>968</v>
      </c>
      <c r="AJ391" s="42">
        <f t="shared" ca="1" si="63"/>
        <v>728</v>
      </c>
      <c r="AK391" s="13"/>
      <c r="AL391" s="36" t="str">
        <f t="shared" si="56"/>
        <v>Aborted</v>
      </c>
      <c r="AM391" s="37">
        <v>44696</v>
      </c>
      <c r="AN391" s="37">
        <v>44755</v>
      </c>
      <c r="AO391" s="37">
        <v>44830</v>
      </c>
      <c r="AP391" s="37"/>
      <c r="AQ391" s="38"/>
      <c r="AR391" s="38"/>
      <c r="AS391" s="38"/>
      <c r="AT391" s="38"/>
      <c r="AU391" s="38"/>
      <c r="AV391" s="38"/>
      <c r="AW391" s="38"/>
      <c r="AX391" s="38">
        <v>44831</v>
      </c>
      <c r="AY391" s="38">
        <v>44936</v>
      </c>
      <c r="AZ391" s="38"/>
      <c r="BA391" s="39">
        <f t="shared" si="60"/>
        <v>0.22222222222222221</v>
      </c>
      <c r="BB391" s="38"/>
      <c r="BC391" s="11" t="s">
        <v>7</v>
      </c>
    </row>
    <row r="392" spans="2:55" x14ac:dyDescent="0.35">
      <c r="B392" s="16">
        <f>IF(D392=$A$516,1,IF(D392=$A$517,2,IF(D392=$A$518,3,IF(D392=$A$519,4,IF(D392=$A$520,5,IF(D392=$A$521,6))))))</f>
        <v>5</v>
      </c>
      <c r="D392" s="20" t="str">
        <f t="shared" si="57"/>
        <v>abt</v>
      </c>
      <c r="E392" s="12" t="s">
        <v>1330</v>
      </c>
      <c r="F392" s="13"/>
      <c r="G392" s="13" t="s">
        <v>103</v>
      </c>
      <c r="H392" s="14" t="s">
        <v>1331</v>
      </c>
      <c r="I392" s="13">
        <v>251100</v>
      </c>
      <c r="J392" s="13" t="s">
        <v>111</v>
      </c>
      <c r="K392" s="15" t="s">
        <v>1332</v>
      </c>
      <c r="L392" s="15"/>
      <c r="M392" s="15" t="s">
        <v>1333</v>
      </c>
      <c r="N392" s="15" t="s">
        <v>1334</v>
      </c>
      <c r="O392" s="15"/>
      <c r="P392" s="15"/>
      <c r="Q392" s="15"/>
      <c r="S392" s="35" t="s">
        <v>77</v>
      </c>
      <c r="T392" s="13">
        <v>2020</v>
      </c>
      <c r="U392" s="17">
        <v>19.35782</v>
      </c>
      <c r="V392" s="17">
        <v>0.73980299999999999</v>
      </c>
      <c r="W392" s="36">
        <f t="shared" si="65"/>
        <v>3.8217268266777973E-2</v>
      </c>
      <c r="X392" s="17">
        <v>-0.20497000000000001</v>
      </c>
      <c r="Y392" s="17">
        <v>3.8878740000000001</v>
      </c>
      <c r="AA392" s="15" t="s">
        <v>237</v>
      </c>
      <c r="AB392" s="17" t="s">
        <v>1335</v>
      </c>
      <c r="AC392" s="21" t="s">
        <v>78</v>
      </c>
      <c r="AD392" s="21" t="s">
        <v>78</v>
      </c>
      <c r="AE392" s="17"/>
      <c r="AF392" s="17"/>
      <c r="AG392" s="15"/>
      <c r="AI392" s="42">
        <f t="shared" ca="1" si="55"/>
        <v>1180</v>
      </c>
      <c r="AJ392" s="42">
        <f t="shared" ca="1" si="63"/>
        <v>1092</v>
      </c>
      <c r="AK392" s="13"/>
      <c r="AL392" s="36" t="str">
        <f t="shared" si="56"/>
        <v>Aborted</v>
      </c>
      <c r="AM392" s="37">
        <v>44484</v>
      </c>
      <c r="AN392" s="37">
        <v>44484</v>
      </c>
      <c r="AO392" s="37" t="s">
        <v>65</v>
      </c>
      <c r="AP392" s="37">
        <v>44484</v>
      </c>
      <c r="AQ392" s="38">
        <v>44512</v>
      </c>
      <c r="AR392" s="38"/>
      <c r="AS392" s="38"/>
      <c r="AT392" s="38"/>
      <c r="AU392" s="38"/>
      <c r="AV392" s="38"/>
      <c r="AW392" s="38">
        <v>44512</v>
      </c>
      <c r="AX392" s="38">
        <v>44523</v>
      </c>
      <c r="AY392" s="38">
        <v>44572</v>
      </c>
      <c r="AZ392" s="38"/>
      <c r="BA392" s="39">
        <f t="shared" si="60"/>
        <v>0.44444444444444442</v>
      </c>
      <c r="BB392" s="38"/>
      <c r="BC392" s="11" t="s">
        <v>7</v>
      </c>
    </row>
    <row r="393" spans="2:55" x14ac:dyDescent="0.35">
      <c r="B393" s="16">
        <f>IF(D393=$A$516,1,IF(D393=$A$517,2,IF(D393=$A$518,3,IF(D393=$A$519,4,IF(D393=$A$520,5,IF(D393=$A$521,6))))))</f>
        <v>5</v>
      </c>
      <c r="D393" s="20" t="str">
        <f t="shared" si="57"/>
        <v>abt</v>
      </c>
      <c r="E393" s="12" t="s">
        <v>479</v>
      </c>
      <c r="F393" s="14" t="s">
        <v>480</v>
      </c>
      <c r="G393" s="13" t="s">
        <v>481</v>
      </c>
      <c r="H393" s="13"/>
      <c r="I393" s="13"/>
      <c r="J393" s="13"/>
      <c r="K393" s="15" t="s">
        <v>482</v>
      </c>
      <c r="L393" s="15" t="s">
        <v>483</v>
      </c>
      <c r="M393" s="15"/>
      <c r="N393" s="15"/>
      <c r="O393" s="15"/>
      <c r="P393" s="15"/>
      <c r="Q393" s="15"/>
      <c r="S393" s="35" t="s">
        <v>144</v>
      </c>
      <c r="T393" s="13">
        <v>2021</v>
      </c>
      <c r="U393" s="17">
        <v>7400</v>
      </c>
      <c r="V393" s="17">
        <v>879</v>
      </c>
      <c r="W393" s="36">
        <f t="shared" si="65"/>
        <v>0.11878378378378378</v>
      </c>
      <c r="X393" s="17"/>
      <c r="Y393" s="17"/>
      <c r="AA393" s="15" t="s">
        <v>60</v>
      </c>
      <c r="AB393" s="17"/>
      <c r="AC393" s="21" t="s">
        <v>86</v>
      </c>
      <c r="AD393" s="21" t="s">
        <v>78</v>
      </c>
      <c r="AE393" s="61" t="s">
        <v>86</v>
      </c>
      <c r="AF393" s="17" t="s">
        <v>313</v>
      </c>
      <c r="AG393" s="15"/>
      <c r="AI393" s="42">
        <f t="shared" ca="1" si="55"/>
        <v>767</v>
      </c>
      <c r="AJ393" s="42">
        <f t="shared" ca="1" si="63"/>
        <v>336</v>
      </c>
      <c r="AK393" s="13" t="s">
        <v>64</v>
      </c>
      <c r="AL393" s="36" t="str">
        <f t="shared" si="56"/>
        <v>Aborted</v>
      </c>
      <c r="AM393" s="37">
        <v>44897</v>
      </c>
      <c r="AN393" s="37">
        <v>44897</v>
      </c>
      <c r="AO393" s="37" t="s">
        <v>65</v>
      </c>
      <c r="AP393" s="37" t="s">
        <v>65</v>
      </c>
      <c r="AQ393" s="38">
        <f>+AN393</f>
        <v>44897</v>
      </c>
      <c r="AR393" s="38" t="s">
        <v>65</v>
      </c>
      <c r="AS393" s="38">
        <v>44897</v>
      </c>
      <c r="AT393" s="38">
        <v>44918</v>
      </c>
      <c r="AU393" s="38">
        <v>44939</v>
      </c>
      <c r="AV393" s="38">
        <v>44949</v>
      </c>
      <c r="AW393" s="38">
        <v>45181</v>
      </c>
      <c r="AX393" s="38">
        <v>45125</v>
      </c>
      <c r="AY393" s="38">
        <v>45328</v>
      </c>
      <c r="AZ393" s="38"/>
      <c r="BA393" s="39">
        <f t="shared" si="60"/>
        <v>1</v>
      </c>
      <c r="BB393" s="38"/>
      <c r="BC393" s="11" t="s">
        <v>7</v>
      </c>
    </row>
    <row r="394" spans="2:55" x14ac:dyDescent="0.35">
      <c r="B394" s="16">
        <f>IF(D394=$A$516,1,IF(D394=$A$517,2,IF(D394=$A$518,3,IF(D394=$A$519,4,IF(D394=$A$520,5,IF(D394=$A$521,6))))))</f>
        <v>5</v>
      </c>
      <c r="D394" s="20" t="str">
        <f t="shared" si="57"/>
        <v>abt</v>
      </c>
      <c r="E394" s="12" t="s">
        <v>1305</v>
      </c>
      <c r="F394" s="14"/>
      <c r="G394" s="13" t="s">
        <v>103</v>
      </c>
      <c r="H394" s="41" t="s">
        <v>1306</v>
      </c>
      <c r="I394" s="13">
        <v>265110</v>
      </c>
      <c r="J394" s="13" t="s">
        <v>119</v>
      </c>
      <c r="K394" s="15" t="s">
        <v>1307</v>
      </c>
      <c r="L394" s="15"/>
      <c r="M394" s="15"/>
      <c r="N394" s="15"/>
      <c r="O394" s="15"/>
      <c r="P394" s="15"/>
      <c r="Q394" s="15"/>
      <c r="S394" s="35" t="s">
        <v>77</v>
      </c>
      <c r="T394" s="13">
        <v>2020</v>
      </c>
      <c r="U394" s="17">
        <v>2.1920000000000002</v>
      </c>
      <c r="V394" s="17">
        <f>-0.265</f>
        <v>-0.26500000000000001</v>
      </c>
      <c r="W394" s="36">
        <f t="shared" si="65"/>
        <v>-0.1208941605839416</v>
      </c>
      <c r="X394" s="17">
        <v>-0.45400000000000001</v>
      </c>
      <c r="Y394" s="17" t="s">
        <v>65</v>
      </c>
      <c r="AA394" s="15" t="s">
        <v>590</v>
      </c>
      <c r="AB394" s="17" t="s">
        <v>732</v>
      </c>
      <c r="AC394" s="21" t="s">
        <v>61</v>
      </c>
      <c r="AD394" s="21" t="s">
        <v>61</v>
      </c>
      <c r="AE394" s="76" t="s">
        <v>562</v>
      </c>
      <c r="AF394" s="17"/>
      <c r="AG394" s="15"/>
      <c r="AI394" s="42">
        <f t="shared" ref="AI394:AI457" ca="1" si="66">+TODAY()-AM394</f>
        <v>1085</v>
      </c>
      <c r="AJ394" s="42">
        <f t="shared" ca="1" si="63"/>
        <v>1064</v>
      </c>
      <c r="AK394" s="13"/>
      <c r="AL394" s="36" t="str">
        <f t="shared" ref="AL394:AL457" si="67">+IF(BB394="",IF(AZ394="",IF(AY394="",IF(AX394="",COUNTA(AN394:AV394)/9,"On-hold"),"Aborted"),"Closed"),"RIP")</f>
        <v>Aborted</v>
      </c>
      <c r="AM394" s="37">
        <v>44579</v>
      </c>
      <c r="AN394" s="37">
        <v>44579</v>
      </c>
      <c r="AO394" s="37" t="s">
        <v>65</v>
      </c>
      <c r="AP394" s="37" t="s">
        <v>65</v>
      </c>
      <c r="AQ394" s="38">
        <v>44588</v>
      </c>
      <c r="AR394" s="38"/>
      <c r="AS394" s="38"/>
      <c r="AT394" s="38"/>
      <c r="AU394" s="38"/>
      <c r="AV394" s="38"/>
      <c r="AW394" s="38">
        <v>44588</v>
      </c>
      <c r="AX394" s="38"/>
      <c r="AY394" s="38">
        <v>44600</v>
      </c>
      <c r="AZ394" s="38"/>
      <c r="BA394" s="39">
        <f t="shared" si="60"/>
        <v>0.44444444444444442</v>
      </c>
      <c r="BB394" s="38"/>
      <c r="BC394" s="11" t="s">
        <v>7</v>
      </c>
    </row>
    <row r="395" spans="2:55" x14ac:dyDescent="0.35">
      <c r="B395" s="16">
        <f>IF(D395=$A$516,1,IF(D395=$A$517,2,IF(D395=$A$518,3,IF(D395=$A$519,4,IF(D395=$A$520,5,IF(D395=$A$521,6))))))</f>
        <v>5</v>
      </c>
      <c r="D395" s="20" t="str">
        <f t="shared" si="57"/>
        <v>abt</v>
      </c>
      <c r="E395" s="12" t="s">
        <v>1250</v>
      </c>
      <c r="F395" s="14"/>
      <c r="G395" s="13" t="s">
        <v>271</v>
      </c>
      <c r="H395" s="14" t="s">
        <v>1251</v>
      </c>
      <c r="I395" s="13">
        <v>204200</v>
      </c>
      <c r="J395" s="13" t="s">
        <v>1252</v>
      </c>
      <c r="K395" s="15" t="s">
        <v>1253</v>
      </c>
      <c r="L395" s="15"/>
      <c r="M395" s="15"/>
      <c r="N395" s="15"/>
      <c r="O395" s="15"/>
      <c r="P395" s="15"/>
      <c r="Q395" s="15"/>
      <c r="S395" s="35"/>
      <c r="T395" s="13"/>
      <c r="U395" s="17"/>
      <c r="V395" s="17"/>
      <c r="W395" s="36"/>
      <c r="X395" s="17"/>
      <c r="Y395" s="17"/>
      <c r="AA395" s="15" t="s">
        <v>140</v>
      </c>
      <c r="AB395" s="17"/>
      <c r="AC395" s="21" t="s">
        <v>61</v>
      </c>
      <c r="AD395" s="21" t="s">
        <v>61</v>
      </c>
      <c r="AE395" s="17" t="s">
        <v>62</v>
      </c>
      <c r="AF395" s="17"/>
      <c r="AG395" s="15"/>
      <c r="AI395" s="42">
        <f t="shared" ca="1" si="66"/>
        <v>1075</v>
      </c>
      <c r="AJ395" s="42">
        <f t="shared" ca="1" si="63"/>
        <v>1029</v>
      </c>
      <c r="AK395" s="13"/>
      <c r="AL395" s="36" t="str">
        <f t="shared" si="67"/>
        <v>Aborted</v>
      </c>
      <c r="AM395" s="37">
        <v>44589</v>
      </c>
      <c r="AN395" s="37">
        <v>44607</v>
      </c>
      <c r="AO395" s="37" t="s">
        <v>65</v>
      </c>
      <c r="AP395" s="37"/>
      <c r="AQ395" s="38"/>
      <c r="AR395" s="38"/>
      <c r="AS395" s="38"/>
      <c r="AT395" s="38"/>
      <c r="AU395" s="38"/>
      <c r="AV395" s="38"/>
      <c r="AW395" s="38"/>
      <c r="AX395" s="38"/>
      <c r="AY395" s="38">
        <v>44635</v>
      </c>
      <c r="AZ395" s="38"/>
      <c r="BA395" s="39">
        <f t="shared" si="60"/>
        <v>0.22222222222222221</v>
      </c>
      <c r="BB395" s="38"/>
      <c r="BC395" s="11" t="s">
        <v>7</v>
      </c>
    </row>
    <row r="396" spans="2:55" x14ac:dyDescent="0.35">
      <c r="B396" s="16">
        <f>IF(D396=$A$516,1,IF(D396=$A$517,2,IF(D396=$A$518,3,IF(D396=$A$519,4,IF(D396=$A$520,5,IF(D396=$A$521,6))))))</f>
        <v>5</v>
      </c>
      <c r="D396" s="20" t="str">
        <f t="shared" si="57"/>
        <v>abt</v>
      </c>
      <c r="E396" s="1430" t="s">
        <v>881</v>
      </c>
      <c r="F396" s="1431"/>
      <c r="G396" s="70" t="s">
        <v>882</v>
      </c>
      <c r="H396" s="14"/>
      <c r="I396" s="13"/>
      <c r="J396" s="13" t="s">
        <v>111</v>
      </c>
      <c r="K396" s="15" t="s">
        <v>883</v>
      </c>
      <c r="L396" s="15" t="s">
        <v>884</v>
      </c>
      <c r="M396" s="15"/>
      <c r="N396" s="15"/>
      <c r="O396" s="15"/>
      <c r="P396" s="15"/>
      <c r="Q396" s="15"/>
      <c r="S396" s="35"/>
      <c r="T396" s="13"/>
      <c r="U396" s="17"/>
      <c r="V396" s="17"/>
      <c r="W396" s="36"/>
      <c r="X396" s="17"/>
      <c r="Y396" s="17"/>
      <c r="AA396" s="15" t="s">
        <v>60</v>
      </c>
      <c r="AB396" s="17"/>
      <c r="AC396" s="17" t="s">
        <v>78</v>
      </c>
      <c r="AD396" s="17" t="s">
        <v>78</v>
      </c>
      <c r="AE396" s="17"/>
      <c r="AF396" s="17"/>
      <c r="AG396" s="15"/>
      <c r="AI396" s="42">
        <f t="shared" ca="1" si="66"/>
        <v>681</v>
      </c>
      <c r="AJ396" s="42">
        <f t="shared" ca="1" si="63"/>
        <v>662</v>
      </c>
      <c r="AK396" s="13"/>
      <c r="AL396" s="36" t="str">
        <f t="shared" si="67"/>
        <v>Aborted</v>
      </c>
      <c r="AM396" s="37">
        <v>44983</v>
      </c>
      <c r="AN396" s="37">
        <v>44983</v>
      </c>
      <c r="AO396" s="37" t="s">
        <v>65</v>
      </c>
      <c r="AP396" s="37">
        <v>44985</v>
      </c>
      <c r="AQ396" s="38">
        <v>44985</v>
      </c>
      <c r="AR396" s="38">
        <v>44987</v>
      </c>
      <c r="AS396" s="38" t="s">
        <v>65</v>
      </c>
      <c r="AT396" s="38">
        <v>44991</v>
      </c>
      <c r="AU396" s="38"/>
      <c r="AV396" s="38"/>
      <c r="AW396" s="38">
        <v>44995</v>
      </c>
      <c r="AX396" s="38">
        <v>44999</v>
      </c>
      <c r="AY396" s="38">
        <v>45002</v>
      </c>
      <c r="AZ396" s="38"/>
      <c r="BA396" s="39">
        <f t="shared" si="60"/>
        <v>0.77777777777777779</v>
      </c>
      <c r="BB396" s="38"/>
      <c r="BC396" s="11" t="s">
        <v>7</v>
      </c>
    </row>
    <row r="397" spans="2:55" x14ac:dyDescent="0.35">
      <c r="B397" s="16">
        <f>IF(D397=$A$516,1,IF(D397=$A$517,2,IF(D397=$A$518,3,IF(D397=$A$519,4,IF(D397=$A$520,5,IF(D397=$A$521,6))))))</f>
        <v>5</v>
      </c>
      <c r="D397" s="20" t="str">
        <f t="shared" ref="D397:D460" si="68">IF(AL397="Closed","cls",IF(AL397=1,"sgn",IF(AL397="On-hold","hld",IF(AL397="Aborted","abt",IF(AL397&lt;1,"wip","RIP")))))</f>
        <v>abt</v>
      </c>
      <c r="E397" s="20" t="s">
        <v>1381</v>
      </c>
      <c r="F397" s="13"/>
      <c r="G397" s="13" t="s">
        <v>208</v>
      </c>
      <c r="H397" s="14" t="s">
        <v>1382</v>
      </c>
      <c r="I397" s="13">
        <v>464210</v>
      </c>
      <c r="J397" s="13" t="s">
        <v>251</v>
      </c>
      <c r="K397" s="15" t="s">
        <v>1383</v>
      </c>
      <c r="L397" s="15" t="s">
        <v>1384</v>
      </c>
      <c r="M397" s="15"/>
      <c r="N397" s="15"/>
      <c r="O397" s="15"/>
      <c r="P397" s="15"/>
      <c r="Q397" s="15"/>
      <c r="S397" s="35" t="s">
        <v>144</v>
      </c>
      <c r="T397" s="13">
        <v>2019</v>
      </c>
      <c r="U397" s="17">
        <v>43.624000000000002</v>
      </c>
      <c r="V397" s="17">
        <v>1.8129999999999999</v>
      </c>
      <c r="W397" s="36">
        <f>+V397/U397</f>
        <v>4.1559691912708599E-2</v>
      </c>
      <c r="X397" s="17">
        <v>0.16200000000000001</v>
      </c>
      <c r="Y397" s="17">
        <v>4.4649999999999999</v>
      </c>
      <c r="AA397" s="15" t="s">
        <v>99</v>
      </c>
      <c r="AB397" s="17" t="s">
        <v>1385</v>
      </c>
      <c r="AC397" s="21" t="s">
        <v>78</v>
      </c>
      <c r="AD397" s="17" t="s">
        <v>78</v>
      </c>
      <c r="AE397" s="17" t="s">
        <v>62</v>
      </c>
      <c r="AF397" s="17"/>
      <c r="AG397" s="15"/>
      <c r="AI397" s="42">
        <f t="shared" ca="1" si="66"/>
        <v>1287</v>
      </c>
      <c r="AJ397" s="42">
        <f t="shared" ca="1" si="63"/>
        <v>1155</v>
      </c>
      <c r="AK397" s="13"/>
      <c r="AL397" s="36" t="str">
        <f t="shared" si="67"/>
        <v>Aborted</v>
      </c>
      <c r="AM397" s="37">
        <v>44377</v>
      </c>
      <c r="AN397" s="37">
        <v>44390</v>
      </c>
      <c r="AO397" s="37" t="s">
        <v>65</v>
      </c>
      <c r="AP397" s="37">
        <v>44390</v>
      </c>
      <c r="AQ397" s="38">
        <v>44390</v>
      </c>
      <c r="AR397" s="38"/>
      <c r="AS397" s="38"/>
      <c r="AT397" s="38"/>
      <c r="AU397" s="38"/>
      <c r="AV397" s="38"/>
      <c r="AW397" s="38"/>
      <c r="AX397" s="38">
        <v>44390</v>
      </c>
      <c r="AY397" s="38">
        <v>44509</v>
      </c>
      <c r="AZ397" s="38"/>
      <c r="BA397" s="39">
        <f t="shared" si="60"/>
        <v>0.44444444444444442</v>
      </c>
      <c r="BB397" s="38"/>
      <c r="BC397" s="11" t="s">
        <v>7</v>
      </c>
    </row>
    <row r="398" spans="2:55" x14ac:dyDescent="0.35">
      <c r="B398" s="16">
        <f>IF(D398=$A$516,1,IF(D398=$A$517,2,IF(D398=$A$518,3,IF(D398=$A$519,4,IF(D398=$A$520,5,IF(D398=$A$521,6))))))</f>
        <v>5</v>
      </c>
      <c r="D398" s="20" t="str">
        <f t="shared" si="68"/>
        <v>abt</v>
      </c>
      <c r="E398" s="12" t="s">
        <v>673</v>
      </c>
      <c r="F398" s="14"/>
      <c r="G398" s="13" t="s">
        <v>147</v>
      </c>
      <c r="H398" s="14" t="s">
        <v>674</v>
      </c>
      <c r="I398" s="13"/>
      <c r="J398" s="13" t="s">
        <v>57</v>
      </c>
      <c r="K398" s="15" t="s">
        <v>513</v>
      </c>
      <c r="L398" s="15" t="s">
        <v>675</v>
      </c>
      <c r="M398" s="15"/>
      <c r="N398" s="15"/>
      <c r="O398" s="15"/>
      <c r="P398" s="15"/>
      <c r="Q398" s="15"/>
      <c r="S398" s="35" t="s">
        <v>77</v>
      </c>
      <c r="T398" s="13">
        <v>2021</v>
      </c>
      <c r="U398" s="17">
        <v>2.399</v>
      </c>
      <c r="V398" s="17">
        <v>0.54800000000000004</v>
      </c>
      <c r="W398" s="36">
        <f>+V398/U398</f>
        <v>0.22842851187995</v>
      </c>
      <c r="X398" s="17">
        <v>0.375</v>
      </c>
      <c r="Y398" s="17">
        <v>-0.19889999999999999</v>
      </c>
      <c r="AA398" s="15" t="s">
        <v>140</v>
      </c>
      <c r="AB398" s="17"/>
      <c r="AC398" s="21" t="s">
        <v>61</v>
      </c>
      <c r="AD398" s="21" t="s">
        <v>61</v>
      </c>
      <c r="AE398" s="17" t="s">
        <v>62</v>
      </c>
      <c r="AF398" s="17" t="s">
        <v>128</v>
      </c>
      <c r="AG398" s="15"/>
      <c r="AI398" s="42">
        <f t="shared" ca="1" si="66"/>
        <v>768</v>
      </c>
      <c r="AJ398" s="42">
        <f t="shared" ca="1" si="63"/>
        <v>477</v>
      </c>
      <c r="AK398" s="13" t="s">
        <v>87</v>
      </c>
      <c r="AL398" s="36" t="str">
        <f t="shared" si="67"/>
        <v>Aborted</v>
      </c>
      <c r="AM398" s="37">
        <v>44896</v>
      </c>
      <c r="AN398" s="37">
        <v>44992</v>
      </c>
      <c r="AO398" s="37" t="s">
        <v>65</v>
      </c>
      <c r="AP398" s="37">
        <v>44992</v>
      </c>
      <c r="AQ398" s="38">
        <v>45005</v>
      </c>
      <c r="AR398" s="38"/>
      <c r="AS398" s="38"/>
      <c r="AT398" s="38"/>
      <c r="AU398" s="38"/>
      <c r="AV398" s="38"/>
      <c r="AW398" s="38">
        <v>44973</v>
      </c>
      <c r="AX398" s="38">
        <v>45051</v>
      </c>
      <c r="AY398" s="38">
        <v>45187</v>
      </c>
      <c r="AZ398" s="38"/>
      <c r="BA398" s="39">
        <f t="shared" si="60"/>
        <v>0.44444444444444442</v>
      </c>
      <c r="BB398" s="38"/>
      <c r="BC398" s="11" t="s">
        <v>7</v>
      </c>
    </row>
    <row r="399" spans="2:55" x14ac:dyDescent="0.35">
      <c r="B399" s="16">
        <f>IF(D399=$A$516,1,IF(D399=$A$517,2,IF(D399=$A$518,3,IF(D399=$A$519,4,IF(D399=$A$520,5,IF(D399=$A$521,6))))))</f>
        <v>5</v>
      </c>
      <c r="D399" s="20" t="str">
        <f t="shared" si="68"/>
        <v>abt</v>
      </c>
      <c r="E399" s="12" t="s">
        <v>1313</v>
      </c>
      <c r="F399" s="14"/>
      <c r="G399" s="13" t="s">
        <v>68</v>
      </c>
      <c r="H399" s="41"/>
      <c r="I399" s="13"/>
      <c r="J399" s="13" t="s">
        <v>1018</v>
      </c>
      <c r="K399" s="15" t="s">
        <v>1314</v>
      </c>
      <c r="L399" s="15"/>
      <c r="M399" s="15"/>
      <c r="N399" s="15"/>
      <c r="O399" s="15"/>
      <c r="P399" s="15"/>
      <c r="Q399" s="15"/>
      <c r="S399" s="35"/>
      <c r="T399" s="13"/>
      <c r="U399" s="17"/>
      <c r="V399" s="17"/>
      <c r="W399" s="36"/>
      <c r="X399" s="17"/>
      <c r="Y399" s="17"/>
      <c r="AA399" s="632"/>
      <c r="AB399" s="17"/>
      <c r="AC399" s="21" t="s">
        <v>61</v>
      </c>
      <c r="AD399" s="21" t="s">
        <v>61</v>
      </c>
      <c r="AE399" s="17" t="s">
        <v>562</v>
      </c>
      <c r="AF399" s="17"/>
      <c r="AG399" s="15"/>
      <c r="AI399" s="42">
        <f t="shared" ca="1" si="66"/>
        <v>1089</v>
      </c>
      <c r="AJ399" s="42">
        <f t="shared" ca="1" si="63"/>
        <v>1069</v>
      </c>
      <c r="AK399" s="13"/>
      <c r="AL399" s="36" t="str">
        <f t="shared" si="67"/>
        <v>Aborted</v>
      </c>
      <c r="AM399" s="37">
        <v>44575</v>
      </c>
      <c r="AN399" s="37">
        <v>44575</v>
      </c>
      <c r="AO399" s="37" t="s">
        <v>65</v>
      </c>
      <c r="AP399" s="37" t="s">
        <v>65</v>
      </c>
      <c r="AQ399" s="38"/>
      <c r="AR399" s="38"/>
      <c r="AS399" s="38"/>
      <c r="AT399" s="38"/>
      <c r="AU399" s="38"/>
      <c r="AV399" s="38"/>
      <c r="AW399" s="38"/>
      <c r="AX399" s="38"/>
      <c r="AY399" s="38">
        <v>44595</v>
      </c>
      <c r="AZ399" s="38"/>
      <c r="BA399" s="39">
        <f t="shared" si="60"/>
        <v>0.33333333333333331</v>
      </c>
      <c r="BB399" s="38"/>
      <c r="BC399" s="11" t="s">
        <v>7</v>
      </c>
    </row>
    <row r="400" spans="2:55" x14ac:dyDescent="0.35">
      <c r="B400" s="16">
        <f>IF(D400=$A$516,1,IF(D400=$A$517,2,IF(D400=$A$518,3,IF(D400=$A$519,4,IF(D400=$A$520,5,IF(D400=$A$521,6))))))</f>
        <v>5</v>
      </c>
      <c r="D400" s="20" t="str">
        <f t="shared" si="68"/>
        <v>abt</v>
      </c>
      <c r="E400" s="20" t="s">
        <v>532</v>
      </c>
      <c r="F400" s="13"/>
      <c r="G400" s="13" t="s">
        <v>103</v>
      </c>
      <c r="H400" s="14" t="s">
        <v>533</v>
      </c>
      <c r="I400" s="14" t="s">
        <v>534</v>
      </c>
      <c r="J400" s="13" t="s">
        <v>119</v>
      </c>
      <c r="K400" s="20" t="s">
        <v>535</v>
      </c>
      <c r="L400" s="15" t="s">
        <v>536</v>
      </c>
      <c r="M400" s="15"/>
      <c r="N400" s="15"/>
      <c r="O400" s="15"/>
      <c r="P400" s="15"/>
      <c r="Q400" s="15"/>
      <c r="S400" s="35" t="s">
        <v>144</v>
      </c>
      <c r="T400" s="13">
        <v>2020</v>
      </c>
      <c r="U400" s="17">
        <v>296.35599999999999</v>
      </c>
      <c r="V400" s="17">
        <v>37.036999999999999</v>
      </c>
      <c r="W400" s="36">
        <f>+V400/U400</f>
        <v>0.12497469259944122</v>
      </c>
      <c r="X400" s="17">
        <v>5.5049999999999999</v>
      </c>
      <c r="Y400" s="17">
        <v>86.992000000000004</v>
      </c>
      <c r="AA400" s="15" t="s">
        <v>60</v>
      </c>
      <c r="AB400" s="17"/>
      <c r="AC400" s="21" t="s">
        <v>78</v>
      </c>
      <c r="AD400" s="21" t="s">
        <v>78</v>
      </c>
      <c r="AE400" s="17" t="s">
        <v>62</v>
      </c>
      <c r="AF400" s="17"/>
      <c r="AG400" s="15"/>
      <c r="AI400" s="42">
        <f t="shared" ca="1" si="66"/>
        <v>774</v>
      </c>
      <c r="AJ400" s="42">
        <f t="shared" ca="1" si="63"/>
        <v>364</v>
      </c>
      <c r="AK400" s="13" t="s">
        <v>64</v>
      </c>
      <c r="AL400" s="36" t="str">
        <f t="shared" si="67"/>
        <v>Aborted</v>
      </c>
      <c r="AM400" s="37">
        <v>44890</v>
      </c>
      <c r="AN400" s="37">
        <f>+AM400</f>
        <v>44890</v>
      </c>
      <c r="AO400" s="37" t="s">
        <v>65</v>
      </c>
      <c r="AP400" s="37">
        <v>44890</v>
      </c>
      <c r="AQ400" s="38">
        <v>44890</v>
      </c>
      <c r="AR400" s="38"/>
      <c r="AS400" s="38"/>
      <c r="AT400" s="38"/>
      <c r="AU400" s="38"/>
      <c r="AV400" s="38"/>
      <c r="AW400" s="38">
        <v>44991</v>
      </c>
      <c r="AX400" s="38">
        <v>44999</v>
      </c>
      <c r="AY400" s="38">
        <v>45300</v>
      </c>
      <c r="AZ400" s="38"/>
      <c r="BA400" s="39">
        <f t="shared" si="60"/>
        <v>0.44444444444444442</v>
      </c>
      <c r="BB400" s="38"/>
      <c r="BC400" s="11" t="s">
        <v>7</v>
      </c>
    </row>
    <row r="401" spans="2:55" x14ac:dyDescent="0.35">
      <c r="B401" s="16">
        <f>IF(D401=$A$516,1,IF(D401=$A$517,2,IF(D401=$A$518,3,IF(D401=$A$519,4,IF(D401=$A$520,5,IF(D401=$A$521,6))))))</f>
        <v>5</v>
      </c>
      <c r="D401" s="20" t="str">
        <f t="shared" si="68"/>
        <v>abt</v>
      </c>
      <c r="E401" s="12" t="s">
        <v>885</v>
      </c>
      <c r="F401" s="14"/>
      <c r="G401" s="13" t="s">
        <v>226</v>
      </c>
      <c r="H401" s="13"/>
      <c r="I401" s="13"/>
      <c r="J401" s="13" t="s">
        <v>111</v>
      </c>
      <c r="K401" s="15" t="s">
        <v>886</v>
      </c>
      <c r="L401" s="15" t="s">
        <v>887</v>
      </c>
      <c r="M401" s="15"/>
      <c r="N401" s="15"/>
      <c r="O401" s="15"/>
      <c r="P401" s="15"/>
      <c r="Q401" s="15"/>
      <c r="S401" s="35"/>
      <c r="T401" s="13"/>
      <c r="U401" s="17"/>
      <c r="V401" s="17"/>
      <c r="W401" s="36"/>
      <c r="X401" s="17"/>
      <c r="Y401" s="17"/>
      <c r="AA401" s="15" t="s">
        <v>99</v>
      </c>
      <c r="AB401" s="17" t="s">
        <v>257</v>
      </c>
      <c r="AC401" s="21" t="s">
        <v>78</v>
      </c>
      <c r="AD401" s="21" t="s">
        <v>78</v>
      </c>
      <c r="AE401" s="17"/>
      <c r="AF401" s="17"/>
      <c r="AG401" s="15" t="s">
        <v>888</v>
      </c>
      <c r="AI401" s="42">
        <f t="shared" ca="1" si="66"/>
        <v>706</v>
      </c>
      <c r="AJ401" s="42">
        <f t="shared" ca="1" si="63"/>
        <v>658</v>
      </c>
      <c r="AK401" s="13" t="s">
        <v>64</v>
      </c>
      <c r="AL401" s="36" t="str">
        <f t="shared" si="67"/>
        <v>Aborted</v>
      </c>
      <c r="AM401" s="37">
        <v>44958</v>
      </c>
      <c r="AN401" s="37">
        <v>44988</v>
      </c>
      <c r="AO401" s="37" t="s">
        <v>65</v>
      </c>
      <c r="AP401" s="37">
        <v>44991</v>
      </c>
      <c r="AQ401" s="38"/>
      <c r="AR401" s="38"/>
      <c r="AS401" s="38"/>
      <c r="AT401" s="38"/>
      <c r="AU401" s="38"/>
      <c r="AV401" s="38"/>
      <c r="AW401" s="38">
        <v>44991</v>
      </c>
      <c r="AX401" s="38">
        <v>44994</v>
      </c>
      <c r="AY401" s="38">
        <v>45006</v>
      </c>
      <c r="AZ401" s="38"/>
      <c r="BA401" s="39">
        <f t="shared" si="60"/>
        <v>0.33333333333333331</v>
      </c>
      <c r="BB401" s="38"/>
      <c r="BC401" s="11" t="s">
        <v>7</v>
      </c>
    </row>
    <row r="402" spans="2:55" x14ac:dyDescent="0.35">
      <c r="B402" s="16">
        <f>IF(D402=$A$516,1,IF(D402=$A$517,2,IF(D402=$A$518,3,IF(D402=$A$519,4,IF(D402=$A$520,5,IF(D402=$A$521,6))))))</f>
        <v>5</v>
      </c>
      <c r="D402" s="20" t="str">
        <f t="shared" si="68"/>
        <v>abt</v>
      </c>
      <c r="E402" s="20" t="s">
        <v>934</v>
      </c>
      <c r="F402" s="13"/>
      <c r="G402" s="13" t="s">
        <v>103</v>
      </c>
      <c r="H402" s="14" t="s">
        <v>935</v>
      </c>
      <c r="I402" s="13">
        <v>522910</v>
      </c>
      <c r="J402" s="13" t="s">
        <v>580</v>
      </c>
      <c r="K402" s="15" t="s">
        <v>636</v>
      </c>
      <c r="L402" s="15" t="s">
        <v>936</v>
      </c>
      <c r="M402" s="15"/>
      <c r="N402" s="15"/>
      <c r="O402" s="15"/>
      <c r="P402" s="15"/>
      <c r="Q402" s="15"/>
      <c r="S402" s="35" t="s">
        <v>144</v>
      </c>
      <c r="T402" s="13">
        <v>2021</v>
      </c>
      <c r="U402" s="17">
        <v>200.72800000000001</v>
      </c>
      <c r="V402" s="17">
        <v>5.492</v>
      </c>
      <c r="W402" s="36">
        <f>+V402/U402</f>
        <v>2.7360408114463351E-2</v>
      </c>
      <c r="X402" s="17">
        <v>3.032</v>
      </c>
      <c r="Y402" s="17">
        <v>-1.75</v>
      </c>
      <c r="AA402" s="15" t="s">
        <v>299</v>
      </c>
      <c r="AB402" s="17"/>
      <c r="AC402" s="21" t="s">
        <v>86</v>
      </c>
      <c r="AD402" s="21" t="s">
        <v>78</v>
      </c>
      <c r="AE402" s="17" t="s">
        <v>86</v>
      </c>
      <c r="AF402" s="17" t="s">
        <v>62</v>
      </c>
      <c r="AG402" s="15" t="s">
        <v>937</v>
      </c>
      <c r="AI402" s="42">
        <f t="shared" ca="1" si="66"/>
        <v>782</v>
      </c>
      <c r="AJ402" s="42">
        <f t="shared" ca="1" si="63"/>
        <v>728</v>
      </c>
      <c r="AK402" s="13"/>
      <c r="AL402" s="36" t="str">
        <f t="shared" si="67"/>
        <v>Aborted</v>
      </c>
      <c r="AM402" s="37">
        <v>44882</v>
      </c>
      <c r="AN402" s="37">
        <v>44889</v>
      </c>
      <c r="AO402" s="37">
        <v>44889</v>
      </c>
      <c r="AP402" s="37">
        <v>44889</v>
      </c>
      <c r="AQ402" s="38"/>
      <c r="AR402" s="38"/>
      <c r="AS402" s="38"/>
      <c r="AT402" s="38"/>
      <c r="AU402" s="38"/>
      <c r="AV402" s="38"/>
      <c r="AW402" s="38">
        <v>44907</v>
      </c>
      <c r="AX402" s="38">
        <v>44907</v>
      </c>
      <c r="AY402" s="38">
        <v>44936</v>
      </c>
      <c r="AZ402" s="38"/>
      <c r="BA402" s="39">
        <f t="shared" si="60"/>
        <v>0.33333333333333331</v>
      </c>
      <c r="BB402" s="38"/>
      <c r="BC402" s="11" t="s">
        <v>7</v>
      </c>
    </row>
    <row r="403" spans="2:55" x14ac:dyDescent="0.35">
      <c r="B403" s="16">
        <f>IF(D403=$A$516,1,IF(D403=$A$517,2,IF(D403=$A$518,3,IF(D403=$A$519,4,IF(D403=$A$520,5,IF(D403=$A$521,6))))))</f>
        <v>5</v>
      </c>
      <c r="D403" s="20" t="str">
        <f t="shared" si="68"/>
        <v>abt</v>
      </c>
      <c r="E403" s="20" t="s">
        <v>938</v>
      </c>
      <c r="F403" s="13"/>
      <c r="G403" s="13" t="s">
        <v>103</v>
      </c>
      <c r="H403" s="14" t="s">
        <v>939</v>
      </c>
      <c r="I403" s="13">
        <v>500000</v>
      </c>
      <c r="J403" s="13" t="s">
        <v>580</v>
      </c>
      <c r="K403" s="15" t="s">
        <v>636</v>
      </c>
      <c r="L403" s="15" t="s">
        <v>940</v>
      </c>
      <c r="M403" s="15"/>
      <c r="N403" s="15"/>
      <c r="O403" s="15"/>
      <c r="P403" s="15"/>
      <c r="Q403" s="15"/>
      <c r="S403" s="35" t="s">
        <v>77</v>
      </c>
      <c r="T403" s="13">
        <v>2021</v>
      </c>
      <c r="U403" s="17">
        <v>117.47799999999999</v>
      </c>
      <c r="V403" s="17">
        <v>3.6280000000000001</v>
      </c>
      <c r="W403" s="36">
        <f>+V403/U403</f>
        <v>3.088237797715317E-2</v>
      </c>
      <c r="X403" s="17">
        <v>0.95899999999999996</v>
      </c>
      <c r="Y403" s="17">
        <v>14.18</v>
      </c>
      <c r="AA403" s="15" t="s">
        <v>299</v>
      </c>
      <c r="AB403" s="17"/>
      <c r="AC403" s="21" t="s">
        <v>86</v>
      </c>
      <c r="AD403" s="17" t="s">
        <v>78</v>
      </c>
      <c r="AE403" s="17" t="s">
        <v>86</v>
      </c>
      <c r="AF403" s="17" t="s">
        <v>62</v>
      </c>
      <c r="AG403" s="15" t="s">
        <v>937</v>
      </c>
      <c r="AI403" s="42">
        <f t="shared" ca="1" si="66"/>
        <v>782</v>
      </c>
      <c r="AJ403" s="42">
        <f t="shared" ca="1" si="63"/>
        <v>728</v>
      </c>
      <c r="AK403" s="13"/>
      <c r="AL403" s="36" t="str">
        <f t="shared" si="67"/>
        <v>Aborted</v>
      </c>
      <c r="AM403" s="37">
        <v>44882</v>
      </c>
      <c r="AN403" s="37">
        <v>44889</v>
      </c>
      <c r="AO403" s="37">
        <v>44889</v>
      </c>
      <c r="AP403" s="37">
        <v>44889</v>
      </c>
      <c r="AQ403" s="38"/>
      <c r="AR403" s="38"/>
      <c r="AS403" s="38"/>
      <c r="AT403" s="38"/>
      <c r="AU403" s="38"/>
      <c r="AV403" s="38"/>
      <c r="AW403" s="38">
        <v>44907</v>
      </c>
      <c r="AX403" s="38">
        <v>44907</v>
      </c>
      <c r="AY403" s="38">
        <v>44936</v>
      </c>
      <c r="AZ403" s="38"/>
      <c r="BA403" s="39">
        <f t="shared" si="60"/>
        <v>0.33333333333333331</v>
      </c>
      <c r="BB403" s="38"/>
      <c r="BC403" s="11" t="s">
        <v>7</v>
      </c>
    </row>
    <row r="404" spans="2:55" x14ac:dyDescent="0.35">
      <c r="B404" s="16">
        <f>IF(D404=$A$516,1,IF(D404=$A$517,2,IF(D404=$A$518,3,IF(D404=$A$519,4,IF(D404=$A$520,5,IF(D404=$A$521,6))))))</f>
        <v>5</v>
      </c>
      <c r="D404" s="20" t="str">
        <f t="shared" si="68"/>
        <v>abt</v>
      </c>
      <c r="E404" s="12" t="s">
        <v>1347</v>
      </c>
      <c r="F404" s="14"/>
      <c r="G404" s="13" t="s">
        <v>444</v>
      </c>
      <c r="H404" s="14" t="s">
        <v>1348</v>
      </c>
      <c r="I404" s="13">
        <v>139620</v>
      </c>
      <c r="J404" s="13" t="s">
        <v>1349</v>
      </c>
      <c r="K404" s="15" t="s">
        <v>1350</v>
      </c>
      <c r="L404" s="15" t="s">
        <v>1351</v>
      </c>
      <c r="M404" s="15" t="s">
        <v>1351</v>
      </c>
      <c r="N404" s="15"/>
      <c r="O404" s="15"/>
      <c r="P404" s="15"/>
      <c r="Q404" s="15"/>
      <c r="S404" s="35" t="s">
        <v>77</v>
      </c>
      <c r="T404" s="13">
        <v>2019</v>
      </c>
      <c r="U404" s="17">
        <v>17.347000000000001</v>
      </c>
      <c r="V404" s="17">
        <v>1.708</v>
      </c>
      <c r="W404" s="36">
        <f>+V404/U404</f>
        <v>9.8460828961780128E-2</v>
      </c>
      <c r="X404" s="17">
        <v>0.98899999999999999</v>
      </c>
      <c r="Y404" s="17">
        <v>2.5430000000000001</v>
      </c>
      <c r="AA404" s="15" t="s">
        <v>99</v>
      </c>
      <c r="AB404" s="17" t="s">
        <v>1352</v>
      </c>
      <c r="AC404" s="21" t="s">
        <v>78</v>
      </c>
      <c r="AD404" s="21" t="s">
        <v>78</v>
      </c>
      <c r="AE404" s="17" t="s">
        <v>62</v>
      </c>
      <c r="AF404" s="17"/>
      <c r="AG404" s="15"/>
      <c r="AI404" s="42">
        <f t="shared" ca="1" si="66"/>
        <v>1310</v>
      </c>
      <c r="AJ404" s="42">
        <f t="shared" ca="1" si="63"/>
        <v>1092</v>
      </c>
      <c r="AK404" s="13"/>
      <c r="AL404" s="36" t="str">
        <f t="shared" si="67"/>
        <v>Aborted</v>
      </c>
      <c r="AM404" s="37">
        <v>44354</v>
      </c>
      <c r="AN404" s="37">
        <v>44351</v>
      </c>
      <c r="AO404" s="37" t="s">
        <v>65</v>
      </c>
      <c r="AP404" s="37">
        <v>44375</v>
      </c>
      <c r="AQ404" s="38">
        <v>44375</v>
      </c>
      <c r="AR404" s="38"/>
      <c r="AS404" s="38"/>
      <c r="AT404" s="38"/>
      <c r="AU404" s="38"/>
      <c r="AV404" s="38"/>
      <c r="AW404" s="38"/>
      <c r="AX404" s="38">
        <v>44397</v>
      </c>
      <c r="AY404" s="38">
        <v>44572</v>
      </c>
      <c r="AZ404" s="38"/>
      <c r="BA404" s="39">
        <f t="shared" si="60"/>
        <v>0.44444444444444442</v>
      </c>
      <c r="BB404" s="38"/>
      <c r="BC404" s="11" t="s">
        <v>7</v>
      </c>
    </row>
    <row r="405" spans="2:55" x14ac:dyDescent="0.35">
      <c r="B405" s="16">
        <f>IF(D405=$A$516,1,IF(D405=$A$517,2,IF(D405=$A$518,3,IF(D405=$A$519,4,IF(D405=$A$520,5,IF(D405=$A$521,6))))))</f>
        <v>5</v>
      </c>
      <c r="D405" s="20" t="str">
        <f t="shared" si="68"/>
        <v>abt</v>
      </c>
      <c r="E405" s="12" t="s">
        <v>1207</v>
      </c>
      <c r="F405" s="13"/>
      <c r="G405" s="13" t="s">
        <v>103</v>
      </c>
      <c r="H405" s="41" t="s">
        <v>1208</v>
      </c>
      <c r="I405" s="13">
        <v>620200</v>
      </c>
      <c r="J405" s="13" t="s">
        <v>119</v>
      </c>
      <c r="K405" s="15" t="s">
        <v>1177</v>
      </c>
      <c r="L405" s="15"/>
      <c r="M405" s="15"/>
      <c r="N405" s="15"/>
      <c r="O405" s="15"/>
      <c r="P405" s="15"/>
      <c r="Q405" s="15"/>
      <c r="S405" s="35"/>
      <c r="T405" s="13"/>
      <c r="U405" s="17"/>
      <c r="V405" s="17"/>
      <c r="W405" s="36"/>
      <c r="X405" s="17"/>
      <c r="Y405" s="17"/>
      <c r="AA405" s="15" t="s">
        <v>590</v>
      </c>
      <c r="AB405" s="17" t="s">
        <v>732</v>
      </c>
      <c r="AC405" s="21" t="s">
        <v>61</v>
      </c>
      <c r="AD405" s="17" t="s">
        <v>61</v>
      </c>
      <c r="AE405" s="17" t="s">
        <v>79</v>
      </c>
      <c r="AF405" s="76" t="s">
        <v>562</v>
      </c>
      <c r="AG405" s="15"/>
      <c r="AH405" s="677">
        <v>1</v>
      </c>
      <c r="AI405" s="42">
        <f t="shared" ca="1" si="66"/>
        <v>1064</v>
      </c>
      <c r="AJ405" s="42">
        <f t="shared" ca="1" si="63"/>
        <v>937</v>
      </c>
      <c r="AK405" s="13" t="s">
        <v>70</v>
      </c>
      <c r="AL405" s="36" t="str">
        <f t="shared" si="67"/>
        <v>Aborted</v>
      </c>
      <c r="AM405" s="37">
        <v>44600</v>
      </c>
      <c r="AN405" s="37">
        <v>44600</v>
      </c>
      <c r="AO405" s="37" t="s">
        <v>65</v>
      </c>
      <c r="AP405" s="37" t="s">
        <v>65</v>
      </c>
      <c r="AQ405" s="38">
        <v>44606</v>
      </c>
      <c r="AR405" s="38">
        <v>44621</v>
      </c>
      <c r="AS405" s="38" t="s">
        <v>65</v>
      </c>
      <c r="AT405" s="38">
        <v>44624</v>
      </c>
      <c r="AU405" s="38" t="s">
        <v>65</v>
      </c>
      <c r="AV405" s="38">
        <v>44637</v>
      </c>
      <c r="AW405" s="38"/>
      <c r="AX405" s="38"/>
      <c r="AY405" s="38">
        <v>44727</v>
      </c>
      <c r="AZ405" s="38"/>
      <c r="BA405" s="39">
        <f t="shared" si="60"/>
        <v>1</v>
      </c>
      <c r="BB405" s="38"/>
      <c r="BC405" s="11" t="s">
        <v>7</v>
      </c>
    </row>
    <row r="406" spans="2:55" x14ac:dyDescent="0.35">
      <c r="B406" s="16">
        <f>IF(D406=$A$516,1,IF(D406=$A$517,2,IF(D406=$A$518,3,IF(D406=$A$519,4,IF(D406=$A$520,5,IF(D406=$A$521,6))))))</f>
        <v>5</v>
      </c>
      <c r="D406" s="20" t="str">
        <f t="shared" si="68"/>
        <v>abt</v>
      </c>
      <c r="E406" s="20" t="s">
        <v>784</v>
      </c>
      <c r="F406" s="13"/>
      <c r="G406" s="13" t="s">
        <v>760</v>
      </c>
      <c r="H406" s="14" t="s">
        <v>785</v>
      </c>
      <c r="I406" s="13">
        <v>855920</v>
      </c>
      <c r="J406" s="13" t="s">
        <v>57</v>
      </c>
      <c r="K406" s="15" t="s">
        <v>786</v>
      </c>
      <c r="L406" s="15" t="s">
        <v>787</v>
      </c>
      <c r="M406" s="15"/>
      <c r="N406" s="15"/>
      <c r="O406" s="15"/>
      <c r="P406" s="15"/>
      <c r="Q406" s="15"/>
      <c r="S406" s="35" t="s">
        <v>77</v>
      </c>
      <c r="T406" s="13">
        <v>2021</v>
      </c>
      <c r="U406" s="17">
        <v>3.4780000000000002</v>
      </c>
      <c r="V406" s="17">
        <v>1.06</v>
      </c>
      <c r="W406" s="36">
        <f>+V406/U406</f>
        <v>0.30477285796434733</v>
      </c>
      <c r="X406" s="17">
        <v>0.74399999999999999</v>
      </c>
      <c r="Y406" s="17">
        <v>-0.374</v>
      </c>
      <c r="AA406" s="15" t="s">
        <v>140</v>
      </c>
      <c r="AB406" s="17"/>
      <c r="AC406" s="21" t="s">
        <v>61</v>
      </c>
      <c r="AD406" s="21" t="s">
        <v>61</v>
      </c>
      <c r="AE406" s="17" t="s">
        <v>62</v>
      </c>
      <c r="AF406" s="17"/>
      <c r="AG406" s="15"/>
      <c r="AI406" s="42">
        <f t="shared" ca="1" si="66"/>
        <v>749</v>
      </c>
      <c r="AJ406" s="42">
        <f t="shared" ca="1" si="63"/>
        <v>637</v>
      </c>
      <c r="AK406" s="13" t="s">
        <v>87</v>
      </c>
      <c r="AL406" s="36" t="str">
        <f t="shared" si="67"/>
        <v>Aborted</v>
      </c>
      <c r="AM406" s="37">
        <v>44915</v>
      </c>
      <c r="AN406" s="37">
        <f>+AM406</f>
        <v>44915</v>
      </c>
      <c r="AO406" s="37" t="s">
        <v>65</v>
      </c>
      <c r="AP406" s="37" t="s">
        <v>65</v>
      </c>
      <c r="AQ406" s="38">
        <v>44945</v>
      </c>
      <c r="AR406" s="38">
        <v>44959</v>
      </c>
      <c r="AS406" s="38">
        <v>44980</v>
      </c>
      <c r="AT406" s="38"/>
      <c r="AU406" s="38"/>
      <c r="AV406" s="38"/>
      <c r="AW406" s="38">
        <v>44980</v>
      </c>
      <c r="AX406" s="38">
        <v>44999</v>
      </c>
      <c r="AY406" s="38">
        <v>45027</v>
      </c>
      <c r="AZ406" s="38"/>
      <c r="BA406" s="39">
        <f t="shared" si="60"/>
        <v>0.66666666666666663</v>
      </c>
      <c r="BB406" s="38"/>
      <c r="BC406" s="11" t="s">
        <v>7</v>
      </c>
    </row>
    <row r="407" spans="2:55" x14ac:dyDescent="0.35">
      <c r="B407" s="16">
        <f>IF(D407=$A$516,1,IF(D407=$A$517,2,IF(D407=$A$518,3,IF(D407=$A$519,4,IF(D407=$A$520,5,IF(D407=$A$521,6))))))</f>
        <v>5</v>
      </c>
      <c r="D407" s="20" t="str">
        <f t="shared" si="68"/>
        <v>abt</v>
      </c>
      <c r="E407" s="20" t="s">
        <v>861</v>
      </c>
      <c r="F407" s="14"/>
      <c r="G407" s="13" t="s">
        <v>278</v>
      </c>
      <c r="H407" s="13" t="s">
        <v>862</v>
      </c>
      <c r="I407" s="13">
        <v>852000</v>
      </c>
      <c r="J407" s="13" t="s">
        <v>57</v>
      </c>
      <c r="K407" s="15" t="s">
        <v>863</v>
      </c>
      <c r="L407" s="15"/>
      <c r="M407" s="15"/>
      <c r="N407" s="15"/>
      <c r="O407" s="15"/>
      <c r="P407" s="15"/>
      <c r="Q407" s="15"/>
      <c r="S407" s="35" t="s">
        <v>77</v>
      </c>
      <c r="T407" s="13">
        <v>2021</v>
      </c>
      <c r="U407" s="17">
        <v>5.5110000000000001</v>
      </c>
      <c r="V407" s="17">
        <v>0.84399999999999997</v>
      </c>
      <c r="W407" s="36">
        <f>+V407/U407</f>
        <v>0.15314824895663218</v>
      </c>
      <c r="X407" s="17">
        <v>0.64400000000000002</v>
      </c>
      <c r="Y407" s="17">
        <v>-1.07</v>
      </c>
      <c r="AA407" s="15" t="s">
        <v>140</v>
      </c>
      <c r="AB407" s="17"/>
      <c r="AC407" s="21" t="s">
        <v>61</v>
      </c>
      <c r="AD407" s="21" t="s">
        <v>61</v>
      </c>
      <c r="AE407" s="17" t="s">
        <v>62</v>
      </c>
      <c r="AF407" s="76" t="s">
        <v>562</v>
      </c>
      <c r="AG407" s="15"/>
      <c r="AI407" s="42">
        <f t="shared" ca="1" si="66"/>
        <v>845</v>
      </c>
      <c r="AJ407" s="42">
        <f t="shared" ca="1" si="63"/>
        <v>637</v>
      </c>
      <c r="AK407" s="13" t="s">
        <v>87</v>
      </c>
      <c r="AL407" s="36" t="str">
        <f t="shared" si="67"/>
        <v>Aborted</v>
      </c>
      <c r="AM407" s="37">
        <v>44819</v>
      </c>
      <c r="AN407" s="37">
        <v>44819</v>
      </c>
      <c r="AO407" s="37" t="s">
        <v>65</v>
      </c>
      <c r="AP407" s="37">
        <v>44819</v>
      </c>
      <c r="AQ407" s="38">
        <v>44827</v>
      </c>
      <c r="AR407" s="38"/>
      <c r="AS407" s="38"/>
      <c r="AT407" s="38"/>
      <c r="AU407" s="38"/>
      <c r="AV407" s="38"/>
      <c r="AW407" s="38">
        <v>44827</v>
      </c>
      <c r="AX407" s="38">
        <v>44831</v>
      </c>
      <c r="AY407" s="38">
        <v>45027</v>
      </c>
      <c r="AZ407" s="38"/>
      <c r="BA407" s="39">
        <f t="shared" si="60"/>
        <v>0.44444444444444442</v>
      </c>
      <c r="BB407" s="38"/>
      <c r="BC407" s="11" t="s">
        <v>7</v>
      </c>
    </row>
    <row r="408" spans="2:55" x14ac:dyDescent="0.35">
      <c r="B408" s="16">
        <f>IF(D408=$A$516,1,IF(D408=$A$517,2,IF(D408=$A$518,3,IF(D408=$A$519,4,IF(D408=$A$520,5,IF(D408=$A$521,6))))))</f>
        <v>5</v>
      </c>
      <c r="D408" s="20" t="str">
        <f t="shared" si="68"/>
        <v>abt</v>
      </c>
      <c r="E408" s="12" t="s">
        <v>682</v>
      </c>
      <c r="F408" s="13"/>
      <c r="G408" s="13" t="s">
        <v>683</v>
      </c>
      <c r="H408" s="14" t="s">
        <v>684</v>
      </c>
      <c r="I408" s="13"/>
      <c r="J408" s="13" t="s">
        <v>57</v>
      </c>
      <c r="K408" s="15" t="s">
        <v>685</v>
      </c>
      <c r="L408" s="15" t="s">
        <v>686</v>
      </c>
      <c r="M408" s="15"/>
      <c r="N408" s="15"/>
      <c r="O408" s="15"/>
      <c r="P408" s="15"/>
      <c r="Q408" s="15"/>
      <c r="S408" s="35" t="s">
        <v>77</v>
      </c>
      <c r="T408" s="13">
        <v>2021</v>
      </c>
      <c r="U408" s="17">
        <v>1.7</v>
      </c>
      <c r="V408" s="17">
        <v>0.73599999999999999</v>
      </c>
      <c r="W408" s="36">
        <f>+V408/U408</f>
        <v>0.43294117647058822</v>
      </c>
      <c r="X408" s="17">
        <v>0.45600000000000002</v>
      </c>
      <c r="Y408" s="17">
        <v>-0.19900000000000001</v>
      </c>
      <c r="AA408" s="15" t="s">
        <v>140</v>
      </c>
      <c r="AB408" s="17"/>
      <c r="AC408" s="21" t="s">
        <v>61</v>
      </c>
      <c r="AD408" s="21" t="s">
        <v>61</v>
      </c>
      <c r="AE408" s="25" t="s">
        <v>62</v>
      </c>
      <c r="AF408" s="17" t="s">
        <v>128</v>
      </c>
      <c r="AG408" s="15"/>
      <c r="AI408" s="42">
        <f t="shared" ca="1" si="66"/>
        <v>768</v>
      </c>
      <c r="AJ408" s="42">
        <f t="shared" ca="1" si="63"/>
        <v>477</v>
      </c>
      <c r="AK408" s="13" t="s">
        <v>87</v>
      </c>
      <c r="AL408" s="36" t="str">
        <f t="shared" si="67"/>
        <v>Aborted</v>
      </c>
      <c r="AM408" s="37">
        <v>44896</v>
      </c>
      <c r="AN408" s="37">
        <v>44992</v>
      </c>
      <c r="AO408" s="37">
        <v>45005</v>
      </c>
      <c r="AP408" s="37">
        <v>45005</v>
      </c>
      <c r="AQ408" s="38"/>
      <c r="AR408" s="38"/>
      <c r="AS408" s="38"/>
      <c r="AT408" s="38"/>
      <c r="AU408" s="38"/>
      <c r="AV408" s="38"/>
      <c r="AW408" s="38">
        <v>44810</v>
      </c>
      <c r="AX408" s="38">
        <v>45020</v>
      </c>
      <c r="AY408" s="38">
        <v>45187</v>
      </c>
      <c r="AZ408" s="38"/>
      <c r="BA408" s="39">
        <f t="shared" si="60"/>
        <v>0.33333333333333331</v>
      </c>
      <c r="BB408" s="38"/>
      <c r="BC408" s="11" t="s">
        <v>7</v>
      </c>
    </row>
    <row r="409" spans="2:55" x14ac:dyDescent="0.35">
      <c r="B409" s="16">
        <f>IF(D409=$A$516,1,IF(D409=$A$517,2,IF(D409=$A$518,3,IF(D409=$A$519,4,IF(D409=$A$520,5,IF(D409=$A$521,6))))))</f>
        <v>5</v>
      </c>
      <c r="D409" s="20" t="str">
        <f t="shared" si="68"/>
        <v>abt</v>
      </c>
      <c r="E409" s="12" t="s">
        <v>645</v>
      </c>
      <c r="F409" s="13"/>
      <c r="G409" s="13" t="s">
        <v>333</v>
      </c>
      <c r="H409" s="14"/>
      <c r="I409" s="13"/>
      <c r="J409" s="13" t="s">
        <v>111</v>
      </c>
      <c r="K409" s="24" t="s">
        <v>646</v>
      </c>
      <c r="L409" s="15" t="s">
        <v>647</v>
      </c>
      <c r="M409" s="15"/>
      <c r="N409" s="15"/>
      <c r="O409" s="15"/>
      <c r="P409" s="15"/>
      <c r="Q409" s="15"/>
      <c r="S409" s="35" t="s">
        <v>77</v>
      </c>
      <c r="T409" s="13">
        <v>2021</v>
      </c>
      <c r="U409" s="17">
        <v>25.065000000000001</v>
      </c>
      <c r="V409" s="17">
        <v>4.9640000000000004</v>
      </c>
      <c r="W409" s="36">
        <f>+V409/U409</f>
        <v>0.19804508278475963</v>
      </c>
      <c r="X409" s="17"/>
      <c r="Y409" s="17">
        <v>-3.0569999999999999</v>
      </c>
      <c r="AA409" s="15" t="s">
        <v>140</v>
      </c>
      <c r="AB409" s="17"/>
      <c r="AC409" s="21" t="s">
        <v>78</v>
      </c>
      <c r="AD409" s="21" t="s">
        <v>78</v>
      </c>
      <c r="AE409" s="13" t="s">
        <v>62</v>
      </c>
      <c r="AF409" s="17" t="s">
        <v>313</v>
      </c>
      <c r="AG409" s="15"/>
      <c r="AI409" s="42">
        <f t="shared" ca="1" si="66"/>
        <v>617</v>
      </c>
      <c r="AJ409" s="42">
        <f t="shared" ca="1" si="63"/>
        <v>477</v>
      </c>
      <c r="AK409" s="13" t="s">
        <v>70</v>
      </c>
      <c r="AL409" s="36" t="str">
        <f t="shared" si="67"/>
        <v>Aborted</v>
      </c>
      <c r="AM409" s="37">
        <v>45047</v>
      </c>
      <c r="AN409" s="37">
        <v>45082</v>
      </c>
      <c r="AO409" s="37" t="s">
        <v>65</v>
      </c>
      <c r="AP409" s="37">
        <v>45088</v>
      </c>
      <c r="AQ409" s="38">
        <v>45085</v>
      </c>
      <c r="AR409" s="38"/>
      <c r="AS409" s="38"/>
      <c r="AT409" s="38"/>
      <c r="AU409" s="38"/>
      <c r="AV409" s="38"/>
      <c r="AW409" s="38">
        <v>45103</v>
      </c>
      <c r="AX409" s="38">
        <v>45167</v>
      </c>
      <c r="AY409" s="38">
        <v>45187</v>
      </c>
      <c r="AZ409" s="38"/>
      <c r="BA409" s="39">
        <f t="shared" si="60"/>
        <v>0.44444444444444442</v>
      </c>
      <c r="BB409" s="38"/>
      <c r="BC409" s="11" t="s">
        <v>7</v>
      </c>
    </row>
    <row r="410" spans="2:55" x14ac:dyDescent="0.35">
      <c r="B410" s="16">
        <f>IF(D410=$A$516,1,IF(D410=$A$517,2,IF(D410=$A$518,3,IF(D410=$A$519,4,IF(D410=$A$520,5,IF(D410=$A$521,6))))))</f>
        <v>5</v>
      </c>
      <c r="D410" s="20" t="str">
        <f t="shared" si="68"/>
        <v>abt</v>
      </c>
      <c r="E410" s="12" t="s">
        <v>1258</v>
      </c>
      <c r="G410" s="23" t="s">
        <v>1259</v>
      </c>
      <c r="H410" s="13"/>
      <c r="I410" s="13"/>
      <c r="J410" s="13" t="s">
        <v>57</v>
      </c>
      <c r="K410" s="15" t="s">
        <v>1260</v>
      </c>
      <c r="L410" s="15" t="s">
        <v>1261</v>
      </c>
      <c r="M410" s="15"/>
      <c r="N410" s="15"/>
      <c r="O410" s="15"/>
      <c r="P410" s="15"/>
      <c r="Q410" s="15"/>
      <c r="S410" s="35"/>
      <c r="T410" s="13"/>
      <c r="U410" s="17"/>
      <c r="V410" s="17"/>
      <c r="W410" s="36"/>
      <c r="X410" s="17"/>
      <c r="Y410" s="17"/>
      <c r="AA410" s="15" t="s">
        <v>99</v>
      </c>
      <c r="AB410" s="17" t="s">
        <v>1237</v>
      </c>
      <c r="AC410" s="21" t="s">
        <v>61</v>
      </c>
      <c r="AD410" s="17" t="s">
        <v>61</v>
      </c>
      <c r="AE410" s="17" t="s">
        <v>62</v>
      </c>
      <c r="AF410" s="17"/>
      <c r="AG410" s="15"/>
      <c r="AI410" s="42">
        <f t="shared" ca="1" si="66"/>
        <v>1079</v>
      </c>
      <c r="AJ410" s="42">
        <f t="shared" ca="1" si="63"/>
        <v>650</v>
      </c>
      <c r="AK410" s="13"/>
      <c r="AL410" s="36" t="str">
        <f t="shared" si="67"/>
        <v>Aborted</v>
      </c>
      <c r="AM410" s="37">
        <v>44585</v>
      </c>
      <c r="AN410" s="75">
        <v>44585</v>
      </c>
      <c r="AO410" s="37" t="s">
        <v>65</v>
      </c>
      <c r="AP410" s="37">
        <v>44585</v>
      </c>
      <c r="AQ410" s="38">
        <v>44617</v>
      </c>
      <c r="AR410" s="38"/>
      <c r="AS410" s="38"/>
      <c r="AT410" s="38"/>
      <c r="AU410" s="38"/>
      <c r="AV410" s="38"/>
      <c r="AW410" s="38"/>
      <c r="AX410" s="38"/>
      <c r="AY410" s="38">
        <v>45014</v>
      </c>
      <c r="AZ410" s="38"/>
      <c r="BA410" s="39">
        <f t="shared" si="60"/>
        <v>0.44444444444444442</v>
      </c>
      <c r="BB410" s="38"/>
      <c r="BC410" s="11" t="s">
        <v>7</v>
      </c>
    </row>
    <row r="411" spans="2:55" x14ac:dyDescent="0.35">
      <c r="B411" s="16">
        <f>IF(D411=$A$516,1,IF(D411=$A$517,2,IF(D411=$A$518,3,IF(D411=$A$519,4,IF(D411=$A$520,5,IF(D411=$A$521,6))))))</f>
        <v>5</v>
      </c>
      <c r="D411" s="20" t="str">
        <f t="shared" si="68"/>
        <v>abt</v>
      </c>
      <c r="E411" s="20" t="s">
        <v>703</v>
      </c>
      <c r="F411" s="13" t="s">
        <v>704</v>
      </c>
      <c r="G411" s="13" t="s">
        <v>226</v>
      </c>
      <c r="H411" s="14" t="s">
        <v>254</v>
      </c>
      <c r="I411" s="13">
        <v>251000</v>
      </c>
      <c r="J411" s="13" t="s">
        <v>255</v>
      </c>
      <c r="K411" s="15" t="s">
        <v>256</v>
      </c>
      <c r="L411" s="15"/>
      <c r="M411" s="15"/>
      <c r="N411" s="15"/>
      <c r="O411" s="15"/>
      <c r="P411" s="15"/>
      <c r="Q411" s="15"/>
      <c r="S411" s="35" t="s">
        <v>77</v>
      </c>
      <c r="T411" s="13">
        <v>2019</v>
      </c>
      <c r="U411" s="17">
        <v>35.46</v>
      </c>
      <c r="V411" s="17">
        <v>0.92</v>
      </c>
      <c r="W411" s="36">
        <f>+V411/U411</f>
        <v>2.5944726452340666E-2</v>
      </c>
      <c r="X411" s="17">
        <v>0.03</v>
      </c>
      <c r="Y411" s="17">
        <v>15.02</v>
      </c>
      <c r="AA411" s="15" t="s">
        <v>99</v>
      </c>
      <c r="AB411" s="15" t="s">
        <v>257</v>
      </c>
      <c r="AC411" s="21" t="s">
        <v>78</v>
      </c>
      <c r="AD411" s="17" t="s">
        <v>153</v>
      </c>
      <c r="AE411" s="17"/>
      <c r="AF411" s="17"/>
      <c r="AG411" s="15" t="s">
        <v>258</v>
      </c>
      <c r="AI411" s="42">
        <f t="shared" ca="1" si="66"/>
        <v>728</v>
      </c>
      <c r="AJ411" s="42">
        <f t="shared" ca="1" si="63"/>
        <v>659</v>
      </c>
      <c r="AK411" s="13" t="s">
        <v>87</v>
      </c>
      <c r="AL411" s="36" t="str">
        <f t="shared" si="67"/>
        <v>Aborted</v>
      </c>
      <c r="AM411" s="37">
        <v>44936</v>
      </c>
      <c r="AN411" s="37">
        <v>44936</v>
      </c>
      <c r="AO411" s="37" t="s">
        <v>65</v>
      </c>
      <c r="AP411" s="37" t="s">
        <v>65</v>
      </c>
      <c r="AQ411" s="38">
        <f>+AN411</f>
        <v>44936</v>
      </c>
      <c r="AR411" s="38" t="s">
        <v>65</v>
      </c>
      <c r="AS411" s="38">
        <v>44936</v>
      </c>
      <c r="AT411" s="38"/>
      <c r="AU411" s="38"/>
      <c r="AV411" s="38"/>
      <c r="AW411" s="38">
        <v>45002</v>
      </c>
      <c r="AX411" s="38">
        <v>45005</v>
      </c>
      <c r="AY411" s="38">
        <v>45005</v>
      </c>
      <c r="AZ411" s="38"/>
      <c r="BA411" s="39">
        <f t="shared" si="60"/>
        <v>0.66666666666666663</v>
      </c>
      <c r="BB411" s="38"/>
      <c r="BC411" s="11" t="s">
        <v>7</v>
      </c>
    </row>
    <row r="412" spans="2:55" x14ac:dyDescent="0.35">
      <c r="B412" s="16">
        <f>IF(D412=$A$516,1,IF(D412=$A$517,2,IF(D412=$A$518,3,IF(D412=$A$519,4,IF(D412=$A$520,5,IF(D412=$A$521,6))))))</f>
        <v>5</v>
      </c>
      <c r="D412" s="20" t="str">
        <f t="shared" si="68"/>
        <v>abt</v>
      </c>
      <c r="E412" s="20" t="s">
        <v>1002</v>
      </c>
      <c r="F412" s="14"/>
      <c r="G412" s="13" t="s">
        <v>226</v>
      </c>
      <c r="H412" s="14" t="s">
        <v>254</v>
      </c>
      <c r="I412" s="13">
        <v>251000</v>
      </c>
      <c r="J412" s="13" t="s">
        <v>255</v>
      </c>
      <c r="K412" s="15" t="s">
        <v>256</v>
      </c>
      <c r="L412" s="15"/>
      <c r="M412" s="15"/>
      <c r="N412" s="15"/>
      <c r="O412" s="15"/>
      <c r="P412" s="15"/>
      <c r="Q412" s="15"/>
      <c r="S412" s="35" t="s">
        <v>77</v>
      </c>
      <c r="T412" s="13">
        <v>2019</v>
      </c>
      <c r="U412" s="17">
        <v>35.46</v>
      </c>
      <c r="V412" s="17">
        <v>0.92</v>
      </c>
      <c r="W412" s="36">
        <f>+V412/U412</f>
        <v>2.5944726452340666E-2</v>
      </c>
      <c r="X412" s="17">
        <v>0.03</v>
      </c>
      <c r="Y412" s="17">
        <v>15.02</v>
      </c>
      <c r="AA412" s="15" t="s">
        <v>99</v>
      </c>
      <c r="AB412" s="15" t="s">
        <v>257</v>
      </c>
      <c r="AC412" s="21" t="s">
        <v>78</v>
      </c>
      <c r="AD412" s="17" t="s">
        <v>78</v>
      </c>
      <c r="AE412" s="17" t="s">
        <v>86</v>
      </c>
      <c r="AF412" s="17"/>
      <c r="AG412" s="15" t="s">
        <v>258</v>
      </c>
      <c r="AI412" s="42">
        <f t="shared" ca="1" si="66"/>
        <v>1393</v>
      </c>
      <c r="AJ412" s="42">
        <f t="shared" ca="1" si="63"/>
        <v>728</v>
      </c>
      <c r="AK412" s="13"/>
      <c r="AL412" s="36" t="str">
        <f t="shared" si="67"/>
        <v>Aborted</v>
      </c>
      <c r="AM412" s="37">
        <v>44271</v>
      </c>
      <c r="AN412" s="37">
        <v>44271</v>
      </c>
      <c r="AO412" s="37" t="s">
        <v>65</v>
      </c>
      <c r="AP412" s="37">
        <v>44286</v>
      </c>
      <c r="AQ412" s="38">
        <v>44286</v>
      </c>
      <c r="AR412" s="38">
        <v>44319</v>
      </c>
      <c r="AS412" s="38">
        <v>44365</v>
      </c>
      <c r="AT412" s="38">
        <v>44466</v>
      </c>
      <c r="AU412" s="38">
        <v>44645</v>
      </c>
      <c r="AV412" s="38">
        <v>44707</v>
      </c>
      <c r="AW412" s="38">
        <v>44879</v>
      </c>
      <c r="AX412" s="38">
        <v>44813</v>
      </c>
      <c r="AY412" s="38">
        <v>44936</v>
      </c>
      <c r="AZ412" s="38"/>
      <c r="BA412" s="39">
        <f t="shared" si="60"/>
        <v>1</v>
      </c>
      <c r="BB412" s="38"/>
      <c r="BC412" s="11" t="s">
        <v>7</v>
      </c>
    </row>
    <row r="413" spans="2:55" x14ac:dyDescent="0.35">
      <c r="B413" s="16">
        <f>IF(D413=$A$516,1,IF(D413=$A$517,2,IF(D413=$A$518,3,IF(D413=$A$519,4,IF(D413=$A$520,5,IF(D413=$A$521,6))))))</f>
        <v>5</v>
      </c>
      <c r="D413" s="20" t="str">
        <f t="shared" si="68"/>
        <v>abt</v>
      </c>
      <c r="E413" s="12" t="s">
        <v>1238</v>
      </c>
      <c r="F413" s="14"/>
      <c r="G413" s="13" t="s">
        <v>103</v>
      </c>
      <c r="H413" s="13">
        <v>11891770965</v>
      </c>
      <c r="I413" s="13">
        <v>552051</v>
      </c>
      <c r="J413" s="13" t="s">
        <v>1239</v>
      </c>
      <c r="K413" s="15" t="s">
        <v>1240</v>
      </c>
      <c r="L413" s="15" t="s">
        <v>1241</v>
      </c>
      <c r="M413" s="15"/>
      <c r="N413" s="15"/>
      <c r="O413" s="15"/>
      <c r="P413" s="15"/>
      <c r="Q413" s="15"/>
      <c r="S413" s="35"/>
      <c r="T413" s="13"/>
      <c r="U413" s="17"/>
      <c r="V413" s="17"/>
      <c r="W413" s="36"/>
      <c r="X413" s="17"/>
      <c r="Y413" s="17"/>
      <c r="AA413" s="15" t="s">
        <v>60</v>
      </c>
      <c r="AB413" s="17"/>
      <c r="AC413" s="21" t="s">
        <v>61</v>
      </c>
      <c r="AD413" s="21" t="s">
        <v>61</v>
      </c>
      <c r="AE413" s="61" t="s">
        <v>86</v>
      </c>
      <c r="AF413" s="17" t="s">
        <v>1242</v>
      </c>
      <c r="AG413" s="15"/>
      <c r="AI413" s="42">
        <f t="shared" ca="1" si="66"/>
        <v>1028</v>
      </c>
      <c r="AJ413" s="42">
        <f t="shared" ca="1" si="63"/>
        <v>985</v>
      </c>
      <c r="AK413" s="13"/>
      <c r="AL413" s="36" t="str">
        <f t="shared" si="67"/>
        <v>Aborted</v>
      </c>
      <c r="AM413" s="37">
        <v>44636</v>
      </c>
      <c r="AN413" s="37">
        <f>+AM413</f>
        <v>44636</v>
      </c>
      <c r="AO413" s="37" t="s">
        <v>65</v>
      </c>
      <c r="AP413" s="37" t="s">
        <v>65</v>
      </c>
      <c r="AQ413" s="38">
        <v>44641</v>
      </c>
      <c r="AR413" s="38">
        <v>44649</v>
      </c>
      <c r="AS413" s="38">
        <v>44649</v>
      </c>
      <c r="AT413" s="38"/>
      <c r="AU413" s="38"/>
      <c r="AV413" s="38"/>
      <c r="AW413" s="38">
        <v>44649</v>
      </c>
      <c r="AX413" s="38"/>
      <c r="AY413" s="38">
        <v>44679</v>
      </c>
      <c r="AZ413" s="38"/>
      <c r="BA413" s="39">
        <f t="shared" si="60"/>
        <v>0.66666666666666663</v>
      </c>
      <c r="BB413" s="38"/>
      <c r="BC413" s="11" t="s">
        <v>7</v>
      </c>
    </row>
    <row r="414" spans="2:55" x14ac:dyDescent="0.35">
      <c r="B414" s="16">
        <f>IF(D414=$A$516,1,IF(D414=$A$517,2,IF(D414=$A$518,3,IF(D414=$A$519,4,IF(D414=$A$520,5,IF(D414=$A$521,6))))))</f>
        <v>5</v>
      </c>
      <c r="D414" s="20" t="str">
        <f t="shared" si="68"/>
        <v>abt</v>
      </c>
      <c r="E414" s="12" t="s">
        <v>1171</v>
      </c>
      <c r="F414" s="13"/>
      <c r="G414" s="13" t="s">
        <v>226</v>
      </c>
      <c r="H414" s="14" t="s">
        <v>1172</v>
      </c>
      <c r="I414" s="13">
        <v>172100</v>
      </c>
      <c r="J414" s="13" t="s">
        <v>111</v>
      </c>
      <c r="K414" s="15" t="s">
        <v>1173</v>
      </c>
      <c r="L414" s="15"/>
      <c r="M414" s="15"/>
      <c r="N414" s="15"/>
      <c r="O414" s="15"/>
      <c r="P414" s="15"/>
      <c r="Q414" s="15"/>
      <c r="S414" s="35" t="s">
        <v>77</v>
      </c>
      <c r="T414" s="13">
        <v>2020</v>
      </c>
      <c r="U414" s="17">
        <v>35.5</v>
      </c>
      <c r="V414" s="17">
        <v>3.5</v>
      </c>
      <c r="W414" s="36">
        <f>+V414/U414</f>
        <v>9.8591549295774641E-2</v>
      </c>
      <c r="X414" s="17">
        <v>3.1989999999999998</v>
      </c>
      <c r="Y414" s="17">
        <v>10.73</v>
      </c>
      <c r="AA414" s="15" t="s">
        <v>99</v>
      </c>
      <c r="AB414" s="17" t="s">
        <v>1174</v>
      </c>
      <c r="AC414" s="21" t="s">
        <v>78</v>
      </c>
      <c r="AD414" s="21" t="s">
        <v>78</v>
      </c>
      <c r="AE414" s="61" t="s">
        <v>128</v>
      </c>
      <c r="AF414" s="17"/>
      <c r="AG414" s="15"/>
      <c r="AI414" s="42">
        <f t="shared" ca="1" si="66"/>
        <v>999</v>
      </c>
      <c r="AJ414" s="42">
        <f t="shared" ca="1" si="63"/>
        <v>854</v>
      </c>
      <c r="AK414" s="13"/>
      <c r="AL414" s="36" t="str">
        <f t="shared" si="67"/>
        <v>Aborted</v>
      </c>
      <c r="AM414" s="37">
        <v>44665</v>
      </c>
      <c r="AN414" s="37">
        <v>44665</v>
      </c>
      <c r="AO414" s="37" t="s">
        <v>65</v>
      </c>
      <c r="AP414" s="37"/>
      <c r="AQ414" s="38"/>
      <c r="AR414" s="38"/>
      <c r="AS414" s="38"/>
      <c r="AT414" s="38"/>
      <c r="AU414" s="38"/>
      <c r="AV414" s="38"/>
      <c r="AW414" s="38"/>
      <c r="AX414" s="38">
        <v>44696</v>
      </c>
      <c r="AY414" s="38">
        <v>44810</v>
      </c>
      <c r="AZ414" s="38"/>
      <c r="BA414" s="39">
        <f t="shared" si="60"/>
        <v>0.22222222222222221</v>
      </c>
      <c r="BB414" s="38"/>
      <c r="BC414" s="11" t="s">
        <v>7</v>
      </c>
    </row>
    <row r="415" spans="2:55" x14ac:dyDescent="0.35">
      <c r="B415" s="16">
        <f>IF(D415=$A$516,1,IF(D415=$A$517,2,IF(D415=$A$518,3,IF(D415=$A$519,4,IF(D415=$A$520,5,IF(D415=$A$521,6))))))</f>
        <v>5</v>
      </c>
      <c r="D415" s="20" t="str">
        <f t="shared" si="68"/>
        <v>abt</v>
      </c>
      <c r="E415" s="12" t="s">
        <v>1192</v>
      </c>
      <c r="F415" s="14"/>
      <c r="G415" s="14" t="s">
        <v>326</v>
      </c>
      <c r="H415" s="14" t="s">
        <v>1193</v>
      </c>
      <c r="I415" s="13"/>
      <c r="J415" s="13" t="s">
        <v>57</v>
      </c>
      <c r="K415" s="15" t="s">
        <v>58</v>
      </c>
      <c r="L415" s="15"/>
      <c r="M415" s="15"/>
      <c r="N415" s="15"/>
      <c r="O415" s="15"/>
      <c r="P415" s="15"/>
      <c r="Q415" s="15"/>
      <c r="S415" s="35" t="s">
        <v>77</v>
      </c>
      <c r="T415" s="13"/>
      <c r="U415" s="17"/>
      <c r="V415" s="17"/>
      <c r="W415" s="36"/>
      <c r="X415" s="17"/>
      <c r="Y415" s="17"/>
      <c r="AA415" s="15" t="s">
        <v>140</v>
      </c>
      <c r="AB415" s="17"/>
      <c r="AC415" s="21" t="s">
        <v>61</v>
      </c>
      <c r="AD415" s="21" t="s">
        <v>61</v>
      </c>
      <c r="AE415" s="61" t="s">
        <v>62</v>
      </c>
      <c r="AF415" s="17"/>
      <c r="AG415" s="15"/>
      <c r="AI415" s="42">
        <f t="shared" ca="1" si="66"/>
        <v>1292</v>
      </c>
      <c r="AJ415" s="42">
        <f t="shared" ca="1" si="63"/>
        <v>854</v>
      </c>
      <c r="AK415" s="13" t="s">
        <v>87</v>
      </c>
      <c r="AL415" s="36" t="str">
        <f t="shared" si="67"/>
        <v>Aborted</v>
      </c>
      <c r="AM415" s="37">
        <v>44372</v>
      </c>
      <c r="AN415" s="37">
        <f>+AM415</f>
        <v>44372</v>
      </c>
      <c r="AO415" s="37" t="s">
        <v>65</v>
      </c>
      <c r="AP415" s="37">
        <v>44372</v>
      </c>
      <c r="AQ415" s="38">
        <v>44382</v>
      </c>
      <c r="AR415" s="38">
        <v>44552</v>
      </c>
      <c r="AS415" s="38">
        <v>44684</v>
      </c>
      <c r="AT415" s="38">
        <v>44692</v>
      </c>
      <c r="AU415" s="38"/>
      <c r="AV415" s="38"/>
      <c r="AW415" s="38">
        <v>44722</v>
      </c>
      <c r="AX415" s="38">
        <v>44740</v>
      </c>
      <c r="AY415" s="38">
        <v>44810</v>
      </c>
      <c r="AZ415" s="38"/>
      <c r="BA415" s="39">
        <f t="shared" si="60"/>
        <v>0.77777777777777779</v>
      </c>
      <c r="BB415" s="38"/>
      <c r="BC415" s="11" t="s">
        <v>7</v>
      </c>
    </row>
    <row r="416" spans="2:55" x14ac:dyDescent="0.35">
      <c r="B416" s="16">
        <f>IF(D416=$A$516,1,IF(D416=$A$517,2,IF(D416=$A$518,3,IF(D416=$A$519,4,IF(D416=$A$520,5,IF(D416=$A$521,6))))))</f>
        <v>5</v>
      </c>
      <c r="D416" s="20" t="str">
        <f t="shared" si="68"/>
        <v>abt</v>
      </c>
      <c r="E416" s="12" t="s">
        <v>1319</v>
      </c>
      <c r="F416" s="14"/>
      <c r="G416" s="13" t="s">
        <v>308</v>
      </c>
      <c r="H416" s="14" t="s">
        <v>1320</v>
      </c>
      <c r="I416" s="13">
        <v>141310</v>
      </c>
      <c r="J416" s="13" t="s">
        <v>1018</v>
      </c>
      <c r="K416" s="15" t="s">
        <v>1321</v>
      </c>
      <c r="L416" s="15" t="s">
        <v>1322</v>
      </c>
      <c r="M416" s="15"/>
      <c r="N416" s="15"/>
      <c r="O416" s="15"/>
      <c r="P416" s="15"/>
      <c r="Q416" s="15"/>
      <c r="S416" s="35" t="s">
        <v>77</v>
      </c>
      <c r="T416" s="13">
        <v>2020</v>
      </c>
      <c r="U416" s="17">
        <v>16.958387999999999</v>
      </c>
      <c r="V416" s="17">
        <v>0.361128</v>
      </c>
      <c r="W416" s="36">
        <f>+V416/U416</f>
        <v>2.1294948552893118E-2</v>
      </c>
      <c r="X416" s="17">
        <v>-1.550198</v>
      </c>
      <c r="Y416" s="17">
        <v>3.8310620000000002</v>
      </c>
      <c r="AA416" s="15" t="s">
        <v>590</v>
      </c>
      <c r="AB416" s="17" t="s">
        <v>1112</v>
      </c>
      <c r="AC416" s="21" t="s">
        <v>78</v>
      </c>
      <c r="AD416" s="21" t="s">
        <v>78</v>
      </c>
      <c r="AE416" s="17"/>
      <c r="AF416" s="17"/>
      <c r="AG416" s="15"/>
      <c r="AI416" s="42">
        <f t="shared" ca="1" si="66"/>
        <v>1162</v>
      </c>
      <c r="AJ416" s="42">
        <f t="shared" ca="1" si="63"/>
        <v>1092</v>
      </c>
      <c r="AK416" s="13"/>
      <c r="AL416" s="36" t="str">
        <f t="shared" si="67"/>
        <v>Aborted</v>
      </c>
      <c r="AM416" s="37">
        <v>44502</v>
      </c>
      <c r="AN416" s="37">
        <v>44502</v>
      </c>
      <c r="AO416" s="37" t="s">
        <v>65</v>
      </c>
      <c r="AP416" s="37">
        <v>44502</v>
      </c>
      <c r="AQ416" s="38"/>
      <c r="AR416" s="38"/>
      <c r="AS416" s="38"/>
      <c r="AT416" s="38"/>
      <c r="AU416" s="38"/>
      <c r="AV416" s="38"/>
      <c r="AW416" s="38">
        <v>44496</v>
      </c>
      <c r="AX416" s="38">
        <v>44530</v>
      </c>
      <c r="AY416" s="38">
        <v>44572</v>
      </c>
      <c r="AZ416" s="38"/>
      <c r="BA416" s="39">
        <f t="shared" si="60"/>
        <v>0.33333333333333331</v>
      </c>
      <c r="BB416" s="38"/>
      <c r="BC416" s="11" t="s">
        <v>7</v>
      </c>
    </row>
    <row r="417" spans="2:55" x14ac:dyDescent="0.35">
      <c r="B417" s="16">
        <f>IF(D417=$A$516,1,IF(D417=$A$517,2,IF(D417=$A$518,3,IF(D417=$A$519,4,IF(D417=$A$520,5,IF(D417=$A$521,6))))))</f>
        <v>5</v>
      </c>
      <c r="D417" s="20" t="str">
        <f t="shared" si="68"/>
        <v>abt</v>
      </c>
      <c r="E417" s="20" t="s">
        <v>791</v>
      </c>
      <c r="F417" s="13"/>
      <c r="G417" s="13" t="s">
        <v>278</v>
      </c>
      <c r="H417" s="14" t="s">
        <v>792</v>
      </c>
      <c r="I417" s="13">
        <v>107110</v>
      </c>
      <c r="J417" s="13" t="s">
        <v>83</v>
      </c>
      <c r="K417" s="15" t="s">
        <v>793</v>
      </c>
      <c r="L417" s="15"/>
      <c r="M417" s="15"/>
      <c r="N417" s="15"/>
      <c r="O417" s="15"/>
      <c r="P417" s="15"/>
      <c r="Q417" s="15"/>
      <c r="S417" s="35" t="s">
        <v>77</v>
      </c>
      <c r="T417" s="13">
        <v>2021</v>
      </c>
      <c r="U417" s="17">
        <v>2.1</v>
      </c>
      <c r="V417" s="17">
        <v>-0.113</v>
      </c>
      <c r="W417" s="36">
        <f>+V417/U417</f>
        <v>-5.3809523809523807E-2</v>
      </c>
      <c r="X417" s="17">
        <v>-0.13200000000000001</v>
      </c>
      <c r="Y417" s="17" t="s">
        <v>236</v>
      </c>
      <c r="AA417" s="15" t="s">
        <v>99</v>
      </c>
      <c r="AB417" s="17" t="s">
        <v>461</v>
      </c>
      <c r="AC417" s="21" t="s">
        <v>78</v>
      </c>
      <c r="AD417" s="21" t="s">
        <v>78</v>
      </c>
      <c r="AE417" s="17" t="s">
        <v>128</v>
      </c>
      <c r="AF417" s="76"/>
      <c r="AG417" s="20"/>
      <c r="AI417" s="42">
        <f t="shared" ca="1" si="66"/>
        <v>731</v>
      </c>
      <c r="AJ417" s="42">
        <f t="shared" ca="1" si="63"/>
        <v>637</v>
      </c>
      <c r="AK417" s="13" t="s">
        <v>87</v>
      </c>
      <c r="AL417" s="36" t="str">
        <f t="shared" si="67"/>
        <v>Aborted</v>
      </c>
      <c r="AM417" s="37">
        <v>44933</v>
      </c>
      <c r="AN417" s="37">
        <v>44933</v>
      </c>
      <c r="AO417" s="37" t="s">
        <v>65</v>
      </c>
      <c r="AP417" s="37">
        <v>44896</v>
      </c>
      <c r="AQ417" s="38">
        <v>44942</v>
      </c>
      <c r="AR417" s="38" t="s">
        <v>65</v>
      </c>
      <c r="AS417" s="38">
        <v>44979</v>
      </c>
      <c r="AT417" s="38"/>
      <c r="AU417" s="38"/>
      <c r="AV417" s="38"/>
      <c r="AW417" s="38">
        <v>44981</v>
      </c>
      <c r="AX417" s="38">
        <v>44992</v>
      </c>
      <c r="AY417" s="38">
        <v>45027</v>
      </c>
      <c r="AZ417" s="38"/>
      <c r="BA417" s="39">
        <f t="shared" si="60"/>
        <v>0.66666666666666663</v>
      </c>
      <c r="BB417" s="38"/>
      <c r="BC417" s="11" t="s">
        <v>7</v>
      </c>
    </row>
    <row r="418" spans="2:55" x14ac:dyDescent="0.35">
      <c r="B418" s="16">
        <f>IF(D418=$A$516,1,IF(D418=$A$517,2,IF(D418=$A$518,3,IF(D418=$A$519,4,IF(D418=$A$520,5,IF(D418=$A$521,6))))))</f>
        <v>5</v>
      </c>
      <c r="D418" s="20" t="str">
        <f t="shared" si="68"/>
        <v>abt</v>
      </c>
      <c r="E418" s="12" t="s">
        <v>1378</v>
      </c>
      <c r="F418" s="14"/>
      <c r="G418" s="13" t="s">
        <v>130</v>
      </c>
      <c r="H418" s="14" t="s">
        <v>1379</v>
      </c>
      <c r="I418" s="13">
        <v>477110</v>
      </c>
      <c r="J418" s="13" t="s">
        <v>587</v>
      </c>
      <c r="K418" s="15" t="s">
        <v>1369</v>
      </c>
      <c r="L418" s="15" t="s">
        <v>1380</v>
      </c>
      <c r="M418" s="15"/>
      <c r="N418" s="15"/>
      <c r="O418" s="15"/>
      <c r="P418" s="15"/>
      <c r="Q418" s="15"/>
      <c r="S418" s="35" t="s">
        <v>77</v>
      </c>
      <c r="T418" s="13">
        <v>2019</v>
      </c>
      <c r="U418" s="17">
        <v>5.0789999999999997</v>
      </c>
      <c r="V418" s="17">
        <v>0.873</v>
      </c>
      <c r="W418" s="36">
        <f>+V418/U418</f>
        <v>0.17188422917897225</v>
      </c>
      <c r="X418" s="17">
        <v>-0.65400000000000003</v>
      </c>
      <c r="Y418" s="17">
        <v>-0.33</v>
      </c>
      <c r="AA418" s="15" t="s">
        <v>590</v>
      </c>
      <c r="AB418" s="17" t="s">
        <v>1112</v>
      </c>
      <c r="AC418" s="21" t="s">
        <v>78</v>
      </c>
      <c r="AD418" s="17" t="s">
        <v>78</v>
      </c>
      <c r="AE418" s="17" t="s">
        <v>62</v>
      </c>
      <c r="AF418" s="17"/>
      <c r="AG418" s="15"/>
      <c r="AI418" s="42">
        <f t="shared" ca="1" si="66"/>
        <v>1333</v>
      </c>
      <c r="AJ418" s="42">
        <f t="shared" ca="1" si="63"/>
        <v>1155</v>
      </c>
      <c r="AK418" s="13"/>
      <c r="AL418" s="36" t="str">
        <f t="shared" si="67"/>
        <v>Aborted</v>
      </c>
      <c r="AM418" s="37">
        <v>44331</v>
      </c>
      <c r="AN418" s="37">
        <v>44331</v>
      </c>
      <c r="AO418" s="37" t="s">
        <v>65</v>
      </c>
      <c r="AP418" s="37">
        <v>44343</v>
      </c>
      <c r="AQ418" s="38">
        <v>44343</v>
      </c>
      <c r="AR418" s="38" t="s">
        <v>65</v>
      </c>
      <c r="AS418" s="38">
        <v>44362</v>
      </c>
      <c r="AT418" s="38"/>
      <c r="AU418" s="38"/>
      <c r="AV418" s="38"/>
      <c r="AW418" s="38">
        <v>44470</v>
      </c>
      <c r="AX418" s="38">
        <v>44397</v>
      </c>
      <c r="AY418" s="38">
        <v>44509</v>
      </c>
      <c r="AZ418" s="38"/>
      <c r="BA418" s="39">
        <f t="shared" si="60"/>
        <v>0.66666666666666663</v>
      </c>
      <c r="BB418" s="38"/>
      <c r="BC418" s="11" t="s">
        <v>7</v>
      </c>
    </row>
    <row r="419" spans="2:55" x14ac:dyDescent="0.35">
      <c r="B419" s="16">
        <f>IF(D419=$A$516,1,IF(D419=$A$517,2,IF(D419=$A$518,3,IF(D419=$A$519,4,IF(D419=$A$520,5,IF(D419=$A$521,6))))))</f>
        <v>5</v>
      </c>
      <c r="D419" s="20" t="str">
        <f t="shared" si="68"/>
        <v>abt</v>
      </c>
      <c r="E419" s="20" t="s">
        <v>903</v>
      </c>
      <c r="F419" s="14"/>
      <c r="G419" s="14" t="s">
        <v>174</v>
      </c>
      <c r="H419" s="14" t="s">
        <v>904</v>
      </c>
      <c r="I419" s="13">
        <v>310910</v>
      </c>
      <c r="J419" s="13" t="s">
        <v>750</v>
      </c>
      <c r="K419" s="15" t="s">
        <v>905</v>
      </c>
      <c r="L419" s="15"/>
      <c r="M419" s="15"/>
      <c r="N419" s="15"/>
      <c r="O419" s="15"/>
      <c r="P419" s="15"/>
      <c r="Q419" s="15"/>
      <c r="S419" s="35" t="s">
        <v>144</v>
      </c>
      <c r="T419" s="13">
        <v>2021</v>
      </c>
      <c r="U419" s="17">
        <v>53.2</v>
      </c>
      <c r="V419" s="17">
        <v>8.4</v>
      </c>
      <c r="W419" s="36">
        <f>+V419/U419</f>
        <v>0.15789473684210525</v>
      </c>
      <c r="X419" s="17"/>
      <c r="Y419" s="17">
        <v>-4.7</v>
      </c>
      <c r="AA419" s="15" t="s">
        <v>99</v>
      </c>
      <c r="AB419" s="17" t="s">
        <v>312</v>
      </c>
      <c r="AC419" s="21" t="s">
        <v>61</v>
      </c>
      <c r="AD419" s="21" t="s">
        <v>61</v>
      </c>
      <c r="AE419" s="17" t="s">
        <v>128</v>
      </c>
      <c r="AF419" s="17"/>
      <c r="AG419" s="15"/>
      <c r="AI419" s="42">
        <f t="shared" ca="1" si="66"/>
        <v>718</v>
      </c>
      <c r="AJ419" s="42">
        <f t="shared" ca="1" si="63"/>
        <v>680</v>
      </c>
      <c r="AK419" s="13" t="s">
        <v>87</v>
      </c>
      <c r="AL419" s="36" t="str">
        <f t="shared" si="67"/>
        <v>Aborted</v>
      </c>
      <c r="AM419" s="37">
        <v>44946</v>
      </c>
      <c r="AN419" s="75">
        <v>44984</v>
      </c>
      <c r="AO419" s="37" t="s">
        <v>65</v>
      </c>
      <c r="AP419" s="37"/>
      <c r="AQ419" s="38"/>
      <c r="AR419" s="38"/>
      <c r="AS419" s="38"/>
      <c r="AT419" s="38"/>
      <c r="AU419" s="38"/>
      <c r="AV419" s="38"/>
      <c r="AW419" s="38">
        <v>44984</v>
      </c>
      <c r="AX419" s="38"/>
      <c r="AY419" s="38">
        <v>44984</v>
      </c>
      <c r="AZ419" s="38"/>
      <c r="BA419" s="39">
        <f t="shared" si="60"/>
        <v>0.22222222222222221</v>
      </c>
      <c r="BB419" s="38"/>
      <c r="BC419" s="11" t="s">
        <v>7</v>
      </c>
    </row>
    <row r="420" spans="2:55" x14ac:dyDescent="0.35">
      <c r="B420" s="16">
        <f>IF(D420=$A$516,1,IF(D420=$A$517,2,IF(D420=$A$518,3,IF(D420=$A$519,4,IF(D420=$A$520,5,IF(D420=$A$521,6))))))</f>
        <v>5</v>
      </c>
      <c r="D420" s="20" t="str">
        <f t="shared" si="68"/>
        <v>abt</v>
      </c>
      <c r="E420" s="20" t="s">
        <v>637</v>
      </c>
      <c r="F420" s="13"/>
      <c r="G420" s="13" t="s">
        <v>91</v>
      </c>
      <c r="H420" s="13"/>
      <c r="I420" s="13"/>
      <c r="J420" s="13"/>
      <c r="K420" s="15" t="s">
        <v>638</v>
      </c>
      <c r="L420" s="15" t="s">
        <v>639</v>
      </c>
      <c r="M420" s="15"/>
      <c r="N420" s="15"/>
      <c r="O420" s="15"/>
      <c r="P420" s="15"/>
      <c r="Q420" s="15"/>
      <c r="S420" s="17"/>
      <c r="T420" s="13"/>
      <c r="U420" s="17"/>
      <c r="V420" s="17"/>
      <c r="W420" s="36"/>
      <c r="X420" s="17"/>
      <c r="Y420" s="17"/>
      <c r="AA420" s="15" t="s">
        <v>140</v>
      </c>
      <c r="AB420" s="15"/>
      <c r="AC420" s="21" t="s">
        <v>78</v>
      </c>
      <c r="AD420" s="21" t="s">
        <v>78</v>
      </c>
      <c r="AE420" s="13" t="s">
        <v>86</v>
      </c>
      <c r="AF420" s="17" t="s">
        <v>128</v>
      </c>
      <c r="AG420" s="15" t="s">
        <v>435</v>
      </c>
      <c r="AI420" s="42">
        <f t="shared" ca="1" si="66"/>
        <v>498</v>
      </c>
      <c r="AJ420" s="42">
        <f t="shared" ca="1" si="63"/>
        <v>481</v>
      </c>
      <c r="AK420" s="13" t="s">
        <v>720</v>
      </c>
      <c r="AL420" s="36" t="str">
        <f t="shared" si="67"/>
        <v>Aborted</v>
      </c>
      <c r="AM420" s="37">
        <v>45166</v>
      </c>
      <c r="AN420" s="75">
        <v>45181</v>
      </c>
      <c r="AO420" s="37" t="s">
        <v>65</v>
      </c>
      <c r="AP420" s="37">
        <v>45181</v>
      </c>
      <c r="AQ420" s="38"/>
      <c r="AR420" s="38"/>
      <c r="AS420" s="38"/>
      <c r="AT420" s="38"/>
      <c r="AU420" s="38"/>
      <c r="AV420" s="38"/>
      <c r="AW420" s="38">
        <v>45183</v>
      </c>
      <c r="AX420" s="38">
        <v>45183</v>
      </c>
      <c r="AY420" s="38">
        <v>45183</v>
      </c>
      <c r="AZ420" s="38"/>
      <c r="BA420" s="39">
        <f t="shared" si="60"/>
        <v>0.33333333333333331</v>
      </c>
      <c r="BB420" s="38"/>
      <c r="BC420" s="11" t="s">
        <v>7</v>
      </c>
    </row>
    <row r="421" spans="2:55" x14ac:dyDescent="0.35">
      <c r="B421" s="16">
        <f>IF(D421=$A$516,1,IF(D421=$A$517,2,IF(D421=$A$518,3,IF(D421=$A$519,4,IF(D421=$A$520,5,IF(D421=$A$521,6))))))</f>
        <v>5</v>
      </c>
      <c r="D421" s="20" t="str">
        <f t="shared" si="68"/>
        <v>abt</v>
      </c>
      <c r="E421" s="20" t="s">
        <v>1149</v>
      </c>
      <c r="F421" s="13"/>
      <c r="G421" s="13" t="s">
        <v>68</v>
      </c>
      <c r="H421" s="14" t="s">
        <v>1150</v>
      </c>
      <c r="I421" s="13">
        <v>259000</v>
      </c>
      <c r="J421" s="13" t="s">
        <v>111</v>
      </c>
      <c r="K421" s="15" t="s">
        <v>1151</v>
      </c>
      <c r="L421" s="15" t="s">
        <v>299</v>
      </c>
      <c r="M421" s="15"/>
      <c r="N421" s="15"/>
      <c r="O421" s="15"/>
      <c r="P421" s="15"/>
      <c r="Q421" s="15"/>
      <c r="S421" s="35" t="s">
        <v>77</v>
      </c>
      <c r="T421" s="13">
        <v>2021</v>
      </c>
      <c r="U421" s="17">
        <v>39.5</v>
      </c>
      <c r="V421" s="17">
        <v>6</v>
      </c>
      <c r="W421" s="36">
        <f>+V421/U421</f>
        <v>0.15189873417721519</v>
      </c>
      <c r="X421" s="17">
        <v>2.1</v>
      </c>
      <c r="Y421" s="17">
        <v>-9.9</v>
      </c>
      <c r="AA421" s="15" t="s">
        <v>299</v>
      </c>
      <c r="AB421" s="17"/>
      <c r="AC421" s="21" t="s">
        <v>61</v>
      </c>
      <c r="AD421" s="17" t="s">
        <v>61</v>
      </c>
      <c r="AE421" s="17" t="s">
        <v>986</v>
      </c>
      <c r="AF421" s="17"/>
      <c r="AG421" s="15"/>
      <c r="AI421" s="42">
        <f t="shared" ca="1" si="66"/>
        <v>968</v>
      </c>
      <c r="AJ421" s="42">
        <f t="shared" ca="1" si="63"/>
        <v>840</v>
      </c>
      <c r="AK421" s="13"/>
      <c r="AL421" s="36" t="str">
        <f t="shared" si="67"/>
        <v>Aborted</v>
      </c>
      <c r="AM421" s="37">
        <v>44696</v>
      </c>
      <c r="AN421" s="37">
        <v>44754</v>
      </c>
      <c r="AO421" s="37">
        <v>44824</v>
      </c>
      <c r="AP421" s="37">
        <v>44824</v>
      </c>
      <c r="AQ421" s="38"/>
      <c r="AR421" s="38"/>
      <c r="AS421" s="38"/>
      <c r="AT421" s="38"/>
      <c r="AU421" s="38"/>
      <c r="AV421" s="38"/>
      <c r="AW421" s="38">
        <v>44824</v>
      </c>
      <c r="AX421" s="38"/>
      <c r="AY421" s="37">
        <v>44824</v>
      </c>
      <c r="AZ421" s="38"/>
      <c r="BA421" s="39">
        <f t="shared" si="60"/>
        <v>0.33333333333333331</v>
      </c>
      <c r="BB421" s="38"/>
      <c r="BC421" s="11" t="s">
        <v>7</v>
      </c>
    </row>
    <row r="422" spans="2:55" x14ac:dyDescent="0.35">
      <c r="B422" s="16">
        <f>IF(D422=$A$516,1,IF(D422=$A$517,2,IF(D422=$A$518,3,IF(D422=$A$519,4,IF(D422=$A$520,5,IF(D422=$A$521,6))))))</f>
        <v>5</v>
      </c>
      <c r="D422" s="20" t="str">
        <f t="shared" si="68"/>
        <v>abt</v>
      </c>
      <c r="E422" s="15" t="s">
        <v>896</v>
      </c>
      <c r="F422" s="14"/>
      <c r="G422" s="13"/>
      <c r="H422" s="14"/>
      <c r="I422" s="13"/>
      <c r="J422" s="13"/>
      <c r="K422" s="15" t="s">
        <v>897</v>
      </c>
      <c r="L422" s="15" t="s">
        <v>898</v>
      </c>
      <c r="M422" s="15"/>
      <c r="N422" s="15"/>
      <c r="O422" s="15"/>
      <c r="P422" s="15"/>
      <c r="Q422" s="15"/>
      <c r="S422" s="35"/>
      <c r="T422" s="13"/>
      <c r="U422" s="17"/>
      <c r="V422" s="17"/>
      <c r="W422" s="36"/>
      <c r="X422" s="17"/>
      <c r="Y422" s="17"/>
      <c r="AA422" s="15" t="s">
        <v>99</v>
      </c>
      <c r="AB422" s="17" t="s">
        <v>600</v>
      </c>
      <c r="AC422" s="21" t="s">
        <v>78</v>
      </c>
      <c r="AD422" s="21" t="s">
        <v>78</v>
      </c>
      <c r="AE422" s="17" t="s">
        <v>79</v>
      </c>
      <c r="AF422" s="17"/>
      <c r="AG422" s="15"/>
      <c r="AH422" s="677">
        <v>1</v>
      </c>
      <c r="AI422" s="42">
        <f t="shared" ca="1" si="66"/>
        <v>845</v>
      </c>
      <c r="AJ422" s="42">
        <f t="shared" ca="1" si="63"/>
        <v>665</v>
      </c>
      <c r="AK422" s="13" t="s">
        <v>70</v>
      </c>
      <c r="AL422" s="36" t="str">
        <f t="shared" si="67"/>
        <v>Aborted</v>
      </c>
      <c r="AM422" s="37">
        <v>44819</v>
      </c>
      <c r="AN422" s="75">
        <f>+AM422</f>
        <v>44819</v>
      </c>
      <c r="AO422" s="37" t="s">
        <v>65</v>
      </c>
      <c r="AP422" s="37" t="s">
        <v>65</v>
      </c>
      <c r="AQ422" s="38">
        <f>+AN422</f>
        <v>44819</v>
      </c>
      <c r="AR422" s="38">
        <v>44890</v>
      </c>
      <c r="AS422" s="38">
        <v>44907</v>
      </c>
      <c r="AT422" s="38"/>
      <c r="AU422" s="38"/>
      <c r="AV422" s="38"/>
      <c r="AW422" s="38">
        <v>44907</v>
      </c>
      <c r="AX422" s="38">
        <v>44908</v>
      </c>
      <c r="AY422" s="38">
        <v>44999</v>
      </c>
      <c r="AZ422" s="38"/>
      <c r="BA422" s="39">
        <f t="shared" si="60"/>
        <v>0.66666666666666663</v>
      </c>
      <c r="BB422" s="38"/>
      <c r="BC422" s="11" t="s">
        <v>7</v>
      </c>
    </row>
    <row r="423" spans="2:55" x14ac:dyDescent="0.35">
      <c r="B423" s="16">
        <f>IF(D423=$A$516,1,IF(D423=$A$517,2,IF(D423=$A$518,3,IF(D423=$A$519,4,IF(D423=$A$520,5,IF(D423=$A$521,6))))))</f>
        <v>5</v>
      </c>
      <c r="D423" s="20" t="str">
        <f t="shared" si="68"/>
        <v>abt</v>
      </c>
      <c r="E423" s="12" t="s">
        <v>663</v>
      </c>
      <c r="F423" s="13"/>
      <c r="G423" s="13" t="s">
        <v>437</v>
      </c>
      <c r="H423" s="14"/>
      <c r="I423" s="13"/>
      <c r="J423" s="13" t="s">
        <v>111</v>
      </c>
      <c r="K423" s="15" t="s">
        <v>664</v>
      </c>
      <c r="L423" s="15"/>
      <c r="M423" s="15"/>
      <c r="N423" s="15"/>
      <c r="O423" s="15"/>
      <c r="P423" s="15"/>
      <c r="Q423" s="15"/>
      <c r="S423" s="35"/>
      <c r="T423" s="13">
        <v>2021</v>
      </c>
      <c r="U423" s="17">
        <v>800</v>
      </c>
      <c r="V423" s="17"/>
      <c r="W423" s="36">
        <f t="shared" ref="W423:W430" si="69">+V423/U423</f>
        <v>0</v>
      </c>
      <c r="X423" s="17"/>
      <c r="Y423" s="17"/>
      <c r="AA423" s="15" t="s">
        <v>99</v>
      </c>
      <c r="AB423" s="17"/>
      <c r="AC423" s="21" t="s">
        <v>61</v>
      </c>
      <c r="AD423" s="21" t="s">
        <v>61</v>
      </c>
      <c r="AE423" s="61" t="s">
        <v>62</v>
      </c>
      <c r="AF423" s="17" t="s">
        <v>313</v>
      </c>
      <c r="AG423" s="15"/>
      <c r="AI423" s="42">
        <f t="shared" ca="1" si="66"/>
        <v>600</v>
      </c>
      <c r="AJ423" s="42">
        <f t="shared" ca="1" si="63"/>
        <v>483</v>
      </c>
      <c r="AK423" s="13" t="s">
        <v>64</v>
      </c>
      <c r="AL423" s="36" t="str">
        <f t="shared" si="67"/>
        <v>Aborted</v>
      </c>
      <c r="AM423" s="37">
        <v>45064</v>
      </c>
      <c r="AN423" s="37">
        <v>45064</v>
      </c>
      <c r="AO423" s="37" t="s">
        <v>65</v>
      </c>
      <c r="AP423" s="37"/>
      <c r="AQ423" s="38"/>
      <c r="AR423" s="38"/>
      <c r="AS423" s="38"/>
      <c r="AT423" s="38"/>
      <c r="AU423" s="38"/>
      <c r="AV423" s="38"/>
      <c r="AW423" s="38">
        <v>45181</v>
      </c>
      <c r="AX423" s="38">
        <v>45097</v>
      </c>
      <c r="AY423" s="38">
        <v>45181</v>
      </c>
      <c r="AZ423" s="38"/>
      <c r="BA423" s="39">
        <f t="shared" si="60"/>
        <v>0.22222222222222221</v>
      </c>
      <c r="BB423" s="38"/>
      <c r="BC423" s="11" t="s">
        <v>7</v>
      </c>
    </row>
    <row r="424" spans="2:55" x14ac:dyDescent="0.35">
      <c r="B424" s="16">
        <f>IF(D424=$A$516,1,IF(D424=$A$517,2,IF(D424=$A$518,3,IF(D424=$A$519,4,IF(D424=$A$520,5,IF(D424=$A$521,6))))))</f>
        <v>5</v>
      </c>
      <c r="D424" s="20" t="str">
        <f t="shared" si="68"/>
        <v>abt</v>
      </c>
      <c r="E424" s="20" t="s">
        <v>630</v>
      </c>
      <c r="F424" s="13" t="s">
        <v>158</v>
      </c>
      <c r="G424" s="13" t="s">
        <v>159</v>
      </c>
      <c r="H424" s="14" t="s">
        <v>160</v>
      </c>
      <c r="I424" s="13"/>
      <c r="J424" s="13" t="s">
        <v>111</v>
      </c>
      <c r="K424" s="15" t="s">
        <v>161</v>
      </c>
      <c r="L424" s="15" t="s">
        <v>162</v>
      </c>
      <c r="M424" s="15"/>
      <c r="N424" s="15"/>
      <c r="O424" s="15"/>
      <c r="P424" s="15"/>
      <c r="Q424" s="15"/>
      <c r="S424" s="35" t="s">
        <v>77</v>
      </c>
      <c r="T424" s="13">
        <v>2021</v>
      </c>
      <c r="U424" s="17">
        <v>1360.345</v>
      </c>
      <c r="V424" s="17">
        <v>0.44900000000000001</v>
      </c>
      <c r="W424" s="36">
        <f t="shared" si="69"/>
        <v>3.3006332952302542E-4</v>
      </c>
      <c r="X424" s="17">
        <v>-8.6199999999999992</v>
      </c>
      <c r="Y424" s="17">
        <v>289.79700000000003</v>
      </c>
      <c r="AA424" s="15" t="s">
        <v>99</v>
      </c>
      <c r="AB424" s="17" t="s">
        <v>163</v>
      </c>
      <c r="AC424" s="21" t="s">
        <v>153</v>
      </c>
      <c r="AD424" s="21" t="s">
        <v>153</v>
      </c>
      <c r="AE424" s="17" t="s">
        <v>154</v>
      </c>
      <c r="AF424" s="17" t="s">
        <v>155</v>
      </c>
      <c r="AG424" s="15"/>
      <c r="AI424" s="42">
        <f t="shared" ca="1" si="66"/>
        <v>1286</v>
      </c>
      <c r="AJ424" s="42">
        <f t="shared" ca="1" si="63"/>
        <v>615</v>
      </c>
      <c r="AK424" s="13" t="s">
        <v>70</v>
      </c>
      <c r="AL424" s="36" t="str">
        <f t="shared" si="67"/>
        <v>Aborted</v>
      </c>
      <c r="AM424" s="37">
        <v>44378</v>
      </c>
      <c r="AN424" s="37">
        <f>+AM424</f>
        <v>44378</v>
      </c>
      <c r="AO424" s="37" t="s">
        <v>65</v>
      </c>
      <c r="AP424" s="37" t="s">
        <v>65</v>
      </c>
      <c r="AQ424" s="38">
        <f>+AN424</f>
        <v>44378</v>
      </c>
      <c r="AR424" s="38" t="s">
        <v>65</v>
      </c>
      <c r="AS424" s="38" t="s">
        <v>65</v>
      </c>
      <c r="AT424" s="38" t="s">
        <v>65</v>
      </c>
      <c r="AU424" s="38" t="s">
        <v>65</v>
      </c>
      <c r="AV424" s="38">
        <v>44644</v>
      </c>
      <c r="AW424" s="38"/>
      <c r="AX424" s="38">
        <v>45048</v>
      </c>
      <c r="AY424" s="38">
        <v>45049</v>
      </c>
      <c r="AZ424" s="38"/>
      <c r="BA424" s="39">
        <f t="shared" si="60"/>
        <v>1</v>
      </c>
      <c r="BB424" s="38"/>
      <c r="BC424" s="11" t="s">
        <v>7</v>
      </c>
    </row>
    <row r="425" spans="2:55" x14ac:dyDescent="0.35">
      <c r="B425" s="16">
        <f>IF(D425=$A$516,1,IF(D425=$A$517,2,IF(D425=$A$518,3,IF(D425=$A$519,4,IF(D425=$A$520,5,IF(D425=$A$521,6))))))</f>
        <v>5</v>
      </c>
      <c r="D425" s="20" t="str">
        <f t="shared" si="68"/>
        <v>abt</v>
      </c>
      <c r="E425" s="12" t="s">
        <v>443</v>
      </c>
      <c r="F425" s="13"/>
      <c r="G425" s="13" t="s">
        <v>444</v>
      </c>
      <c r="H425" s="14" t="s">
        <v>445</v>
      </c>
      <c r="I425" s="13"/>
      <c r="J425" s="13" t="s">
        <v>111</v>
      </c>
      <c r="K425" s="15" t="s">
        <v>446</v>
      </c>
      <c r="L425" s="15" t="s">
        <v>447</v>
      </c>
      <c r="M425" s="15"/>
      <c r="N425" s="15"/>
      <c r="O425" s="15"/>
      <c r="P425" s="15"/>
      <c r="Q425" s="15"/>
      <c r="S425" s="17" t="s">
        <v>77</v>
      </c>
      <c r="T425" s="13">
        <v>2022</v>
      </c>
      <c r="U425" s="17">
        <v>5.3289999999999997</v>
      </c>
      <c r="V425" s="17">
        <v>2.488</v>
      </c>
      <c r="W425" s="36">
        <f t="shared" si="69"/>
        <v>0.46687933946331395</v>
      </c>
      <c r="X425" s="17">
        <v>1.659</v>
      </c>
      <c r="Y425" s="17">
        <v>-1.3140000000000001</v>
      </c>
      <c r="AA425" s="15" t="s">
        <v>140</v>
      </c>
      <c r="AB425" s="15"/>
      <c r="AC425" s="21"/>
      <c r="AD425" s="21" t="s">
        <v>78</v>
      </c>
      <c r="AE425" s="13" t="s">
        <v>62</v>
      </c>
      <c r="AF425" s="17" t="s">
        <v>79</v>
      </c>
      <c r="AG425" s="15" t="s">
        <v>318</v>
      </c>
      <c r="AH425" s="677">
        <v>1</v>
      </c>
      <c r="AI425" s="42">
        <f t="shared" ca="1" si="66"/>
        <v>495</v>
      </c>
      <c r="AJ425" s="42">
        <f t="shared" ca="1" si="63"/>
        <v>365</v>
      </c>
      <c r="AK425" s="13"/>
      <c r="AL425" s="36" t="str">
        <f t="shared" si="67"/>
        <v>Aborted</v>
      </c>
      <c r="AM425" s="37">
        <v>45169</v>
      </c>
      <c r="AN425" s="37">
        <v>45170</v>
      </c>
      <c r="AO425" s="37" t="s">
        <v>65</v>
      </c>
      <c r="AP425" s="37">
        <v>45170</v>
      </c>
      <c r="AQ425" s="38">
        <v>45174</v>
      </c>
      <c r="AR425" s="38"/>
      <c r="AS425" s="38"/>
      <c r="AT425" s="38"/>
      <c r="AU425" s="38"/>
      <c r="AV425" s="38"/>
      <c r="AW425" s="38">
        <v>45174</v>
      </c>
      <c r="AX425" s="38">
        <v>45181</v>
      </c>
      <c r="AY425" s="38">
        <v>45299</v>
      </c>
      <c r="AZ425" s="38"/>
      <c r="BA425" s="39">
        <f t="shared" si="60"/>
        <v>0.44444444444444442</v>
      </c>
      <c r="BB425" s="38"/>
      <c r="BC425" s="11" t="s">
        <v>7</v>
      </c>
    </row>
    <row r="426" spans="2:55" x14ac:dyDescent="0.35">
      <c r="B426" s="16">
        <f>IF(D426=$A$516,1,IF(D426=$A$517,2,IF(D426=$A$518,3,IF(D426=$A$519,4,IF(D426=$A$520,5,IF(D426=$A$521,6))))))</f>
        <v>5</v>
      </c>
      <c r="D426" s="20" t="str">
        <f t="shared" si="68"/>
        <v>abt</v>
      </c>
      <c r="E426" s="12" t="s">
        <v>864</v>
      </c>
      <c r="F426" s="13"/>
      <c r="G426" s="13" t="s">
        <v>68</v>
      </c>
      <c r="H426" s="14" t="s">
        <v>865</v>
      </c>
      <c r="I426" s="13">
        <v>108200</v>
      </c>
      <c r="J426" s="13" t="s">
        <v>83</v>
      </c>
      <c r="K426" s="15" t="s">
        <v>866</v>
      </c>
      <c r="L426" s="15"/>
      <c r="M426" s="15"/>
      <c r="N426" s="15"/>
      <c r="O426" s="15"/>
      <c r="P426" s="15"/>
      <c r="Q426" s="15"/>
      <c r="S426" s="35" t="s">
        <v>77</v>
      </c>
      <c r="T426" s="13">
        <v>2020</v>
      </c>
      <c r="U426" s="17">
        <v>3.8</v>
      </c>
      <c r="V426" s="17">
        <v>0.36</v>
      </c>
      <c r="W426" s="36">
        <f t="shared" si="69"/>
        <v>9.4736842105263161E-2</v>
      </c>
      <c r="X426" s="17">
        <v>0.106</v>
      </c>
      <c r="Y426" s="17">
        <v>-0.27200000000000002</v>
      </c>
      <c r="AA426" s="15" t="s">
        <v>99</v>
      </c>
      <c r="AB426" s="17" t="s">
        <v>460</v>
      </c>
      <c r="AC426" s="21" t="s">
        <v>61</v>
      </c>
      <c r="AD426" s="21" t="s">
        <v>61</v>
      </c>
      <c r="AE426" s="17" t="s">
        <v>62</v>
      </c>
      <c r="AF426" s="17"/>
      <c r="AG426" s="15"/>
      <c r="AI426" s="42">
        <f t="shared" ca="1" si="66"/>
        <v>1070</v>
      </c>
      <c r="AJ426" s="42">
        <f t="shared" ca="1" si="63"/>
        <v>637</v>
      </c>
      <c r="AK426" s="13" t="s">
        <v>87</v>
      </c>
      <c r="AL426" s="36" t="str">
        <f t="shared" si="67"/>
        <v>Aborted</v>
      </c>
      <c r="AM426" s="37">
        <v>44594</v>
      </c>
      <c r="AN426" s="75">
        <v>44594</v>
      </c>
      <c r="AO426" s="37" t="s">
        <v>65</v>
      </c>
      <c r="AP426" s="37" t="s">
        <v>65</v>
      </c>
      <c r="AQ426" s="38">
        <v>44700</v>
      </c>
      <c r="AR426" s="38">
        <v>44708</v>
      </c>
      <c r="AS426" s="38">
        <v>44777</v>
      </c>
      <c r="AT426" s="38"/>
      <c r="AU426" s="38"/>
      <c r="AV426" s="38"/>
      <c r="AW426" s="38">
        <v>44803</v>
      </c>
      <c r="AX426" s="38">
        <v>44824</v>
      </c>
      <c r="AY426" s="38">
        <v>45027</v>
      </c>
      <c r="AZ426" s="38"/>
      <c r="BA426" s="39">
        <f t="shared" si="60"/>
        <v>0.66666666666666663</v>
      </c>
      <c r="BB426" s="38"/>
      <c r="BC426" s="11" t="s">
        <v>7</v>
      </c>
    </row>
    <row r="427" spans="2:55" x14ac:dyDescent="0.35">
      <c r="B427" s="16">
        <f>IF(D427=$A$516,1,IF(D427=$A$517,2,IF(D427=$A$518,3,IF(D427=$A$519,4,IF(D427=$A$520,5,IF(D427=$A$521,6))))))</f>
        <v>5</v>
      </c>
      <c r="D427" s="20" t="str">
        <f t="shared" si="68"/>
        <v>abt</v>
      </c>
      <c r="E427" s="20" t="s">
        <v>1363</v>
      </c>
      <c r="F427" s="13"/>
      <c r="G427" s="13" t="s">
        <v>326</v>
      </c>
      <c r="H427" s="14" t="s">
        <v>1364</v>
      </c>
      <c r="I427" s="13">
        <v>861000</v>
      </c>
      <c r="J427" s="13" t="s">
        <v>1010</v>
      </c>
      <c r="K427" s="15" t="s">
        <v>1365</v>
      </c>
      <c r="L427" s="15"/>
      <c r="M427" s="15"/>
      <c r="N427" s="15"/>
      <c r="O427" s="15"/>
      <c r="P427" s="15"/>
      <c r="Q427" s="15"/>
      <c r="S427" s="35" t="s">
        <v>1366</v>
      </c>
      <c r="T427" s="13">
        <v>2019</v>
      </c>
      <c r="U427" s="17">
        <v>95.3</v>
      </c>
      <c r="V427" s="17">
        <v>7.6</v>
      </c>
      <c r="W427" s="36">
        <f t="shared" si="69"/>
        <v>7.9748163693599161E-2</v>
      </c>
      <c r="X427" s="17">
        <v>-2.2000000000000002</v>
      </c>
      <c r="Y427" s="17">
        <v>46.2</v>
      </c>
      <c r="AA427" s="15" t="s">
        <v>60</v>
      </c>
      <c r="AB427" s="17"/>
      <c r="AC427" s="21" t="s">
        <v>61</v>
      </c>
      <c r="AD427" s="17" t="s">
        <v>61</v>
      </c>
      <c r="AE427" s="76" t="s">
        <v>562</v>
      </c>
      <c r="AF427" s="17"/>
      <c r="AG427" s="15"/>
      <c r="AI427" s="42">
        <f t="shared" ca="1" si="66"/>
        <v>1467</v>
      </c>
      <c r="AJ427" s="42">
        <f t="shared" ca="1" si="63"/>
        <v>1120</v>
      </c>
      <c r="AK427" s="13"/>
      <c r="AL427" s="36" t="str">
        <f t="shared" si="67"/>
        <v>Aborted</v>
      </c>
      <c r="AM427" s="37">
        <v>44197</v>
      </c>
      <c r="AN427" s="75">
        <f>+AM427</f>
        <v>44197</v>
      </c>
      <c r="AO427" s="37" t="s">
        <v>65</v>
      </c>
      <c r="AP427" s="37" t="s">
        <v>65</v>
      </c>
      <c r="AQ427" s="38">
        <v>44197</v>
      </c>
      <c r="AR427" s="38">
        <v>44197</v>
      </c>
      <c r="AS427" s="38">
        <v>44364</v>
      </c>
      <c r="AT427" s="38"/>
      <c r="AU427" s="38"/>
      <c r="AV427" s="38"/>
      <c r="AW427" s="38">
        <v>44502</v>
      </c>
      <c r="AX427" s="38"/>
      <c r="AY427" s="38">
        <v>44544</v>
      </c>
      <c r="AZ427" s="38"/>
      <c r="BA427" s="39">
        <f t="shared" ref="BA427:BA481" si="70">+IF(AY427="","",COUNTA(AN427:AV427)/(COUNTA(AN427:AV427)+COUNTBLANK(AN427:AV427)))</f>
        <v>0.66666666666666663</v>
      </c>
      <c r="BB427" s="38"/>
      <c r="BC427" s="11" t="s">
        <v>7</v>
      </c>
    </row>
    <row r="428" spans="2:55" x14ac:dyDescent="0.35">
      <c r="B428" s="16">
        <f>IF(D428=$A$516,1,IF(D428=$A$517,2,IF(D428=$A$518,3,IF(D428=$A$519,4,IF(D428=$A$520,5,IF(D428=$A$521,6))))))</f>
        <v>5</v>
      </c>
      <c r="D428" s="20" t="str">
        <f t="shared" si="68"/>
        <v>abt</v>
      </c>
      <c r="E428" s="20" t="s">
        <v>1048</v>
      </c>
      <c r="F428" s="13"/>
      <c r="G428" s="13" t="s">
        <v>109</v>
      </c>
      <c r="H428" s="14" t="s">
        <v>240</v>
      </c>
      <c r="I428" s="14" t="s">
        <v>240</v>
      </c>
      <c r="J428" s="13" t="s">
        <v>1049</v>
      </c>
      <c r="K428" s="15" t="s">
        <v>1050</v>
      </c>
      <c r="L428" s="15"/>
      <c r="M428" s="15"/>
      <c r="N428" s="15"/>
      <c r="O428" s="15"/>
      <c r="P428" s="15"/>
      <c r="Q428" s="15"/>
      <c r="S428" s="35" t="s">
        <v>77</v>
      </c>
      <c r="T428" s="13">
        <v>2021</v>
      </c>
      <c r="U428" s="17">
        <v>18.8</v>
      </c>
      <c r="V428" s="17">
        <v>2.89</v>
      </c>
      <c r="W428" s="36">
        <f t="shared" si="69"/>
        <v>0.15372340425531916</v>
      </c>
      <c r="X428" s="17">
        <v>1.55</v>
      </c>
      <c r="Y428" s="17">
        <v>0.13900000000000001</v>
      </c>
      <c r="AA428" s="15" t="s">
        <v>140</v>
      </c>
      <c r="AB428" s="17"/>
      <c r="AC428" s="21" t="s">
        <v>61</v>
      </c>
      <c r="AD428" s="21" t="s">
        <v>61</v>
      </c>
      <c r="AE428" s="17" t="s">
        <v>86</v>
      </c>
      <c r="AF428" s="17" t="s">
        <v>562</v>
      </c>
      <c r="AG428" s="15"/>
      <c r="AI428" s="42">
        <f t="shared" ca="1" si="66"/>
        <v>855</v>
      </c>
      <c r="AJ428" s="42">
        <f t="shared" ca="1" si="63"/>
        <v>729</v>
      </c>
      <c r="AK428" s="13"/>
      <c r="AL428" s="36" t="str">
        <f t="shared" si="67"/>
        <v>Aborted</v>
      </c>
      <c r="AM428" s="37">
        <v>44809</v>
      </c>
      <c r="AN428" s="37">
        <v>44812</v>
      </c>
      <c r="AO428" s="37" t="s">
        <v>65</v>
      </c>
      <c r="AP428" s="37"/>
      <c r="AQ428" s="38"/>
      <c r="AR428" s="38"/>
      <c r="AS428" s="38"/>
      <c r="AT428" s="38"/>
      <c r="AU428" s="38"/>
      <c r="AV428" s="38"/>
      <c r="AW428" s="38">
        <v>44830</v>
      </c>
      <c r="AX428" s="38">
        <v>44837</v>
      </c>
      <c r="AY428" s="38">
        <v>44935</v>
      </c>
      <c r="AZ428" s="38"/>
      <c r="BA428" s="39">
        <f t="shared" si="70"/>
        <v>0.22222222222222221</v>
      </c>
      <c r="BB428" s="38"/>
      <c r="BC428" s="11" t="s">
        <v>7</v>
      </c>
    </row>
    <row r="429" spans="2:55" x14ac:dyDescent="0.35">
      <c r="B429" s="16">
        <f>IF(D429=$A$516,1,IF(D429=$A$517,2,IF(D429=$A$518,3,IF(D429=$A$519,4,IF(D429=$A$520,5,IF(D429=$A$521,6))))))</f>
        <v>5</v>
      </c>
      <c r="D429" s="20" t="str">
        <f t="shared" si="68"/>
        <v>abt</v>
      </c>
      <c r="E429" s="20" t="s">
        <v>954</v>
      </c>
      <c r="F429" s="14"/>
      <c r="G429" s="13" t="s">
        <v>538</v>
      </c>
      <c r="H429" s="14" t="s">
        <v>955</v>
      </c>
      <c r="I429" s="13">
        <v>522910</v>
      </c>
      <c r="J429" s="13" t="s">
        <v>111</v>
      </c>
      <c r="K429" s="15" t="s">
        <v>956</v>
      </c>
      <c r="L429" s="15" t="s">
        <v>957</v>
      </c>
      <c r="M429" s="15"/>
      <c r="N429" s="15"/>
      <c r="O429" s="15"/>
      <c r="P429" s="15"/>
      <c r="Q429" s="15"/>
      <c r="S429" s="35" t="s">
        <v>77</v>
      </c>
      <c r="T429" s="13">
        <v>2021</v>
      </c>
      <c r="U429" s="17">
        <v>210.2</v>
      </c>
      <c r="V429" s="17">
        <v>-0.49199999999999999</v>
      </c>
      <c r="W429" s="36">
        <f t="shared" si="69"/>
        <v>-2.3406279733587062E-3</v>
      </c>
      <c r="X429" s="17">
        <v>0.433</v>
      </c>
      <c r="Y429" s="17">
        <v>27</v>
      </c>
      <c r="AA429" s="15" t="s">
        <v>140</v>
      </c>
      <c r="AB429" s="17"/>
      <c r="AC429" s="21" t="s">
        <v>86</v>
      </c>
      <c r="AD429" s="21" t="s">
        <v>78</v>
      </c>
      <c r="AE429" s="17" t="s">
        <v>86</v>
      </c>
      <c r="AF429" s="17" t="s">
        <v>62</v>
      </c>
      <c r="AG429" s="15" t="s">
        <v>937</v>
      </c>
      <c r="AI429" s="42">
        <f t="shared" ca="1" si="66"/>
        <v>790</v>
      </c>
      <c r="AJ429" s="42">
        <f t="shared" ca="1" si="63"/>
        <v>728</v>
      </c>
      <c r="AK429" s="13"/>
      <c r="AL429" s="36" t="str">
        <f t="shared" si="67"/>
        <v>Aborted</v>
      </c>
      <c r="AM429" s="37">
        <v>44874</v>
      </c>
      <c r="AN429" s="37">
        <v>44874</v>
      </c>
      <c r="AO429" s="37" t="s">
        <v>65</v>
      </c>
      <c r="AP429" s="37">
        <v>44874</v>
      </c>
      <c r="AQ429" s="38"/>
      <c r="AR429" s="38"/>
      <c r="AS429" s="38"/>
      <c r="AT429" s="38"/>
      <c r="AU429" s="38"/>
      <c r="AV429" s="38"/>
      <c r="AW429" s="38">
        <v>44874</v>
      </c>
      <c r="AX429" s="38">
        <v>44874</v>
      </c>
      <c r="AY429" s="38">
        <v>44936</v>
      </c>
      <c r="AZ429" s="38"/>
      <c r="BA429" s="39">
        <f t="shared" si="70"/>
        <v>0.33333333333333331</v>
      </c>
      <c r="BB429" s="38"/>
      <c r="BC429" s="11" t="s">
        <v>7</v>
      </c>
    </row>
    <row r="430" spans="2:55" x14ac:dyDescent="0.35">
      <c r="B430" s="16">
        <f>IF(D430=$A$516,1,IF(D430=$A$517,2,IF(D430=$A$518,3,IF(D430=$A$519,4,IF(D430=$A$520,5,IF(D430=$A$521,6))))))</f>
        <v>5</v>
      </c>
      <c r="D430" s="20" t="str">
        <f t="shared" si="68"/>
        <v>abt</v>
      </c>
      <c r="E430" s="20" t="s">
        <v>947</v>
      </c>
      <c r="F430" s="13"/>
      <c r="G430" s="13" t="s">
        <v>428</v>
      </c>
      <c r="H430" s="14" t="s">
        <v>948</v>
      </c>
      <c r="I430" s="13">
        <v>500000</v>
      </c>
      <c r="J430" s="13" t="s">
        <v>580</v>
      </c>
      <c r="K430" s="15" t="s">
        <v>636</v>
      </c>
      <c r="L430" s="15" t="s">
        <v>949</v>
      </c>
      <c r="M430" s="15"/>
      <c r="N430" s="15"/>
      <c r="O430" s="15"/>
      <c r="P430" s="15"/>
      <c r="Q430" s="15"/>
      <c r="S430" s="35" t="s">
        <v>144</v>
      </c>
      <c r="T430" s="13">
        <v>2021</v>
      </c>
      <c r="U430" s="17">
        <v>3293</v>
      </c>
      <c r="V430" s="17">
        <v>946</v>
      </c>
      <c r="W430" s="36">
        <f t="shared" si="69"/>
        <v>0.28727604008502883</v>
      </c>
      <c r="X430" s="17">
        <v>437</v>
      </c>
      <c r="Y430" s="17">
        <v>1643</v>
      </c>
      <c r="AA430" s="15" t="s">
        <v>299</v>
      </c>
      <c r="AB430" s="17"/>
      <c r="AC430" s="21" t="s">
        <v>86</v>
      </c>
      <c r="AD430" s="17" t="s">
        <v>78</v>
      </c>
      <c r="AE430" s="17" t="s">
        <v>86</v>
      </c>
      <c r="AF430" s="17" t="s">
        <v>62</v>
      </c>
      <c r="AG430" s="15" t="s">
        <v>937</v>
      </c>
      <c r="AI430" s="42">
        <f t="shared" ca="1" si="66"/>
        <v>782</v>
      </c>
      <c r="AJ430" s="42">
        <f t="shared" ca="1" si="63"/>
        <v>728</v>
      </c>
      <c r="AK430" s="13"/>
      <c r="AL430" s="36" t="str">
        <f t="shared" si="67"/>
        <v>Aborted</v>
      </c>
      <c r="AM430" s="37">
        <v>44882</v>
      </c>
      <c r="AN430" s="37">
        <v>44882</v>
      </c>
      <c r="AO430" s="37">
        <v>44882</v>
      </c>
      <c r="AP430" s="37">
        <v>44882</v>
      </c>
      <c r="AQ430" s="38"/>
      <c r="AR430" s="38"/>
      <c r="AS430" s="38"/>
      <c r="AT430" s="38"/>
      <c r="AU430" s="38"/>
      <c r="AV430" s="38"/>
      <c r="AW430" s="38">
        <v>44882</v>
      </c>
      <c r="AX430" s="38">
        <v>44882</v>
      </c>
      <c r="AY430" s="38">
        <v>44936</v>
      </c>
      <c r="AZ430" s="38"/>
      <c r="BA430" s="39">
        <f t="shared" si="70"/>
        <v>0.33333333333333331</v>
      </c>
      <c r="BB430" s="38"/>
      <c r="BC430" s="11" t="s">
        <v>7</v>
      </c>
    </row>
    <row r="431" spans="2:55" x14ac:dyDescent="0.35">
      <c r="B431" s="16">
        <f>IF(D431=$A$516,1,IF(D431=$A$517,2,IF(D431=$A$518,3,IF(D431=$A$519,4,IF(D431=$A$520,5,IF(D431=$A$521,6))))))</f>
        <v>5</v>
      </c>
      <c r="D431" s="20" t="str">
        <f t="shared" si="68"/>
        <v>abt</v>
      </c>
      <c r="E431" s="20" t="s">
        <v>970</v>
      </c>
      <c r="F431" s="13"/>
      <c r="G431" s="13" t="s">
        <v>326</v>
      </c>
      <c r="H431" s="14" t="s">
        <v>971</v>
      </c>
      <c r="I431" s="13">
        <v>620100</v>
      </c>
      <c r="J431" s="13" t="s">
        <v>119</v>
      </c>
      <c r="K431" s="15" t="s">
        <v>972</v>
      </c>
      <c r="L431" s="15" t="s">
        <v>973</v>
      </c>
      <c r="M431" s="15"/>
      <c r="N431" s="15"/>
      <c r="O431" s="15"/>
      <c r="P431" s="15"/>
      <c r="Q431" s="15"/>
      <c r="S431" s="35" t="s">
        <v>77</v>
      </c>
      <c r="T431" s="13">
        <v>2022</v>
      </c>
      <c r="U431" s="17">
        <v>0.6</v>
      </c>
      <c r="V431" s="17" t="s">
        <v>65</v>
      </c>
      <c r="W431" s="36"/>
      <c r="X431" s="17" t="s">
        <v>65</v>
      </c>
      <c r="Y431" s="17" t="s">
        <v>65</v>
      </c>
      <c r="AA431" s="15" t="s">
        <v>60</v>
      </c>
      <c r="AB431" s="17"/>
      <c r="AC431" s="77" t="s">
        <v>562</v>
      </c>
      <c r="AD431" s="21" t="s">
        <v>61</v>
      </c>
      <c r="AE431" s="17" t="s">
        <v>79</v>
      </c>
      <c r="AF431" s="17" t="s">
        <v>562</v>
      </c>
      <c r="AG431" s="15"/>
      <c r="AH431" s="677">
        <v>1</v>
      </c>
      <c r="AI431" s="42">
        <f t="shared" ca="1" si="66"/>
        <v>831</v>
      </c>
      <c r="AJ431" s="42">
        <f t="shared" ca="1" si="63"/>
        <v>728</v>
      </c>
      <c r="AK431" s="13"/>
      <c r="AL431" s="36" t="str">
        <f t="shared" si="67"/>
        <v>Aborted</v>
      </c>
      <c r="AM431" s="37">
        <v>44833</v>
      </c>
      <c r="AN431" s="37">
        <v>44833</v>
      </c>
      <c r="AO431" s="37" t="s">
        <v>65</v>
      </c>
      <c r="AP431" s="37">
        <v>44833</v>
      </c>
      <c r="AQ431" s="38"/>
      <c r="AR431" s="38"/>
      <c r="AS431" s="38"/>
      <c r="AT431" s="38"/>
      <c r="AU431" s="38"/>
      <c r="AV431" s="38"/>
      <c r="AW431" s="38">
        <v>44844</v>
      </c>
      <c r="AX431" s="38">
        <v>44859</v>
      </c>
      <c r="AY431" s="38">
        <v>44936</v>
      </c>
      <c r="AZ431" s="38"/>
      <c r="BA431" s="39">
        <f t="shared" si="70"/>
        <v>0.33333333333333331</v>
      </c>
      <c r="BB431" s="38"/>
      <c r="BC431" s="11" t="s">
        <v>7</v>
      </c>
    </row>
    <row r="432" spans="2:55" x14ac:dyDescent="0.35">
      <c r="B432" s="16">
        <f>IF(D432=$A$516,1,IF(D432=$A$517,2,IF(D432=$A$518,3,IF(D432=$A$519,4,IF(D432=$A$520,5,IF(D432=$A$521,6))))))</f>
        <v>5</v>
      </c>
      <c r="D432" s="20" t="str">
        <f t="shared" si="68"/>
        <v>abt</v>
      </c>
      <c r="E432" s="20" t="s">
        <v>1415</v>
      </c>
      <c r="F432" s="14"/>
      <c r="G432" s="13" t="s">
        <v>91</v>
      </c>
      <c r="H432" s="13"/>
      <c r="I432" s="13"/>
      <c r="J432" s="13" t="s">
        <v>1248</v>
      </c>
      <c r="K432" s="15" t="s">
        <v>1416</v>
      </c>
      <c r="L432" s="15" t="s">
        <v>1417</v>
      </c>
      <c r="M432" s="15" t="s">
        <v>1417</v>
      </c>
      <c r="N432" s="15"/>
      <c r="O432" s="15"/>
      <c r="P432" s="15"/>
      <c r="Q432" s="15"/>
      <c r="S432" s="35"/>
      <c r="T432" s="13"/>
      <c r="U432" s="17"/>
      <c r="V432" s="17"/>
      <c r="W432" s="36"/>
      <c r="X432" s="17"/>
      <c r="Y432" s="17"/>
      <c r="AA432" s="15" t="s">
        <v>237</v>
      </c>
      <c r="AB432" s="17" t="s">
        <v>1418</v>
      </c>
      <c r="AC432" s="21" t="s">
        <v>78</v>
      </c>
      <c r="AD432" s="17" t="s">
        <v>78</v>
      </c>
      <c r="AE432" s="17" t="s">
        <v>62</v>
      </c>
      <c r="AF432" s="17"/>
      <c r="AG432" s="15"/>
      <c r="AI432" s="42">
        <f t="shared" ca="1" si="66"/>
        <v>1400</v>
      </c>
      <c r="AJ432" s="42">
        <f t="shared" ca="1" si="63"/>
        <v>1302</v>
      </c>
      <c r="AK432" s="13"/>
      <c r="AL432" s="36" t="str">
        <f t="shared" si="67"/>
        <v>Aborted</v>
      </c>
      <c r="AM432" s="37">
        <v>44264</v>
      </c>
      <c r="AN432" s="37">
        <v>44264</v>
      </c>
      <c r="AO432" s="37" t="s">
        <v>65</v>
      </c>
      <c r="AP432" s="37">
        <v>44286</v>
      </c>
      <c r="AQ432" s="38">
        <v>44286</v>
      </c>
      <c r="AR432" s="38"/>
      <c r="AS432" s="38"/>
      <c r="AT432" s="38"/>
      <c r="AU432" s="38"/>
      <c r="AV432" s="38"/>
      <c r="AW432" s="38">
        <v>44333</v>
      </c>
      <c r="AX432" s="38"/>
      <c r="AY432" s="38">
        <v>44362</v>
      </c>
      <c r="AZ432" s="38"/>
      <c r="BA432" s="39">
        <f t="shared" si="70"/>
        <v>0.44444444444444442</v>
      </c>
      <c r="BB432" s="38"/>
      <c r="BC432" s="11" t="s">
        <v>7</v>
      </c>
    </row>
    <row r="433" spans="2:55" x14ac:dyDescent="0.35">
      <c r="B433" s="16">
        <f>IF(D433=$A$516,1,IF(D433=$A$517,2,IF(D433=$A$518,3,IF(D433=$A$519,4,IF(D433=$A$520,5,IF(D433=$A$521,6))))))</f>
        <v>5</v>
      </c>
      <c r="D433" s="20" t="str">
        <f t="shared" si="68"/>
        <v>abt</v>
      </c>
      <c r="E433" s="12" t="s">
        <v>1109</v>
      </c>
      <c r="F433" s="13"/>
      <c r="G433" s="13" t="s">
        <v>226</v>
      </c>
      <c r="H433" s="14" t="s">
        <v>1110</v>
      </c>
      <c r="I433" s="13">
        <v>464210</v>
      </c>
      <c r="J433" s="13" t="s">
        <v>251</v>
      </c>
      <c r="K433" s="15" t="s">
        <v>1111</v>
      </c>
      <c r="L433" s="15"/>
      <c r="M433" s="15"/>
      <c r="N433" s="15"/>
      <c r="O433" s="15"/>
      <c r="P433" s="15"/>
      <c r="Q433" s="15"/>
      <c r="S433" s="35" t="s">
        <v>77</v>
      </c>
      <c r="T433" s="13">
        <v>2019</v>
      </c>
      <c r="U433" s="17">
        <v>7.5369999999999999</v>
      </c>
      <c r="V433" s="17">
        <v>0.38</v>
      </c>
      <c r="W433" s="36">
        <f>+V433/U433</f>
        <v>5.0417938171686348E-2</v>
      </c>
      <c r="X433" s="17">
        <v>0.214</v>
      </c>
      <c r="Y433" s="17">
        <v>-0.74399999999999999</v>
      </c>
      <c r="AA433" s="15" t="s">
        <v>590</v>
      </c>
      <c r="AB433" s="17" t="s">
        <v>1112</v>
      </c>
      <c r="AC433" s="21" t="s">
        <v>78</v>
      </c>
      <c r="AD433" s="21" t="s">
        <v>78</v>
      </c>
      <c r="AE433" s="17" t="s">
        <v>62</v>
      </c>
      <c r="AF433" s="17"/>
      <c r="AG433" s="15"/>
      <c r="AI433" s="42">
        <f t="shared" ca="1" si="66"/>
        <v>1350</v>
      </c>
      <c r="AJ433" s="42">
        <f t="shared" ca="1" si="63"/>
        <v>819</v>
      </c>
      <c r="AK433" s="13" t="s">
        <v>87</v>
      </c>
      <c r="AL433" s="36" t="str">
        <f t="shared" si="67"/>
        <v>Aborted</v>
      </c>
      <c r="AM433" s="37">
        <v>44314</v>
      </c>
      <c r="AN433" s="75">
        <v>44314</v>
      </c>
      <c r="AO433" s="37" t="s">
        <v>65</v>
      </c>
      <c r="AP433" s="37">
        <v>44334</v>
      </c>
      <c r="AQ433" s="38">
        <v>44334</v>
      </c>
      <c r="AR433" s="38">
        <v>44343</v>
      </c>
      <c r="AS433" s="38">
        <v>44589</v>
      </c>
      <c r="AT433" s="38"/>
      <c r="AU433" s="38"/>
      <c r="AV433" s="38"/>
      <c r="AW433" s="38">
        <v>44737</v>
      </c>
      <c r="AX433" s="38">
        <v>44761</v>
      </c>
      <c r="AY433" s="38">
        <v>44845</v>
      </c>
      <c r="AZ433" s="38"/>
      <c r="BA433" s="39">
        <f t="shared" si="70"/>
        <v>0.66666666666666663</v>
      </c>
      <c r="BB433" s="38"/>
      <c r="BC433" s="11" t="s">
        <v>7</v>
      </c>
    </row>
    <row r="434" spans="2:55" x14ac:dyDescent="0.35">
      <c r="B434" s="16">
        <f>IF(D434=$A$516,1,IF(D434=$A$517,2,IF(D434=$A$518,3,IF(D434=$A$519,4,IF(D434=$A$520,5,IF(D434=$A$521,6))))))</f>
        <v>5</v>
      </c>
      <c r="D434" s="20" t="str">
        <f t="shared" si="68"/>
        <v>abt</v>
      </c>
      <c r="E434" s="12" t="s">
        <v>1301</v>
      </c>
      <c r="F434" s="14"/>
      <c r="G434" s="13"/>
      <c r="H434" s="119"/>
      <c r="I434" s="13"/>
      <c r="J434" s="13"/>
      <c r="K434" s="15"/>
      <c r="L434" s="15"/>
      <c r="M434" s="15"/>
      <c r="N434" s="15"/>
      <c r="O434" s="15"/>
      <c r="P434" s="15"/>
      <c r="Q434" s="15"/>
      <c r="S434" s="35"/>
      <c r="T434" s="13"/>
      <c r="U434" s="17"/>
      <c r="V434" s="17"/>
      <c r="W434" s="36"/>
      <c r="X434" s="17"/>
      <c r="Y434" s="17"/>
      <c r="AA434" s="632"/>
      <c r="AB434" s="17"/>
      <c r="AC434" s="21" t="s">
        <v>61</v>
      </c>
      <c r="AD434" s="21" t="s">
        <v>61</v>
      </c>
      <c r="AE434" s="17" t="s">
        <v>562</v>
      </c>
      <c r="AF434" s="17" t="s">
        <v>79</v>
      </c>
      <c r="AG434" s="15"/>
      <c r="AH434" s="677">
        <v>1</v>
      </c>
      <c r="AI434" s="42">
        <f t="shared" ca="1" si="66"/>
        <v>1063</v>
      </c>
      <c r="AJ434" s="42">
        <f t="shared" ca="1" si="63"/>
        <v>1057</v>
      </c>
      <c r="AK434" s="13"/>
      <c r="AL434" s="36" t="str">
        <f t="shared" si="67"/>
        <v>Aborted</v>
      </c>
      <c r="AM434" s="37">
        <v>44601</v>
      </c>
      <c r="AN434" s="37">
        <v>44601</v>
      </c>
      <c r="AO434" s="37" t="s">
        <v>65</v>
      </c>
      <c r="AP434" s="37"/>
      <c r="AQ434" s="38"/>
      <c r="AR434" s="38"/>
      <c r="AS434" s="38"/>
      <c r="AT434" s="38"/>
      <c r="AU434" s="38"/>
      <c r="AV434" s="38"/>
      <c r="AW434" s="38"/>
      <c r="AX434" s="38"/>
      <c r="AY434" s="38">
        <v>44607</v>
      </c>
      <c r="AZ434" s="38"/>
      <c r="BA434" s="39">
        <f t="shared" si="70"/>
        <v>0.22222222222222221</v>
      </c>
      <c r="BB434" s="38"/>
      <c r="BC434" s="11" t="s">
        <v>7</v>
      </c>
    </row>
    <row r="435" spans="2:55" x14ac:dyDescent="0.35">
      <c r="B435" s="16">
        <f>IF(D435=$A$516,1,IF(D435=$A$517,2,IF(D435=$A$518,3,IF(D435=$A$519,4,IF(D435=$A$520,5,IF(D435=$A$521,6))))))</f>
        <v>5</v>
      </c>
      <c r="D435" s="20" t="str">
        <f t="shared" si="68"/>
        <v>abt</v>
      </c>
      <c r="E435" s="12" t="s">
        <v>1104</v>
      </c>
      <c r="F435" s="14"/>
      <c r="G435" s="13" t="s">
        <v>572</v>
      </c>
      <c r="H435" s="14" t="s">
        <v>1105</v>
      </c>
      <c r="I435" s="13">
        <v>439909</v>
      </c>
      <c r="J435" s="13" t="s">
        <v>111</v>
      </c>
      <c r="K435" s="15" t="s">
        <v>1106</v>
      </c>
      <c r="L435" s="15" t="s">
        <v>1107</v>
      </c>
      <c r="M435" s="15" t="s">
        <v>1107</v>
      </c>
      <c r="N435" s="15" t="s">
        <v>1108</v>
      </c>
      <c r="O435" s="15"/>
      <c r="P435" s="15"/>
      <c r="Q435" s="15"/>
      <c r="S435" s="35" t="s">
        <v>77</v>
      </c>
      <c r="T435" s="13">
        <v>2021</v>
      </c>
      <c r="U435" s="17">
        <v>6.67</v>
      </c>
      <c r="V435" s="17">
        <v>0.56399999999999995</v>
      </c>
      <c r="W435" s="36">
        <f>+V435/U435</f>
        <v>8.4557721139430275E-2</v>
      </c>
      <c r="X435" s="17">
        <v>8.8856000000000004E-2</v>
      </c>
      <c r="Y435" s="17">
        <v>4.0049999999999999</v>
      </c>
      <c r="AA435" s="15" t="s">
        <v>60</v>
      </c>
      <c r="AB435" s="15" t="s">
        <v>416</v>
      </c>
      <c r="AC435" s="21" t="s">
        <v>78</v>
      </c>
      <c r="AD435" s="21" t="s">
        <v>78</v>
      </c>
      <c r="AE435" s="17" t="s">
        <v>86</v>
      </c>
      <c r="AF435" s="17"/>
      <c r="AG435" s="15"/>
      <c r="AI435" s="42">
        <f t="shared" ca="1" si="66"/>
        <v>897</v>
      </c>
      <c r="AJ435" s="42">
        <f t="shared" ca="1" si="63"/>
        <v>819</v>
      </c>
      <c r="AK435" s="13"/>
      <c r="AL435" s="36" t="str">
        <f t="shared" si="67"/>
        <v>Aborted</v>
      </c>
      <c r="AM435" s="37">
        <v>44767</v>
      </c>
      <c r="AN435" s="37">
        <v>44767</v>
      </c>
      <c r="AO435" s="37" t="s">
        <v>65</v>
      </c>
      <c r="AP435" s="37">
        <v>44783</v>
      </c>
      <c r="AQ435" s="38">
        <v>44783</v>
      </c>
      <c r="AR435" s="38"/>
      <c r="AS435" s="38"/>
      <c r="AT435" s="38"/>
      <c r="AU435" s="38"/>
      <c r="AV435" s="38"/>
      <c r="AW435" s="38"/>
      <c r="AX435" s="38">
        <v>44805</v>
      </c>
      <c r="AY435" s="38">
        <v>44845</v>
      </c>
      <c r="AZ435" s="38"/>
      <c r="BA435" s="39">
        <f t="shared" si="70"/>
        <v>0.44444444444444442</v>
      </c>
      <c r="BB435" s="38"/>
      <c r="BC435" s="11" t="s">
        <v>7</v>
      </c>
    </row>
    <row r="436" spans="2:55" x14ac:dyDescent="0.35">
      <c r="B436" s="16">
        <f>IF(D436=$A$516,1,IF(D436=$A$517,2,IF(D436=$A$518,3,IF(D436=$A$519,4,IF(D436=$A$520,5,IF(D436=$A$521,6))))))</f>
        <v>5</v>
      </c>
      <c r="D436" s="20" t="str">
        <f t="shared" si="68"/>
        <v>abt</v>
      </c>
      <c r="E436" s="12" t="s">
        <v>2956</v>
      </c>
      <c r="F436" s="13"/>
      <c r="G436" s="13" t="s">
        <v>437</v>
      </c>
      <c r="H436" s="14"/>
      <c r="I436" s="13"/>
      <c r="J436" s="13" t="s">
        <v>57</v>
      </c>
      <c r="K436" s="15" t="s">
        <v>2951</v>
      </c>
      <c r="L436" s="15" t="s">
        <v>2957</v>
      </c>
      <c r="M436" s="15"/>
      <c r="N436" s="15"/>
      <c r="O436" s="15"/>
      <c r="P436" s="15"/>
      <c r="Q436" s="15"/>
      <c r="S436" s="35"/>
      <c r="T436" s="13"/>
      <c r="U436" s="17"/>
      <c r="V436" s="17"/>
      <c r="W436" s="36"/>
      <c r="X436" s="17"/>
      <c r="Y436" s="17"/>
      <c r="AA436" s="15" t="s">
        <v>60</v>
      </c>
      <c r="AB436" s="17"/>
      <c r="AC436" s="21" t="s">
        <v>61</v>
      </c>
      <c r="AD436" s="21" t="s">
        <v>61</v>
      </c>
      <c r="AE436" s="61" t="s">
        <v>62</v>
      </c>
      <c r="AF436" s="17" t="s">
        <v>128</v>
      </c>
      <c r="AG436" s="15" t="s">
        <v>2954</v>
      </c>
      <c r="AI436" s="42">
        <f t="shared" ca="1" si="66"/>
        <v>433</v>
      </c>
      <c r="AJ436" s="42">
        <f t="shared" ca="1" si="63"/>
        <v>351</v>
      </c>
      <c r="AK436" s="13" t="s">
        <v>720</v>
      </c>
      <c r="AL436" s="36" t="str">
        <f t="shared" si="67"/>
        <v>Aborted</v>
      </c>
      <c r="AM436" s="37">
        <v>45231</v>
      </c>
      <c r="AN436" s="172">
        <v>45254</v>
      </c>
      <c r="AO436" s="37" t="s">
        <v>65</v>
      </c>
      <c r="AP436" s="37">
        <v>45256</v>
      </c>
      <c r="AQ436" s="38">
        <v>45259</v>
      </c>
      <c r="AR436" s="38">
        <v>45264</v>
      </c>
      <c r="AS436" s="38">
        <v>44935</v>
      </c>
      <c r="AT436" s="38"/>
      <c r="AU436" s="38"/>
      <c r="AV436" s="38"/>
      <c r="AW436" s="38">
        <v>45313</v>
      </c>
      <c r="AX436" s="38">
        <v>45313</v>
      </c>
      <c r="AY436" s="38">
        <v>45313</v>
      </c>
      <c r="AZ436" s="38"/>
      <c r="BA436" s="39">
        <f t="shared" si="70"/>
        <v>0.66666666666666663</v>
      </c>
      <c r="BB436" s="38"/>
      <c r="BC436" s="11" t="s">
        <v>7</v>
      </c>
    </row>
    <row r="437" spans="2:55" x14ac:dyDescent="0.35">
      <c r="B437" s="16">
        <f>IF(D437=$A$516,1,IF(D437=$A$517,2,IF(D437=$A$518,3,IF(D437=$A$519,4,IF(D437=$A$520,5,IF(D437=$A$521,6))))))</f>
        <v>5</v>
      </c>
      <c r="D437" s="20" t="str">
        <f t="shared" si="68"/>
        <v>abt</v>
      </c>
      <c r="E437" s="12" t="s">
        <v>1393</v>
      </c>
      <c r="F437" s="14"/>
      <c r="G437" s="13" t="s">
        <v>246</v>
      </c>
      <c r="H437" s="14" t="s">
        <v>1394</v>
      </c>
      <c r="I437" s="13">
        <v>869021</v>
      </c>
      <c r="J437" s="13" t="s">
        <v>105</v>
      </c>
      <c r="K437" s="15" t="s">
        <v>1395</v>
      </c>
      <c r="L437" s="15"/>
      <c r="M437" s="15" t="s">
        <v>1396</v>
      </c>
      <c r="N437" s="15" t="s">
        <v>1397</v>
      </c>
      <c r="O437" s="15"/>
      <c r="P437" s="15"/>
      <c r="Q437" s="15"/>
      <c r="S437" s="35" t="s">
        <v>77</v>
      </c>
      <c r="T437" s="13">
        <v>2019</v>
      </c>
      <c r="U437" s="17">
        <v>1.04</v>
      </c>
      <c r="V437" s="17">
        <v>0.08</v>
      </c>
      <c r="W437" s="36">
        <f>+V437/U437</f>
        <v>7.6923076923076927E-2</v>
      </c>
      <c r="X437" s="17">
        <v>0.01</v>
      </c>
      <c r="Y437" s="17">
        <v>-1.0249999999999999</v>
      </c>
      <c r="AA437" s="631" t="s">
        <v>99</v>
      </c>
      <c r="AB437" s="17" t="s">
        <v>1398</v>
      </c>
      <c r="AC437" s="21" t="s">
        <v>61</v>
      </c>
      <c r="AD437" s="21" t="s">
        <v>61</v>
      </c>
      <c r="AE437" s="17"/>
      <c r="AF437" s="17"/>
      <c r="AG437" s="15"/>
      <c r="AI437" s="42">
        <f t="shared" ca="1" si="66"/>
        <v>1337</v>
      </c>
      <c r="AJ437" s="42">
        <f t="shared" ca="1" si="63"/>
        <v>1169</v>
      </c>
      <c r="AK437" s="13"/>
      <c r="AL437" s="36" t="str">
        <f t="shared" si="67"/>
        <v>Aborted</v>
      </c>
      <c r="AM437" s="37">
        <v>44327</v>
      </c>
      <c r="AN437" s="75">
        <v>44327</v>
      </c>
      <c r="AO437" s="37" t="s">
        <v>65</v>
      </c>
      <c r="AP437" s="37" t="s">
        <v>65</v>
      </c>
      <c r="AQ437" s="38">
        <f>+AN437</f>
        <v>44327</v>
      </c>
      <c r="AR437" s="38" t="s">
        <v>65</v>
      </c>
      <c r="AS437" s="38"/>
      <c r="AT437" s="38"/>
      <c r="AU437" s="38"/>
      <c r="AV437" s="38"/>
      <c r="AW437" s="38">
        <v>44383</v>
      </c>
      <c r="AX437" s="38">
        <v>44460</v>
      </c>
      <c r="AY437" s="38">
        <v>44495</v>
      </c>
      <c r="AZ437" s="38"/>
      <c r="BA437" s="39">
        <f t="shared" si="70"/>
        <v>0.55555555555555558</v>
      </c>
      <c r="BB437" s="38"/>
      <c r="BC437" s="11" t="s">
        <v>7</v>
      </c>
    </row>
    <row r="438" spans="2:55" x14ac:dyDescent="0.35">
      <c r="B438" s="16">
        <f>IF(D438=$A$516,1,IF(D438=$A$517,2,IF(D438=$A$518,3,IF(D438=$A$519,4,IF(D438=$A$520,5,IF(D438=$A$521,6))))))</f>
        <v>5</v>
      </c>
      <c r="D438" s="20" t="str">
        <f t="shared" si="68"/>
        <v>abt</v>
      </c>
      <c r="E438" s="12" t="s">
        <v>1255</v>
      </c>
      <c r="F438" s="14"/>
      <c r="G438" s="13" t="s">
        <v>103</v>
      </c>
      <c r="H438" s="14" t="s">
        <v>1256</v>
      </c>
      <c r="I438" s="13">
        <v>205940</v>
      </c>
      <c r="J438" s="13" t="s">
        <v>342</v>
      </c>
      <c r="K438" s="15" t="s">
        <v>1257</v>
      </c>
      <c r="L438" s="15"/>
      <c r="M438" s="15"/>
      <c r="N438" s="15"/>
      <c r="O438" s="15"/>
      <c r="P438" s="15"/>
      <c r="Q438" s="15"/>
      <c r="S438" s="35" t="s">
        <v>144</v>
      </c>
      <c r="T438" s="13">
        <v>2020</v>
      </c>
      <c r="U438" s="17">
        <v>34.363</v>
      </c>
      <c r="V438" s="17">
        <v>6.6379999999999999</v>
      </c>
      <c r="W438" s="36">
        <f>+V438/U438</f>
        <v>0.19317288944504263</v>
      </c>
      <c r="X438" s="17">
        <v>3.8849999999999998</v>
      </c>
      <c r="Y438" s="17">
        <v>27.411000000000001</v>
      </c>
      <c r="AA438" s="15" t="s">
        <v>140</v>
      </c>
      <c r="AB438" s="17"/>
      <c r="AC438" s="21" t="s">
        <v>61</v>
      </c>
      <c r="AD438" s="21" t="s">
        <v>61</v>
      </c>
      <c r="AE438" s="61" t="s">
        <v>79</v>
      </c>
      <c r="AF438" s="76" t="s">
        <v>562</v>
      </c>
      <c r="AG438" s="15"/>
      <c r="AH438" s="677">
        <v>1</v>
      </c>
      <c r="AI438" s="42">
        <f t="shared" ca="1" si="66"/>
        <v>1027</v>
      </c>
      <c r="AJ438" s="42">
        <f t="shared" ca="1" si="63"/>
        <v>991</v>
      </c>
      <c r="AK438" s="13"/>
      <c r="AL438" s="36" t="str">
        <f t="shared" si="67"/>
        <v>Aborted</v>
      </c>
      <c r="AM438" s="37">
        <v>44637</v>
      </c>
      <c r="AN438" s="37">
        <v>44637</v>
      </c>
      <c r="AO438" s="37" t="s">
        <v>65</v>
      </c>
      <c r="AP438" s="37">
        <v>44641</v>
      </c>
      <c r="AQ438" s="38">
        <v>44652</v>
      </c>
      <c r="AR438" s="38"/>
      <c r="AS438" s="38"/>
      <c r="AT438" s="38"/>
      <c r="AU438" s="38"/>
      <c r="AV438" s="38"/>
      <c r="AW438" s="38">
        <v>44673</v>
      </c>
      <c r="AX438" s="38"/>
      <c r="AY438" s="38">
        <v>44655</v>
      </c>
      <c r="AZ438" s="38"/>
      <c r="BA438" s="39">
        <f t="shared" si="70"/>
        <v>0.44444444444444442</v>
      </c>
      <c r="BB438" s="38"/>
      <c r="BC438" s="11" t="s">
        <v>7</v>
      </c>
    </row>
    <row r="439" spans="2:55" x14ac:dyDescent="0.35">
      <c r="B439" s="16">
        <f>IF(D439=$A$516,1,IF(D439=$A$517,2,IF(D439=$A$518,3,IF(D439=$A$519,4,IF(D439=$A$520,5,IF(D439=$A$521,6))))))</f>
        <v>5</v>
      </c>
      <c r="D439" s="20" t="str">
        <f t="shared" si="68"/>
        <v>abt</v>
      </c>
      <c r="E439" s="12" t="s">
        <v>1433</v>
      </c>
      <c r="F439" s="14"/>
      <c r="G439" s="13" t="s">
        <v>1309</v>
      </c>
      <c r="H439" s="13"/>
      <c r="I439" s="13"/>
      <c r="J439" s="13" t="s">
        <v>111</v>
      </c>
      <c r="K439" s="15" t="s">
        <v>1434</v>
      </c>
      <c r="L439" s="15" t="s">
        <v>1435</v>
      </c>
      <c r="M439" s="15"/>
      <c r="N439" s="15"/>
      <c r="O439" s="15"/>
      <c r="P439" s="15"/>
      <c r="Q439" s="15"/>
      <c r="S439" s="35"/>
      <c r="T439" s="13">
        <v>2020</v>
      </c>
      <c r="U439" s="17"/>
      <c r="V439" s="17"/>
      <c r="W439" s="36"/>
      <c r="X439" s="17"/>
      <c r="Y439" s="17"/>
      <c r="AA439" s="632"/>
      <c r="AB439" s="17"/>
      <c r="AC439" s="21" t="s">
        <v>61</v>
      </c>
      <c r="AD439" s="21" t="s">
        <v>61</v>
      </c>
      <c r="AE439" s="17" t="s">
        <v>79</v>
      </c>
      <c r="AF439" s="17"/>
      <c r="AG439" s="15" t="s">
        <v>1436</v>
      </c>
      <c r="AH439" s="677">
        <v>1</v>
      </c>
      <c r="AI439" s="42">
        <f t="shared" ca="1" si="66"/>
        <v>1355</v>
      </c>
      <c r="AJ439" s="42">
        <f t="shared" ca="1" si="63"/>
        <v>1337</v>
      </c>
      <c r="AK439" s="13"/>
      <c r="AL439" s="36" t="str">
        <f t="shared" si="67"/>
        <v>Aborted</v>
      </c>
      <c r="AM439" s="37">
        <v>44309</v>
      </c>
      <c r="AN439" s="37">
        <v>44309</v>
      </c>
      <c r="AO439" s="37">
        <v>44320</v>
      </c>
      <c r="AP439" s="37"/>
      <c r="AQ439" s="38"/>
      <c r="AR439" s="38"/>
      <c r="AS439" s="38"/>
      <c r="AT439" s="38"/>
      <c r="AU439" s="38"/>
      <c r="AV439" s="38"/>
      <c r="AW439" s="38"/>
      <c r="AX439" s="38"/>
      <c r="AY439" s="38">
        <v>44327</v>
      </c>
      <c r="AZ439" s="38"/>
      <c r="BA439" s="39">
        <f t="shared" si="70"/>
        <v>0.22222222222222221</v>
      </c>
      <c r="BB439" s="38"/>
      <c r="BC439" s="11" t="s">
        <v>7</v>
      </c>
    </row>
    <row r="440" spans="2:55" x14ac:dyDescent="0.35">
      <c r="B440" s="16">
        <f>IF(D440=$A$516,1,IF(D440=$A$517,2,IF(D440=$A$518,3,IF(D440=$A$519,4,IF(D440=$A$520,5,IF(D440=$A$521,6))))))</f>
        <v>5</v>
      </c>
      <c r="D440" s="20" t="str">
        <f t="shared" si="68"/>
        <v>abt</v>
      </c>
      <c r="E440" s="12" t="s">
        <v>714</v>
      </c>
      <c r="F440" s="13"/>
      <c r="G440" s="13" t="s">
        <v>715</v>
      </c>
      <c r="H440" s="14" t="s">
        <v>716</v>
      </c>
      <c r="I440" s="14" t="s">
        <v>717</v>
      </c>
      <c r="J440" s="13" t="s">
        <v>111</v>
      </c>
      <c r="K440" s="15" t="s">
        <v>718</v>
      </c>
      <c r="L440" s="15" t="s">
        <v>719</v>
      </c>
      <c r="M440" s="15"/>
      <c r="N440" s="15"/>
      <c r="O440" s="15"/>
      <c r="P440" s="15"/>
      <c r="Q440" s="15"/>
      <c r="S440" s="35" t="s">
        <v>77</v>
      </c>
      <c r="T440" s="13">
        <v>2021</v>
      </c>
      <c r="U440" s="17">
        <v>40.200000000000003</v>
      </c>
      <c r="V440" s="17">
        <v>7.548</v>
      </c>
      <c r="W440" s="36">
        <f>+V440/U440</f>
        <v>0.18776119402985073</v>
      </c>
      <c r="X440" s="17">
        <v>4.9800000000000004</v>
      </c>
      <c r="Y440" s="17">
        <v>-9.69</v>
      </c>
      <c r="AA440" s="15" t="s">
        <v>140</v>
      </c>
      <c r="AB440" s="17"/>
      <c r="AC440" s="21" t="s">
        <v>78</v>
      </c>
      <c r="AD440" s="21" t="s">
        <v>78</v>
      </c>
      <c r="AE440" s="13" t="s">
        <v>128</v>
      </c>
      <c r="AF440" s="17"/>
      <c r="AG440" s="15"/>
      <c r="AI440" s="42">
        <f t="shared" ca="1" si="66"/>
        <v>586</v>
      </c>
      <c r="AJ440" s="42">
        <f t="shared" ca="1" si="63"/>
        <v>356</v>
      </c>
      <c r="AK440" s="13" t="s">
        <v>720</v>
      </c>
      <c r="AL440" s="36" t="str">
        <f t="shared" si="67"/>
        <v>Aborted</v>
      </c>
      <c r="AM440" s="37">
        <v>45078</v>
      </c>
      <c r="AN440" s="37">
        <v>45111</v>
      </c>
      <c r="AO440" s="37">
        <v>45126</v>
      </c>
      <c r="AP440" s="37">
        <v>45126</v>
      </c>
      <c r="AQ440" s="38">
        <v>45132</v>
      </c>
      <c r="AR440" s="38"/>
      <c r="AS440" s="38"/>
      <c r="AT440" s="38"/>
      <c r="AU440" s="38"/>
      <c r="AV440" s="38"/>
      <c r="AW440" s="38">
        <v>45308</v>
      </c>
      <c r="AX440" s="38"/>
      <c r="AY440" s="38">
        <v>45142</v>
      </c>
      <c r="AZ440" s="38"/>
      <c r="BA440" s="39">
        <f t="shared" si="70"/>
        <v>0.44444444444444442</v>
      </c>
      <c r="BB440" s="38"/>
      <c r="BC440" s="11" t="s">
        <v>7</v>
      </c>
    </row>
    <row r="441" spans="2:55" x14ac:dyDescent="0.35">
      <c r="B441" s="16">
        <f>IF(D441=$A$516,1,IF(D441=$A$517,2,IF(D441=$A$518,3,IF(D441=$A$519,4,IF(D441=$A$520,5,IF(D441=$A$521,6))))))</f>
        <v>5</v>
      </c>
      <c r="D441" s="20" t="str">
        <f t="shared" si="68"/>
        <v>abt</v>
      </c>
      <c r="E441" s="12" t="s">
        <v>1013</v>
      </c>
      <c r="F441" s="13"/>
      <c r="G441" s="13"/>
      <c r="H441" s="119"/>
      <c r="I441" s="13"/>
      <c r="J441" s="13"/>
      <c r="K441" s="15"/>
      <c r="L441" s="15"/>
      <c r="M441" s="15"/>
      <c r="N441" s="15"/>
      <c r="O441" s="15"/>
      <c r="P441" s="15"/>
      <c r="Q441" s="15"/>
      <c r="S441" s="35"/>
      <c r="T441" s="13"/>
      <c r="U441" s="17"/>
      <c r="V441" s="17"/>
      <c r="W441" s="36"/>
      <c r="X441" s="17"/>
      <c r="Y441" s="17"/>
      <c r="AA441" s="15" t="s">
        <v>99</v>
      </c>
      <c r="AB441" s="17" t="s">
        <v>460</v>
      </c>
      <c r="AC441" s="21" t="s">
        <v>61</v>
      </c>
      <c r="AD441" s="17" t="s">
        <v>61</v>
      </c>
      <c r="AE441" s="17"/>
      <c r="AF441" s="17"/>
      <c r="AG441" s="15"/>
      <c r="AI441" s="42">
        <f t="shared" ca="1" si="66"/>
        <v>1064</v>
      </c>
      <c r="AJ441" s="42">
        <f t="shared" ca="1" si="63"/>
        <v>728</v>
      </c>
      <c r="AK441" s="13"/>
      <c r="AL441" s="36" t="str">
        <f t="shared" si="67"/>
        <v>Aborted</v>
      </c>
      <c r="AM441" s="37">
        <v>44600</v>
      </c>
      <c r="AN441" s="37">
        <v>44600</v>
      </c>
      <c r="AO441" s="37" t="s">
        <v>65</v>
      </c>
      <c r="AP441" s="37" t="s">
        <v>65</v>
      </c>
      <c r="AQ441" s="38">
        <v>44655</v>
      </c>
      <c r="AR441" s="38">
        <v>44697</v>
      </c>
      <c r="AS441" s="38"/>
      <c r="AT441" s="38"/>
      <c r="AU441" s="38"/>
      <c r="AV441" s="38"/>
      <c r="AW441" s="38">
        <v>44727</v>
      </c>
      <c r="AX441" s="38">
        <v>44727</v>
      </c>
      <c r="AY441" s="38">
        <v>44936</v>
      </c>
      <c r="AZ441" s="38"/>
      <c r="BA441" s="39">
        <f t="shared" si="70"/>
        <v>0.55555555555555558</v>
      </c>
      <c r="BB441" s="38"/>
      <c r="BC441" s="11" t="s">
        <v>7</v>
      </c>
    </row>
    <row r="442" spans="2:55" x14ac:dyDescent="0.35">
      <c r="B442" s="16">
        <f>IF(D442=$A$516,1,IF(D442=$A$517,2,IF(D442=$A$518,3,IF(D442=$A$519,4,IF(D442=$A$520,5,IF(D442=$A$521,6))))))</f>
        <v>5</v>
      </c>
      <c r="D442" s="20" t="str">
        <f t="shared" si="68"/>
        <v>abt</v>
      </c>
      <c r="E442" s="20" t="s">
        <v>1243</v>
      </c>
      <c r="F442" s="14"/>
      <c r="G442" s="13" t="s">
        <v>174</v>
      </c>
      <c r="H442" s="14" t="s">
        <v>1244</v>
      </c>
      <c r="I442" s="13">
        <v>152010</v>
      </c>
      <c r="J442" s="13" t="s">
        <v>452</v>
      </c>
      <c r="K442" s="15" t="s">
        <v>1245</v>
      </c>
      <c r="L442" s="15"/>
      <c r="M442" s="15"/>
      <c r="N442" s="15"/>
      <c r="O442" s="15"/>
      <c r="P442" s="15"/>
      <c r="Q442" s="15"/>
      <c r="S442" s="35" t="s">
        <v>77</v>
      </c>
      <c r="T442" s="13">
        <v>2019</v>
      </c>
      <c r="U442" s="17">
        <v>17.48</v>
      </c>
      <c r="V442" s="17">
        <v>2.39</v>
      </c>
      <c r="W442" s="36">
        <f>+V442/U442</f>
        <v>0.13672768878718536</v>
      </c>
      <c r="X442" s="17">
        <v>1.26</v>
      </c>
      <c r="Y442" s="17">
        <v>5.52</v>
      </c>
      <c r="AA442" s="632"/>
      <c r="AB442" s="17"/>
      <c r="AC442" s="21" t="s">
        <v>61</v>
      </c>
      <c r="AD442" s="17" t="s">
        <v>61</v>
      </c>
      <c r="AE442" s="17"/>
      <c r="AF442" s="17"/>
      <c r="AG442" s="15"/>
      <c r="AI442" s="42">
        <f t="shared" ca="1" si="66"/>
        <v>1467</v>
      </c>
      <c r="AJ442" s="42">
        <f t="shared" ref="AJ442:AJ505" ca="1" si="71">+(IF(AL442="Closed","-",IF(TODAY()-MAX(AN442:BA442)&gt;0,TODAY()-MAX(AN442:BA442),0)))</f>
        <v>1001</v>
      </c>
      <c r="AK442" s="13"/>
      <c r="AL442" s="36" t="str">
        <f t="shared" si="67"/>
        <v>Aborted</v>
      </c>
      <c r="AM442" s="37">
        <v>44197</v>
      </c>
      <c r="AN442" s="37">
        <v>44197</v>
      </c>
      <c r="AO442" s="37" t="s">
        <v>65</v>
      </c>
      <c r="AP442" s="37">
        <v>44197</v>
      </c>
      <c r="AQ442" s="38"/>
      <c r="AR442" s="38"/>
      <c r="AS442" s="38"/>
      <c r="AT442" s="38"/>
      <c r="AU442" s="38"/>
      <c r="AV442" s="38"/>
      <c r="AW442" s="38"/>
      <c r="AX442" s="38">
        <v>44278</v>
      </c>
      <c r="AY442" s="38">
        <v>44663</v>
      </c>
      <c r="AZ442" s="38"/>
      <c r="BA442" s="39">
        <f t="shared" si="70"/>
        <v>0.33333333333333331</v>
      </c>
      <c r="BB442" s="38"/>
      <c r="BC442" s="11" t="s">
        <v>7</v>
      </c>
    </row>
    <row r="443" spans="2:55" x14ac:dyDescent="0.35">
      <c r="B443" s="16">
        <f>IF(D443=$A$516,1,IF(D443=$A$517,2,IF(D443=$A$518,3,IF(D443=$A$519,4,IF(D443=$A$520,5,IF(D443=$A$521,6))))))</f>
        <v>5</v>
      </c>
      <c r="D443" s="20" t="str">
        <f t="shared" si="68"/>
        <v>abt</v>
      </c>
      <c r="E443" s="20" t="s">
        <v>1194</v>
      </c>
      <c r="F443" s="14"/>
      <c r="G443" s="13" t="s">
        <v>1195</v>
      </c>
      <c r="H443" s="14" t="s">
        <v>1196</v>
      </c>
      <c r="I443" s="13">
        <v>889100</v>
      </c>
      <c r="J443" s="13" t="s">
        <v>57</v>
      </c>
      <c r="K443" s="15" t="s">
        <v>58</v>
      </c>
      <c r="L443" s="15" t="s">
        <v>1197</v>
      </c>
      <c r="M443" s="15"/>
      <c r="N443" s="15"/>
      <c r="O443" s="15"/>
      <c r="P443" s="15"/>
      <c r="Q443" s="15"/>
      <c r="S443" s="35"/>
      <c r="T443" s="13"/>
      <c r="U443" s="17"/>
      <c r="V443" s="17"/>
      <c r="W443" s="36"/>
      <c r="X443" s="17"/>
      <c r="Y443" s="17"/>
      <c r="AA443" s="15" t="s">
        <v>140</v>
      </c>
      <c r="AB443" s="17"/>
      <c r="AC443" s="17" t="s">
        <v>61</v>
      </c>
      <c r="AD443" s="17" t="s">
        <v>61</v>
      </c>
      <c r="AE443" s="17" t="s">
        <v>62</v>
      </c>
      <c r="AF443" s="17"/>
      <c r="AG443" s="15"/>
      <c r="AI443" s="42">
        <f t="shared" ca="1" si="66"/>
        <v>1118</v>
      </c>
      <c r="AJ443" s="42">
        <f t="shared" ca="1" si="71"/>
        <v>854</v>
      </c>
      <c r="AK443" s="13" t="s">
        <v>64</v>
      </c>
      <c r="AL443" s="36" t="str">
        <f t="shared" si="67"/>
        <v>Aborted</v>
      </c>
      <c r="AM443" s="37">
        <v>44546</v>
      </c>
      <c r="AN443" s="75">
        <v>44546</v>
      </c>
      <c r="AO443" s="37" t="s">
        <v>65</v>
      </c>
      <c r="AP443" s="37">
        <v>44657</v>
      </c>
      <c r="AQ443" s="38">
        <v>44658</v>
      </c>
      <c r="AR443" s="38">
        <v>44683</v>
      </c>
      <c r="AS443" s="38">
        <v>44711</v>
      </c>
      <c r="AT443" s="38"/>
      <c r="AU443" s="38"/>
      <c r="AV443" s="38"/>
      <c r="AW443" s="38">
        <v>44747</v>
      </c>
      <c r="AX443" s="38">
        <v>44803</v>
      </c>
      <c r="AY443" s="38">
        <v>44810</v>
      </c>
      <c r="AZ443" s="38"/>
      <c r="BA443" s="39">
        <f t="shared" si="70"/>
        <v>0.66666666666666663</v>
      </c>
      <c r="BB443" s="38"/>
      <c r="BC443" s="11" t="s">
        <v>7</v>
      </c>
    </row>
    <row r="444" spans="2:55" x14ac:dyDescent="0.35">
      <c r="B444" s="16">
        <f>IF(D444=$A$516,1,IF(D444=$A$517,2,IF(D444=$A$518,3,IF(D444=$A$519,4,IF(D444=$A$520,5,IF(D444=$A$521,6))))))</f>
        <v>5</v>
      </c>
      <c r="D444" s="20" t="str">
        <f t="shared" si="68"/>
        <v>abt</v>
      </c>
      <c r="E444" s="12" t="s">
        <v>734</v>
      </c>
      <c r="F444" s="13"/>
      <c r="G444" s="13" t="s">
        <v>103</v>
      </c>
      <c r="H444" s="14" t="s">
        <v>735</v>
      </c>
      <c r="I444" s="13"/>
      <c r="J444" s="13" t="s">
        <v>57</v>
      </c>
      <c r="K444" s="15" t="s">
        <v>513</v>
      </c>
      <c r="L444" s="15" t="s">
        <v>736</v>
      </c>
      <c r="M444" s="15"/>
      <c r="N444" s="15"/>
      <c r="O444" s="15"/>
      <c r="P444" s="15"/>
      <c r="Q444" s="15"/>
      <c r="S444" s="35" t="s">
        <v>77</v>
      </c>
      <c r="T444" s="13">
        <v>2021</v>
      </c>
      <c r="U444" s="17">
        <v>1.9790000000000001</v>
      </c>
      <c r="V444" s="17">
        <v>1.069</v>
      </c>
      <c r="W444" s="36">
        <f>+V444/U444</f>
        <v>0.54017180394138453</v>
      </c>
      <c r="X444" s="17">
        <v>1.2490000000000001</v>
      </c>
      <c r="Y444" s="17">
        <v>-0.91300000000000003</v>
      </c>
      <c r="AA444" s="15" t="s">
        <v>140</v>
      </c>
      <c r="AB444" s="17"/>
      <c r="AC444" s="21" t="s">
        <v>61</v>
      </c>
      <c r="AD444" s="21" t="s">
        <v>61</v>
      </c>
      <c r="AE444" s="17" t="s">
        <v>62</v>
      </c>
      <c r="AF444" s="17" t="s">
        <v>128</v>
      </c>
      <c r="AG444" s="15"/>
      <c r="AI444" s="42">
        <f t="shared" ca="1" si="66"/>
        <v>768</v>
      </c>
      <c r="AJ444" s="42">
        <f t="shared" ca="1" si="71"/>
        <v>601</v>
      </c>
      <c r="AK444" s="13" t="s">
        <v>87</v>
      </c>
      <c r="AL444" s="36" t="str">
        <f t="shared" si="67"/>
        <v>Aborted</v>
      </c>
      <c r="AM444" s="37">
        <v>44896</v>
      </c>
      <c r="AN444" s="37">
        <v>44991</v>
      </c>
      <c r="AO444" s="37" t="s">
        <v>65</v>
      </c>
      <c r="AP444" s="37">
        <v>44991</v>
      </c>
      <c r="AQ444" s="38">
        <v>45001</v>
      </c>
      <c r="AR444" s="38">
        <v>45057</v>
      </c>
      <c r="AS444" s="38"/>
      <c r="AT444" s="38"/>
      <c r="AU444" s="38"/>
      <c r="AV444" s="38"/>
      <c r="AW444" s="38">
        <v>44998</v>
      </c>
      <c r="AX444" s="38"/>
      <c r="AY444" s="38">
        <v>45063</v>
      </c>
      <c r="AZ444" s="38"/>
      <c r="BA444" s="39">
        <f t="shared" si="70"/>
        <v>0.55555555555555558</v>
      </c>
      <c r="BB444" s="38"/>
      <c r="BC444" s="11" t="s">
        <v>7</v>
      </c>
    </row>
    <row r="445" spans="2:55" x14ac:dyDescent="0.35">
      <c r="B445" s="16">
        <f>IF(D445=$A$516,1,IF(D445=$A$517,2,IF(D445=$A$518,3,IF(D445=$A$519,4,IF(D445=$A$520,5,IF(D445=$A$521,6))))))</f>
        <v>5</v>
      </c>
      <c r="D445" s="20" t="str">
        <f t="shared" si="68"/>
        <v>abt</v>
      </c>
      <c r="E445" s="20" t="s">
        <v>497</v>
      </c>
      <c r="F445" s="13"/>
      <c r="G445" s="13" t="s">
        <v>226</v>
      </c>
      <c r="H445" s="13"/>
      <c r="I445" s="13"/>
      <c r="J445" s="13" t="s">
        <v>498</v>
      </c>
      <c r="K445" s="15" t="s">
        <v>499</v>
      </c>
      <c r="L445" s="15" t="s">
        <v>500</v>
      </c>
      <c r="M445" s="15"/>
      <c r="N445" s="15"/>
      <c r="O445" s="15"/>
      <c r="P445" s="15"/>
      <c r="Q445" s="15"/>
      <c r="S445" s="17"/>
      <c r="T445" s="13"/>
      <c r="U445" s="17"/>
      <c r="V445" s="17"/>
      <c r="W445" s="36"/>
      <c r="X445" s="17"/>
      <c r="Y445" s="17"/>
      <c r="AA445" s="15" t="s">
        <v>60</v>
      </c>
      <c r="AB445" s="17"/>
      <c r="AC445" s="21" t="s">
        <v>78</v>
      </c>
      <c r="AD445" s="21" t="s">
        <v>78</v>
      </c>
      <c r="AE445" s="17"/>
      <c r="AF445" s="17"/>
      <c r="AG445" s="15"/>
      <c r="AI445" s="42">
        <f t="shared" ca="1" si="66"/>
        <v>621</v>
      </c>
      <c r="AJ445" s="42">
        <f t="shared" ca="1" si="71"/>
        <v>336</v>
      </c>
      <c r="AK445" s="13"/>
      <c r="AL445" s="36" t="str">
        <f t="shared" si="67"/>
        <v>Aborted</v>
      </c>
      <c r="AM445" s="37">
        <v>45043</v>
      </c>
      <c r="AN445" s="37">
        <v>45043</v>
      </c>
      <c r="AO445" s="37" t="s">
        <v>65</v>
      </c>
      <c r="AP445" s="37">
        <v>45043</v>
      </c>
      <c r="AQ445" s="38">
        <v>45043</v>
      </c>
      <c r="AR445" s="38">
        <v>45110</v>
      </c>
      <c r="AS445" s="38"/>
      <c r="AT445" s="38"/>
      <c r="AU445" s="38"/>
      <c r="AV445" s="38"/>
      <c r="AW445" s="38">
        <v>45110</v>
      </c>
      <c r="AX445" s="38">
        <v>45111</v>
      </c>
      <c r="AY445" s="38">
        <v>45328</v>
      </c>
      <c r="AZ445" s="38"/>
      <c r="BA445" s="39">
        <f t="shared" si="70"/>
        <v>0.55555555555555558</v>
      </c>
      <c r="BB445" s="38"/>
      <c r="BC445" s="11" t="s">
        <v>7</v>
      </c>
    </row>
    <row r="446" spans="2:55" x14ac:dyDescent="0.35">
      <c r="B446" s="16">
        <f>IF(D446=$A$516,1,IF(D446=$A$517,2,IF(D446=$A$518,3,IF(D446=$A$519,4,IF(D446=$A$520,5,IF(D446=$A$521,6))))))</f>
        <v>5</v>
      </c>
      <c r="D446" s="20" t="str">
        <f t="shared" si="68"/>
        <v>abt</v>
      </c>
      <c r="E446" s="20" t="s">
        <v>846</v>
      </c>
      <c r="F446" s="13"/>
      <c r="G446" s="13" t="s">
        <v>226</v>
      </c>
      <c r="H446" s="14" t="s">
        <v>847</v>
      </c>
      <c r="I446" s="13">
        <v>245300</v>
      </c>
      <c r="J446" s="13" t="s">
        <v>111</v>
      </c>
      <c r="K446" s="15" t="s">
        <v>848</v>
      </c>
      <c r="L446" s="15" t="s">
        <v>849</v>
      </c>
      <c r="M446" s="15" t="s">
        <v>850</v>
      </c>
      <c r="N446" s="15"/>
      <c r="O446" s="15"/>
      <c r="P446" s="15"/>
      <c r="Q446" s="15"/>
      <c r="S446" s="35" t="s">
        <v>144</v>
      </c>
      <c r="T446" s="13">
        <v>2021</v>
      </c>
      <c r="U446" s="17">
        <v>191.18</v>
      </c>
      <c r="V446" s="17">
        <v>37.884999999999998</v>
      </c>
      <c r="W446" s="36">
        <f>+V446/U446</f>
        <v>0.19816403389475884</v>
      </c>
      <c r="X446" s="17">
        <v>20.407</v>
      </c>
      <c r="Y446" s="17">
        <v>-12.19</v>
      </c>
      <c r="AA446" s="15" t="s">
        <v>99</v>
      </c>
      <c r="AB446" s="17" t="s">
        <v>461</v>
      </c>
      <c r="AC446" s="21" t="s">
        <v>78</v>
      </c>
      <c r="AD446" s="21" t="s">
        <v>78</v>
      </c>
      <c r="AE446" s="17" t="s">
        <v>86</v>
      </c>
      <c r="AF446" s="17"/>
      <c r="AG446" s="15"/>
      <c r="AI446" s="42">
        <f t="shared" ca="1" si="66"/>
        <v>847</v>
      </c>
      <c r="AJ446" s="42">
        <f t="shared" ca="1" si="71"/>
        <v>637</v>
      </c>
      <c r="AK446" s="13"/>
      <c r="AL446" s="36" t="str">
        <f t="shared" si="67"/>
        <v>Aborted</v>
      </c>
      <c r="AM446" s="37">
        <v>44817</v>
      </c>
      <c r="AN446" s="37">
        <v>44823</v>
      </c>
      <c r="AO446" s="37" t="s">
        <v>65</v>
      </c>
      <c r="AP446" s="37" t="s">
        <v>65</v>
      </c>
      <c r="AQ446" s="38">
        <v>44852</v>
      </c>
      <c r="AR446" s="38"/>
      <c r="AS446" s="38"/>
      <c r="AT446" s="38"/>
      <c r="AU446" s="38"/>
      <c r="AV446" s="38"/>
      <c r="AW446" s="38">
        <v>44862</v>
      </c>
      <c r="AX446" s="38">
        <v>44868</v>
      </c>
      <c r="AY446" s="38">
        <v>45027</v>
      </c>
      <c r="AZ446" s="38"/>
      <c r="BA446" s="39">
        <f t="shared" si="70"/>
        <v>0.44444444444444442</v>
      </c>
      <c r="BB446" s="38"/>
      <c r="BC446" s="11" t="s">
        <v>7</v>
      </c>
    </row>
    <row r="447" spans="2:55" x14ac:dyDescent="0.35">
      <c r="B447" s="16">
        <f>IF(D447=$A$516,1,IF(D447=$A$517,2,IF(D447=$A$518,3,IF(D447=$A$519,4,IF(D447=$A$520,5,IF(D447=$A$521,6))))))</f>
        <v>5</v>
      </c>
      <c r="D447" s="20" t="str">
        <f t="shared" si="68"/>
        <v>abt</v>
      </c>
      <c r="E447" s="12" t="s">
        <v>1134</v>
      </c>
      <c r="F447" s="14"/>
      <c r="G447" s="13" t="s">
        <v>572</v>
      </c>
      <c r="H447" s="14" t="s">
        <v>1135</v>
      </c>
      <c r="I447" s="13">
        <v>380000</v>
      </c>
      <c r="J447" s="13" t="s">
        <v>1049</v>
      </c>
      <c r="K447" s="15" t="s">
        <v>1136</v>
      </c>
      <c r="L447" s="15"/>
      <c r="M447" s="15" t="s">
        <v>1137</v>
      </c>
      <c r="N447" s="15" t="s">
        <v>1138</v>
      </c>
      <c r="O447" s="15"/>
      <c r="P447" s="15"/>
      <c r="Q447" s="15"/>
      <c r="S447" s="35" t="s">
        <v>77</v>
      </c>
      <c r="T447" s="13">
        <v>2020</v>
      </c>
      <c r="U447" s="17">
        <v>4.3</v>
      </c>
      <c r="V447" s="17">
        <v>1.4430000000000001</v>
      </c>
      <c r="W447" s="36">
        <f>+V447/U447</f>
        <v>0.33558139534883724</v>
      </c>
      <c r="X447" s="17"/>
      <c r="Y447" s="17">
        <v>-3.7</v>
      </c>
      <c r="AA447" s="15" t="s">
        <v>99</v>
      </c>
      <c r="AB447" s="15" t="s">
        <v>1139</v>
      </c>
      <c r="AC447" s="21" t="s">
        <v>61</v>
      </c>
      <c r="AD447" s="17" t="s">
        <v>61</v>
      </c>
      <c r="AE447" s="17" t="s">
        <v>86</v>
      </c>
      <c r="AF447" s="17"/>
      <c r="AG447" s="15"/>
      <c r="AI447" s="42">
        <f t="shared" ca="1" si="66"/>
        <v>1071</v>
      </c>
      <c r="AJ447" s="42">
        <f t="shared" ca="1" si="71"/>
        <v>840</v>
      </c>
      <c r="AK447" s="13"/>
      <c r="AL447" s="36" t="str">
        <f t="shared" si="67"/>
        <v>Aborted</v>
      </c>
      <c r="AM447" s="37">
        <v>44593</v>
      </c>
      <c r="AN447" s="37">
        <f>+AM447</f>
        <v>44593</v>
      </c>
      <c r="AO447" s="37" t="s">
        <v>65</v>
      </c>
      <c r="AP447" s="37" t="s">
        <v>65</v>
      </c>
      <c r="AQ447" s="38">
        <v>44628</v>
      </c>
      <c r="AR447" s="38" t="s">
        <v>65</v>
      </c>
      <c r="AS447" s="38" t="s">
        <v>65</v>
      </c>
      <c r="AT447" s="38">
        <v>44630</v>
      </c>
      <c r="AU447" s="38"/>
      <c r="AV447" s="38"/>
      <c r="AW447" s="38">
        <v>44817</v>
      </c>
      <c r="AX447" s="38"/>
      <c r="AY447" s="38">
        <v>44824</v>
      </c>
      <c r="AZ447" s="38"/>
      <c r="BA447" s="39">
        <f t="shared" si="70"/>
        <v>0.77777777777777779</v>
      </c>
      <c r="BB447" s="38"/>
      <c r="BC447" s="11" t="s">
        <v>7</v>
      </c>
    </row>
    <row r="448" spans="2:55" x14ac:dyDescent="0.35">
      <c r="B448" s="16">
        <f>IF(D448=$A$516,1,IF(D448=$A$517,2,IF(D448=$A$518,3,IF(D448=$A$519,4,IF(D448=$A$520,5,IF(D448=$A$521,6))))))</f>
        <v>5</v>
      </c>
      <c r="D448" s="20" t="str">
        <f t="shared" si="68"/>
        <v>abt</v>
      </c>
      <c r="E448" s="20" t="s">
        <v>693</v>
      </c>
      <c r="F448" s="13"/>
      <c r="G448" s="13" t="s">
        <v>246</v>
      </c>
      <c r="H448" s="14" t="s">
        <v>247</v>
      </c>
      <c r="I448" s="13">
        <v>522910</v>
      </c>
      <c r="J448" s="13" t="s">
        <v>132</v>
      </c>
      <c r="K448" s="15" t="s">
        <v>143</v>
      </c>
      <c r="L448" s="15" t="s">
        <v>248</v>
      </c>
      <c r="M448" s="15"/>
      <c r="N448" s="15"/>
      <c r="O448" s="15"/>
      <c r="P448" s="15"/>
      <c r="Q448" s="15"/>
      <c r="S448" s="35" t="s">
        <v>77</v>
      </c>
      <c r="T448" s="13">
        <v>2022</v>
      </c>
      <c r="U448" s="17">
        <v>44</v>
      </c>
      <c r="V448" s="17">
        <v>1.6</v>
      </c>
      <c r="W448" s="36">
        <f>+V448/U448</f>
        <v>3.6363636363636369E-2</v>
      </c>
      <c r="X448" s="17" t="s">
        <v>65</v>
      </c>
      <c r="Y448" s="17" t="s">
        <v>65</v>
      </c>
      <c r="AA448" s="15" t="s">
        <v>99</v>
      </c>
      <c r="AB448" s="17" t="s">
        <v>249</v>
      </c>
      <c r="AC448" s="21" t="s">
        <v>78</v>
      </c>
      <c r="AD448" s="21" t="s">
        <v>78</v>
      </c>
      <c r="AE448" s="17" t="s">
        <v>86</v>
      </c>
      <c r="AF448" s="17" t="s">
        <v>128</v>
      </c>
      <c r="AG448" s="15"/>
      <c r="AI448" s="42">
        <f t="shared" ca="1" si="66"/>
        <v>666</v>
      </c>
      <c r="AJ448" s="42">
        <f t="shared" ca="1" si="71"/>
        <v>490</v>
      </c>
      <c r="AK448" s="13" t="s">
        <v>64</v>
      </c>
      <c r="AL448" s="36" t="str">
        <f t="shared" si="67"/>
        <v>Aborted</v>
      </c>
      <c r="AM448" s="37">
        <v>44998</v>
      </c>
      <c r="AN448" s="37">
        <v>44998</v>
      </c>
      <c r="AO448" s="37">
        <v>44998</v>
      </c>
      <c r="AP448" s="37">
        <v>44998</v>
      </c>
      <c r="AQ448" s="38">
        <v>44998</v>
      </c>
      <c r="AR448" s="38">
        <v>45001</v>
      </c>
      <c r="AS448" s="38">
        <v>45016</v>
      </c>
      <c r="AT448" s="38">
        <v>45027</v>
      </c>
      <c r="AU448" s="38" t="s">
        <v>65</v>
      </c>
      <c r="AV448" s="38">
        <v>45030</v>
      </c>
      <c r="AW448" s="38">
        <v>45138</v>
      </c>
      <c r="AX448" s="38">
        <v>45138</v>
      </c>
      <c r="AY448" s="38">
        <v>45174</v>
      </c>
      <c r="AZ448" s="38"/>
      <c r="BA448" s="39">
        <f t="shared" si="70"/>
        <v>1</v>
      </c>
      <c r="BB448" s="38"/>
      <c r="BC448" s="11" t="s">
        <v>7</v>
      </c>
    </row>
    <row r="449" spans="2:55" x14ac:dyDescent="0.35">
      <c r="B449" s="16">
        <f>IF(D449=$A$516,1,IF(D449=$A$517,2,IF(D449=$A$518,3,IF(D449=$A$519,4,IF(D449=$A$520,5,IF(D449=$A$521,6))))))</f>
        <v>5</v>
      </c>
      <c r="D449" s="20" t="str">
        <f t="shared" si="68"/>
        <v>abt</v>
      </c>
      <c r="E449" s="12" t="s">
        <v>1399</v>
      </c>
      <c r="F449" s="13"/>
      <c r="G449" s="13" t="s">
        <v>91</v>
      </c>
      <c r="H449" s="13"/>
      <c r="I449" s="13"/>
      <c r="J449" s="13" t="s">
        <v>57</v>
      </c>
      <c r="K449" s="15" t="s">
        <v>1400</v>
      </c>
      <c r="L449" s="15"/>
      <c r="M449" s="15"/>
      <c r="N449" s="15"/>
      <c r="O449" s="15"/>
      <c r="P449" s="15"/>
      <c r="Q449" s="15"/>
      <c r="S449" s="35"/>
      <c r="T449" s="13"/>
      <c r="U449" s="17"/>
      <c r="V449" s="17"/>
      <c r="W449" s="36"/>
      <c r="X449" s="17"/>
      <c r="Y449" s="17"/>
      <c r="AA449" s="15" t="s">
        <v>60</v>
      </c>
      <c r="AB449" s="17" t="s">
        <v>1401</v>
      </c>
      <c r="AC449" s="21" t="s">
        <v>61</v>
      </c>
      <c r="AD449" s="17" t="s">
        <v>61</v>
      </c>
      <c r="AE449" s="17" t="s">
        <v>62</v>
      </c>
      <c r="AF449" s="17"/>
      <c r="AG449" s="15"/>
      <c r="AI449" s="42">
        <f t="shared" ca="1" si="66"/>
        <v>1195</v>
      </c>
      <c r="AJ449" s="42">
        <f t="shared" ca="1" si="71"/>
        <v>1169</v>
      </c>
      <c r="AK449" s="13"/>
      <c r="AL449" s="36" t="str">
        <f t="shared" si="67"/>
        <v>Aborted</v>
      </c>
      <c r="AM449" s="37">
        <v>44469</v>
      </c>
      <c r="AN449" s="37">
        <v>44469</v>
      </c>
      <c r="AO449" s="37" t="s">
        <v>65</v>
      </c>
      <c r="AP449" s="37">
        <v>44469</v>
      </c>
      <c r="AQ449" s="38"/>
      <c r="AR449" s="38"/>
      <c r="AS449" s="38"/>
      <c r="AT449" s="38"/>
      <c r="AU449" s="38"/>
      <c r="AV449" s="38"/>
      <c r="AW449" s="38">
        <v>44473</v>
      </c>
      <c r="AX449" s="38"/>
      <c r="AY449" s="38">
        <v>44495</v>
      </c>
      <c r="AZ449" s="38"/>
      <c r="BA449" s="39">
        <f t="shared" si="70"/>
        <v>0.33333333333333331</v>
      </c>
      <c r="BB449" s="38"/>
      <c r="BC449" s="11" t="s">
        <v>7</v>
      </c>
    </row>
    <row r="450" spans="2:55" x14ac:dyDescent="0.35">
      <c r="B450" s="148">
        <f>IF(D450=$A$516,1,IF(D450=$A$517,2,IF(D450=$A$518,3,IF(D450=$A$519,4,IF(D450=$A$520,5,IF(D450=$A$521,6))))))</f>
        <v>5</v>
      </c>
      <c r="D450" s="20" t="str">
        <f t="shared" si="68"/>
        <v>abt</v>
      </c>
      <c r="E450" s="141" t="s">
        <v>2645</v>
      </c>
      <c r="F450" s="13"/>
      <c r="G450" s="13" t="s">
        <v>333</v>
      </c>
      <c r="H450" s="14"/>
      <c r="I450" s="13"/>
      <c r="J450" s="13" t="s">
        <v>1460</v>
      </c>
      <c r="K450" s="15" t="s">
        <v>2639</v>
      </c>
      <c r="L450" s="15" t="s">
        <v>2900</v>
      </c>
      <c r="M450" s="15"/>
      <c r="N450" s="15"/>
      <c r="O450" s="15"/>
      <c r="P450" s="15"/>
      <c r="Q450" s="15"/>
      <c r="S450" s="35" t="s">
        <v>77</v>
      </c>
      <c r="T450" s="13">
        <v>2022</v>
      </c>
      <c r="U450" s="17">
        <v>3.714</v>
      </c>
      <c r="V450" s="17">
        <v>0.85199999999999998</v>
      </c>
      <c r="W450" s="36">
        <f>+V450/U450</f>
        <v>0.22940226171243941</v>
      </c>
      <c r="X450" s="17">
        <v>0.52900000000000003</v>
      </c>
      <c r="Y450" s="17">
        <v>0.26200000000000001</v>
      </c>
      <c r="AA450" s="15" t="s">
        <v>140</v>
      </c>
      <c r="AB450" s="17"/>
      <c r="AC450" s="21" t="s">
        <v>61</v>
      </c>
      <c r="AD450" s="21" t="s">
        <v>61</v>
      </c>
      <c r="AE450" s="17" t="s">
        <v>128</v>
      </c>
      <c r="AF450" s="17"/>
      <c r="AG450" s="15" t="s">
        <v>2640</v>
      </c>
      <c r="AI450" s="42">
        <f t="shared" ca="1" si="66"/>
        <v>413</v>
      </c>
      <c r="AJ450" s="42">
        <f t="shared" ca="1" si="71"/>
        <v>364</v>
      </c>
      <c r="AK450" s="13" t="s">
        <v>720</v>
      </c>
      <c r="AL450" s="36" t="str">
        <f t="shared" si="67"/>
        <v>Aborted</v>
      </c>
      <c r="AM450" s="37">
        <v>45251</v>
      </c>
      <c r="AN450" s="37">
        <v>45265</v>
      </c>
      <c r="AO450" s="37">
        <v>45271</v>
      </c>
      <c r="AP450" s="37">
        <v>45266</v>
      </c>
      <c r="AQ450" s="38"/>
      <c r="AR450" s="38"/>
      <c r="AS450" s="38"/>
      <c r="AT450" s="38"/>
      <c r="AU450" s="38"/>
      <c r="AV450" s="38"/>
      <c r="AW450" s="38">
        <v>45271</v>
      </c>
      <c r="AX450" s="38">
        <v>45271</v>
      </c>
      <c r="AY450" s="38">
        <v>45300</v>
      </c>
      <c r="AZ450" s="38"/>
      <c r="BA450" s="39">
        <f t="shared" si="70"/>
        <v>0.33333333333333331</v>
      </c>
      <c r="BB450" s="38"/>
      <c r="BC450" s="11" t="s">
        <v>7</v>
      </c>
    </row>
    <row r="451" spans="2:55" x14ac:dyDescent="0.35">
      <c r="B451" s="16">
        <f>IF(D451=$A$516,1,IF(D451=$A$517,2,IF(D451=$A$518,3,IF(D451=$A$519,4,IF(D451=$A$520,5,IF(D451=$A$521,6))))))</f>
        <v>5</v>
      </c>
      <c r="D451" s="20" t="str">
        <f t="shared" si="68"/>
        <v>abt</v>
      </c>
      <c r="E451" s="20" t="s">
        <v>652</v>
      </c>
      <c r="F451" s="13"/>
      <c r="G451" s="13" t="s">
        <v>653</v>
      </c>
      <c r="H451" s="14"/>
      <c r="I451" s="13"/>
      <c r="J451" s="13" t="s">
        <v>452</v>
      </c>
      <c r="K451" s="15" t="s">
        <v>654</v>
      </c>
      <c r="L451" s="15"/>
      <c r="M451" s="15"/>
      <c r="N451" s="15"/>
      <c r="O451" s="15"/>
      <c r="P451" s="15"/>
      <c r="Q451" s="15"/>
      <c r="S451" s="17" t="s">
        <v>77</v>
      </c>
      <c r="T451" s="13">
        <v>2021</v>
      </c>
      <c r="U451" s="17"/>
      <c r="V451" s="17"/>
      <c r="W451" s="36"/>
      <c r="X451" s="17"/>
      <c r="Y451" s="17"/>
      <c r="AA451" s="15" t="s">
        <v>60</v>
      </c>
      <c r="AB451" s="15"/>
      <c r="AC451" s="17" t="s">
        <v>61</v>
      </c>
      <c r="AD451" s="21" t="s">
        <v>61</v>
      </c>
      <c r="AE451" s="13"/>
      <c r="AF451" s="17"/>
      <c r="AG451" s="15"/>
      <c r="AI451" s="42">
        <f t="shared" ca="1" si="66"/>
        <v>560</v>
      </c>
      <c r="AJ451" s="42">
        <f t="shared" ca="1" si="71"/>
        <v>483</v>
      </c>
      <c r="AK451" s="13"/>
      <c r="AL451" s="36" t="str">
        <f t="shared" si="67"/>
        <v>Aborted</v>
      </c>
      <c r="AM451" s="37">
        <v>45104</v>
      </c>
      <c r="AN451" s="37">
        <f>+AM451</f>
        <v>45104</v>
      </c>
      <c r="AO451" s="37" t="s">
        <v>65</v>
      </c>
      <c r="AP451" s="37"/>
      <c r="AQ451" s="38"/>
      <c r="AR451" s="38"/>
      <c r="AS451" s="38"/>
      <c r="AT451" s="38"/>
      <c r="AU451" s="38"/>
      <c r="AV451" s="38"/>
      <c r="AW451" s="38">
        <v>45104</v>
      </c>
      <c r="AX451" s="38">
        <v>45117</v>
      </c>
      <c r="AY451" s="38">
        <v>45181</v>
      </c>
      <c r="AZ451" s="38"/>
      <c r="BA451" s="39">
        <f t="shared" si="70"/>
        <v>0.22222222222222221</v>
      </c>
      <c r="BB451" s="38"/>
      <c r="BC451" s="11" t="s">
        <v>7</v>
      </c>
    </row>
    <row r="452" spans="2:55" x14ac:dyDescent="0.35">
      <c r="B452" s="16">
        <f>IF(D452=$A$516,1,IF(D452=$A$517,2,IF(D452=$A$518,3,IF(D452=$A$519,4,IF(D452=$A$520,5,IF(D452=$A$521,6))))))</f>
        <v>5</v>
      </c>
      <c r="D452" s="20" t="str">
        <f t="shared" si="68"/>
        <v>abt</v>
      </c>
      <c r="E452" s="12" t="s">
        <v>575</v>
      </c>
      <c r="F452" s="13"/>
      <c r="G452" s="14" t="s">
        <v>147</v>
      </c>
      <c r="H452" s="14" t="s">
        <v>361</v>
      </c>
      <c r="I452" s="13">
        <v>701000</v>
      </c>
      <c r="J452" s="13" t="s">
        <v>111</v>
      </c>
      <c r="K452" s="15" t="s">
        <v>576</v>
      </c>
      <c r="L452" s="15"/>
      <c r="M452" s="15"/>
      <c r="N452" s="15"/>
      <c r="O452" s="15"/>
      <c r="P452" s="15"/>
      <c r="Q452" s="15"/>
      <c r="S452" s="35" t="s">
        <v>144</v>
      </c>
      <c r="T452" s="13">
        <v>2020</v>
      </c>
      <c r="U452" s="17">
        <v>191.018</v>
      </c>
      <c r="V452" s="17">
        <v>12.541</v>
      </c>
      <c r="W452" s="36">
        <f t="shared" ref="W452:W457" si="72">+V452/U452</f>
        <v>6.5653498623166398E-2</v>
      </c>
      <c r="X452" s="17">
        <v>4.3810000000000002</v>
      </c>
      <c r="Y452" s="17">
        <v>55.905999999999999</v>
      </c>
      <c r="AA452" s="15" t="s">
        <v>253</v>
      </c>
      <c r="AB452" s="17"/>
      <c r="AC452" s="21" t="s">
        <v>78</v>
      </c>
      <c r="AD452" s="21" t="s">
        <v>78</v>
      </c>
      <c r="AE452" s="61"/>
      <c r="AF452" s="17"/>
      <c r="AG452" s="15"/>
      <c r="AI452" s="42">
        <f t="shared" ca="1" si="66"/>
        <v>991</v>
      </c>
      <c r="AJ452" s="42">
        <f t="shared" ca="1" si="71"/>
        <v>336</v>
      </c>
      <c r="AK452" s="13"/>
      <c r="AL452" s="36" t="str">
        <f t="shared" si="67"/>
        <v>Aborted</v>
      </c>
      <c r="AM452" s="37">
        <v>44673</v>
      </c>
      <c r="AN452" s="37">
        <f>+AM452</f>
        <v>44673</v>
      </c>
      <c r="AO452" s="37" t="s">
        <v>65</v>
      </c>
      <c r="AP452" s="37" t="s">
        <v>65</v>
      </c>
      <c r="AQ452" s="38">
        <v>44705</v>
      </c>
      <c r="AR452" s="38"/>
      <c r="AS452" s="38"/>
      <c r="AT452" s="38"/>
      <c r="AU452" s="38"/>
      <c r="AV452" s="38"/>
      <c r="AW452" s="38">
        <v>44852</v>
      </c>
      <c r="AX452" s="38">
        <v>44852</v>
      </c>
      <c r="AY452" s="38">
        <v>45328</v>
      </c>
      <c r="AZ452" s="38"/>
      <c r="BA452" s="39">
        <f t="shared" si="70"/>
        <v>0.44444444444444442</v>
      </c>
      <c r="BB452" s="38"/>
      <c r="BC452" s="11" t="s">
        <v>7</v>
      </c>
    </row>
    <row r="453" spans="2:55" x14ac:dyDescent="0.35">
      <c r="B453" s="16">
        <f>IF(D453=$A$516,1,IF(D453=$A$517,2,IF(D453=$A$518,3,IF(D453=$A$519,4,IF(D453=$A$520,5,IF(D453=$A$521,6))))))</f>
        <v>5</v>
      </c>
      <c r="D453" s="20" t="str">
        <f t="shared" si="68"/>
        <v>abt</v>
      </c>
      <c r="E453" s="12" t="s">
        <v>1121</v>
      </c>
      <c r="F453" s="14"/>
      <c r="G453" s="13" t="s">
        <v>463</v>
      </c>
      <c r="H453" s="14" t="s">
        <v>1122</v>
      </c>
      <c r="I453" s="13">
        <v>131000</v>
      </c>
      <c r="J453" s="13" t="s">
        <v>111</v>
      </c>
      <c r="K453" s="15" t="s">
        <v>1123</v>
      </c>
      <c r="L453" s="15"/>
      <c r="M453" s="15" t="s">
        <v>4210</v>
      </c>
      <c r="N453" s="15" t="s">
        <v>4211</v>
      </c>
      <c r="O453" s="15" t="s">
        <v>4212</v>
      </c>
      <c r="P453" s="15" t="s">
        <v>4211</v>
      </c>
      <c r="Q453" s="15"/>
      <c r="S453" s="35" t="s">
        <v>77</v>
      </c>
      <c r="T453" s="13">
        <v>2022</v>
      </c>
      <c r="U453" s="17">
        <v>9.1199999999999992</v>
      </c>
      <c r="V453" s="17">
        <v>1.3320000000000001</v>
      </c>
      <c r="W453" s="36">
        <f t="shared" si="72"/>
        <v>0.14605263157894738</v>
      </c>
      <c r="X453" s="17">
        <v>0.54200000000000004</v>
      </c>
      <c r="Y453" s="17">
        <v>-0.78200000000000003</v>
      </c>
      <c r="AA453" s="15" t="s">
        <v>99</v>
      </c>
      <c r="AB453" s="17" t="s">
        <v>1124</v>
      </c>
      <c r="AC453" s="21" t="s">
        <v>78</v>
      </c>
      <c r="AD453" s="21" t="s">
        <v>78</v>
      </c>
      <c r="AE453" s="17"/>
      <c r="AF453" s="17"/>
      <c r="AG453" s="15"/>
      <c r="AI453" s="42">
        <f t="shared" ca="1" si="66"/>
        <v>1141</v>
      </c>
      <c r="AJ453" s="42">
        <f t="shared" ca="1" si="71"/>
        <v>819</v>
      </c>
      <c r="AK453" s="13"/>
      <c r="AL453" s="36" t="str">
        <f t="shared" si="67"/>
        <v>Aborted</v>
      </c>
      <c r="AM453" s="37">
        <v>44523</v>
      </c>
      <c r="AN453" s="37">
        <v>44523</v>
      </c>
      <c r="AO453" s="37" t="s">
        <v>65</v>
      </c>
      <c r="AP453" s="37">
        <v>44523</v>
      </c>
      <c r="AQ453" s="38">
        <v>44510</v>
      </c>
      <c r="AR453" s="38">
        <v>44524</v>
      </c>
      <c r="AS453" s="38"/>
      <c r="AT453" s="38"/>
      <c r="AU453" s="38"/>
      <c r="AV453" s="38"/>
      <c r="AW453" s="38">
        <v>44596</v>
      </c>
      <c r="AX453" s="38">
        <v>44530</v>
      </c>
      <c r="AY453" s="38">
        <v>44845</v>
      </c>
      <c r="AZ453" s="38"/>
      <c r="BA453" s="39">
        <f t="shared" si="70"/>
        <v>0.55555555555555558</v>
      </c>
      <c r="BB453" s="38"/>
      <c r="BC453" s="11" t="s">
        <v>7</v>
      </c>
    </row>
    <row r="454" spans="2:55" x14ac:dyDescent="0.35">
      <c r="B454" s="16">
        <f>IF(D454=$A$516,1,IF(D454=$A$517,2,IF(D454=$A$518,3,IF(D454=$A$519,4,IF(D454=$A$520,5,IF(D454=$A$521,6))))))</f>
        <v>5</v>
      </c>
      <c r="D454" s="20" t="str">
        <f t="shared" si="68"/>
        <v>abt</v>
      </c>
      <c r="E454" s="20" t="s">
        <v>2610</v>
      </c>
      <c r="F454" s="13"/>
      <c r="G454" s="13" t="s">
        <v>292</v>
      </c>
      <c r="H454" s="14" t="s">
        <v>2624</v>
      </c>
      <c r="I454" s="13"/>
      <c r="J454" s="13" t="s">
        <v>1177</v>
      </c>
      <c r="K454" s="15" t="s">
        <v>2625</v>
      </c>
      <c r="L454" s="15" t="s">
        <v>2611</v>
      </c>
      <c r="M454" s="15"/>
      <c r="N454" s="15"/>
      <c r="O454" s="15"/>
      <c r="P454" s="15"/>
      <c r="Q454" s="15"/>
      <c r="S454" s="17" t="s">
        <v>77</v>
      </c>
      <c r="T454" s="13">
        <v>2022</v>
      </c>
      <c r="U454" s="17">
        <v>2.5649999999999999</v>
      </c>
      <c r="V454" s="17">
        <v>1.119</v>
      </c>
      <c r="W454" s="36">
        <f t="shared" si="72"/>
        <v>0.43625730994152045</v>
      </c>
      <c r="X454" s="17">
        <v>0.34399999999999997</v>
      </c>
      <c r="Y454" s="17"/>
      <c r="AA454" s="15" t="s">
        <v>99</v>
      </c>
      <c r="AB454" s="15" t="s">
        <v>2612</v>
      </c>
      <c r="AC454" s="21" t="s">
        <v>78</v>
      </c>
      <c r="AD454" s="21" t="s">
        <v>78</v>
      </c>
      <c r="AE454" s="17" t="s">
        <v>86</v>
      </c>
      <c r="AF454" s="17"/>
      <c r="AG454" s="15"/>
      <c r="AI454" s="42">
        <f t="shared" ca="1" si="66"/>
        <v>400</v>
      </c>
      <c r="AJ454" s="42">
        <f t="shared" ca="1" si="71"/>
        <v>364</v>
      </c>
      <c r="AK454" s="13" t="s">
        <v>64</v>
      </c>
      <c r="AL454" s="36" t="str">
        <f t="shared" si="67"/>
        <v>Aborted</v>
      </c>
      <c r="AM454" s="37">
        <v>45264</v>
      </c>
      <c r="AN454" s="37">
        <v>45264</v>
      </c>
      <c r="AO454" s="37" t="s">
        <v>65</v>
      </c>
      <c r="AP454" s="37" t="s">
        <v>65</v>
      </c>
      <c r="AQ454" s="38">
        <v>45265</v>
      </c>
      <c r="AR454" s="38"/>
      <c r="AS454" s="38"/>
      <c r="AT454" s="38"/>
      <c r="AU454" s="38"/>
      <c r="AV454" s="38"/>
      <c r="AW454" s="38">
        <v>45271</v>
      </c>
      <c r="AX454" s="38">
        <v>45278</v>
      </c>
      <c r="AY454" s="38">
        <v>45300</v>
      </c>
      <c r="AZ454" s="38"/>
      <c r="BA454" s="39">
        <f t="shared" si="70"/>
        <v>0.44444444444444442</v>
      </c>
      <c r="BB454" s="38"/>
      <c r="BC454" s="11" t="s">
        <v>7</v>
      </c>
    </row>
    <row r="455" spans="2:55" x14ac:dyDescent="0.35">
      <c r="B455" s="16">
        <f>IF(D455=$A$516,1,IF(D455=$A$517,2,IF(D455=$A$518,3,IF(D455=$A$519,4,IF(D455=$A$520,5,IF(D455=$A$521,6))))))</f>
        <v>5</v>
      </c>
      <c r="D455" s="20" t="str">
        <f t="shared" si="68"/>
        <v>abt</v>
      </c>
      <c r="E455" s="20" t="s">
        <v>1059</v>
      </c>
      <c r="F455" s="13"/>
      <c r="G455" s="13" t="s">
        <v>103</v>
      </c>
      <c r="H455" s="14" t="s">
        <v>1060</v>
      </c>
      <c r="I455" s="13">
        <v>282991</v>
      </c>
      <c r="J455" s="13" t="s">
        <v>111</v>
      </c>
      <c r="K455" s="15" t="s">
        <v>1061</v>
      </c>
      <c r="L455" s="15" t="s">
        <v>1062</v>
      </c>
      <c r="M455" s="15" t="s">
        <v>4207</v>
      </c>
      <c r="N455" s="15" t="s">
        <v>4208</v>
      </c>
      <c r="O455" s="15"/>
      <c r="P455" s="15" t="s">
        <v>4209</v>
      </c>
      <c r="Q455" s="15"/>
      <c r="S455" s="35" t="s">
        <v>77</v>
      </c>
      <c r="T455" s="13">
        <v>2023</v>
      </c>
      <c r="U455" s="17">
        <v>55.613999999999997</v>
      </c>
      <c r="V455" s="17">
        <v>25.529</v>
      </c>
      <c r="W455" s="36">
        <f t="shared" si="72"/>
        <v>0.45903909087639805</v>
      </c>
      <c r="X455" s="17">
        <v>15.367000000000001</v>
      </c>
      <c r="Y455" s="17">
        <v>-5.3140000000000001</v>
      </c>
      <c r="AA455" s="15" t="s">
        <v>140</v>
      </c>
      <c r="AB455" s="17"/>
      <c r="AC455" s="21" t="s">
        <v>61</v>
      </c>
      <c r="AD455" s="21" t="s">
        <v>61</v>
      </c>
      <c r="AE455" s="17" t="s">
        <v>86</v>
      </c>
      <c r="AF455" s="17" t="s">
        <v>79</v>
      </c>
      <c r="AG455" s="15"/>
      <c r="AH455" s="677">
        <v>1</v>
      </c>
      <c r="AI455" s="42">
        <f t="shared" ca="1" si="66"/>
        <v>859</v>
      </c>
      <c r="AJ455" s="42">
        <f t="shared" ca="1" si="71"/>
        <v>729</v>
      </c>
      <c r="AK455" s="13"/>
      <c r="AL455" s="36" t="str">
        <f t="shared" si="67"/>
        <v>Aborted</v>
      </c>
      <c r="AM455" s="37">
        <v>44805</v>
      </c>
      <c r="AN455" s="37">
        <v>44805</v>
      </c>
      <c r="AO455" s="37" t="s">
        <v>65</v>
      </c>
      <c r="AP455" s="37">
        <v>44816</v>
      </c>
      <c r="AQ455" s="38">
        <v>44816</v>
      </c>
      <c r="AR455" s="38"/>
      <c r="AS455" s="38"/>
      <c r="AT455" s="38"/>
      <c r="AU455" s="38"/>
      <c r="AV455" s="38"/>
      <c r="AW455" s="38">
        <v>44816</v>
      </c>
      <c r="AX455" s="38">
        <v>44817</v>
      </c>
      <c r="AY455" s="38">
        <v>44935</v>
      </c>
      <c r="AZ455" s="38"/>
      <c r="BA455" s="39">
        <f t="shared" si="70"/>
        <v>0.44444444444444442</v>
      </c>
      <c r="BB455" s="38"/>
      <c r="BC455" s="11" t="s">
        <v>7</v>
      </c>
    </row>
    <row r="456" spans="2:55" x14ac:dyDescent="0.35">
      <c r="B456" s="16">
        <f>IF(D456=$A$516,1,IF(D456=$A$517,2,IF(D456=$A$518,3,IF(D456=$A$519,4,IF(D456=$A$520,5,IF(D456=$A$521,6))))))</f>
        <v>5</v>
      </c>
      <c r="D456" s="20" t="str">
        <f t="shared" si="68"/>
        <v>abt</v>
      </c>
      <c r="E456" s="20" t="s">
        <v>625</v>
      </c>
      <c r="F456" s="13" t="s">
        <v>626</v>
      </c>
      <c r="G456" s="13" t="s">
        <v>270</v>
      </c>
      <c r="H456" s="14" t="s">
        <v>392</v>
      </c>
      <c r="I456" s="13">
        <v>222100</v>
      </c>
      <c r="J456" s="13" t="s">
        <v>111</v>
      </c>
      <c r="K456" s="15" t="s">
        <v>627</v>
      </c>
      <c r="L456" s="15" t="s">
        <v>628</v>
      </c>
      <c r="M456" s="20"/>
      <c r="N456" s="15"/>
      <c r="O456" s="15"/>
      <c r="P456" s="15"/>
      <c r="Q456" s="15"/>
      <c r="S456" s="35" t="s">
        <v>77</v>
      </c>
      <c r="T456" s="13">
        <v>2021</v>
      </c>
      <c r="U456" s="17">
        <v>26.922000000000001</v>
      </c>
      <c r="V456" s="17">
        <v>2.7029999999999998</v>
      </c>
      <c r="W456" s="36">
        <f t="shared" si="72"/>
        <v>0.10040115890349899</v>
      </c>
      <c r="X456" s="17">
        <v>1.379</v>
      </c>
      <c r="Y456" s="17">
        <v>-6.665</v>
      </c>
      <c r="AA456" s="15" t="s">
        <v>99</v>
      </c>
      <c r="AB456" s="17" t="s">
        <v>628</v>
      </c>
      <c r="AC456" s="21" t="s">
        <v>61</v>
      </c>
      <c r="AD456" s="21" t="s">
        <v>61</v>
      </c>
      <c r="AE456" s="17" t="s">
        <v>62</v>
      </c>
      <c r="AF456" s="17" t="s">
        <v>79</v>
      </c>
      <c r="AG456" s="15"/>
      <c r="AH456" s="677">
        <v>1</v>
      </c>
      <c r="AI456" s="42">
        <f t="shared" ca="1" si="66"/>
        <v>753</v>
      </c>
      <c r="AJ456" s="42">
        <f t="shared" ca="1" si="71"/>
        <v>467</v>
      </c>
      <c r="AK456" s="13" t="s">
        <v>87</v>
      </c>
      <c r="AL456" s="36" t="str">
        <f t="shared" si="67"/>
        <v>Aborted</v>
      </c>
      <c r="AM456" s="37">
        <v>44911</v>
      </c>
      <c r="AN456" s="37">
        <f>+AM456</f>
        <v>44911</v>
      </c>
      <c r="AO456" s="37" t="s">
        <v>65</v>
      </c>
      <c r="AP456" s="37">
        <v>44911</v>
      </c>
      <c r="AQ456" s="38">
        <v>44937</v>
      </c>
      <c r="AR456" s="38">
        <v>44946</v>
      </c>
      <c r="AS456" s="38" t="s">
        <v>65</v>
      </c>
      <c r="AT456" s="38">
        <v>44949</v>
      </c>
      <c r="AU456" s="38" t="s">
        <v>65</v>
      </c>
      <c r="AV456" s="38">
        <v>44956</v>
      </c>
      <c r="AW456" s="38"/>
      <c r="AX456" s="38"/>
      <c r="AY456" s="38">
        <v>45197</v>
      </c>
      <c r="AZ456" s="38"/>
      <c r="BA456" s="39">
        <f t="shared" si="70"/>
        <v>1</v>
      </c>
      <c r="BB456" s="38"/>
      <c r="BC456" s="11" t="s">
        <v>7</v>
      </c>
    </row>
    <row r="457" spans="2:55" x14ac:dyDescent="0.35">
      <c r="B457" s="16">
        <f>IF(D457=$A$516,1,IF(D457=$A$517,2,IF(D457=$A$518,3,IF(D457=$A$519,4,IF(D457=$A$520,5,IF(D457=$A$521,6))))))</f>
        <v>5</v>
      </c>
      <c r="D457" s="20" t="str">
        <f t="shared" si="68"/>
        <v>abt</v>
      </c>
      <c r="E457" s="12" t="s">
        <v>4201</v>
      </c>
      <c r="F457" s="13"/>
      <c r="G457" s="13" t="s">
        <v>68</v>
      </c>
      <c r="H457" s="41" t="s">
        <v>1014</v>
      </c>
      <c r="I457" s="13">
        <v>139220</v>
      </c>
      <c r="J457" s="13" t="s">
        <v>111</v>
      </c>
      <c r="K457" s="15" t="s">
        <v>4202</v>
      </c>
      <c r="L457" s="15"/>
      <c r="M457" s="15" t="s">
        <v>4203</v>
      </c>
      <c r="N457" s="15" t="s">
        <v>4204</v>
      </c>
      <c r="O457" s="15" t="s">
        <v>4205</v>
      </c>
      <c r="P457" s="15" t="s">
        <v>4204</v>
      </c>
      <c r="Q457" s="15" t="s">
        <v>4206</v>
      </c>
      <c r="S457" s="35" t="s">
        <v>77</v>
      </c>
      <c r="T457" s="13">
        <v>2022</v>
      </c>
      <c r="U457" s="17">
        <v>23.004000000000001</v>
      </c>
      <c r="V457" s="17">
        <v>2.0339999999999998</v>
      </c>
      <c r="W457" s="36">
        <f t="shared" si="72"/>
        <v>8.8419405320813757E-2</v>
      </c>
      <c r="X457" s="17">
        <v>1.339</v>
      </c>
      <c r="Y457" s="17">
        <v>5.7130000000000001</v>
      </c>
      <c r="AA457" s="15" t="s">
        <v>99</v>
      </c>
      <c r="AB457" s="17" t="s">
        <v>460</v>
      </c>
      <c r="AC457" s="21" t="s">
        <v>61</v>
      </c>
      <c r="AD457" s="21" t="s">
        <v>61</v>
      </c>
      <c r="AE457" s="17" t="s">
        <v>79</v>
      </c>
      <c r="AF457" s="76" t="s">
        <v>562</v>
      </c>
      <c r="AG457" s="15"/>
      <c r="AH457" s="677">
        <v>1</v>
      </c>
      <c r="AI457" s="42">
        <f t="shared" ca="1" si="66"/>
        <v>1064</v>
      </c>
      <c r="AJ457" s="42">
        <f t="shared" ca="1" si="71"/>
        <v>728</v>
      </c>
      <c r="AK457" s="13"/>
      <c r="AL457" s="36" t="str">
        <f t="shared" si="67"/>
        <v>Aborted</v>
      </c>
      <c r="AM457" s="37">
        <v>44600</v>
      </c>
      <c r="AN457" s="37">
        <v>44600</v>
      </c>
      <c r="AO457" s="37" t="s">
        <v>65</v>
      </c>
      <c r="AP457" s="37" t="s">
        <v>65</v>
      </c>
      <c r="AQ457" s="38">
        <v>44614</v>
      </c>
      <c r="AR457" s="38"/>
      <c r="AS457" s="38"/>
      <c r="AT457" s="38"/>
      <c r="AU457" s="38"/>
      <c r="AV457" s="38"/>
      <c r="AW457" s="38">
        <v>44696</v>
      </c>
      <c r="AX457" s="38">
        <v>44705</v>
      </c>
      <c r="AY457" s="38">
        <v>44936</v>
      </c>
      <c r="AZ457" s="38"/>
      <c r="BA457" s="39">
        <f t="shared" si="70"/>
        <v>0.44444444444444442</v>
      </c>
      <c r="BB457" s="38"/>
      <c r="BC457" s="11" t="s">
        <v>7</v>
      </c>
    </row>
    <row r="458" spans="2:55" x14ac:dyDescent="0.35">
      <c r="B458" s="16">
        <f>IF(D458=$A$516,1,IF(D458=$A$517,2,IF(D458=$A$518,3,IF(D458=$A$519,4,IF(D458=$A$520,5,IF(D458=$A$521,6))))))</f>
        <v>5</v>
      </c>
      <c r="D458" s="20" t="str">
        <f t="shared" si="68"/>
        <v>abt</v>
      </c>
      <c r="E458" s="20" t="s">
        <v>705</v>
      </c>
      <c r="F458" s="13"/>
      <c r="G458" s="13" t="s">
        <v>538</v>
      </c>
      <c r="H458" s="14" t="s">
        <v>706</v>
      </c>
      <c r="I458" s="13">
        <v>701000</v>
      </c>
      <c r="J458" s="13" t="s">
        <v>132</v>
      </c>
      <c r="K458" s="15" t="s">
        <v>707</v>
      </c>
      <c r="L458" s="15" t="s">
        <v>708</v>
      </c>
      <c r="M458" s="15"/>
      <c r="N458" s="15"/>
      <c r="O458" s="15"/>
      <c r="P458" s="15"/>
      <c r="Q458" s="15"/>
      <c r="S458" s="35" t="s">
        <v>144</v>
      </c>
      <c r="T458" s="13"/>
      <c r="U458" s="17"/>
      <c r="V458" s="17"/>
      <c r="W458" s="36"/>
      <c r="X458" s="17"/>
      <c r="Y458" s="17"/>
      <c r="AA458" s="15" t="s">
        <v>60</v>
      </c>
      <c r="AB458" s="17"/>
      <c r="AC458" s="21" t="s">
        <v>78</v>
      </c>
      <c r="AD458" s="21" t="s">
        <v>78</v>
      </c>
      <c r="AE458" s="17"/>
      <c r="AF458" s="17"/>
      <c r="AG458" s="15" t="s">
        <v>709</v>
      </c>
      <c r="AI458" s="42">
        <f t="shared" ref="AI458:AI510" ca="1" si="73">+TODAY()-AM458</f>
        <v>768</v>
      </c>
      <c r="AJ458" s="42">
        <f t="shared" ca="1" si="71"/>
        <v>491</v>
      </c>
      <c r="AK458" s="13" t="s">
        <v>720</v>
      </c>
      <c r="AL458" s="36" t="str">
        <f t="shared" ref="AL458:AL510" si="74">+IF(BB458="",IF(AZ458="",IF(AY458="",IF(AX458="",COUNTA(AN458:AV458)/9,"On-hold"),"Aborted"),"Closed"),"RIP")</f>
        <v>Aborted</v>
      </c>
      <c r="AM458" s="37">
        <v>44896</v>
      </c>
      <c r="AN458" s="37">
        <v>44896</v>
      </c>
      <c r="AO458" s="37" t="s">
        <v>65</v>
      </c>
      <c r="AP458" s="37" t="s">
        <v>65</v>
      </c>
      <c r="AQ458" s="38">
        <v>44910</v>
      </c>
      <c r="AR458" s="38"/>
      <c r="AS458" s="38"/>
      <c r="AT458" s="38"/>
      <c r="AU458" s="38"/>
      <c r="AV458" s="38"/>
      <c r="AW458" s="38">
        <v>45037</v>
      </c>
      <c r="AX458" s="38">
        <v>44927</v>
      </c>
      <c r="AY458" s="38">
        <v>45173</v>
      </c>
      <c r="AZ458" s="38"/>
      <c r="BA458" s="39">
        <f t="shared" si="70"/>
        <v>0.44444444444444442</v>
      </c>
      <c r="BB458" s="38"/>
      <c r="BC458" s="11" t="s">
        <v>7</v>
      </c>
    </row>
    <row r="459" spans="2:55" x14ac:dyDescent="0.35">
      <c r="B459" s="16">
        <f>IF(D459=$A$516,1,IF(D459=$A$517,2,IF(D459=$A$518,3,IF(D459=$A$519,4,IF(D459=$A$520,5,IF(D459=$A$521,6))))))</f>
        <v>5</v>
      </c>
      <c r="D459" s="20" t="str">
        <f t="shared" si="68"/>
        <v>abt</v>
      </c>
      <c r="E459" s="12" t="s">
        <v>741</v>
      </c>
      <c r="F459" s="14" t="s">
        <v>742</v>
      </c>
      <c r="G459" s="13" t="s">
        <v>137</v>
      </c>
      <c r="H459" s="14" t="s">
        <v>743</v>
      </c>
      <c r="I459" s="13">
        <v>110700</v>
      </c>
      <c r="J459" s="13" t="s">
        <v>744</v>
      </c>
      <c r="K459" s="15" t="s">
        <v>745</v>
      </c>
      <c r="L459" s="15" t="s">
        <v>746</v>
      </c>
      <c r="M459" s="15" t="s">
        <v>4200</v>
      </c>
      <c r="N459" s="15"/>
      <c r="O459" s="15" t="s">
        <v>746</v>
      </c>
      <c r="P459" s="15" t="s">
        <v>746</v>
      </c>
      <c r="Q459" s="15"/>
      <c r="S459" s="35" t="s">
        <v>77</v>
      </c>
      <c r="T459" s="13">
        <v>2022</v>
      </c>
      <c r="U459" s="17">
        <v>11.347</v>
      </c>
      <c r="V459" s="17">
        <v>1.615</v>
      </c>
      <c r="W459" s="36">
        <f t="shared" ref="W459:W464" si="75">+V459/U459</f>
        <v>0.14232836873182339</v>
      </c>
      <c r="X459" s="17">
        <v>1</v>
      </c>
      <c r="Y459" s="17">
        <v>-0.38600000000000001</v>
      </c>
      <c r="AA459" s="15" t="s">
        <v>60</v>
      </c>
      <c r="AB459" s="17"/>
      <c r="AC459" s="21" t="s">
        <v>78</v>
      </c>
      <c r="AD459" s="21" t="s">
        <v>78</v>
      </c>
      <c r="AE459" s="17" t="s">
        <v>62</v>
      </c>
      <c r="AF459" s="17"/>
      <c r="AG459" s="15"/>
      <c r="AI459" s="42">
        <f t="shared" ca="1" si="73"/>
        <v>1302</v>
      </c>
      <c r="AJ459" s="42">
        <f t="shared" ca="1" si="71"/>
        <v>28</v>
      </c>
      <c r="AK459" s="13"/>
      <c r="AL459" s="36" t="str">
        <f t="shared" si="74"/>
        <v>Aborted</v>
      </c>
      <c r="AM459" s="37">
        <v>44362</v>
      </c>
      <c r="AN459" s="37">
        <v>44362</v>
      </c>
      <c r="AO459" s="37" t="s">
        <v>65</v>
      </c>
      <c r="AP459" s="37" t="s">
        <v>65</v>
      </c>
      <c r="AQ459" s="38">
        <v>44510</v>
      </c>
      <c r="AR459" s="38">
        <v>44595</v>
      </c>
      <c r="AS459" s="38"/>
      <c r="AT459" s="38"/>
      <c r="AU459" s="38"/>
      <c r="AV459" s="38"/>
      <c r="AW459" s="38">
        <v>45636</v>
      </c>
      <c r="AX459" s="38">
        <v>44852</v>
      </c>
      <c r="AY459" s="38">
        <v>45062</v>
      </c>
      <c r="AZ459" s="38"/>
      <c r="BA459" s="39">
        <f t="shared" si="70"/>
        <v>0.55555555555555558</v>
      </c>
      <c r="BB459" s="38"/>
      <c r="BC459" s="11" t="s">
        <v>7</v>
      </c>
    </row>
    <row r="460" spans="2:55" x14ac:dyDescent="0.35">
      <c r="B460" s="16">
        <f>IF(D460=$A$516,1,IF(D460=$A$517,2,IF(D460=$A$518,3,IF(D460=$A$519,4,IF(D460=$A$520,5,IF(D460=$A$521,6))))))</f>
        <v>5</v>
      </c>
      <c r="D460" s="20" t="str">
        <f t="shared" si="68"/>
        <v>abt</v>
      </c>
      <c r="E460" s="12" t="s">
        <v>4217</v>
      </c>
      <c r="F460" s="14" t="s">
        <v>503</v>
      </c>
      <c r="G460" s="13" t="s">
        <v>308</v>
      </c>
      <c r="H460" s="14" t="s">
        <v>869</v>
      </c>
      <c r="I460" s="13">
        <v>282910</v>
      </c>
      <c r="J460" s="13" t="s">
        <v>796</v>
      </c>
      <c r="K460" s="15" t="s">
        <v>870</v>
      </c>
      <c r="L460" s="15"/>
      <c r="M460" s="15" t="s">
        <v>4218</v>
      </c>
      <c r="N460" s="15" t="s">
        <v>4219</v>
      </c>
      <c r="O460" s="15" t="s">
        <v>4220</v>
      </c>
      <c r="P460" s="15" t="s">
        <v>4219</v>
      </c>
      <c r="Q460" s="15" t="s">
        <v>4221</v>
      </c>
      <c r="S460" s="35" t="s">
        <v>77</v>
      </c>
      <c r="T460" s="13">
        <v>2022</v>
      </c>
      <c r="U460" s="17">
        <v>45.838999999999999</v>
      </c>
      <c r="V460" s="17">
        <v>5.6639999999999997</v>
      </c>
      <c r="W460" s="36">
        <f t="shared" si="75"/>
        <v>0.12356290494993347</v>
      </c>
      <c r="X460" s="17">
        <v>1.774</v>
      </c>
      <c r="Y460" s="17">
        <v>5.4340000000000002</v>
      </c>
      <c r="AA460" s="15" t="s">
        <v>99</v>
      </c>
      <c r="AB460" s="17" t="s">
        <v>312</v>
      </c>
      <c r="AC460" s="21" t="s">
        <v>61</v>
      </c>
      <c r="AD460" s="21" t="s">
        <v>61</v>
      </c>
      <c r="AE460" s="17" t="s">
        <v>79</v>
      </c>
      <c r="AF460" s="17"/>
      <c r="AG460" s="15"/>
      <c r="AH460" s="677">
        <v>1</v>
      </c>
      <c r="AI460" s="42">
        <f t="shared" ca="1" si="73"/>
        <v>1176</v>
      </c>
      <c r="AJ460" s="42">
        <f t="shared" ca="1" si="71"/>
        <v>637</v>
      </c>
      <c r="AK460" s="13"/>
      <c r="AL460" s="36" t="str">
        <f t="shared" si="74"/>
        <v>Aborted</v>
      </c>
      <c r="AM460" s="37">
        <v>44488</v>
      </c>
      <c r="AN460" s="37">
        <v>44488</v>
      </c>
      <c r="AO460" s="37" t="s">
        <v>65</v>
      </c>
      <c r="AP460" s="37" t="s">
        <v>65</v>
      </c>
      <c r="AQ460" s="38"/>
      <c r="AR460" s="38"/>
      <c r="AS460" s="38"/>
      <c r="AT460" s="38"/>
      <c r="AU460" s="38"/>
      <c r="AV460" s="38"/>
      <c r="AW460" s="38">
        <v>44495</v>
      </c>
      <c r="AX460" s="38">
        <v>44642</v>
      </c>
      <c r="AY460" s="38">
        <v>45027</v>
      </c>
      <c r="AZ460" s="38"/>
      <c r="BA460" s="39">
        <f t="shared" si="70"/>
        <v>0.33333333333333331</v>
      </c>
      <c r="BB460" s="38"/>
      <c r="BC460" s="11" t="s">
        <v>7</v>
      </c>
    </row>
    <row r="461" spans="2:55" x14ac:dyDescent="0.35">
      <c r="B461" s="16">
        <f>IF(D461=$A$516,1,IF(D461=$A$517,2,IF(D461=$A$518,3,IF(D461=$A$519,4,IF(D461=$A$520,5,IF(D461=$A$521,6))))))</f>
        <v>5</v>
      </c>
      <c r="D461" s="20" t="str">
        <f t="shared" ref="D461:D510" si="76">IF(AL461="Closed","cls",IF(AL461=1,"sgn",IF(AL461="On-hold","hld",IF(AL461="Aborted","abt",IF(AL461&lt;1,"wip","RIP")))))</f>
        <v>abt</v>
      </c>
      <c r="E461" s="12" t="s">
        <v>763</v>
      </c>
      <c r="F461" s="14" t="s">
        <v>764</v>
      </c>
      <c r="G461" s="13" t="s">
        <v>208</v>
      </c>
      <c r="H461" s="13" t="s">
        <v>4213</v>
      </c>
      <c r="I461" s="13"/>
      <c r="J461" s="268" t="s">
        <v>377</v>
      </c>
      <c r="K461" s="15" t="s">
        <v>765</v>
      </c>
      <c r="L461" s="15" t="s">
        <v>766</v>
      </c>
      <c r="M461" s="15" t="s">
        <v>4214</v>
      </c>
      <c r="N461" s="15" t="s">
        <v>766</v>
      </c>
      <c r="O461" s="15"/>
      <c r="P461" s="15" t="s">
        <v>4216</v>
      </c>
      <c r="Q461" s="15" t="s">
        <v>4215</v>
      </c>
      <c r="S461" s="35" t="s">
        <v>77</v>
      </c>
      <c r="T461" s="13">
        <v>2022</v>
      </c>
      <c r="U461" s="17">
        <v>61.344999999999999</v>
      </c>
      <c r="V461" s="17">
        <v>4.3719999999999999</v>
      </c>
      <c r="W461" s="36">
        <f t="shared" si="75"/>
        <v>7.126905208248431E-2</v>
      </c>
      <c r="X461" s="17">
        <v>1.8480000000000001</v>
      </c>
      <c r="Y461" s="17">
        <v>5.3070000000000004</v>
      </c>
      <c r="AA461" s="15" t="s">
        <v>60</v>
      </c>
      <c r="AB461" s="17"/>
      <c r="AC461" s="21" t="s">
        <v>78</v>
      </c>
      <c r="AD461" s="21" t="s">
        <v>78</v>
      </c>
      <c r="AE461" s="61"/>
      <c r="AF461" s="17"/>
      <c r="AG461" s="15"/>
      <c r="AI461" s="42">
        <f t="shared" ca="1" si="73"/>
        <v>683</v>
      </c>
      <c r="AJ461" s="42">
        <f t="shared" ca="1" si="71"/>
        <v>627</v>
      </c>
      <c r="AK461" s="13" t="s">
        <v>87</v>
      </c>
      <c r="AL461" s="36" t="str">
        <f t="shared" si="74"/>
        <v>Aborted</v>
      </c>
      <c r="AM461" s="37">
        <v>44981</v>
      </c>
      <c r="AN461" s="37">
        <v>45005</v>
      </c>
      <c r="AO461" s="37">
        <v>45027</v>
      </c>
      <c r="AP461" s="37"/>
      <c r="AQ461" s="38"/>
      <c r="AR461" s="38"/>
      <c r="AS461" s="38"/>
      <c r="AT461" s="38"/>
      <c r="AU461" s="38"/>
      <c r="AV461" s="38"/>
      <c r="AW461" s="38"/>
      <c r="AX461" s="38"/>
      <c r="AY461" s="38">
        <v>45037</v>
      </c>
      <c r="AZ461" s="38"/>
      <c r="BA461" s="39">
        <f t="shared" si="70"/>
        <v>0.22222222222222221</v>
      </c>
      <c r="BB461" s="38"/>
      <c r="BC461" s="11" t="s">
        <v>7</v>
      </c>
    </row>
    <row r="462" spans="2:55" x14ac:dyDescent="0.35">
      <c r="B462" s="148">
        <f>IF(D462=$A$516,1,IF(D462=$A$517,2,IF(D462=$A$518,3,IF(D462=$A$519,4,IF(D462=$A$520,5,IF(D462=$A$521,6))))))</f>
        <v>5</v>
      </c>
      <c r="D462" s="20" t="str">
        <f t="shared" si="76"/>
        <v>abt</v>
      </c>
      <c r="E462" s="12" t="s">
        <v>2642</v>
      </c>
      <c r="F462" s="13"/>
      <c r="G462" s="13" t="s">
        <v>308</v>
      </c>
      <c r="H462" s="14" t="s">
        <v>4222</v>
      </c>
      <c r="I462" s="13"/>
      <c r="J462" s="13" t="s">
        <v>1460</v>
      </c>
      <c r="K462" s="15" t="s">
        <v>2639</v>
      </c>
      <c r="L462" s="15" t="s">
        <v>335</v>
      </c>
      <c r="M462" s="15" t="s">
        <v>4223</v>
      </c>
      <c r="N462" s="15"/>
      <c r="O462" s="15" t="s">
        <v>4223</v>
      </c>
      <c r="P462" s="15" t="s">
        <v>4224</v>
      </c>
      <c r="Q462" s="15"/>
      <c r="S462" s="35" t="s">
        <v>77</v>
      </c>
      <c r="T462" s="13">
        <v>2022</v>
      </c>
      <c r="U462" s="17">
        <v>4.8310000000000004</v>
      </c>
      <c r="V462" s="17">
        <v>0.187</v>
      </c>
      <c r="W462" s="36">
        <f t="shared" si="75"/>
        <v>3.8708341958186711E-2</v>
      </c>
      <c r="X462" s="17">
        <v>0.13</v>
      </c>
      <c r="Y462" s="17">
        <v>0.317</v>
      </c>
      <c r="AA462" s="15" t="s">
        <v>140</v>
      </c>
      <c r="AB462" s="17"/>
      <c r="AC462" s="21" t="s">
        <v>61</v>
      </c>
      <c r="AD462" s="21" t="s">
        <v>61</v>
      </c>
      <c r="AE462" s="17" t="s">
        <v>128</v>
      </c>
      <c r="AF462" s="17"/>
      <c r="AG462" s="15" t="s">
        <v>2640</v>
      </c>
      <c r="AI462" s="42">
        <f t="shared" ca="1" si="73"/>
        <v>413</v>
      </c>
      <c r="AJ462" s="42">
        <f t="shared" ca="1" si="71"/>
        <v>364</v>
      </c>
      <c r="AK462" s="13" t="s">
        <v>720</v>
      </c>
      <c r="AL462" s="36" t="str">
        <f t="shared" si="74"/>
        <v>Aborted</v>
      </c>
      <c r="AM462" s="37">
        <v>45251</v>
      </c>
      <c r="AN462" s="37">
        <v>45265</v>
      </c>
      <c r="AO462" s="37">
        <v>45271</v>
      </c>
      <c r="AP462" s="37">
        <v>45266</v>
      </c>
      <c r="AQ462" s="38">
        <v>45273</v>
      </c>
      <c r="AR462" s="38"/>
      <c r="AS462" s="38"/>
      <c r="AT462" s="38"/>
      <c r="AU462" s="38"/>
      <c r="AV462" s="38"/>
      <c r="AW462" s="38">
        <v>45271</v>
      </c>
      <c r="AX462" s="38">
        <v>45271</v>
      </c>
      <c r="AY462" s="38">
        <v>45300</v>
      </c>
      <c r="AZ462" s="38"/>
      <c r="BA462" s="39">
        <f t="shared" si="70"/>
        <v>0.44444444444444442</v>
      </c>
      <c r="BB462" s="38"/>
      <c r="BC462" s="11" t="s">
        <v>7</v>
      </c>
    </row>
    <row r="463" spans="2:55" x14ac:dyDescent="0.35">
      <c r="B463" s="16">
        <f>IF(D463=$A$516,1,IF(D463=$A$517,2,IF(D463=$A$518,3,IF(D463=$A$519,4,IF(D463=$A$520,5,IF(D463=$A$521,6))))))</f>
        <v>5</v>
      </c>
      <c r="D463" s="20" t="str">
        <f t="shared" si="76"/>
        <v>abt</v>
      </c>
      <c r="E463" s="12" t="s">
        <v>466</v>
      </c>
      <c r="F463" s="13"/>
      <c r="G463" s="13" t="s">
        <v>371</v>
      </c>
      <c r="H463" s="14" t="s">
        <v>4225</v>
      </c>
      <c r="I463" s="13"/>
      <c r="J463" s="13" t="s">
        <v>111</v>
      </c>
      <c r="K463" s="15" t="s">
        <v>467</v>
      </c>
      <c r="L463" s="15" t="s">
        <v>468</v>
      </c>
      <c r="M463" s="15" t="s">
        <v>4226</v>
      </c>
      <c r="N463" s="15"/>
      <c r="O463" s="15" t="s">
        <v>4227</v>
      </c>
      <c r="P463" s="15"/>
      <c r="Q463" s="15" t="s">
        <v>4228</v>
      </c>
      <c r="S463" s="17" t="s">
        <v>77</v>
      </c>
      <c r="T463" s="13">
        <v>2022</v>
      </c>
      <c r="U463" s="17">
        <v>22.341000000000001</v>
      </c>
      <c r="V463" s="17">
        <v>4.3179999999999996</v>
      </c>
      <c r="W463" s="36">
        <f t="shared" si="75"/>
        <v>0.19327693478358174</v>
      </c>
      <c r="X463" s="17">
        <v>2.996</v>
      </c>
      <c r="Y463" s="17">
        <v>-14.682</v>
      </c>
      <c r="AA463" s="15" t="s">
        <v>140</v>
      </c>
      <c r="AB463" s="17"/>
      <c r="AC463" s="21" t="s">
        <v>78</v>
      </c>
      <c r="AD463" s="21" t="s">
        <v>78</v>
      </c>
      <c r="AE463" s="13" t="s">
        <v>62</v>
      </c>
      <c r="AF463" s="17" t="s">
        <v>313</v>
      </c>
      <c r="AG463" s="15"/>
      <c r="AI463" s="42">
        <f t="shared" ca="1" si="73"/>
        <v>617</v>
      </c>
      <c r="AJ463" s="42">
        <f t="shared" ca="1" si="71"/>
        <v>364</v>
      </c>
      <c r="AK463" s="13" t="s">
        <v>64</v>
      </c>
      <c r="AL463" s="36" t="str">
        <f t="shared" si="74"/>
        <v>Aborted</v>
      </c>
      <c r="AM463" s="37">
        <v>45047</v>
      </c>
      <c r="AN463" s="37">
        <v>45082</v>
      </c>
      <c r="AO463" s="37" t="s">
        <v>65</v>
      </c>
      <c r="AP463" s="37">
        <v>45085</v>
      </c>
      <c r="AQ463" s="38">
        <v>45085</v>
      </c>
      <c r="AR463" s="38"/>
      <c r="AS463" s="38"/>
      <c r="AT463" s="38"/>
      <c r="AU463" s="38"/>
      <c r="AV463" s="38"/>
      <c r="AW463" s="38">
        <v>45103</v>
      </c>
      <c r="AX463" s="38">
        <v>45132</v>
      </c>
      <c r="AY463" s="38">
        <v>45300</v>
      </c>
      <c r="AZ463" s="38"/>
      <c r="BA463" s="39">
        <f t="shared" si="70"/>
        <v>0.44444444444444442</v>
      </c>
      <c r="BB463" s="38"/>
      <c r="BC463" s="11" t="s">
        <v>7</v>
      </c>
    </row>
    <row r="464" spans="2:55" x14ac:dyDescent="0.35">
      <c r="B464" s="16">
        <f>IF(D464=$A$516,1,IF(D464=$A$517,2,IF(D464=$A$518,3,IF(D464=$A$519,4,IF(D464=$A$520,5,IF(D464=$A$521,6))))))</f>
        <v>5</v>
      </c>
      <c r="D464" s="20" t="str">
        <f t="shared" si="76"/>
        <v>abt</v>
      </c>
      <c r="E464" s="12" t="s">
        <v>230</v>
      </c>
      <c r="F464" s="13"/>
      <c r="G464" s="13" t="s">
        <v>232</v>
      </c>
      <c r="H464" s="14" t="s">
        <v>233</v>
      </c>
      <c r="I464" s="13">
        <v>7911</v>
      </c>
      <c r="J464" s="13" t="s">
        <v>105</v>
      </c>
      <c r="K464" s="15" t="s">
        <v>234</v>
      </c>
      <c r="L464" s="15" t="s">
        <v>235</v>
      </c>
      <c r="M464" s="15" t="s">
        <v>4229</v>
      </c>
      <c r="N464" s="15"/>
      <c r="O464" s="15" t="s">
        <v>4230</v>
      </c>
      <c r="P464" s="15"/>
      <c r="Q464" s="15"/>
      <c r="S464" s="35" t="s">
        <v>77</v>
      </c>
      <c r="T464" s="13">
        <v>2022</v>
      </c>
      <c r="U464" s="17">
        <v>12.186999999999999</v>
      </c>
      <c r="V464" s="17">
        <v>1.3540000000000001</v>
      </c>
      <c r="W464" s="36">
        <f t="shared" si="75"/>
        <v>0.11110199392795603</v>
      </c>
      <c r="X464" s="17">
        <v>0.86399999999999999</v>
      </c>
      <c r="Y464" s="17" t="s">
        <v>236</v>
      </c>
      <c r="AA464" s="15" t="s">
        <v>237</v>
      </c>
      <c r="AB464" s="17" t="s">
        <v>238</v>
      </c>
      <c r="AC464" s="21" t="s">
        <v>78</v>
      </c>
      <c r="AD464" s="21" t="s">
        <v>78</v>
      </c>
      <c r="AE464" s="17"/>
      <c r="AF464" s="17"/>
      <c r="AG464" s="15"/>
      <c r="AI464" s="42">
        <f t="shared" ca="1" si="73"/>
        <v>1199</v>
      </c>
      <c r="AJ464" s="42">
        <f t="shared" ca="1" si="71"/>
        <v>1169</v>
      </c>
      <c r="AK464" s="13"/>
      <c r="AL464" s="36" t="str">
        <f t="shared" si="74"/>
        <v>Aborted</v>
      </c>
      <c r="AM464" s="37">
        <v>44465</v>
      </c>
      <c r="AN464" s="37"/>
      <c r="AO464" s="37" t="s">
        <v>65</v>
      </c>
      <c r="AP464" s="37"/>
      <c r="AQ464" s="38"/>
      <c r="AR464" s="38"/>
      <c r="AS464" s="38"/>
      <c r="AT464" s="38"/>
      <c r="AU464" s="38"/>
      <c r="AV464" s="38"/>
      <c r="AW464" s="38">
        <v>44410</v>
      </c>
      <c r="AX464" s="38">
        <v>44446</v>
      </c>
      <c r="AY464" s="38">
        <v>44495</v>
      </c>
      <c r="AZ464" s="38"/>
      <c r="BA464" s="39">
        <f t="shared" si="70"/>
        <v>0.1111111111111111</v>
      </c>
      <c r="BB464" s="38"/>
      <c r="BC464" s="11" t="s">
        <v>7</v>
      </c>
    </row>
    <row r="465" spans="2:55" x14ac:dyDescent="0.35">
      <c r="B465" s="16">
        <f>IF(D465=$A$516,1,IF(D465=$A$517,2,IF(D465=$A$518,3,IF(D465=$A$519,4,IF(D465=$A$520,5,IF(D465=$A$521,6))))))</f>
        <v>5</v>
      </c>
      <c r="D465" s="20" t="str">
        <f t="shared" si="76"/>
        <v>abt</v>
      </c>
      <c r="E465" s="12" t="s">
        <v>1339</v>
      </c>
      <c r="F465" s="14"/>
      <c r="G465" s="13" t="s">
        <v>715</v>
      </c>
      <c r="H465" s="13">
        <v>48824023063</v>
      </c>
      <c r="I465" s="13"/>
      <c r="J465" s="13" t="s">
        <v>596</v>
      </c>
      <c r="K465" s="15" t="s">
        <v>4231</v>
      </c>
      <c r="L465" s="15"/>
      <c r="M465" s="15"/>
      <c r="N465" s="15"/>
      <c r="O465" s="15"/>
      <c r="P465" s="15"/>
      <c r="Q465" s="15"/>
      <c r="S465" s="35"/>
      <c r="T465" s="13"/>
      <c r="U465" s="17"/>
      <c r="V465" s="17"/>
      <c r="W465" s="36"/>
      <c r="X465" s="17"/>
      <c r="Y465" s="17"/>
      <c r="AA465" s="15" t="s">
        <v>60</v>
      </c>
      <c r="AB465" s="17"/>
      <c r="AC465" s="21" t="s">
        <v>61</v>
      </c>
      <c r="AD465" s="21" t="s">
        <v>61</v>
      </c>
      <c r="AE465" s="17"/>
      <c r="AF465" s="17"/>
      <c r="AG465" s="15"/>
      <c r="AI465" s="42">
        <f t="shared" ca="1" si="73"/>
        <v>1204</v>
      </c>
      <c r="AJ465" s="42">
        <f t="shared" ca="1" si="71"/>
        <v>1092</v>
      </c>
      <c r="AK465" s="13"/>
      <c r="AL465" s="36" t="str">
        <f t="shared" si="74"/>
        <v>Aborted</v>
      </c>
      <c r="AM465" s="37">
        <v>44460</v>
      </c>
      <c r="AN465" s="37">
        <v>44460</v>
      </c>
      <c r="AO465" s="37" t="s">
        <v>65</v>
      </c>
      <c r="AP465" s="37">
        <v>44496</v>
      </c>
      <c r="AQ465" s="38"/>
      <c r="AR465" s="38"/>
      <c r="AS465" s="38"/>
      <c r="AT465" s="38"/>
      <c r="AU465" s="38"/>
      <c r="AV465" s="38"/>
      <c r="AW465" s="38"/>
      <c r="AX465" s="38">
        <v>44502</v>
      </c>
      <c r="AY465" s="38">
        <v>44572</v>
      </c>
      <c r="AZ465" s="38"/>
      <c r="BA465" s="39">
        <f t="shared" si="70"/>
        <v>0.33333333333333331</v>
      </c>
      <c r="BB465" s="38"/>
      <c r="BC465" s="11" t="s">
        <v>7</v>
      </c>
    </row>
    <row r="466" spans="2:55" x14ac:dyDescent="0.35">
      <c r="B466" s="16">
        <f>IF(D466=$A$516,1,IF(D466=$A$517,2,IF(D466=$A$518,3,IF(D466=$A$519,4,IF(D466=$A$520,5,IF(D466=$A$521,6))))))</f>
        <v>5</v>
      </c>
      <c r="D466" s="20" t="str">
        <f t="shared" si="76"/>
        <v>abt</v>
      </c>
      <c r="E466" s="20" t="s">
        <v>1392</v>
      </c>
      <c r="F466" s="13"/>
      <c r="G466" s="13" t="s">
        <v>425</v>
      </c>
      <c r="H466" s="13"/>
      <c r="I466" s="13"/>
      <c r="J466" s="13"/>
      <c r="K466" s="15"/>
      <c r="L466" s="15"/>
      <c r="M466" s="15"/>
      <c r="N466" s="15"/>
      <c r="O466" s="15"/>
      <c r="P466" s="15"/>
      <c r="Q466" s="15"/>
      <c r="S466" s="35"/>
      <c r="T466" s="13"/>
      <c r="U466" s="17"/>
      <c r="V466" s="17"/>
      <c r="W466" s="36"/>
      <c r="X466" s="17"/>
      <c r="Y466" s="17"/>
      <c r="AA466" s="632"/>
      <c r="AB466" s="17"/>
      <c r="AC466" s="21" t="s">
        <v>61</v>
      </c>
      <c r="AD466" s="17" t="s">
        <v>61</v>
      </c>
      <c r="AE466" s="17" t="s">
        <v>86</v>
      </c>
      <c r="AF466" s="17"/>
      <c r="AG466" s="15"/>
      <c r="AI466" s="42">
        <f t="shared" ca="1" si="73"/>
        <v>1467</v>
      </c>
      <c r="AJ466" s="42">
        <f t="shared" ca="1" si="71"/>
        <v>1169</v>
      </c>
      <c r="AK466" s="13"/>
      <c r="AL466" s="36" t="str">
        <f t="shared" si="74"/>
        <v>Aborted</v>
      </c>
      <c r="AM466" s="37">
        <v>44197</v>
      </c>
      <c r="AN466" s="37">
        <v>44197</v>
      </c>
      <c r="AO466" s="37" t="s">
        <v>65</v>
      </c>
      <c r="AP466" s="37">
        <v>44197</v>
      </c>
      <c r="AQ466" s="38">
        <v>44266</v>
      </c>
      <c r="AR466" s="38" t="s">
        <v>65</v>
      </c>
      <c r="AS466" s="38">
        <v>44266</v>
      </c>
      <c r="AT466" s="38"/>
      <c r="AU466" s="38"/>
      <c r="AV466" s="38"/>
      <c r="AW466" s="38"/>
      <c r="AX466" s="38">
        <v>44334</v>
      </c>
      <c r="AY466" s="38">
        <v>44495</v>
      </c>
      <c r="AZ466" s="38"/>
      <c r="BA466" s="39">
        <f t="shared" si="70"/>
        <v>0.66666666666666663</v>
      </c>
      <c r="BB466" s="38"/>
      <c r="BC466" s="11" t="s">
        <v>7</v>
      </c>
    </row>
    <row r="467" spans="2:55" x14ac:dyDescent="0.35">
      <c r="B467" s="16">
        <f>IF(D467=$A$516,1,IF(D467=$A$517,2,IF(D467=$A$518,3,IF(D467=$A$519,4,IF(D467=$A$520,5,IF(D467=$A$521,6))))))</f>
        <v>5</v>
      </c>
      <c r="D467" s="20" t="str">
        <f t="shared" si="76"/>
        <v>abt</v>
      </c>
      <c r="E467" s="20" t="s">
        <v>1356</v>
      </c>
      <c r="F467" s="14"/>
      <c r="G467" s="13" t="s">
        <v>371</v>
      </c>
      <c r="H467" s="14" t="s">
        <v>1357</v>
      </c>
      <c r="I467" s="13">
        <v>110100</v>
      </c>
      <c r="J467" s="13" t="s">
        <v>744</v>
      </c>
      <c r="K467" s="15" t="s">
        <v>1358</v>
      </c>
      <c r="L467" s="15" t="s">
        <v>1359</v>
      </c>
      <c r="M467" s="15" t="s">
        <v>4232</v>
      </c>
      <c r="N467" s="15"/>
      <c r="O467" s="15" t="s">
        <v>4233</v>
      </c>
      <c r="P467" s="15" t="s">
        <v>4233</v>
      </c>
      <c r="Q467" s="15" t="s">
        <v>4234</v>
      </c>
      <c r="S467" s="35" t="s">
        <v>77</v>
      </c>
      <c r="T467" s="13">
        <v>2022</v>
      </c>
      <c r="U467" s="17">
        <v>162.499</v>
      </c>
      <c r="V467" s="17">
        <v>51.588000000000001</v>
      </c>
      <c r="W467" s="36">
        <f>+V467/U467</f>
        <v>0.31746656902504017</v>
      </c>
      <c r="X467" s="17">
        <v>19.747</v>
      </c>
      <c r="Y467" s="17">
        <v>-5.0000000000000001E-3</v>
      </c>
      <c r="AA467" s="15" t="s">
        <v>60</v>
      </c>
      <c r="AB467" s="17"/>
      <c r="AC467" s="21" t="s">
        <v>61</v>
      </c>
      <c r="AD467" s="21" t="s">
        <v>78</v>
      </c>
      <c r="AE467" s="17"/>
      <c r="AF467" s="17"/>
      <c r="AG467" s="15"/>
      <c r="AI467" s="42">
        <f t="shared" ca="1" si="73"/>
        <v>1498</v>
      </c>
      <c r="AJ467" s="42">
        <f t="shared" ca="1" si="71"/>
        <v>1092</v>
      </c>
      <c r="AK467" s="13"/>
      <c r="AL467" s="36" t="str">
        <f t="shared" si="74"/>
        <v>Aborted</v>
      </c>
      <c r="AM467" s="37">
        <v>44166</v>
      </c>
      <c r="AN467" s="37">
        <v>44166</v>
      </c>
      <c r="AO467" s="37" t="s">
        <v>65</v>
      </c>
      <c r="AP467" s="37">
        <v>44177</v>
      </c>
      <c r="AQ467" s="38">
        <v>44177</v>
      </c>
      <c r="AR467" s="38"/>
      <c r="AS467" s="38"/>
      <c r="AT467" s="38"/>
      <c r="AU467" s="38"/>
      <c r="AV467" s="38"/>
      <c r="AW467" s="38"/>
      <c r="AX467" s="38">
        <v>44278</v>
      </c>
      <c r="AY467" s="38">
        <v>44572</v>
      </c>
      <c r="AZ467" s="38"/>
      <c r="BA467" s="39">
        <f t="shared" si="70"/>
        <v>0.44444444444444442</v>
      </c>
      <c r="BB467" s="38"/>
      <c r="BC467" s="11" t="s">
        <v>7</v>
      </c>
    </row>
    <row r="468" spans="2:55" x14ac:dyDescent="0.35">
      <c r="B468" s="16">
        <f>IF(D468=$A$516,1,IF(D468=$A$517,2,IF(D468=$A$518,3,IF(D468=$A$519,4,IF(D468=$A$520,5,IF(D468=$A$521,6))))))</f>
        <v>5</v>
      </c>
      <c r="D468" s="20" t="str">
        <f t="shared" si="76"/>
        <v>abt</v>
      </c>
      <c r="E468" s="20" t="s">
        <v>4246</v>
      </c>
      <c r="F468" s="13"/>
      <c r="G468" s="13" t="s">
        <v>340</v>
      </c>
      <c r="H468" s="14" t="s">
        <v>367</v>
      </c>
      <c r="I468" s="13">
        <v>231200</v>
      </c>
      <c r="J468" s="13" t="s">
        <v>111</v>
      </c>
      <c r="K468" s="15" t="s">
        <v>368</v>
      </c>
      <c r="L468" s="15"/>
      <c r="M468" s="15" t="s">
        <v>369</v>
      </c>
      <c r="N468" s="15" t="s">
        <v>4250</v>
      </c>
      <c r="O468" s="15" t="s">
        <v>4251</v>
      </c>
      <c r="P468" s="15" t="s">
        <v>4252</v>
      </c>
      <c r="Q468" s="15"/>
      <c r="S468" s="35" t="s">
        <v>77</v>
      </c>
      <c r="T468" s="13">
        <v>2022</v>
      </c>
      <c r="U468" s="17">
        <v>35.39</v>
      </c>
      <c r="V468" s="17">
        <v>2.67</v>
      </c>
      <c r="W468" s="36">
        <f>+V468/U468</f>
        <v>7.5445040972025992E-2</v>
      </c>
      <c r="X468" s="17">
        <v>0.98599999999999999</v>
      </c>
      <c r="Y468" s="17">
        <v>5.0229999999999997</v>
      </c>
      <c r="AA468" s="15" t="s">
        <v>60</v>
      </c>
      <c r="AB468" s="17"/>
      <c r="AC468" s="21" t="s">
        <v>78</v>
      </c>
      <c r="AD468" s="17" t="s">
        <v>78</v>
      </c>
      <c r="AE468" s="17"/>
      <c r="AF468" s="17"/>
      <c r="AG468" s="15"/>
      <c r="AI468" s="42">
        <f t="shared" ca="1" si="73"/>
        <v>622</v>
      </c>
      <c r="AJ468" s="42">
        <f t="shared" ca="1" si="71"/>
        <v>364</v>
      </c>
      <c r="AK468" s="13"/>
      <c r="AL468" s="36" t="str">
        <f t="shared" si="74"/>
        <v>Aborted</v>
      </c>
      <c r="AM468" s="37">
        <v>45042</v>
      </c>
      <c r="AN468" s="37">
        <v>45042</v>
      </c>
      <c r="AO468" s="37" t="s">
        <v>65</v>
      </c>
      <c r="AP468" s="37">
        <v>45042</v>
      </c>
      <c r="AQ468" s="38">
        <v>45050</v>
      </c>
      <c r="AR468" s="38">
        <v>45061</v>
      </c>
      <c r="AS468" s="38"/>
      <c r="AT468" s="38"/>
      <c r="AU468" s="38"/>
      <c r="AV468" s="38"/>
      <c r="AW468" s="38">
        <v>45202</v>
      </c>
      <c r="AX468" s="38">
        <v>45215</v>
      </c>
      <c r="AY468" s="38">
        <v>45300</v>
      </c>
      <c r="AZ468" s="38"/>
      <c r="BA468" s="39">
        <f t="shared" si="70"/>
        <v>0.55555555555555558</v>
      </c>
      <c r="BB468" s="38"/>
      <c r="BC468" s="11" t="s">
        <v>7</v>
      </c>
    </row>
    <row r="469" spans="2:55" x14ac:dyDescent="0.35">
      <c r="B469" s="16">
        <f>IF(D469=$A$516,1,IF(D469=$A$517,2,IF(D469=$A$518,3,IF(D469=$A$519,4,IF(D469=$A$520,5,IF(D469=$A$521,6))))))</f>
        <v>5</v>
      </c>
      <c r="D469" s="20" t="str">
        <f t="shared" si="76"/>
        <v>abt</v>
      </c>
      <c r="E469" s="20" t="s">
        <v>812</v>
      </c>
      <c r="F469" s="13"/>
      <c r="G469" s="13" t="s">
        <v>538</v>
      </c>
      <c r="H469" s="14" t="s">
        <v>813</v>
      </c>
      <c r="I469" s="13"/>
      <c r="J469" s="13" t="s">
        <v>111</v>
      </c>
      <c r="K469" s="15" t="s">
        <v>814</v>
      </c>
      <c r="L469" s="15" t="s">
        <v>815</v>
      </c>
      <c r="M469" s="20" t="s">
        <v>4235</v>
      </c>
      <c r="N469" s="15"/>
      <c r="O469" s="15" t="s">
        <v>815</v>
      </c>
      <c r="P469" s="15"/>
      <c r="Q469" s="15" t="s">
        <v>4236</v>
      </c>
      <c r="S469" s="35" t="s">
        <v>77</v>
      </c>
      <c r="T469" s="13">
        <v>2022</v>
      </c>
      <c r="U469" s="17">
        <v>38.262</v>
      </c>
      <c r="V469" s="17">
        <v>4.593</v>
      </c>
      <c r="W469" s="36">
        <f>+V469/U469</f>
        <v>0.12004077152265956</v>
      </c>
      <c r="X469" s="17">
        <v>2.9359999999999999</v>
      </c>
      <c r="Y469" s="17">
        <v>2.2309999999999999</v>
      </c>
      <c r="AA469" s="15" t="s">
        <v>140</v>
      </c>
      <c r="AB469" s="17"/>
      <c r="AC469" s="21" t="s">
        <v>79</v>
      </c>
      <c r="AD469" s="21" t="s">
        <v>78</v>
      </c>
      <c r="AE469" s="17" t="s">
        <v>79</v>
      </c>
      <c r="AF469" s="17"/>
      <c r="AG469" s="15" t="s">
        <v>816</v>
      </c>
      <c r="AH469" s="677">
        <v>1</v>
      </c>
      <c r="AI469" s="42">
        <f t="shared" ca="1" si="73"/>
        <v>697</v>
      </c>
      <c r="AJ469" s="42">
        <f t="shared" ca="1" si="71"/>
        <v>637</v>
      </c>
      <c r="AK469" s="13" t="s">
        <v>64</v>
      </c>
      <c r="AL469" s="36" t="str">
        <f t="shared" si="74"/>
        <v>Aborted</v>
      </c>
      <c r="AM469" s="37">
        <v>44967</v>
      </c>
      <c r="AN469" s="37">
        <v>44967</v>
      </c>
      <c r="AO469" s="37" t="s">
        <v>65</v>
      </c>
      <c r="AP469" s="37">
        <v>44969</v>
      </c>
      <c r="AQ469" s="38">
        <v>44973</v>
      </c>
      <c r="AR469" s="38"/>
      <c r="AS469" s="38"/>
      <c r="AT469" s="38"/>
      <c r="AU469" s="38"/>
      <c r="AV469" s="38"/>
      <c r="AW469" s="38">
        <v>44970</v>
      </c>
      <c r="AX469" s="38">
        <v>44970</v>
      </c>
      <c r="AY469" s="38">
        <v>45027</v>
      </c>
      <c r="AZ469" s="38"/>
      <c r="BA469" s="39">
        <f t="shared" si="70"/>
        <v>0.44444444444444442</v>
      </c>
      <c r="BB469" s="38"/>
      <c r="BC469" s="11" t="s">
        <v>7</v>
      </c>
    </row>
    <row r="470" spans="2:55" x14ac:dyDescent="0.35">
      <c r="B470" s="16">
        <f>IF(D470=$A$516,1,IF(D470=$A$517,2,IF(D470=$A$518,3,IF(D470=$A$519,4,IF(D470=$A$520,5,IF(D470=$A$521,6))))))</f>
        <v>5</v>
      </c>
      <c r="D470" s="20" t="str">
        <f t="shared" si="76"/>
        <v>abt</v>
      </c>
      <c r="E470" s="12" t="s">
        <v>1231</v>
      </c>
      <c r="F470" s="14"/>
      <c r="G470" s="13" t="s">
        <v>259</v>
      </c>
      <c r="H470" s="14" t="s">
        <v>4237</v>
      </c>
      <c r="I470" s="13"/>
      <c r="J470" s="13"/>
      <c r="K470" s="15" t="s">
        <v>1232</v>
      </c>
      <c r="L470" s="15"/>
      <c r="M470" s="15" t="s">
        <v>4238</v>
      </c>
      <c r="N470" s="15"/>
      <c r="O470" s="15" t="s">
        <v>4239</v>
      </c>
      <c r="P470" s="15"/>
      <c r="Q470" s="15"/>
      <c r="S470" s="35" t="s">
        <v>77</v>
      </c>
      <c r="T470" s="13">
        <v>2022</v>
      </c>
      <c r="U470" s="17">
        <v>9.266</v>
      </c>
      <c r="V470" s="17">
        <v>5.2229999999999999</v>
      </c>
      <c r="W470" s="36">
        <f>+V470/U470</f>
        <v>0.56367364558601341</v>
      </c>
      <c r="X470" s="17">
        <v>2.0179999999999998</v>
      </c>
      <c r="Y470" s="17">
        <v>6.391</v>
      </c>
      <c r="AA470" s="15" t="s">
        <v>140</v>
      </c>
      <c r="AB470" s="17"/>
      <c r="AC470" s="21" t="s">
        <v>78</v>
      </c>
      <c r="AD470" s="21" t="s">
        <v>78</v>
      </c>
      <c r="AE470" s="17"/>
      <c r="AF470" s="17"/>
      <c r="AG470" s="15"/>
      <c r="AI470" s="42">
        <f t="shared" ca="1" si="73"/>
        <v>1064</v>
      </c>
      <c r="AJ470" s="42">
        <f t="shared" ca="1" si="71"/>
        <v>959</v>
      </c>
      <c r="AK470" s="13"/>
      <c r="AL470" s="36" t="str">
        <f t="shared" si="74"/>
        <v>Aborted</v>
      </c>
      <c r="AM470" s="37">
        <v>44600</v>
      </c>
      <c r="AN470" s="37">
        <v>44600</v>
      </c>
      <c r="AO470" s="37" t="s">
        <v>65</v>
      </c>
      <c r="AP470" s="37">
        <v>44600</v>
      </c>
      <c r="AQ470" s="38">
        <v>44600</v>
      </c>
      <c r="AR470" s="38">
        <v>44615</v>
      </c>
      <c r="AS470" s="38">
        <v>44636</v>
      </c>
      <c r="AT470" s="38"/>
      <c r="AU470" s="38"/>
      <c r="AV470" s="38"/>
      <c r="AW470" s="38"/>
      <c r="AX470" s="38">
        <v>44636</v>
      </c>
      <c r="AY470" s="38">
        <v>44705</v>
      </c>
      <c r="AZ470" s="38"/>
      <c r="BA470" s="39">
        <f t="shared" si="70"/>
        <v>0.66666666666666663</v>
      </c>
      <c r="BB470" s="38"/>
      <c r="BC470" s="11" t="s">
        <v>7</v>
      </c>
    </row>
    <row r="471" spans="2:55" x14ac:dyDescent="0.35">
      <c r="B471" s="16">
        <f>IF(D471=$A$516,1,IF(D471=$A$517,2,IF(D471=$A$518,3,IF(D471=$A$519,4,IF(D471=$A$520,5,IF(D471=$A$521,6))))))</f>
        <v>5</v>
      </c>
      <c r="D471" s="20" t="str">
        <f t="shared" si="76"/>
        <v>abt</v>
      </c>
      <c r="E471" s="20" t="s">
        <v>931</v>
      </c>
      <c r="F471" s="13"/>
      <c r="G471" s="13"/>
      <c r="H471" s="13"/>
      <c r="I471" s="13"/>
      <c r="J471" s="13"/>
      <c r="K471" s="15"/>
      <c r="L471" s="15" t="s">
        <v>932</v>
      </c>
      <c r="M471" s="15"/>
      <c r="N471" s="15"/>
      <c r="O471" s="15"/>
      <c r="P471" s="15"/>
      <c r="Q471" s="15"/>
      <c r="S471" s="35"/>
      <c r="T471" s="13"/>
      <c r="U471" s="17"/>
      <c r="V471" s="17"/>
      <c r="W471" s="36"/>
      <c r="X471" s="17"/>
      <c r="Y471" s="17"/>
      <c r="AA471" s="632"/>
      <c r="AB471" s="17"/>
      <c r="AC471" s="21" t="s">
        <v>61</v>
      </c>
      <c r="AD471" s="17" t="s">
        <v>61</v>
      </c>
      <c r="AE471" s="17" t="s">
        <v>86</v>
      </c>
      <c r="AF471" s="17" t="s">
        <v>79</v>
      </c>
      <c r="AG471" s="15" t="s">
        <v>933</v>
      </c>
      <c r="AH471" s="677">
        <v>1</v>
      </c>
      <c r="AI471" s="42">
        <f t="shared" ca="1" si="73"/>
        <v>736</v>
      </c>
      <c r="AJ471" s="42">
        <f t="shared" ca="1" si="71"/>
        <v>728</v>
      </c>
      <c r="AK471" s="13" t="s">
        <v>70</v>
      </c>
      <c r="AL471" s="36" t="str">
        <f t="shared" si="74"/>
        <v>Aborted</v>
      </c>
      <c r="AM471" s="37">
        <v>44928</v>
      </c>
      <c r="AN471" s="37">
        <v>44931</v>
      </c>
      <c r="AO471" s="37" t="s">
        <v>65</v>
      </c>
      <c r="AP471" s="37">
        <v>44931</v>
      </c>
      <c r="AQ471" s="38"/>
      <c r="AR471" s="38"/>
      <c r="AS471" s="38"/>
      <c r="AT471" s="38"/>
      <c r="AU471" s="38"/>
      <c r="AV471" s="38"/>
      <c r="AW471" s="38"/>
      <c r="AX471" s="38">
        <v>44935</v>
      </c>
      <c r="AY471" s="38">
        <v>44936</v>
      </c>
      <c r="AZ471" s="38"/>
      <c r="BA471" s="39">
        <f t="shared" si="70"/>
        <v>0.33333333333333331</v>
      </c>
      <c r="BB471" s="38"/>
      <c r="BC471" s="11" t="s">
        <v>7</v>
      </c>
    </row>
    <row r="472" spans="2:55" x14ac:dyDescent="0.35">
      <c r="B472" s="16">
        <f>IF(D472=$A$516,1,IF(D472=$A$517,2,IF(D472=$A$518,3,IF(D472=$A$519,4,IF(D472=$A$520,5,IF(D472=$A$521,6))))))</f>
        <v>5</v>
      </c>
      <c r="D472" s="20" t="str">
        <f t="shared" si="76"/>
        <v>abt</v>
      </c>
      <c r="E472" s="12" t="s">
        <v>987</v>
      </c>
      <c r="F472" s="13"/>
      <c r="G472" s="13" t="s">
        <v>988</v>
      </c>
      <c r="H472" s="14" t="s">
        <v>989</v>
      </c>
      <c r="I472" s="13">
        <v>172200</v>
      </c>
      <c r="J472" s="13" t="s">
        <v>990</v>
      </c>
      <c r="K472" s="15" t="s">
        <v>991</v>
      </c>
      <c r="L472" s="15"/>
      <c r="M472" s="15"/>
      <c r="N472" s="15"/>
      <c r="O472" s="15"/>
      <c r="P472" s="15"/>
      <c r="Q472" s="15"/>
      <c r="S472" s="35"/>
      <c r="T472" s="13">
        <v>2020</v>
      </c>
      <c r="U472" s="17">
        <v>44.7</v>
      </c>
      <c r="V472" s="17">
        <v>4.8529999999999998</v>
      </c>
      <c r="W472" s="36">
        <f>+V472/U472</f>
        <v>0.10856823266219238</v>
      </c>
      <c r="X472" s="17">
        <v>2.343</v>
      </c>
      <c r="Y472" s="17">
        <v>-1.252</v>
      </c>
      <c r="AA472" s="15" t="s">
        <v>140</v>
      </c>
      <c r="AB472" s="17"/>
      <c r="AC472" s="21" t="s">
        <v>61</v>
      </c>
      <c r="AD472" s="21" t="s">
        <v>61</v>
      </c>
      <c r="AE472" s="76" t="s">
        <v>562</v>
      </c>
      <c r="AF472" s="17"/>
      <c r="AG472" s="15"/>
      <c r="AI472" s="42">
        <f t="shared" ca="1" si="73"/>
        <v>1027</v>
      </c>
      <c r="AJ472" s="42">
        <f t="shared" ca="1" si="71"/>
        <v>728</v>
      </c>
      <c r="AK472" s="13"/>
      <c r="AL472" s="36" t="str">
        <f t="shared" si="74"/>
        <v>Aborted</v>
      </c>
      <c r="AM472" s="37">
        <v>44637</v>
      </c>
      <c r="AN472" s="37">
        <v>44637</v>
      </c>
      <c r="AO472" s="37" t="s">
        <v>65</v>
      </c>
      <c r="AP472" s="37">
        <v>44638</v>
      </c>
      <c r="AQ472" s="38">
        <v>44638</v>
      </c>
      <c r="AR472" s="38"/>
      <c r="AS472" s="38"/>
      <c r="AT472" s="38"/>
      <c r="AU472" s="38"/>
      <c r="AV472" s="38"/>
      <c r="AW472" s="38">
        <v>44837</v>
      </c>
      <c r="AX472" s="38">
        <v>44844</v>
      </c>
      <c r="AY472" s="38">
        <v>44936</v>
      </c>
      <c r="AZ472" s="38"/>
      <c r="BA472" s="39">
        <f t="shared" si="70"/>
        <v>0.44444444444444442</v>
      </c>
      <c r="BB472" s="38"/>
      <c r="BC472" s="11" t="s">
        <v>7</v>
      </c>
    </row>
    <row r="473" spans="2:55" x14ac:dyDescent="0.35">
      <c r="B473" s="16">
        <f>IF(D473=$A$516,1,IF(D473=$A$517,2,IF(D473=$A$518,3,IF(D473=$A$519,4,IF(D473=$A$520,5,IF(D473=$A$521,6))))))</f>
        <v>5</v>
      </c>
      <c r="D473" s="20" t="str">
        <f t="shared" si="76"/>
        <v>abt</v>
      </c>
      <c r="E473" s="12" t="s">
        <v>660</v>
      </c>
      <c r="F473" s="13"/>
      <c r="G473" s="13" t="s">
        <v>661</v>
      </c>
      <c r="H473" s="13"/>
      <c r="I473" s="13"/>
      <c r="J473" s="13" t="s">
        <v>111</v>
      </c>
      <c r="K473" s="15" t="s">
        <v>662</v>
      </c>
      <c r="L473" s="15"/>
      <c r="M473" s="15"/>
      <c r="N473" s="15"/>
      <c r="O473" s="15"/>
      <c r="P473" s="15"/>
      <c r="Q473" s="15"/>
      <c r="S473" s="35"/>
      <c r="T473" s="13"/>
      <c r="U473" s="17"/>
      <c r="V473" s="17"/>
      <c r="W473" s="36"/>
      <c r="X473" s="17"/>
      <c r="Y473" s="17"/>
      <c r="AA473" s="15" t="s">
        <v>99</v>
      </c>
      <c r="AB473" s="17"/>
      <c r="AC473" s="21" t="s">
        <v>61</v>
      </c>
      <c r="AD473" s="21" t="s">
        <v>61</v>
      </c>
      <c r="AE473" s="61" t="s">
        <v>79</v>
      </c>
      <c r="AF473" s="17"/>
      <c r="AG473" s="15"/>
      <c r="AH473" s="677">
        <v>1</v>
      </c>
      <c r="AI473" s="42">
        <f t="shared" ca="1" si="73"/>
        <v>614</v>
      </c>
      <c r="AJ473" s="42">
        <f t="shared" ca="1" si="71"/>
        <v>483</v>
      </c>
      <c r="AK473" s="13" t="s">
        <v>87</v>
      </c>
      <c r="AL473" s="36" t="str">
        <f t="shared" si="74"/>
        <v>Aborted</v>
      </c>
      <c r="AM473" s="37">
        <v>45050</v>
      </c>
      <c r="AN473" s="37">
        <v>45050</v>
      </c>
      <c r="AO473" s="37" t="s">
        <v>65</v>
      </c>
      <c r="AP473" s="37"/>
      <c r="AQ473" s="38"/>
      <c r="AR473" s="38"/>
      <c r="AS473" s="38"/>
      <c r="AT473" s="38"/>
      <c r="AU473" s="38"/>
      <c r="AV473" s="38"/>
      <c r="AW473" s="38">
        <v>45181</v>
      </c>
      <c r="AX473" s="38">
        <v>45097</v>
      </c>
      <c r="AY473" s="38">
        <v>45181</v>
      </c>
      <c r="AZ473" s="38"/>
      <c r="BA473" s="39">
        <f t="shared" si="70"/>
        <v>0.22222222222222221</v>
      </c>
      <c r="BB473" s="38"/>
      <c r="BC473" s="11" t="s">
        <v>7</v>
      </c>
    </row>
    <row r="474" spans="2:55" x14ac:dyDescent="0.35">
      <c r="B474" s="16">
        <f>IF(D474=$A$516,1,IF(D474=$A$517,2,IF(D474=$A$518,3,IF(D474=$A$519,4,IF(D474=$A$520,5,IF(D474=$A$521,6))))))</f>
        <v>5</v>
      </c>
      <c r="D474" s="20" t="str">
        <f t="shared" si="76"/>
        <v>abt</v>
      </c>
      <c r="E474" s="20" t="s">
        <v>979</v>
      </c>
      <c r="F474" s="13"/>
      <c r="G474" s="13" t="s">
        <v>226</v>
      </c>
      <c r="H474" s="14" t="s">
        <v>980</v>
      </c>
      <c r="I474" s="13">
        <v>244200</v>
      </c>
      <c r="J474" s="13" t="s">
        <v>111</v>
      </c>
      <c r="K474" s="15" t="s">
        <v>848</v>
      </c>
      <c r="L474" s="15" t="s">
        <v>981</v>
      </c>
      <c r="M474" s="15"/>
      <c r="N474" s="15"/>
      <c r="O474" s="15"/>
      <c r="P474" s="15"/>
      <c r="Q474" s="15"/>
      <c r="S474" s="35" t="s">
        <v>144</v>
      </c>
      <c r="T474" s="13">
        <v>2021</v>
      </c>
      <c r="U474" s="17">
        <v>177</v>
      </c>
      <c r="V474" s="17">
        <v>21.1</v>
      </c>
      <c r="W474" s="36">
        <f>+V474/U474</f>
        <v>0.1192090395480226</v>
      </c>
      <c r="X474" s="17">
        <v>10.37</v>
      </c>
      <c r="Y474" s="17">
        <v>74.900000000000006</v>
      </c>
      <c r="AA474" s="15" t="s">
        <v>99</v>
      </c>
      <c r="AB474" s="17" t="s">
        <v>461</v>
      </c>
      <c r="AC474" s="21" t="s">
        <v>78</v>
      </c>
      <c r="AD474" s="21" t="s">
        <v>78</v>
      </c>
      <c r="AE474" s="17" t="s">
        <v>86</v>
      </c>
      <c r="AF474" s="17"/>
      <c r="AG474" s="15"/>
      <c r="AI474" s="42">
        <f t="shared" ca="1" si="73"/>
        <v>847</v>
      </c>
      <c r="AJ474" s="42">
        <f t="shared" ca="1" si="71"/>
        <v>728</v>
      </c>
      <c r="AK474" s="13"/>
      <c r="AL474" s="36" t="str">
        <f t="shared" si="74"/>
        <v>Aborted</v>
      </c>
      <c r="AM474" s="37">
        <v>44817</v>
      </c>
      <c r="AN474" s="37">
        <v>44823</v>
      </c>
      <c r="AO474" s="37" t="s">
        <v>65</v>
      </c>
      <c r="AP474" s="37" t="s">
        <v>65</v>
      </c>
      <c r="AQ474" s="38">
        <v>44852</v>
      </c>
      <c r="AR474" s="38"/>
      <c r="AS474" s="38"/>
      <c r="AT474" s="38"/>
      <c r="AU474" s="38"/>
      <c r="AV474" s="38"/>
      <c r="AW474" s="38">
        <v>44852</v>
      </c>
      <c r="AX474" s="38">
        <v>44852</v>
      </c>
      <c r="AY474" s="38">
        <v>44936</v>
      </c>
      <c r="AZ474" s="38"/>
      <c r="BA474" s="39">
        <f t="shared" si="70"/>
        <v>0.44444444444444442</v>
      </c>
      <c r="BB474" s="38"/>
      <c r="BC474" s="11" t="s">
        <v>7</v>
      </c>
    </row>
    <row r="475" spans="2:55" x14ac:dyDescent="0.35">
      <c r="B475" s="16">
        <f>IF(D475=$A$516,1,IF(D475=$A$517,2,IF(D475=$A$518,3,IF(D475=$A$519,4,IF(D475=$A$520,5,IF(D475=$A$521,6))))))</f>
        <v>5</v>
      </c>
      <c r="D475" s="20" t="str">
        <f t="shared" si="76"/>
        <v>abt</v>
      </c>
      <c r="E475" s="20" t="s">
        <v>2742</v>
      </c>
      <c r="F475" s="13"/>
      <c r="G475" s="13" t="s">
        <v>109</v>
      </c>
      <c r="H475" s="14"/>
      <c r="I475" s="13"/>
      <c r="J475" s="13" t="s">
        <v>57</v>
      </c>
      <c r="K475" s="15" t="s">
        <v>2743</v>
      </c>
      <c r="L475" s="15" t="s">
        <v>2744</v>
      </c>
      <c r="M475" s="15"/>
      <c r="N475" s="15"/>
      <c r="O475" s="15"/>
      <c r="P475" s="15"/>
      <c r="Q475" s="15"/>
      <c r="S475" s="17"/>
      <c r="T475" s="13"/>
      <c r="U475" s="17"/>
      <c r="V475" s="17"/>
      <c r="W475" s="36"/>
      <c r="X475" s="17"/>
      <c r="Y475" s="17"/>
      <c r="AA475" s="15" t="s">
        <v>140</v>
      </c>
      <c r="AB475" s="15"/>
      <c r="AC475" s="21" t="s">
        <v>61</v>
      </c>
      <c r="AD475" s="21" t="s">
        <v>61</v>
      </c>
      <c r="AE475" s="17" t="s">
        <v>62</v>
      </c>
      <c r="AF475" s="17" t="s">
        <v>128</v>
      </c>
      <c r="AG475" s="15"/>
      <c r="AI475" s="42">
        <f t="shared" ca="1" si="73"/>
        <v>357</v>
      </c>
      <c r="AJ475" s="42">
        <f t="shared" ca="1" si="71"/>
        <v>356</v>
      </c>
      <c r="AK475" s="13" t="s">
        <v>64</v>
      </c>
      <c r="AL475" s="36" t="str">
        <f t="shared" si="74"/>
        <v>Aborted</v>
      </c>
      <c r="AM475" s="37">
        <v>45307</v>
      </c>
      <c r="AN475" s="37">
        <v>45307</v>
      </c>
      <c r="AO475" s="37" t="s">
        <v>65</v>
      </c>
      <c r="AP475" s="37">
        <v>45308</v>
      </c>
      <c r="AQ475" s="38">
        <v>45308</v>
      </c>
      <c r="AR475" s="38"/>
      <c r="AS475" s="38"/>
      <c r="AT475" s="38"/>
      <c r="AU475" s="38"/>
      <c r="AV475" s="38"/>
      <c r="AW475" s="38">
        <v>45308</v>
      </c>
      <c r="AX475" s="38"/>
      <c r="AY475" s="38">
        <v>45308</v>
      </c>
      <c r="AZ475" s="38"/>
      <c r="BA475" s="39">
        <f t="shared" si="70"/>
        <v>0.44444444444444442</v>
      </c>
      <c r="BB475" s="38"/>
      <c r="BC475" s="11" t="s">
        <v>7</v>
      </c>
    </row>
    <row r="476" spans="2:55" x14ac:dyDescent="0.35">
      <c r="B476" s="16">
        <f>IF(D476=$A$516,1,IF(D476=$A$517,2,IF(D476=$A$518,3,IF(D476=$A$519,4,IF(D476=$A$520,5,IF(D476=$A$521,6))))))</f>
        <v>5</v>
      </c>
      <c r="D476" s="20" t="str">
        <f t="shared" si="76"/>
        <v>abt</v>
      </c>
      <c r="E476" s="20" t="s">
        <v>1153</v>
      </c>
      <c r="F476" s="14"/>
      <c r="G476" s="13" t="s">
        <v>103</v>
      </c>
      <c r="H476" s="14" t="s">
        <v>1154</v>
      </c>
      <c r="I476" s="13">
        <v>212009</v>
      </c>
      <c r="J476" s="13" t="s">
        <v>1010</v>
      </c>
      <c r="K476" s="15" t="s">
        <v>1155</v>
      </c>
      <c r="L476" s="15" t="s">
        <v>1156</v>
      </c>
      <c r="M476" s="15" t="s">
        <v>1156</v>
      </c>
      <c r="N476" s="15"/>
      <c r="O476" s="15"/>
      <c r="P476" s="15"/>
      <c r="Q476" s="15"/>
      <c r="S476" s="35" t="s">
        <v>77</v>
      </c>
      <c r="T476" s="13">
        <v>2020</v>
      </c>
      <c r="U476" s="17">
        <v>14.9</v>
      </c>
      <c r="V476" s="17">
        <v>2.69</v>
      </c>
      <c r="W476" s="36">
        <f>+V476/U476</f>
        <v>0.18053691275167785</v>
      </c>
      <c r="X476" s="17">
        <v>1.3680000000000001</v>
      </c>
      <c r="Y476" s="17">
        <v>-5.0709999999999997</v>
      </c>
      <c r="AA476" s="15" t="s">
        <v>99</v>
      </c>
      <c r="AB476" s="17" t="s">
        <v>1157</v>
      </c>
      <c r="AC476" s="21" t="s">
        <v>78</v>
      </c>
      <c r="AD476" s="17" t="s">
        <v>78</v>
      </c>
      <c r="AE476" s="17" t="s">
        <v>986</v>
      </c>
      <c r="AF476" s="17" t="s">
        <v>128</v>
      </c>
      <c r="AG476" s="15"/>
      <c r="AI476" s="42">
        <f t="shared" ca="1" si="73"/>
        <v>1386</v>
      </c>
      <c r="AJ476" s="42">
        <f t="shared" ca="1" si="71"/>
        <v>840</v>
      </c>
      <c r="AK476" s="13"/>
      <c r="AL476" s="36" t="str">
        <f t="shared" si="74"/>
        <v>Aborted</v>
      </c>
      <c r="AM476" s="37">
        <v>44278</v>
      </c>
      <c r="AN476" s="37">
        <v>44278</v>
      </c>
      <c r="AO476" s="37" t="s">
        <v>65</v>
      </c>
      <c r="AP476" s="37">
        <v>44278</v>
      </c>
      <c r="AQ476" s="38">
        <v>44309</v>
      </c>
      <c r="AR476" s="38">
        <v>44680</v>
      </c>
      <c r="AS476" s="38"/>
      <c r="AT476" s="38"/>
      <c r="AU476" s="38"/>
      <c r="AV476" s="38"/>
      <c r="AW476" s="38">
        <v>44770</v>
      </c>
      <c r="AX476" s="38">
        <v>44733</v>
      </c>
      <c r="AY476" s="38">
        <v>44824</v>
      </c>
      <c r="AZ476" s="38"/>
      <c r="BA476" s="39">
        <f t="shared" si="70"/>
        <v>0.55555555555555558</v>
      </c>
      <c r="BB476" s="38"/>
      <c r="BC476" s="11" t="s">
        <v>7</v>
      </c>
    </row>
    <row r="477" spans="2:55" x14ac:dyDescent="0.35">
      <c r="B477" s="16">
        <f>IF(D477=$A$516,1,IF(D477=$A$517,2,IF(D477=$A$518,3,IF(D477=$A$519,4,IF(D477=$A$520,5,IF(D477=$A$521,6))))))</f>
        <v>5</v>
      </c>
      <c r="D477" s="20" t="str">
        <f t="shared" si="76"/>
        <v>abt</v>
      </c>
      <c r="E477" s="1233" t="s">
        <v>1088</v>
      </c>
      <c r="F477" s="1432"/>
      <c r="G477" s="13" t="s">
        <v>437</v>
      </c>
      <c r="H477" s="13"/>
      <c r="I477" s="13"/>
      <c r="J477" s="13" t="s">
        <v>294</v>
      </c>
      <c r="K477" s="15" t="s">
        <v>1089</v>
      </c>
      <c r="L477" s="15" t="s">
        <v>1090</v>
      </c>
      <c r="M477" s="15"/>
      <c r="N477" s="15"/>
      <c r="O477" s="15"/>
      <c r="P477" s="15"/>
      <c r="Q477" s="15"/>
      <c r="S477" s="35" t="s">
        <v>77</v>
      </c>
      <c r="T477" s="13">
        <v>2022</v>
      </c>
      <c r="U477" s="17">
        <v>0.14891699999999999</v>
      </c>
      <c r="V477" s="17">
        <v>-2.0000000000000001E-4</v>
      </c>
      <c r="W477" s="36">
        <f>+V477/U477</f>
        <v>-1.3430300100055737E-3</v>
      </c>
      <c r="X477" s="17" t="s">
        <v>65</v>
      </c>
      <c r="Y477" s="17" t="s">
        <v>65</v>
      </c>
      <c r="AA477" s="15" t="s">
        <v>60</v>
      </c>
      <c r="AB477" s="17"/>
      <c r="AC477" s="21" t="s">
        <v>562</v>
      </c>
      <c r="AD477" s="21" t="s">
        <v>61</v>
      </c>
      <c r="AE477" s="17" t="s">
        <v>79</v>
      </c>
      <c r="AF477" s="76" t="s">
        <v>562</v>
      </c>
      <c r="AG477" s="15"/>
      <c r="AH477" s="677">
        <v>1</v>
      </c>
      <c r="AI477" s="42">
        <f t="shared" ca="1" si="73"/>
        <v>831</v>
      </c>
      <c r="AJ477" s="42">
        <f t="shared" ca="1" si="71"/>
        <v>784</v>
      </c>
      <c r="AK477" s="13"/>
      <c r="AL477" s="36" t="str">
        <f t="shared" si="74"/>
        <v>Aborted</v>
      </c>
      <c r="AM477" s="37">
        <v>44833</v>
      </c>
      <c r="AN477" s="37">
        <v>44834</v>
      </c>
      <c r="AO477" s="37" t="s">
        <v>65</v>
      </c>
      <c r="AP477" s="37">
        <v>44837</v>
      </c>
      <c r="AQ477" s="38">
        <v>44880</v>
      </c>
      <c r="AR477" s="38"/>
      <c r="AS477" s="38"/>
      <c r="AT477" s="38"/>
      <c r="AU477" s="38"/>
      <c r="AV477" s="38"/>
      <c r="AW477" s="38">
        <v>44880</v>
      </c>
      <c r="AX477" s="38"/>
      <c r="AY477" s="38">
        <v>44880</v>
      </c>
      <c r="AZ477" s="38"/>
      <c r="BA477" s="39">
        <f t="shared" si="70"/>
        <v>0.44444444444444442</v>
      </c>
      <c r="BB477" s="38"/>
      <c r="BC477" s="11" t="s">
        <v>7</v>
      </c>
    </row>
    <row r="478" spans="2:55" x14ac:dyDescent="0.35">
      <c r="B478" s="16">
        <f>IF(D478=$A$516,1,IF(D478=$A$517,2,IF(D478=$A$518,3,IF(D478=$A$519,4,IF(D478=$A$520,5,IF(D478=$A$521,6))))))</f>
        <v>5</v>
      </c>
      <c r="D478" s="20" t="str">
        <f t="shared" si="76"/>
        <v>abt</v>
      </c>
      <c r="E478" s="20" t="s">
        <v>1146</v>
      </c>
      <c r="F478" s="14"/>
      <c r="G478" s="13" t="s">
        <v>68</v>
      </c>
      <c r="H478" s="14" t="s">
        <v>1147</v>
      </c>
      <c r="I478" s="13">
        <v>222100</v>
      </c>
      <c r="J478" s="13" t="s">
        <v>149</v>
      </c>
      <c r="K478" s="15" t="s">
        <v>1148</v>
      </c>
      <c r="L478" s="15" t="s">
        <v>299</v>
      </c>
      <c r="M478" s="15"/>
      <c r="N478" s="15"/>
      <c r="O478" s="15"/>
      <c r="P478" s="15"/>
      <c r="Q478" s="15"/>
      <c r="S478" s="35" t="s">
        <v>77</v>
      </c>
      <c r="T478" s="13">
        <v>2020</v>
      </c>
      <c r="U478" s="17">
        <v>35.5</v>
      </c>
      <c r="V478" s="17">
        <v>3.5</v>
      </c>
      <c r="W478" s="36">
        <f>+V478/U478</f>
        <v>9.8591549295774641E-2</v>
      </c>
      <c r="X478" s="17">
        <v>1.5</v>
      </c>
      <c r="Y478" s="17">
        <v>3.9</v>
      </c>
      <c r="AA478" s="15" t="s">
        <v>299</v>
      </c>
      <c r="AB478" s="17"/>
      <c r="AC478" s="21" t="s">
        <v>986</v>
      </c>
      <c r="AD478" s="21" t="s">
        <v>61</v>
      </c>
      <c r="AE478" s="17" t="s">
        <v>986</v>
      </c>
      <c r="AF478" s="76" t="s">
        <v>562</v>
      </c>
      <c r="AG478" s="15"/>
      <c r="AI478" s="42">
        <f t="shared" ca="1" si="73"/>
        <v>968</v>
      </c>
      <c r="AJ478" s="42">
        <f t="shared" ca="1" si="71"/>
        <v>840</v>
      </c>
      <c r="AK478" s="13"/>
      <c r="AL478" s="36" t="str">
        <f t="shared" si="74"/>
        <v>Aborted</v>
      </c>
      <c r="AM478" s="37">
        <v>44696</v>
      </c>
      <c r="AN478" s="37">
        <v>44753</v>
      </c>
      <c r="AO478" s="37" t="s">
        <v>65</v>
      </c>
      <c r="AP478" s="37">
        <v>44754</v>
      </c>
      <c r="AQ478" s="38">
        <v>44763</v>
      </c>
      <c r="AR478" s="38"/>
      <c r="AS478" s="38"/>
      <c r="AT478" s="38"/>
      <c r="AU478" s="38"/>
      <c r="AV478" s="38"/>
      <c r="AW478" s="38">
        <v>44812</v>
      </c>
      <c r="AX478" s="38"/>
      <c r="AY478" s="38">
        <v>44824</v>
      </c>
      <c r="AZ478" s="38"/>
      <c r="BA478" s="39">
        <f t="shared" si="70"/>
        <v>0.44444444444444442</v>
      </c>
      <c r="BB478" s="38"/>
      <c r="BC478" s="11" t="s">
        <v>7</v>
      </c>
    </row>
    <row r="479" spans="2:55" x14ac:dyDescent="0.35">
      <c r="B479" s="16">
        <f>IF(D479=$A$516,1,IF(D479=$A$517,2,IF(D479=$A$518,3,IF(D479=$A$519,4,IF(D479=$A$520,5,IF(D479=$A$521,6))))))</f>
        <v>5</v>
      </c>
      <c r="D479" s="20" t="str">
        <f t="shared" si="76"/>
        <v>abt</v>
      </c>
      <c r="E479" s="20" t="s">
        <v>755</v>
      </c>
      <c r="F479" s="13"/>
      <c r="G479" s="13"/>
      <c r="H479" s="14"/>
      <c r="I479" s="13"/>
      <c r="J479" s="13" t="s">
        <v>119</v>
      </c>
      <c r="K479" s="15" t="s">
        <v>756</v>
      </c>
      <c r="L479" s="15" t="s">
        <v>757</v>
      </c>
      <c r="M479" s="20"/>
      <c r="N479" s="15"/>
      <c r="O479" s="15"/>
      <c r="P479" s="15"/>
      <c r="Q479" s="15"/>
      <c r="S479" s="35"/>
      <c r="T479" s="13"/>
      <c r="U479" s="17"/>
      <c r="V479" s="17"/>
      <c r="W479" s="36"/>
      <c r="X479" s="17"/>
      <c r="Y479" s="17"/>
      <c r="AA479" s="15" t="s">
        <v>140</v>
      </c>
      <c r="AB479" s="17"/>
      <c r="AC479" s="21" t="s">
        <v>79</v>
      </c>
      <c r="AD479" s="21" t="s">
        <v>61</v>
      </c>
      <c r="AE479" s="17" t="s">
        <v>79</v>
      </c>
      <c r="AF479" s="17"/>
      <c r="AG479" s="15" t="s">
        <v>758</v>
      </c>
      <c r="AH479" s="677">
        <v>1</v>
      </c>
      <c r="AI479" s="42">
        <f t="shared" ca="1" si="73"/>
        <v>727</v>
      </c>
      <c r="AJ479" s="42">
        <f t="shared" ca="1" si="71"/>
        <v>722</v>
      </c>
      <c r="AK479" s="13" t="s">
        <v>64</v>
      </c>
      <c r="AL479" s="36" t="str">
        <f t="shared" si="74"/>
        <v>Aborted</v>
      </c>
      <c r="AM479" s="37">
        <v>44937</v>
      </c>
      <c r="AN479" s="37">
        <f>+AM479</f>
        <v>44937</v>
      </c>
      <c r="AO479" s="37" t="s">
        <v>65</v>
      </c>
      <c r="AP479" s="37">
        <v>44935</v>
      </c>
      <c r="AQ479" s="38">
        <v>44942</v>
      </c>
      <c r="AR479" s="38"/>
      <c r="AS479" s="38"/>
      <c r="AT479" s="38"/>
      <c r="AU479" s="38"/>
      <c r="AV479" s="38"/>
      <c r="AW479" s="38">
        <v>44652</v>
      </c>
      <c r="AX479" s="38">
        <v>44942</v>
      </c>
      <c r="AY479" s="38">
        <v>44942</v>
      </c>
      <c r="AZ479" s="38"/>
      <c r="BA479" s="39">
        <f t="shared" si="70"/>
        <v>0.44444444444444442</v>
      </c>
      <c r="BB479" s="38"/>
      <c r="BC479" s="11" t="s">
        <v>7</v>
      </c>
    </row>
    <row r="480" spans="2:55" x14ac:dyDescent="0.35">
      <c r="B480" s="16">
        <f>IF(D480=$A$516,1,IF(D480=$A$517,2,IF(D480=$A$518,3,IF(D480=$A$519,4,IF(D480=$A$520,5,IF(D480=$A$521,6))))))</f>
        <v>5</v>
      </c>
      <c r="D480" s="20" t="str">
        <f t="shared" si="76"/>
        <v>abt</v>
      </c>
      <c r="E480" s="20" t="s">
        <v>1042</v>
      </c>
      <c r="F480" s="13"/>
      <c r="G480" s="13"/>
      <c r="H480" s="13"/>
      <c r="I480" s="13"/>
      <c r="J480" s="13"/>
      <c r="K480" s="15"/>
      <c r="L480" s="15" t="s">
        <v>1043</v>
      </c>
      <c r="M480" s="15"/>
      <c r="N480" s="15"/>
      <c r="O480" s="15"/>
      <c r="P480" s="15"/>
      <c r="Q480" s="15"/>
      <c r="S480" s="35"/>
      <c r="T480" s="13"/>
      <c r="U480" s="17"/>
      <c r="V480" s="17"/>
      <c r="W480" s="36"/>
      <c r="X480" s="17"/>
      <c r="Y480" s="17"/>
      <c r="AA480" s="15" t="s">
        <v>140</v>
      </c>
      <c r="AB480" s="17"/>
      <c r="AC480" s="21" t="s">
        <v>78</v>
      </c>
      <c r="AD480" s="21" t="s">
        <v>78</v>
      </c>
      <c r="AE480" s="17" t="s">
        <v>62</v>
      </c>
      <c r="AF480" s="17"/>
      <c r="AG480" s="15"/>
      <c r="AI480" s="42">
        <f t="shared" ca="1" si="73"/>
        <v>803</v>
      </c>
      <c r="AJ480" s="42">
        <f t="shared" ca="1" si="71"/>
        <v>728</v>
      </c>
      <c r="AK480" s="13" t="s">
        <v>720</v>
      </c>
      <c r="AL480" s="36" t="str">
        <f t="shared" si="74"/>
        <v>Aborted</v>
      </c>
      <c r="AM480" s="37">
        <v>44861</v>
      </c>
      <c r="AN480" s="37">
        <v>44861</v>
      </c>
      <c r="AO480" s="37" t="s">
        <v>65</v>
      </c>
      <c r="AP480" s="37">
        <v>44861</v>
      </c>
      <c r="AQ480" s="38" t="s">
        <v>65</v>
      </c>
      <c r="AR480" s="38"/>
      <c r="AS480" s="38"/>
      <c r="AT480" s="38"/>
      <c r="AU480" s="38"/>
      <c r="AV480" s="38"/>
      <c r="AW480" s="38">
        <v>44865</v>
      </c>
      <c r="AX480" s="38">
        <v>44865</v>
      </c>
      <c r="AY480" s="38">
        <v>44936</v>
      </c>
      <c r="AZ480" s="38"/>
      <c r="BA480" s="39">
        <f t="shared" si="70"/>
        <v>0.44444444444444442</v>
      </c>
      <c r="BB480" s="38"/>
      <c r="BC480" s="11" t="s">
        <v>7</v>
      </c>
    </row>
    <row r="481" spans="2:55" x14ac:dyDescent="0.35">
      <c r="B481" s="16">
        <f>IF(D481=$A$516,1,IF(D481=$A$517,2,IF(D481=$A$518,3,IF(D481=$A$519,4,IF(D481=$A$520,5,IF(D481=$A$521,6))))))</f>
        <v>5</v>
      </c>
      <c r="D481" s="20" t="str">
        <f t="shared" si="76"/>
        <v>abt</v>
      </c>
      <c r="E481" s="20" t="s">
        <v>1452</v>
      </c>
      <c r="F481" s="13"/>
      <c r="G481" s="13"/>
      <c r="H481" s="13"/>
      <c r="I481" s="13"/>
      <c r="J481" s="13"/>
      <c r="K481" s="15"/>
      <c r="L481" s="15"/>
      <c r="M481" s="15"/>
      <c r="N481" s="15"/>
      <c r="O481" s="15"/>
      <c r="P481" s="15"/>
      <c r="Q481" s="15"/>
      <c r="S481" s="35"/>
      <c r="T481" s="13"/>
      <c r="U481" s="17"/>
      <c r="V481" s="17"/>
      <c r="W481" s="36"/>
      <c r="X481" s="17"/>
      <c r="Y481" s="17"/>
      <c r="AA481" s="15" t="s">
        <v>99</v>
      </c>
      <c r="AB481" s="17" t="s">
        <v>1453</v>
      </c>
      <c r="AC481" s="21" t="s">
        <v>78</v>
      </c>
      <c r="AD481" s="17" t="s">
        <v>78</v>
      </c>
      <c r="AE481" s="17"/>
      <c r="AF481" s="17"/>
      <c r="AG481" s="15"/>
      <c r="AI481" s="42">
        <f t="shared" ca="1" si="73"/>
        <v>1398</v>
      </c>
      <c r="AJ481" s="42">
        <f t="shared" ca="1" si="71"/>
        <v>1379</v>
      </c>
      <c r="AK481" s="13"/>
      <c r="AL481" s="36" t="str">
        <f t="shared" si="74"/>
        <v>Aborted</v>
      </c>
      <c r="AM481" s="37">
        <v>44266</v>
      </c>
      <c r="AN481" s="37">
        <v>44266</v>
      </c>
      <c r="AO481" s="37" t="s">
        <v>65</v>
      </c>
      <c r="AP481" s="37">
        <v>44265</v>
      </c>
      <c r="AQ481" s="38">
        <v>44265</v>
      </c>
      <c r="AR481" s="38">
        <v>44273</v>
      </c>
      <c r="AS481" s="38">
        <v>44279</v>
      </c>
      <c r="AT481" s="38"/>
      <c r="AU481" s="38"/>
      <c r="AV481" s="38"/>
      <c r="AW481" s="38"/>
      <c r="AX481" s="38"/>
      <c r="AY481" s="38">
        <v>44285</v>
      </c>
      <c r="AZ481" s="38"/>
      <c r="BA481" s="39">
        <f t="shared" si="70"/>
        <v>0.66666666666666663</v>
      </c>
      <c r="BB481" s="38"/>
      <c r="BC481" s="11" t="s">
        <v>7</v>
      </c>
    </row>
    <row r="482" spans="2:55" x14ac:dyDescent="0.35">
      <c r="B482" s="765">
        <f>IF(D482=$A$516,1,IF(D482=$A$517,2,IF(D482=$A$518,3,IF(D482=$A$519,4,IF(D482=$A$520,5,IF(D482=$A$521,6))))))</f>
        <v>5</v>
      </c>
      <c r="C482" s="765"/>
      <c r="D482" s="764" t="str">
        <f t="shared" si="76"/>
        <v>abt</v>
      </c>
      <c r="E482" s="764" t="s">
        <v>4278</v>
      </c>
      <c r="F482" s="769"/>
      <c r="G482" s="769" t="s">
        <v>159</v>
      </c>
      <c r="H482" s="14" t="s">
        <v>4314</v>
      </c>
      <c r="I482" s="769"/>
      <c r="J482" s="769" t="s">
        <v>377</v>
      </c>
      <c r="K482" s="772" t="s">
        <v>4303</v>
      </c>
      <c r="L482" s="772" t="s">
        <v>4298</v>
      </c>
      <c r="M482" s="772"/>
      <c r="N482" s="772"/>
      <c r="O482" s="772"/>
      <c r="P482" s="772"/>
      <c r="Q482" s="772"/>
      <c r="R482" s="765"/>
      <c r="S482" s="35" t="s">
        <v>77</v>
      </c>
      <c r="T482" s="769">
        <v>2023</v>
      </c>
      <c r="U482" s="774">
        <v>22.417999999999999</v>
      </c>
      <c r="V482" s="774">
        <v>5.1619999999999999</v>
      </c>
      <c r="W482" s="766">
        <f>+V482/U482</f>
        <v>0.2302613970916228</v>
      </c>
      <c r="X482" s="774">
        <v>3.9169999999999998</v>
      </c>
      <c r="Y482" s="774">
        <v>-2.411</v>
      </c>
      <c r="Z482" s="765"/>
      <c r="AA482" s="772" t="s">
        <v>99</v>
      </c>
      <c r="AB482" s="774" t="s">
        <v>3618</v>
      </c>
      <c r="AC482" s="775" t="s">
        <v>86</v>
      </c>
      <c r="AD482" s="775" t="s">
        <v>78</v>
      </c>
      <c r="AE482" s="769" t="s">
        <v>86</v>
      </c>
      <c r="AF482" s="774" t="s">
        <v>79</v>
      </c>
      <c r="AG482" s="772"/>
      <c r="AH482" s="767"/>
      <c r="AI482" s="768">
        <f t="shared" ca="1" si="73"/>
        <v>176</v>
      </c>
      <c r="AJ482" s="768">
        <f t="shared" ca="1" si="71"/>
        <v>169</v>
      </c>
      <c r="AK482" s="769" t="s">
        <v>87</v>
      </c>
      <c r="AL482" s="766" t="str">
        <f t="shared" si="74"/>
        <v>Aborted</v>
      </c>
      <c r="AM482" s="776">
        <v>45488</v>
      </c>
      <c r="AN482" s="776">
        <v>45488</v>
      </c>
      <c r="AO482" s="776" t="s">
        <v>65</v>
      </c>
      <c r="AP482" s="776">
        <v>45488</v>
      </c>
      <c r="AQ482" s="777"/>
      <c r="AR482" s="777"/>
      <c r="AS482" s="777"/>
      <c r="AT482" s="777"/>
      <c r="AU482" s="777"/>
      <c r="AV482" s="777"/>
      <c r="AW482" s="777">
        <v>45488</v>
      </c>
      <c r="AX482" s="777"/>
      <c r="AY482" s="777">
        <v>45495</v>
      </c>
      <c r="AZ482" s="777"/>
      <c r="BA482" s="778"/>
      <c r="BB482" s="777"/>
      <c r="BC482" s="11" t="s">
        <v>7</v>
      </c>
    </row>
    <row r="483" spans="2:55" x14ac:dyDescent="0.35">
      <c r="B483" s="16">
        <f>IF(D483=$A$516,1,IF(D483=$A$517,2,IF(D483=$A$518,3,IF(D483=$A$519,4,IF(D483=$A$520,5,IF(D483=$A$521,6))))))</f>
        <v>5</v>
      </c>
      <c r="D483" s="20" t="str">
        <f t="shared" si="76"/>
        <v>abt</v>
      </c>
      <c r="E483" s="20" t="s">
        <v>1096</v>
      </c>
      <c r="F483" s="13"/>
      <c r="G483" s="13" t="s">
        <v>340</v>
      </c>
      <c r="H483" s="14" t="s">
        <v>1097</v>
      </c>
      <c r="I483" s="13">
        <v>620100</v>
      </c>
      <c r="J483" s="13" t="s">
        <v>119</v>
      </c>
      <c r="K483" s="15" t="s">
        <v>1098</v>
      </c>
      <c r="L483" s="15" t="s">
        <v>1099</v>
      </c>
      <c r="M483" s="15"/>
      <c r="N483" s="15"/>
      <c r="O483" s="15"/>
      <c r="P483" s="15"/>
      <c r="Q483" s="15"/>
      <c r="S483" s="35" t="s">
        <v>77</v>
      </c>
      <c r="T483" s="13">
        <v>2022</v>
      </c>
      <c r="U483" s="17" t="s">
        <v>65</v>
      </c>
      <c r="V483" s="17" t="s">
        <v>65</v>
      </c>
      <c r="W483" s="36"/>
      <c r="X483" s="17" t="s">
        <v>65</v>
      </c>
      <c r="Y483" s="17" t="s">
        <v>65</v>
      </c>
      <c r="AA483" s="15" t="s">
        <v>60</v>
      </c>
      <c r="AB483" s="17"/>
      <c r="AC483" s="21" t="s">
        <v>562</v>
      </c>
      <c r="AD483" s="21" t="s">
        <v>61</v>
      </c>
      <c r="AE483" s="17" t="s">
        <v>79</v>
      </c>
      <c r="AF483" s="17" t="s">
        <v>562</v>
      </c>
      <c r="AG483" s="15"/>
      <c r="AH483" s="677">
        <v>1</v>
      </c>
      <c r="AI483" s="42">
        <f t="shared" ca="1" si="73"/>
        <v>831</v>
      </c>
      <c r="AJ483" s="42">
        <f t="shared" ca="1" si="71"/>
        <v>820</v>
      </c>
      <c r="AK483" s="13"/>
      <c r="AL483" s="36" t="str">
        <f t="shared" si="74"/>
        <v>Aborted</v>
      </c>
      <c r="AM483" s="37">
        <v>44833</v>
      </c>
      <c r="AN483" s="37">
        <v>44833</v>
      </c>
      <c r="AO483" s="37" t="s">
        <v>65</v>
      </c>
      <c r="AP483" s="37">
        <v>44833</v>
      </c>
      <c r="AQ483" s="38"/>
      <c r="AR483" s="38"/>
      <c r="AS483" s="38"/>
      <c r="AT483" s="38"/>
      <c r="AU483" s="38"/>
      <c r="AV483" s="38"/>
      <c r="AW483" s="38">
        <v>44837</v>
      </c>
      <c r="AX483" s="38"/>
      <c r="AY483" s="38">
        <v>44844</v>
      </c>
      <c r="AZ483" s="38"/>
      <c r="BA483" s="39">
        <f t="shared" ref="BA483:BA510" si="77">+IF(AY483="","",COUNTA(AN483:AV483)/(COUNTA(AN483:AV483)+COUNTBLANK(AN483:AV483)))</f>
        <v>0.33333333333333331</v>
      </c>
      <c r="BB483" s="38"/>
      <c r="BC483" s="11" t="s">
        <v>7</v>
      </c>
    </row>
    <row r="484" spans="2:55" x14ac:dyDescent="0.35">
      <c r="B484" s="16">
        <f>IF(D484=$A$516,1,IF(D484=$A$517,2,IF(D484=$A$518,3,IF(D484=$A$519,4,IF(D484=$A$520,5,IF(D484=$A$521,6))))))</f>
        <v>5</v>
      </c>
      <c r="D484" s="20" t="str">
        <f t="shared" si="76"/>
        <v>abt</v>
      </c>
      <c r="E484" s="12" t="s">
        <v>777</v>
      </c>
      <c r="F484" s="13"/>
      <c r="G484" s="13" t="s">
        <v>524</v>
      </c>
      <c r="H484" s="14" t="s">
        <v>778</v>
      </c>
      <c r="I484" s="13">
        <v>381200</v>
      </c>
      <c r="J484" s="13" t="s">
        <v>779</v>
      </c>
      <c r="K484" s="15" t="s">
        <v>780</v>
      </c>
      <c r="L484" s="15" t="s">
        <v>781</v>
      </c>
      <c r="M484" s="15" t="s">
        <v>781</v>
      </c>
      <c r="N484" s="15" t="s">
        <v>782</v>
      </c>
      <c r="O484" s="15"/>
      <c r="P484" s="15"/>
      <c r="Q484" s="15"/>
      <c r="S484" s="35" t="s">
        <v>77</v>
      </c>
      <c r="T484" s="13">
        <v>2019</v>
      </c>
      <c r="U484" s="17">
        <v>39.555999999999997</v>
      </c>
      <c r="V484" s="17">
        <v>5.8440000000000003</v>
      </c>
      <c r="W484" s="36">
        <f t="shared" ref="W484:W495" si="78">+V484/U484</f>
        <v>0.14773991303468503</v>
      </c>
      <c r="X484" s="17">
        <v>2.66</v>
      </c>
      <c r="Y484" s="17">
        <v>4.9770000000000003</v>
      </c>
      <c r="AA484" s="15" t="s">
        <v>99</v>
      </c>
      <c r="AB484" s="17" t="s">
        <v>783</v>
      </c>
      <c r="AC484" s="21" t="s">
        <v>86</v>
      </c>
      <c r="AD484" s="21" t="s">
        <v>61</v>
      </c>
      <c r="AE484" s="17" t="s">
        <v>86</v>
      </c>
      <c r="AF484" s="17"/>
      <c r="AG484" s="15"/>
      <c r="AI484" s="42">
        <f t="shared" ca="1" si="73"/>
        <v>1168</v>
      </c>
      <c r="AJ484" s="42">
        <f t="shared" ca="1" si="71"/>
        <v>637</v>
      </c>
      <c r="AK484" s="13" t="s">
        <v>87</v>
      </c>
      <c r="AL484" s="36" t="str">
        <f t="shared" si="74"/>
        <v>Aborted</v>
      </c>
      <c r="AM484" s="37">
        <v>44496</v>
      </c>
      <c r="AN484" s="37">
        <v>44496</v>
      </c>
      <c r="AO484" s="37" t="s">
        <v>65</v>
      </c>
      <c r="AP484" s="37">
        <v>44527</v>
      </c>
      <c r="AQ484" s="38" t="s">
        <v>65</v>
      </c>
      <c r="AR484" s="38">
        <v>44911</v>
      </c>
      <c r="AS484" s="38">
        <v>44923</v>
      </c>
      <c r="AT484" s="38">
        <v>44953</v>
      </c>
      <c r="AU484" s="38">
        <v>44998</v>
      </c>
      <c r="AV484" s="38"/>
      <c r="AW484" s="38">
        <v>44991</v>
      </c>
      <c r="AX484" s="38">
        <v>44998</v>
      </c>
      <c r="AY484" s="38">
        <v>45027</v>
      </c>
      <c r="AZ484" s="38"/>
      <c r="BA484" s="39">
        <f t="shared" si="77"/>
        <v>0.88888888888888884</v>
      </c>
      <c r="BB484" s="38"/>
      <c r="BC484" s="11" t="s">
        <v>7</v>
      </c>
    </row>
    <row r="485" spans="2:55" x14ac:dyDescent="0.35">
      <c r="B485" s="16">
        <f>IF(D485=$A$516,1,IF(D485=$A$517,2,IF(D485=$A$518,3,IF(D485=$A$519,4,IF(D485=$A$520,5,IF(D485=$A$521,6))))))</f>
        <v>5</v>
      </c>
      <c r="D485" s="20" t="str">
        <f t="shared" si="76"/>
        <v>abt</v>
      </c>
      <c r="E485" s="12" t="s">
        <v>1095</v>
      </c>
      <c r="F485" s="13"/>
      <c r="G485" s="13" t="s">
        <v>103</v>
      </c>
      <c r="H485" s="14" t="s">
        <v>891</v>
      </c>
      <c r="I485" s="13">
        <v>383230</v>
      </c>
      <c r="J485" s="13" t="s">
        <v>779</v>
      </c>
      <c r="K485" s="15" t="s">
        <v>780</v>
      </c>
      <c r="L485" s="15" t="s">
        <v>305</v>
      </c>
      <c r="M485" s="15" t="s">
        <v>781</v>
      </c>
      <c r="N485" s="15" t="s">
        <v>782</v>
      </c>
      <c r="O485" s="15"/>
      <c r="P485" s="15"/>
      <c r="Q485" s="15"/>
      <c r="S485" s="35" t="s">
        <v>77</v>
      </c>
      <c r="T485" s="13">
        <v>2020</v>
      </c>
      <c r="U485" s="17">
        <v>10.1</v>
      </c>
      <c r="V485" s="17">
        <v>1.7</v>
      </c>
      <c r="W485" s="36">
        <f t="shared" si="78"/>
        <v>0.16831683168316833</v>
      </c>
      <c r="X485" s="17">
        <v>0.89</v>
      </c>
      <c r="Y485" s="17">
        <v>0.49099999999999999</v>
      </c>
      <c r="AA485" s="15" t="s">
        <v>60</v>
      </c>
      <c r="AB485" s="17"/>
      <c r="AC485" s="21" t="s">
        <v>61</v>
      </c>
      <c r="AD485" s="21" t="s">
        <v>61</v>
      </c>
      <c r="AE485" s="17" t="s">
        <v>86</v>
      </c>
      <c r="AF485" s="17" t="s">
        <v>562</v>
      </c>
      <c r="AG485" s="15"/>
      <c r="AI485" s="42">
        <f t="shared" ca="1" si="73"/>
        <v>1163</v>
      </c>
      <c r="AJ485" s="42">
        <f t="shared" ca="1" si="71"/>
        <v>804</v>
      </c>
      <c r="AK485" s="13"/>
      <c r="AL485" s="36" t="str">
        <f t="shared" si="74"/>
        <v>Aborted</v>
      </c>
      <c r="AM485" s="37">
        <v>44501</v>
      </c>
      <c r="AN485" s="37">
        <v>44496</v>
      </c>
      <c r="AO485" s="37" t="s">
        <v>65</v>
      </c>
      <c r="AP485" s="37" t="s">
        <v>65</v>
      </c>
      <c r="AQ485" s="38">
        <f>+AN485</f>
        <v>44496</v>
      </c>
      <c r="AR485" s="38" t="s">
        <v>65</v>
      </c>
      <c r="AS485" s="38">
        <v>44851</v>
      </c>
      <c r="AT485" s="38"/>
      <c r="AU485" s="38"/>
      <c r="AV485" s="38"/>
      <c r="AW485" s="38">
        <v>44851</v>
      </c>
      <c r="AX485" s="38"/>
      <c r="AY485" s="38">
        <v>44860</v>
      </c>
      <c r="AZ485" s="38"/>
      <c r="BA485" s="39">
        <f t="shared" si="77"/>
        <v>0.66666666666666663</v>
      </c>
      <c r="BB485" s="38"/>
      <c r="BC485" s="11" t="s">
        <v>7</v>
      </c>
    </row>
    <row r="486" spans="2:55" x14ac:dyDescent="0.35">
      <c r="B486" s="16">
        <f>IF(D486=$A$516,1,IF(D486=$A$517,2,IF(D486=$A$518,3,IF(D486=$A$519,4,IF(D486=$A$520,5,IF(D486=$A$521,6))))))</f>
        <v>5</v>
      </c>
      <c r="D486" s="20" t="str">
        <f t="shared" si="76"/>
        <v>abt</v>
      </c>
      <c r="E486" s="12" t="s">
        <v>889</v>
      </c>
      <c r="F486" s="14" t="s">
        <v>890</v>
      </c>
      <c r="G486" s="13" t="s">
        <v>103</v>
      </c>
      <c r="H486" s="14" t="s">
        <v>891</v>
      </c>
      <c r="I486" s="13">
        <v>383230</v>
      </c>
      <c r="J486" s="13" t="s">
        <v>779</v>
      </c>
      <c r="K486" s="15" t="s">
        <v>780</v>
      </c>
      <c r="L486" s="15" t="s">
        <v>305</v>
      </c>
      <c r="M486" s="15" t="s">
        <v>781</v>
      </c>
      <c r="N486" s="15" t="s">
        <v>782</v>
      </c>
      <c r="O486" s="15"/>
      <c r="P486" s="15"/>
      <c r="Q486" s="15"/>
      <c r="S486" s="35" t="s">
        <v>77</v>
      </c>
      <c r="T486" s="13">
        <v>2020</v>
      </c>
      <c r="U486" s="17">
        <v>10.1</v>
      </c>
      <c r="V486" s="17">
        <v>1.7</v>
      </c>
      <c r="W486" s="36">
        <f t="shared" si="78"/>
        <v>0.16831683168316833</v>
      </c>
      <c r="X486" s="17">
        <v>0.89</v>
      </c>
      <c r="Y486" s="17">
        <v>0.49099999999999999</v>
      </c>
      <c r="AA486" s="15" t="s">
        <v>60</v>
      </c>
      <c r="AB486" s="25"/>
      <c r="AC486" s="21" t="s">
        <v>61</v>
      </c>
      <c r="AD486" s="21" t="s">
        <v>61</v>
      </c>
      <c r="AE486" s="17" t="s">
        <v>86</v>
      </c>
      <c r="AF486" s="17"/>
      <c r="AG486" s="15"/>
      <c r="AI486" s="42">
        <f t="shared" ca="1" si="73"/>
        <v>1163</v>
      </c>
      <c r="AJ486" s="42">
        <f t="shared" ca="1" si="71"/>
        <v>666</v>
      </c>
      <c r="AK486" s="13" t="s">
        <v>64</v>
      </c>
      <c r="AL486" s="36" t="str">
        <f t="shared" si="74"/>
        <v>Aborted</v>
      </c>
      <c r="AM486" s="37">
        <v>44501</v>
      </c>
      <c r="AN486" s="37">
        <v>44496</v>
      </c>
      <c r="AO486" s="37" t="s">
        <v>65</v>
      </c>
      <c r="AP486" s="37" t="s">
        <v>65</v>
      </c>
      <c r="AQ486" s="38">
        <f>+AN486</f>
        <v>44496</v>
      </c>
      <c r="AR486" s="38" t="s">
        <v>65</v>
      </c>
      <c r="AS486" s="38">
        <v>44861</v>
      </c>
      <c r="AT486" s="38">
        <v>44867</v>
      </c>
      <c r="AU486" s="38">
        <v>44867</v>
      </c>
      <c r="AV486" s="38">
        <v>44868</v>
      </c>
      <c r="AW486" s="38"/>
      <c r="AX486" s="38"/>
      <c r="AY486" s="38">
        <v>44998</v>
      </c>
      <c r="AZ486" s="38"/>
      <c r="BA486" s="39">
        <f t="shared" si="77"/>
        <v>1</v>
      </c>
      <c r="BB486" s="38"/>
      <c r="BC486" s="11" t="s">
        <v>7</v>
      </c>
    </row>
    <row r="487" spans="2:55" x14ac:dyDescent="0.35">
      <c r="B487" s="16">
        <f>IF(D487=$A$516,1,IF(D487=$A$517,2,IF(D487=$A$518,3,IF(D487=$A$519,4,IF(D487=$A$520,5,IF(D487=$A$521,6))))))</f>
        <v>5</v>
      </c>
      <c r="D487" s="20" t="str">
        <f t="shared" si="76"/>
        <v>abt</v>
      </c>
      <c r="E487" s="20" t="s">
        <v>1200</v>
      </c>
      <c r="F487" s="13"/>
      <c r="G487" s="13" t="s">
        <v>856</v>
      </c>
      <c r="H487" s="14" t="s">
        <v>857</v>
      </c>
      <c r="I487" s="14" t="s">
        <v>858</v>
      </c>
      <c r="J487" s="13" t="s">
        <v>779</v>
      </c>
      <c r="K487" s="15" t="s">
        <v>780</v>
      </c>
      <c r="L487" s="15" t="s">
        <v>859</v>
      </c>
      <c r="M487" s="15" t="s">
        <v>859</v>
      </c>
      <c r="N487" s="15" t="s">
        <v>860</v>
      </c>
      <c r="O487" s="15" t="s">
        <v>859</v>
      </c>
      <c r="P487" s="15"/>
      <c r="Q487" s="15"/>
      <c r="S487" s="35" t="s">
        <v>77</v>
      </c>
      <c r="T487" s="13">
        <v>2019</v>
      </c>
      <c r="U487" s="17">
        <v>14.6</v>
      </c>
      <c r="V487" s="17">
        <v>2.2000000000000002</v>
      </c>
      <c r="W487" s="36">
        <f t="shared" si="78"/>
        <v>0.15068493150684933</v>
      </c>
      <c r="X487" s="17">
        <v>1.4</v>
      </c>
      <c r="Y487" s="17">
        <v>-3</v>
      </c>
      <c r="AA487" s="15" t="s">
        <v>299</v>
      </c>
      <c r="AB487" s="17"/>
      <c r="AC487" s="17" t="s">
        <v>61</v>
      </c>
      <c r="AD487" s="17" t="s">
        <v>61</v>
      </c>
      <c r="AE487" s="17" t="s">
        <v>86</v>
      </c>
      <c r="AF487" s="17"/>
      <c r="AG487" s="15"/>
      <c r="AI487" s="42">
        <f t="shared" ca="1" si="73"/>
        <v>925</v>
      </c>
      <c r="AJ487" s="42">
        <f t="shared" ca="1" si="71"/>
        <v>914</v>
      </c>
      <c r="AK487" s="13"/>
      <c r="AL487" s="36" t="str">
        <f t="shared" si="74"/>
        <v>Aborted</v>
      </c>
      <c r="AM487" s="37">
        <v>44739</v>
      </c>
      <c r="AN487" s="37">
        <v>44739</v>
      </c>
      <c r="AO487" s="37" t="s">
        <v>65</v>
      </c>
      <c r="AP487" s="37">
        <v>44739</v>
      </c>
      <c r="AQ487" s="38">
        <f>+AN487</f>
        <v>44739</v>
      </c>
      <c r="AR487" s="38" t="s">
        <v>65</v>
      </c>
      <c r="AS487" s="38">
        <v>44750</v>
      </c>
      <c r="AT487" s="38"/>
      <c r="AU487" s="38"/>
      <c r="AV487" s="38"/>
      <c r="AW487" s="38">
        <v>44746</v>
      </c>
      <c r="AX487" s="38"/>
      <c r="AY487" s="38">
        <v>44750</v>
      </c>
      <c r="AZ487" s="38"/>
      <c r="BA487" s="39">
        <f t="shared" si="77"/>
        <v>0.66666666666666663</v>
      </c>
      <c r="BB487" s="38"/>
      <c r="BC487" s="11" t="s">
        <v>7</v>
      </c>
    </row>
    <row r="488" spans="2:55" x14ac:dyDescent="0.35">
      <c r="B488" s="16">
        <f>IF(D488=$A$516,1,IF(D488=$A$517,2,IF(D488=$A$518,3,IF(D488=$A$519,4,IF(D488=$A$520,5,IF(D488=$A$521,6))))))</f>
        <v>5</v>
      </c>
      <c r="D488" s="20" t="str">
        <f t="shared" si="76"/>
        <v>abt</v>
      </c>
      <c r="E488" s="20" t="s">
        <v>1094</v>
      </c>
      <c r="F488" s="13"/>
      <c r="G488" s="13" t="s">
        <v>856</v>
      </c>
      <c r="H488" s="14" t="s">
        <v>857</v>
      </c>
      <c r="I488" s="14" t="s">
        <v>858</v>
      </c>
      <c r="J488" s="13" t="s">
        <v>779</v>
      </c>
      <c r="K488" s="15" t="s">
        <v>780</v>
      </c>
      <c r="L488" s="15" t="s">
        <v>859</v>
      </c>
      <c r="M488" s="15" t="s">
        <v>859</v>
      </c>
      <c r="N488" s="15" t="s">
        <v>860</v>
      </c>
      <c r="O488" s="15" t="s">
        <v>859</v>
      </c>
      <c r="P488" s="15"/>
      <c r="Q488" s="15"/>
      <c r="S488" s="35" t="s">
        <v>77</v>
      </c>
      <c r="T488" s="13">
        <v>2019</v>
      </c>
      <c r="U488" s="17">
        <v>14.6</v>
      </c>
      <c r="V488" s="17">
        <v>2.2000000000000002</v>
      </c>
      <c r="W488" s="36">
        <f t="shared" si="78"/>
        <v>0.15068493150684933</v>
      </c>
      <c r="X488" s="17">
        <v>1.4</v>
      </c>
      <c r="Y488" s="17">
        <v>-3</v>
      </c>
      <c r="AA488" s="15" t="s">
        <v>299</v>
      </c>
      <c r="AB488" s="17"/>
      <c r="AC488" s="17" t="s">
        <v>61</v>
      </c>
      <c r="AD488" s="17" t="s">
        <v>61</v>
      </c>
      <c r="AE488" s="17" t="s">
        <v>86</v>
      </c>
      <c r="AF488" s="76" t="s">
        <v>562</v>
      </c>
      <c r="AG488" s="15"/>
      <c r="AI488" s="42">
        <f t="shared" ca="1" si="73"/>
        <v>914</v>
      </c>
      <c r="AJ488" s="42">
        <f t="shared" ca="1" si="71"/>
        <v>804</v>
      </c>
      <c r="AK488" s="13"/>
      <c r="AL488" s="36" t="str">
        <f t="shared" si="74"/>
        <v>Aborted</v>
      </c>
      <c r="AM488" s="37">
        <v>44750</v>
      </c>
      <c r="AN488" s="37">
        <v>44750</v>
      </c>
      <c r="AO488" s="37" t="s">
        <v>65</v>
      </c>
      <c r="AP488" s="37" t="s">
        <v>65</v>
      </c>
      <c r="AQ488" s="38" t="s">
        <v>65</v>
      </c>
      <c r="AR488" s="38">
        <v>44750</v>
      </c>
      <c r="AS488" s="38">
        <v>44770</v>
      </c>
      <c r="AT488" s="38">
        <v>44837</v>
      </c>
      <c r="AU488" s="38">
        <v>44848</v>
      </c>
      <c r="AV488" s="38"/>
      <c r="AW488" s="38">
        <v>44853</v>
      </c>
      <c r="AX488" s="38"/>
      <c r="AY488" s="38">
        <v>44860</v>
      </c>
      <c r="AZ488" s="38"/>
      <c r="BA488" s="39">
        <f t="shared" si="77"/>
        <v>0.88888888888888884</v>
      </c>
      <c r="BB488" s="38"/>
      <c r="BC488" s="11" t="s">
        <v>7</v>
      </c>
    </row>
    <row r="489" spans="2:55" x14ac:dyDescent="0.35">
      <c r="B489" s="16">
        <f>IF(D489=$A$516,1,IF(D489=$A$517,2,IF(D489=$A$518,3,IF(D489=$A$519,4,IF(D489=$A$520,5,IF(D489=$A$521,6))))))</f>
        <v>5</v>
      </c>
      <c r="D489" s="20" t="str">
        <f t="shared" si="76"/>
        <v>abt</v>
      </c>
      <c r="E489" s="20" t="s">
        <v>855</v>
      </c>
      <c r="F489" s="13"/>
      <c r="G489" s="13" t="s">
        <v>856</v>
      </c>
      <c r="H489" s="14" t="s">
        <v>857</v>
      </c>
      <c r="I489" s="13" t="s">
        <v>858</v>
      </c>
      <c r="J489" s="13" t="s">
        <v>779</v>
      </c>
      <c r="K489" s="15" t="s">
        <v>780</v>
      </c>
      <c r="L489" s="15" t="s">
        <v>859</v>
      </c>
      <c r="M489" s="15" t="s">
        <v>859</v>
      </c>
      <c r="N489" s="15" t="s">
        <v>860</v>
      </c>
      <c r="O489" s="15" t="s">
        <v>859</v>
      </c>
      <c r="P489" s="15"/>
      <c r="Q489" s="15"/>
      <c r="S489" s="35" t="s">
        <v>77</v>
      </c>
      <c r="T489" s="13">
        <v>2019</v>
      </c>
      <c r="U489" s="17">
        <v>14.6</v>
      </c>
      <c r="V489" s="17">
        <v>2.2000000000000002</v>
      </c>
      <c r="W489" s="36">
        <f t="shared" si="78"/>
        <v>0.15068493150684933</v>
      </c>
      <c r="X489" s="17">
        <v>1.4</v>
      </c>
      <c r="Y489" s="17">
        <v>-3</v>
      </c>
      <c r="AA489" s="15" t="s">
        <v>299</v>
      </c>
      <c r="AB489" s="17"/>
      <c r="AC489" s="21" t="s">
        <v>61</v>
      </c>
      <c r="AD489" s="21" t="s">
        <v>61</v>
      </c>
      <c r="AE489" s="17" t="s">
        <v>86</v>
      </c>
      <c r="AF489" s="76" t="s">
        <v>562</v>
      </c>
      <c r="AG489" s="15"/>
      <c r="AI489" s="42">
        <f t="shared" ca="1" si="73"/>
        <v>914</v>
      </c>
      <c r="AJ489" s="42">
        <f t="shared" ca="1" si="71"/>
        <v>637</v>
      </c>
      <c r="AK489" s="13"/>
      <c r="AL489" s="36" t="str">
        <f t="shared" si="74"/>
        <v>Aborted</v>
      </c>
      <c r="AM489" s="37">
        <v>44750</v>
      </c>
      <c r="AN489" s="37">
        <v>44750</v>
      </c>
      <c r="AO489" s="37" t="s">
        <v>65</v>
      </c>
      <c r="AP489" s="37" t="s">
        <v>65</v>
      </c>
      <c r="AQ489" s="38" t="s">
        <v>65</v>
      </c>
      <c r="AR489" s="38">
        <v>44750</v>
      </c>
      <c r="AS489" s="38">
        <v>44770</v>
      </c>
      <c r="AT489" s="38"/>
      <c r="AU489" s="38"/>
      <c r="AV489" s="38"/>
      <c r="AW489" s="38">
        <v>44817</v>
      </c>
      <c r="AX489" s="38">
        <v>44837</v>
      </c>
      <c r="AY489" s="38">
        <v>45027</v>
      </c>
      <c r="AZ489" s="38"/>
      <c r="BA489" s="39">
        <f t="shared" si="77"/>
        <v>0.66666666666666663</v>
      </c>
      <c r="BB489" s="38"/>
      <c r="BC489" s="11" t="s">
        <v>7</v>
      </c>
    </row>
    <row r="490" spans="2:55" x14ac:dyDescent="0.35">
      <c r="B490" s="16">
        <f>IF(D490=$A$516,1,IF(D490=$A$517,2,IF(D490=$A$518,3,IF(D490=$A$519,4,IF(D490=$A$520,5,IF(D490=$A$521,6))))))</f>
        <v>5</v>
      </c>
      <c r="D490" s="20" t="str">
        <f t="shared" si="76"/>
        <v>abt</v>
      </c>
      <c r="E490" s="20" t="s">
        <v>820</v>
      </c>
      <c r="F490" s="13" t="s">
        <v>821</v>
      </c>
      <c r="G490" s="13" t="s">
        <v>822</v>
      </c>
      <c r="H490" s="14" t="s">
        <v>823</v>
      </c>
      <c r="I490" s="13">
        <v>451101</v>
      </c>
      <c r="J490" s="13" t="s">
        <v>132</v>
      </c>
      <c r="K490" s="15" t="s">
        <v>824</v>
      </c>
      <c r="L490" s="15" t="s">
        <v>825</v>
      </c>
      <c r="M490" s="15" t="s">
        <v>825</v>
      </c>
      <c r="N490" s="15"/>
      <c r="O490" s="15"/>
      <c r="P490" s="15"/>
      <c r="Q490" s="15"/>
      <c r="S490" s="35" t="s">
        <v>144</v>
      </c>
      <c r="T490" s="13">
        <v>2021</v>
      </c>
      <c r="U490" s="17">
        <v>134</v>
      </c>
      <c r="V490" s="17">
        <v>6.4</v>
      </c>
      <c r="W490" s="36">
        <f t="shared" si="78"/>
        <v>4.7761194029850747E-2</v>
      </c>
      <c r="X490" s="17">
        <v>0.753</v>
      </c>
      <c r="Y490" s="17">
        <v>5.9649999999999999</v>
      </c>
      <c r="AA490" s="15" t="s">
        <v>99</v>
      </c>
      <c r="AB490" s="17" t="s">
        <v>826</v>
      </c>
      <c r="AC490" s="21" t="s">
        <v>79</v>
      </c>
      <c r="AD490" s="21" t="s">
        <v>61</v>
      </c>
      <c r="AE490" s="17" t="s">
        <v>86</v>
      </c>
      <c r="AF490" s="17" t="s">
        <v>79</v>
      </c>
      <c r="AG490" s="15"/>
      <c r="AH490" s="677">
        <v>1</v>
      </c>
      <c r="AI490" s="42">
        <f t="shared" ca="1" si="73"/>
        <v>823</v>
      </c>
      <c r="AJ490" s="42">
        <f t="shared" ca="1" si="71"/>
        <v>637</v>
      </c>
      <c r="AK490" s="13" t="s">
        <v>87</v>
      </c>
      <c r="AL490" s="36" t="str">
        <f t="shared" si="74"/>
        <v>Aborted</v>
      </c>
      <c r="AM490" s="37">
        <v>44841</v>
      </c>
      <c r="AN490" s="37">
        <f>+AM490</f>
        <v>44841</v>
      </c>
      <c r="AO490" s="37" t="s">
        <v>65</v>
      </c>
      <c r="AP490" s="37" t="s">
        <v>65</v>
      </c>
      <c r="AQ490" s="38">
        <v>44860</v>
      </c>
      <c r="AR490" s="38" t="s">
        <v>65</v>
      </c>
      <c r="AS490" s="38" t="s">
        <v>65</v>
      </c>
      <c r="AT490" s="38"/>
      <c r="AU490" s="38"/>
      <c r="AV490" s="38"/>
      <c r="AW490" s="38">
        <v>44900</v>
      </c>
      <c r="AX490" s="38">
        <v>44915</v>
      </c>
      <c r="AY490" s="38">
        <v>45027</v>
      </c>
      <c r="AZ490" s="38"/>
      <c r="BA490" s="39">
        <f t="shared" si="77"/>
        <v>0.66666666666666663</v>
      </c>
      <c r="BB490" s="38"/>
      <c r="BC490" s="11" t="s">
        <v>7</v>
      </c>
    </row>
    <row r="491" spans="2:55" x14ac:dyDescent="0.35">
      <c r="B491" s="16">
        <f>IF(D491=$A$516,1,IF(D491=$A$517,2,IF(D491=$A$518,3,IF(D491=$A$519,4,IF(D491=$A$520,5,IF(D491=$A$521,6))))))</f>
        <v>5</v>
      </c>
      <c r="D491" s="20" t="str">
        <f t="shared" si="76"/>
        <v>abt</v>
      </c>
      <c r="E491" s="12" t="s">
        <v>592</v>
      </c>
      <c r="F491" s="13"/>
      <c r="G491" s="13" t="s">
        <v>308</v>
      </c>
      <c r="H491" s="14" t="s">
        <v>593</v>
      </c>
      <c r="I491" s="13"/>
      <c r="J491" s="13" t="s">
        <v>83</v>
      </c>
      <c r="K491" s="15" t="s">
        <v>594</v>
      </c>
      <c r="L491" s="15"/>
      <c r="M491" s="15"/>
      <c r="N491" s="15"/>
      <c r="O491" s="15"/>
      <c r="P491" s="15"/>
      <c r="Q491" s="15"/>
      <c r="S491" s="17" t="s">
        <v>77</v>
      </c>
      <c r="T491" s="13">
        <v>2021</v>
      </c>
      <c r="U491" s="17">
        <v>12.2</v>
      </c>
      <c r="V491" s="17">
        <v>2.5</v>
      </c>
      <c r="W491" s="36">
        <f t="shared" si="78"/>
        <v>0.20491803278688525</v>
      </c>
      <c r="X491" s="17"/>
      <c r="Y491" s="17">
        <v>3.6</v>
      </c>
      <c r="AA491" s="15" t="s">
        <v>60</v>
      </c>
      <c r="AB491" s="15"/>
      <c r="AC491" s="21" t="s">
        <v>78</v>
      </c>
      <c r="AD491" s="21" t="s">
        <v>78</v>
      </c>
      <c r="AE491" s="13" t="s">
        <v>128</v>
      </c>
      <c r="AF491" s="17"/>
      <c r="AG491" s="15"/>
      <c r="AI491" s="42">
        <f t="shared" ca="1" si="73"/>
        <v>490</v>
      </c>
      <c r="AJ491" s="42">
        <f t="shared" ca="1" si="71"/>
        <v>420</v>
      </c>
      <c r="AK491" s="13" t="s">
        <v>64</v>
      </c>
      <c r="AL491" s="36" t="str">
        <f t="shared" si="74"/>
        <v>Aborted</v>
      </c>
      <c r="AM491" s="37">
        <v>45174</v>
      </c>
      <c r="AN491" s="37">
        <f>+AM491</f>
        <v>45174</v>
      </c>
      <c r="AO491" s="37" t="s">
        <v>65</v>
      </c>
      <c r="AP491" s="37">
        <v>45198</v>
      </c>
      <c r="AQ491" s="38"/>
      <c r="AR491" s="38"/>
      <c r="AS491" s="38"/>
      <c r="AT491" s="38"/>
      <c r="AU491" s="38"/>
      <c r="AV491" s="38"/>
      <c r="AW491" s="38">
        <v>45174</v>
      </c>
      <c r="AX491" s="38">
        <v>45216</v>
      </c>
      <c r="AY491" s="38">
        <v>45244</v>
      </c>
      <c r="AZ491" s="38"/>
      <c r="BA491" s="39">
        <f t="shared" si="77"/>
        <v>0.33333333333333331</v>
      </c>
      <c r="BB491" s="38"/>
      <c r="BC491" s="11" t="s">
        <v>7</v>
      </c>
    </row>
    <row r="492" spans="2:55" x14ac:dyDescent="0.35">
      <c r="B492" s="16">
        <f>IF(D492=$A$516,1,IF(D492=$A$517,2,IF(D492=$A$518,3,IF(D492=$A$519,4,IF(D492=$A$520,5,IF(D492=$A$521,6))))))</f>
        <v>5</v>
      </c>
      <c r="D492" s="20" t="str">
        <f t="shared" si="76"/>
        <v>abt</v>
      </c>
      <c r="E492" s="12" t="s">
        <v>1276</v>
      </c>
      <c r="F492" s="14"/>
      <c r="G492" s="13" t="s">
        <v>177</v>
      </c>
      <c r="H492" s="14" t="s">
        <v>178</v>
      </c>
      <c r="I492" s="13">
        <v>110100</v>
      </c>
      <c r="J492" s="13" t="s">
        <v>179</v>
      </c>
      <c r="K492" s="15" t="s">
        <v>180</v>
      </c>
      <c r="L492" s="15" t="s">
        <v>181</v>
      </c>
      <c r="M492" s="15" t="s">
        <v>182</v>
      </c>
      <c r="N492" s="15"/>
      <c r="O492" s="15"/>
      <c r="P492" s="15"/>
      <c r="Q492" s="15"/>
      <c r="S492" s="35" t="s">
        <v>183</v>
      </c>
      <c r="T492" s="13">
        <v>2019</v>
      </c>
      <c r="U492" s="17">
        <v>81.27</v>
      </c>
      <c r="V492" s="17">
        <v>18.690000000000001</v>
      </c>
      <c r="W492" s="36">
        <f t="shared" si="78"/>
        <v>0.22997416020671838</v>
      </c>
      <c r="X492" s="17">
        <v>13.69</v>
      </c>
      <c r="Y492" s="17">
        <v>-9.26</v>
      </c>
      <c r="AA492" s="15" t="s">
        <v>60</v>
      </c>
      <c r="AB492" s="17"/>
      <c r="AC492" s="21" t="s">
        <v>78</v>
      </c>
      <c r="AD492" s="17" t="s">
        <v>78</v>
      </c>
      <c r="AE492" s="17" t="s">
        <v>86</v>
      </c>
      <c r="AF492" s="17" t="s">
        <v>62</v>
      </c>
      <c r="AG492" s="15"/>
      <c r="AI492" s="42">
        <f t="shared" ca="1" si="73"/>
        <v>1528</v>
      </c>
      <c r="AJ492" s="42">
        <f t="shared" ca="1" si="71"/>
        <v>1036</v>
      </c>
      <c r="AK492" s="13"/>
      <c r="AL492" s="36" t="str">
        <f t="shared" si="74"/>
        <v>Aborted</v>
      </c>
      <c r="AM492" s="37">
        <v>44136</v>
      </c>
      <c r="AN492" s="37">
        <v>44136</v>
      </c>
      <c r="AO492" s="37" t="s">
        <v>65</v>
      </c>
      <c r="AP492" s="37">
        <v>44136</v>
      </c>
      <c r="AQ492" s="38">
        <v>44136</v>
      </c>
      <c r="AR492" s="38">
        <v>44225</v>
      </c>
      <c r="AS492" s="38">
        <v>44477</v>
      </c>
      <c r="AT492" s="38"/>
      <c r="AU492" s="38"/>
      <c r="AV492" s="38"/>
      <c r="AW492" s="38">
        <v>44578</v>
      </c>
      <c r="AX492" s="38">
        <v>44578</v>
      </c>
      <c r="AY492" s="38">
        <v>44628</v>
      </c>
      <c r="AZ492" s="38"/>
      <c r="BA492" s="39">
        <f t="shared" si="77"/>
        <v>0.66666666666666663</v>
      </c>
      <c r="BB492" s="38"/>
      <c r="BC492" s="11" t="s">
        <v>7</v>
      </c>
    </row>
    <row r="493" spans="2:55" x14ac:dyDescent="0.35">
      <c r="B493" s="16">
        <f>IF(D493=$A$516,1,IF(D493=$A$517,2,IF(D493=$A$518,3,IF(D493=$A$519,4,IF(D493=$A$520,5,IF(D493=$A$521,6))))))</f>
        <v>5</v>
      </c>
      <c r="D493" s="20" t="str">
        <f t="shared" si="76"/>
        <v>abt</v>
      </c>
      <c r="E493" s="12" t="s">
        <v>1120</v>
      </c>
      <c r="F493" s="13"/>
      <c r="G493" s="13" t="s">
        <v>177</v>
      </c>
      <c r="H493" s="14" t="s">
        <v>178</v>
      </c>
      <c r="I493" s="13">
        <v>110100</v>
      </c>
      <c r="J493" s="13" t="s">
        <v>179</v>
      </c>
      <c r="K493" s="15" t="s">
        <v>180</v>
      </c>
      <c r="L493" s="15" t="s">
        <v>181</v>
      </c>
      <c r="M493" s="15" t="s">
        <v>182</v>
      </c>
      <c r="N493" s="15"/>
      <c r="O493" s="15"/>
      <c r="P493" s="15"/>
      <c r="Q493" s="15"/>
      <c r="S493" s="35" t="s">
        <v>183</v>
      </c>
      <c r="T493" s="13">
        <v>2019</v>
      </c>
      <c r="U493" s="17">
        <v>81.27</v>
      </c>
      <c r="V493" s="17">
        <v>18.690000000000001</v>
      </c>
      <c r="W493" s="36">
        <f t="shared" si="78"/>
        <v>0.22997416020671838</v>
      </c>
      <c r="X493" s="17">
        <v>13.69</v>
      </c>
      <c r="Y493" s="17">
        <v>-9.26</v>
      </c>
      <c r="AA493" s="15" t="s">
        <v>60</v>
      </c>
      <c r="AB493" s="17"/>
      <c r="AC493" s="21" t="s">
        <v>78</v>
      </c>
      <c r="AD493" s="17" t="s">
        <v>78</v>
      </c>
      <c r="AE493" s="17" t="s">
        <v>86</v>
      </c>
      <c r="AF493" s="17" t="s">
        <v>62</v>
      </c>
      <c r="AG493" s="15"/>
      <c r="AI493" s="42">
        <f t="shared" ca="1" si="73"/>
        <v>1528</v>
      </c>
      <c r="AJ493" s="42">
        <f t="shared" ca="1" si="71"/>
        <v>819</v>
      </c>
      <c r="AK493" s="13"/>
      <c r="AL493" s="36" t="str">
        <f t="shared" si="74"/>
        <v>Aborted</v>
      </c>
      <c r="AM493" s="37">
        <v>44136</v>
      </c>
      <c r="AN493" s="37">
        <v>44136</v>
      </c>
      <c r="AO493" s="37" t="s">
        <v>65</v>
      </c>
      <c r="AP493" s="37">
        <v>44136</v>
      </c>
      <c r="AQ493" s="38">
        <v>44136</v>
      </c>
      <c r="AR493" s="38">
        <v>44225</v>
      </c>
      <c r="AS493" s="38">
        <v>44477</v>
      </c>
      <c r="AT493" s="38"/>
      <c r="AU493" s="38"/>
      <c r="AV493" s="38"/>
      <c r="AW493" s="38">
        <v>44574</v>
      </c>
      <c r="AX493" s="38">
        <v>44586</v>
      </c>
      <c r="AY493" s="38">
        <v>44845</v>
      </c>
      <c r="AZ493" s="38"/>
      <c r="BA493" s="39">
        <f t="shared" si="77"/>
        <v>0.66666666666666663</v>
      </c>
      <c r="BB493" s="38"/>
      <c r="BC493" s="11" t="s">
        <v>7</v>
      </c>
    </row>
    <row r="494" spans="2:55" x14ac:dyDescent="0.35">
      <c r="B494" s="16">
        <f>IF(D494=$A$516,1,IF(D494=$A$517,2,IF(D494=$A$518,3,IF(D494=$A$519,4,IF(D494=$A$520,5,IF(D494=$A$521,6))))))</f>
        <v>5</v>
      </c>
      <c r="D494" s="20" t="str">
        <f t="shared" si="76"/>
        <v>abt</v>
      </c>
      <c r="E494" s="12" t="s">
        <v>995</v>
      </c>
      <c r="F494" s="13"/>
      <c r="G494" s="13" t="s">
        <v>177</v>
      </c>
      <c r="H494" s="14" t="s">
        <v>178</v>
      </c>
      <c r="I494" s="13">
        <v>110100</v>
      </c>
      <c r="J494" s="13" t="s">
        <v>179</v>
      </c>
      <c r="K494" s="15" t="s">
        <v>180</v>
      </c>
      <c r="L494" s="15" t="s">
        <v>181</v>
      </c>
      <c r="M494" s="15" t="s">
        <v>182</v>
      </c>
      <c r="N494" s="15"/>
      <c r="O494" s="15"/>
      <c r="P494" s="15"/>
      <c r="Q494" s="15"/>
      <c r="S494" s="35" t="s">
        <v>183</v>
      </c>
      <c r="T494" s="13">
        <v>2019</v>
      </c>
      <c r="U494" s="17">
        <v>81.27</v>
      </c>
      <c r="V494" s="17">
        <v>18.690000000000001</v>
      </c>
      <c r="W494" s="36">
        <f t="shared" si="78"/>
        <v>0.22997416020671838</v>
      </c>
      <c r="X494" s="17">
        <v>13.69</v>
      </c>
      <c r="Y494" s="17">
        <v>-9.26</v>
      </c>
      <c r="AA494" s="15" t="s">
        <v>60</v>
      </c>
      <c r="AB494" s="17"/>
      <c r="AC494" s="21" t="s">
        <v>78</v>
      </c>
      <c r="AD494" s="21" t="s">
        <v>78</v>
      </c>
      <c r="AE494" s="17" t="s">
        <v>86</v>
      </c>
      <c r="AF494" s="17" t="s">
        <v>62</v>
      </c>
      <c r="AG494" s="15"/>
      <c r="AI494" s="42">
        <f t="shared" ca="1" si="73"/>
        <v>951</v>
      </c>
      <c r="AJ494" s="42">
        <f t="shared" ca="1" si="71"/>
        <v>728</v>
      </c>
      <c r="AK494" s="13" t="s">
        <v>64</v>
      </c>
      <c r="AL494" s="36" t="str">
        <f t="shared" si="74"/>
        <v>Aborted</v>
      </c>
      <c r="AM494" s="37">
        <v>44713</v>
      </c>
      <c r="AN494" s="37">
        <f>+AM494</f>
        <v>44713</v>
      </c>
      <c r="AO494" s="37" t="s">
        <v>65</v>
      </c>
      <c r="AP494" s="37" t="s">
        <v>65</v>
      </c>
      <c r="AQ494" s="38">
        <f>+AN494</f>
        <v>44713</v>
      </c>
      <c r="AR494" s="38" t="s">
        <v>65</v>
      </c>
      <c r="AS494" s="38" t="s">
        <v>65</v>
      </c>
      <c r="AT494" s="38"/>
      <c r="AU494" s="38"/>
      <c r="AV494" s="38"/>
      <c r="AW494" s="38">
        <v>44847</v>
      </c>
      <c r="AX494" s="38">
        <v>44844</v>
      </c>
      <c r="AY494" s="38">
        <v>44936</v>
      </c>
      <c r="AZ494" s="38"/>
      <c r="BA494" s="39">
        <f t="shared" si="77"/>
        <v>0.66666666666666663</v>
      </c>
      <c r="BB494" s="38"/>
      <c r="BC494" s="11" t="s">
        <v>7</v>
      </c>
    </row>
    <row r="495" spans="2:55" x14ac:dyDescent="0.35">
      <c r="B495" s="16">
        <f>IF(D495=$A$516,1,IF(D495=$A$517,2,IF(D495=$A$518,3,IF(D495=$A$519,4,IF(D495=$A$520,5,IF(D495=$A$521,6))))))</f>
        <v>5</v>
      </c>
      <c r="D495" s="20" t="str">
        <f t="shared" si="76"/>
        <v>abt</v>
      </c>
      <c r="E495" s="12" t="s">
        <v>747</v>
      </c>
      <c r="F495" s="14" t="s">
        <v>748</v>
      </c>
      <c r="G495" s="13" t="s">
        <v>177</v>
      </c>
      <c r="H495" s="14" t="s">
        <v>178</v>
      </c>
      <c r="I495" s="13">
        <v>110100</v>
      </c>
      <c r="J495" s="13" t="s">
        <v>179</v>
      </c>
      <c r="K495" s="15" t="s">
        <v>180</v>
      </c>
      <c r="L495" s="15" t="s">
        <v>181</v>
      </c>
      <c r="M495" s="15" t="s">
        <v>182</v>
      </c>
      <c r="N495" s="15"/>
      <c r="O495" s="15"/>
      <c r="P495" s="15"/>
      <c r="Q495" s="15"/>
      <c r="S495" s="35" t="s">
        <v>183</v>
      </c>
      <c r="T495" s="13">
        <v>2019</v>
      </c>
      <c r="U495" s="17">
        <v>81.27</v>
      </c>
      <c r="V495" s="17">
        <v>18.690000000000001</v>
      </c>
      <c r="W495" s="36">
        <f t="shared" si="78"/>
        <v>0.22997416020671838</v>
      </c>
      <c r="X495" s="17">
        <v>13.69</v>
      </c>
      <c r="Y495" s="17">
        <v>-9.26</v>
      </c>
      <c r="AA495" s="15" t="s">
        <v>60</v>
      </c>
      <c r="AB495" s="17"/>
      <c r="AC495" s="21" t="s">
        <v>78</v>
      </c>
      <c r="AD495" s="17" t="s">
        <v>78</v>
      </c>
      <c r="AE495" s="17" t="s">
        <v>86</v>
      </c>
      <c r="AF495" s="17" t="s">
        <v>62</v>
      </c>
      <c r="AG495" s="15"/>
      <c r="AI495" s="42">
        <f t="shared" ca="1" si="73"/>
        <v>1316</v>
      </c>
      <c r="AJ495" s="42">
        <f t="shared" ca="1" si="71"/>
        <v>602</v>
      </c>
      <c r="AK495" s="13" t="s">
        <v>64</v>
      </c>
      <c r="AL495" s="36" t="str">
        <f t="shared" si="74"/>
        <v>Aborted</v>
      </c>
      <c r="AM495" s="37">
        <v>44348</v>
      </c>
      <c r="AN495" s="75">
        <v>44372</v>
      </c>
      <c r="AO495" s="37" t="s">
        <v>65</v>
      </c>
      <c r="AP495" s="37">
        <v>44729</v>
      </c>
      <c r="AQ495" s="38">
        <v>44729</v>
      </c>
      <c r="AR495" s="38"/>
      <c r="AS495" s="38"/>
      <c r="AT495" s="38"/>
      <c r="AU495" s="38"/>
      <c r="AV495" s="38"/>
      <c r="AW495" s="38">
        <v>44950</v>
      </c>
      <c r="AX495" s="38">
        <v>44831</v>
      </c>
      <c r="AY495" s="38">
        <v>45062</v>
      </c>
      <c r="AZ495" s="38"/>
      <c r="BA495" s="39">
        <f t="shared" si="77"/>
        <v>0.44444444444444442</v>
      </c>
      <c r="BB495" s="38"/>
      <c r="BC495" s="11" t="s">
        <v>7</v>
      </c>
    </row>
    <row r="496" spans="2:55" x14ac:dyDescent="0.35">
      <c r="B496" s="16">
        <f>IF(D496=$A$516,1,IF(D496=$A$517,2,IF(D496=$A$518,3,IF(D496=$A$519,4,IF(D496=$A$520,5,IF(D496=$A$521,6))))))</f>
        <v>5</v>
      </c>
      <c r="D496" s="20" t="str">
        <f t="shared" si="76"/>
        <v>abt</v>
      </c>
      <c r="E496" s="20" t="s">
        <v>633</v>
      </c>
      <c r="F496" s="13"/>
      <c r="G496" s="13" t="s">
        <v>634</v>
      </c>
      <c r="H496" s="13"/>
      <c r="I496" s="13"/>
      <c r="J496" s="13"/>
      <c r="K496" s="15" t="s">
        <v>635</v>
      </c>
      <c r="L496" s="15"/>
      <c r="M496" s="15"/>
      <c r="N496" s="15"/>
      <c r="O496" s="15"/>
      <c r="P496" s="15"/>
      <c r="Q496" s="15"/>
      <c r="S496" s="17"/>
      <c r="T496" s="13"/>
      <c r="U496" s="17"/>
      <c r="V496" s="17"/>
      <c r="W496" s="36"/>
      <c r="X496" s="17"/>
      <c r="Y496" s="17"/>
      <c r="AA496" s="15" t="s">
        <v>140</v>
      </c>
      <c r="AB496" s="15"/>
      <c r="AC496" s="21" t="s">
        <v>78</v>
      </c>
      <c r="AD496" s="21" t="s">
        <v>78</v>
      </c>
      <c r="AE496" s="13" t="s">
        <v>86</v>
      </c>
      <c r="AF496" s="17" t="s">
        <v>128</v>
      </c>
      <c r="AG496" s="15" t="s">
        <v>435</v>
      </c>
      <c r="AI496" s="42">
        <f t="shared" ca="1" si="73"/>
        <v>498</v>
      </c>
      <c r="AJ496" s="42">
        <f t="shared" ca="1" si="71"/>
        <v>481</v>
      </c>
      <c r="AK496" s="13" t="s">
        <v>720</v>
      </c>
      <c r="AL496" s="36" t="str">
        <f t="shared" si="74"/>
        <v>Aborted</v>
      </c>
      <c r="AM496" s="37">
        <v>45166</v>
      </c>
      <c r="AN496" s="37">
        <v>45181</v>
      </c>
      <c r="AO496" s="37" t="s">
        <v>65</v>
      </c>
      <c r="AP496" s="37">
        <v>45182</v>
      </c>
      <c r="AQ496" s="38"/>
      <c r="AR496" s="38"/>
      <c r="AS496" s="38"/>
      <c r="AT496" s="38"/>
      <c r="AU496" s="38"/>
      <c r="AV496" s="38"/>
      <c r="AW496" s="38">
        <v>45182</v>
      </c>
      <c r="AX496" s="38">
        <v>45182</v>
      </c>
      <c r="AY496" s="38">
        <v>45183</v>
      </c>
      <c r="AZ496" s="38"/>
      <c r="BA496" s="39">
        <f t="shared" si="77"/>
        <v>0.33333333333333331</v>
      </c>
      <c r="BB496" s="38"/>
      <c r="BC496" s="11" t="s">
        <v>7</v>
      </c>
    </row>
    <row r="497" spans="1:55" x14ac:dyDescent="0.35">
      <c r="B497" s="16">
        <f>IF(D497=$A$516,1,IF(D497=$A$517,2,IF(D497=$A$518,3,IF(D497=$A$519,4,IF(D497=$A$520,5,IF(D497=$A$521,6))))))</f>
        <v>5</v>
      </c>
      <c r="D497" s="20" t="str">
        <f t="shared" si="76"/>
        <v>abt</v>
      </c>
      <c r="E497" s="12" t="s">
        <v>1233</v>
      </c>
      <c r="F497" s="14"/>
      <c r="G497" s="13" t="s">
        <v>572</v>
      </c>
      <c r="H497" s="14" t="s">
        <v>1234</v>
      </c>
      <c r="I497" s="13">
        <v>467310</v>
      </c>
      <c r="J497" s="13" t="s">
        <v>111</v>
      </c>
      <c r="K497" s="15" t="s">
        <v>1235</v>
      </c>
      <c r="L497" s="15" t="s">
        <v>1236</v>
      </c>
      <c r="M497" s="15"/>
      <c r="N497" s="15"/>
      <c r="O497" s="15"/>
      <c r="P497" s="15"/>
      <c r="Q497" s="15"/>
      <c r="S497" s="35" t="s">
        <v>77</v>
      </c>
      <c r="T497" s="13">
        <v>2020</v>
      </c>
      <c r="U497" s="17">
        <v>8.7669999999999995</v>
      </c>
      <c r="V497" s="17">
        <v>0.19800000000000001</v>
      </c>
      <c r="W497" s="36">
        <f>+V497/U497</f>
        <v>2.258469259723965E-2</v>
      </c>
      <c r="X497" s="17">
        <v>7.5999999999999998E-2</v>
      </c>
      <c r="Y497" s="17">
        <v>1.4279999999999999</v>
      </c>
      <c r="AA497" s="15" t="s">
        <v>99</v>
      </c>
      <c r="AB497" s="17" t="s">
        <v>1237</v>
      </c>
      <c r="AC497" s="21" t="s">
        <v>61</v>
      </c>
      <c r="AD497" s="21" t="s">
        <v>61</v>
      </c>
      <c r="AE497" s="17" t="s">
        <v>62</v>
      </c>
      <c r="AF497" s="76" t="s">
        <v>562</v>
      </c>
      <c r="AG497" s="15"/>
      <c r="AI497" s="42">
        <f t="shared" ca="1" si="73"/>
        <v>1133</v>
      </c>
      <c r="AJ497" s="42">
        <f t="shared" ca="1" si="71"/>
        <v>959</v>
      </c>
      <c r="AK497" s="13" t="s">
        <v>87</v>
      </c>
      <c r="AL497" s="36" t="str">
        <f t="shared" si="74"/>
        <v>Aborted</v>
      </c>
      <c r="AM497" s="37">
        <v>44531</v>
      </c>
      <c r="AN497" s="37">
        <v>44533</v>
      </c>
      <c r="AO497" s="37" t="s">
        <v>65</v>
      </c>
      <c r="AP497" s="37">
        <v>44533</v>
      </c>
      <c r="AQ497" s="38">
        <v>44546</v>
      </c>
      <c r="AR497" s="38">
        <v>44631</v>
      </c>
      <c r="AS497" s="38">
        <v>44665</v>
      </c>
      <c r="AT497" s="38"/>
      <c r="AU497" s="38"/>
      <c r="AV497" s="38"/>
      <c r="AW497" s="38">
        <v>44665</v>
      </c>
      <c r="AX497" s="38"/>
      <c r="AY497" s="38">
        <v>44705</v>
      </c>
      <c r="AZ497" s="38"/>
      <c r="BA497" s="39">
        <f t="shared" si="77"/>
        <v>0.66666666666666663</v>
      </c>
      <c r="BB497" s="38"/>
      <c r="BC497" s="11" t="s">
        <v>7</v>
      </c>
    </row>
    <row r="498" spans="1:55" x14ac:dyDescent="0.35">
      <c r="B498" s="16">
        <f>IF(D498=$A$516,1,IF(D498=$A$517,2,IF(D498=$A$518,3,IF(D498=$A$519,4,IF(D498=$A$520,5,IF(D498=$A$521,6))))))</f>
        <v>5</v>
      </c>
      <c r="D498" s="20" t="str">
        <f t="shared" si="76"/>
        <v>abt</v>
      </c>
      <c r="E498" s="12" t="s">
        <v>974</v>
      </c>
      <c r="F498" s="13"/>
      <c r="G498" s="13" t="s">
        <v>572</v>
      </c>
      <c r="H498" s="14" t="s">
        <v>975</v>
      </c>
      <c r="I498" s="13">
        <v>205300</v>
      </c>
      <c r="J498" s="13" t="s">
        <v>976</v>
      </c>
      <c r="K498" s="15" t="s">
        <v>977</v>
      </c>
      <c r="L498" s="15"/>
      <c r="M498" s="15"/>
      <c r="N498" s="15"/>
      <c r="O498" s="15"/>
      <c r="P498" s="15"/>
      <c r="Q498" s="15"/>
      <c r="S498" s="35"/>
      <c r="T498" s="13"/>
      <c r="U498" s="17"/>
      <c r="V498" s="17" t="s">
        <v>978</v>
      </c>
      <c r="W498" s="36"/>
      <c r="X498" s="17"/>
      <c r="Y498" s="17"/>
      <c r="AA498" s="15" t="s">
        <v>623</v>
      </c>
      <c r="AB498" s="17"/>
      <c r="AC498" s="21" t="s">
        <v>61</v>
      </c>
      <c r="AD498" s="17" t="s">
        <v>61</v>
      </c>
      <c r="AE498" s="17" t="s">
        <v>62</v>
      </c>
      <c r="AF498" s="17"/>
      <c r="AG498" s="15"/>
      <c r="AI498" s="42">
        <f t="shared" ca="1" si="73"/>
        <v>960</v>
      </c>
      <c r="AJ498" s="42">
        <f t="shared" ca="1" si="71"/>
        <v>728</v>
      </c>
      <c r="AK498" s="13" t="s">
        <v>64</v>
      </c>
      <c r="AL498" s="36" t="str">
        <f t="shared" si="74"/>
        <v>Aborted</v>
      </c>
      <c r="AM498" s="37">
        <v>44704</v>
      </c>
      <c r="AN498" s="37">
        <f>+AM498</f>
        <v>44704</v>
      </c>
      <c r="AO498" s="37" t="s">
        <v>65</v>
      </c>
      <c r="AP498" s="37" t="s">
        <v>65</v>
      </c>
      <c r="AQ498" s="38">
        <v>44713</v>
      </c>
      <c r="AR498" s="38">
        <v>44755</v>
      </c>
      <c r="AS498" s="38"/>
      <c r="AT498" s="38"/>
      <c r="AU498" s="38"/>
      <c r="AV498" s="38"/>
      <c r="AW498" s="38">
        <v>44816</v>
      </c>
      <c r="AX498" s="38">
        <v>44852</v>
      </c>
      <c r="AY498" s="38">
        <v>44936</v>
      </c>
      <c r="AZ498" s="38"/>
      <c r="BA498" s="39">
        <f t="shared" si="77"/>
        <v>0.55555555555555558</v>
      </c>
      <c r="BB498" s="38"/>
      <c r="BC498" s="11" t="s">
        <v>7</v>
      </c>
    </row>
    <row r="499" spans="1:55" x14ac:dyDescent="0.35">
      <c r="B499" s="16">
        <f>IF(D499=$A$516,1,IF(D499=$A$517,2,IF(D499=$A$518,3,IF(D499=$A$519,4,IF(D499=$A$520,5,IF(D499=$A$521,6))))))</f>
        <v>5</v>
      </c>
      <c r="D499" s="20" t="str">
        <f t="shared" si="76"/>
        <v>abt</v>
      </c>
      <c r="E499" s="12" t="s">
        <v>462</v>
      </c>
      <c r="F499" s="13"/>
      <c r="G499" s="13" t="s">
        <v>463</v>
      </c>
      <c r="H499" s="14"/>
      <c r="I499" s="13"/>
      <c r="J499" s="13" t="s">
        <v>420</v>
      </c>
      <c r="K499" s="15" t="s">
        <v>464</v>
      </c>
      <c r="L499" s="15" t="s">
        <v>465</v>
      </c>
      <c r="M499" s="15"/>
      <c r="N499" s="15"/>
      <c r="O499" s="15"/>
      <c r="P499" s="15"/>
      <c r="Q499" s="15"/>
      <c r="S499" s="17" t="s">
        <v>77</v>
      </c>
      <c r="T499" s="13">
        <v>2021</v>
      </c>
      <c r="U499" s="17">
        <v>20.484999999999999</v>
      </c>
      <c r="V499" s="17">
        <v>2.1160000000000001</v>
      </c>
      <c r="W499" s="36">
        <f>+V499/U499</f>
        <v>0.10329509397119845</v>
      </c>
      <c r="X499" s="17"/>
      <c r="Y499" s="17">
        <v>-1.226</v>
      </c>
      <c r="AA499" s="15" t="s">
        <v>140</v>
      </c>
      <c r="AB499" s="17"/>
      <c r="AC499" s="21" t="s">
        <v>78</v>
      </c>
      <c r="AD499" s="21" t="s">
        <v>78</v>
      </c>
      <c r="AE499" s="13" t="s">
        <v>62</v>
      </c>
      <c r="AF499" s="17" t="s">
        <v>313</v>
      </c>
      <c r="AG499" s="15"/>
      <c r="AI499" s="42">
        <f t="shared" ca="1" si="73"/>
        <v>617</v>
      </c>
      <c r="AJ499" s="42">
        <f t="shared" ca="1" si="71"/>
        <v>364</v>
      </c>
      <c r="AK499" s="13" t="s">
        <v>87</v>
      </c>
      <c r="AL499" s="36" t="str">
        <f t="shared" si="74"/>
        <v>Aborted</v>
      </c>
      <c r="AM499" s="37">
        <v>45047</v>
      </c>
      <c r="AN499" s="37">
        <v>45082</v>
      </c>
      <c r="AO499" s="37" t="s">
        <v>65</v>
      </c>
      <c r="AP499" s="37">
        <v>45085</v>
      </c>
      <c r="AQ499" s="38">
        <v>45085</v>
      </c>
      <c r="AR499" s="38"/>
      <c r="AS499" s="38"/>
      <c r="AT499" s="38"/>
      <c r="AU499" s="38"/>
      <c r="AV499" s="38"/>
      <c r="AW499" s="38">
        <v>45103</v>
      </c>
      <c r="AX499" s="38">
        <v>45132</v>
      </c>
      <c r="AY499" s="38">
        <v>45300</v>
      </c>
      <c r="AZ499" s="38"/>
      <c r="BA499" s="39">
        <f t="shared" si="77"/>
        <v>0.44444444444444442</v>
      </c>
      <c r="BB499" s="38"/>
      <c r="BC499" s="11" t="s">
        <v>7</v>
      </c>
    </row>
    <row r="500" spans="1:55" x14ac:dyDescent="0.35">
      <c r="B500" s="16">
        <f>IF(D500=$A$516,1,IF(D500=$A$517,2,IF(D500=$A$518,3,IF(D500=$A$519,4,IF(D500=$A$520,5,IF(D500=$A$521,6))))))</f>
        <v>5</v>
      </c>
      <c r="D500" s="20" t="str">
        <f t="shared" si="76"/>
        <v>abt</v>
      </c>
      <c r="E500" s="20" t="s">
        <v>724</v>
      </c>
      <c r="F500" s="13"/>
      <c r="G500" s="13"/>
      <c r="H500" s="14"/>
      <c r="I500" s="13"/>
      <c r="J500" s="13" t="s">
        <v>274</v>
      </c>
      <c r="K500" s="15" t="s">
        <v>725</v>
      </c>
      <c r="L500" s="15"/>
      <c r="M500" s="15"/>
      <c r="N500" s="15"/>
      <c r="O500" s="15"/>
      <c r="P500" s="15"/>
      <c r="Q500" s="15"/>
      <c r="S500" s="17" t="s">
        <v>77</v>
      </c>
      <c r="T500" s="13">
        <v>2021</v>
      </c>
      <c r="U500" s="17">
        <v>3.8290000000000002</v>
      </c>
      <c r="V500" s="17">
        <v>0.39900000000000002</v>
      </c>
      <c r="W500" s="36">
        <f>+V500/U500</f>
        <v>0.10420475319926874</v>
      </c>
      <c r="X500" s="17"/>
      <c r="Y500" s="17">
        <v>0.312</v>
      </c>
      <c r="AA500" s="15" t="s">
        <v>99</v>
      </c>
      <c r="AB500" s="15" t="s">
        <v>591</v>
      </c>
      <c r="AC500" s="21" t="s">
        <v>78</v>
      </c>
      <c r="AD500" s="21" t="s">
        <v>78</v>
      </c>
      <c r="AE500" s="13" t="s">
        <v>62</v>
      </c>
      <c r="AF500" s="17" t="s">
        <v>313</v>
      </c>
      <c r="AG500" s="15"/>
      <c r="AI500" s="42">
        <f t="shared" ca="1" si="73"/>
        <v>617</v>
      </c>
      <c r="AJ500" s="42">
        <f t="shared" ca="1" si="71"/>
        <v>539</v>
      </c>
      <c r="AK500" s="13" t="s">
        <v>87</v>
      </c>
      <c r="AL500" s="36" t="str">
        <f t="shared" si="74"/>
        <v>Aborted</v>
      </c>
      <c r="AM500" s="37">
        <v>45047</v>
      </c>
      <c r="AN500" s="37">
        <v>45082</v>
      </c>
      <c r="AO500" s="37" t="s">
        <v>65</v>
      </c>
      <c r="AP500" s="37">
        <v>45089</v>
      </c>
      <c r="AQ500" s="38">
        <v>45085</v>
      </c>
      <c r="AR500" s="38"/>
      <c r="AS500" s="38"/>
      <c r="AT500" s="38"/>
      <c r="AU500" s="38"/>
      <c r="AV500" s="38"/>
      <c r="AW500" s="38">
        <v>45085</v>
      </c>
      <c r="AX500" s="38"/>
      <c r="AY500" s="38">
        <v>45125</v>
      </c>
      <c r="AZ500" s="38"/>
      <c r="BA500" s="39">
        <f t="shared" si="77"/>
        <v>0.44444444444444442</v>
      </c>
      <c r="BB500" s="38"/>
      <c r="BC500" s="11" t="s">
        <v>7</v>
      </c>
    </row>
    <row r="501" spans="1:55" x14ac:dyDescent="0.35">
      <c r="B501" s="16">
        <f>IF(D501=$A$516,1,IF(D501=$A$517,2,IF(D501=$A$518,3,IF(D501=$A$519,4,IF(D501=$A$520,5,IF(D501=$A$521,6))))))</f>
        <v>5</v>
      </c>
      <c r="D501" s="20" t="str">
        <f t="shared" si="76"/>
        <v>abt</v>
      </c>
      <c r="E501" s="12" t="s">
        <v>721</v>
      </c>
      <c r="F501" s="13"/>
      <c r="G501" s="13" t="s">
        <v>288</v>
      </c>
      <c r="H501" s="13"/>
      <c r="I501" s="13"/>
      <c r="J501" s="13" t="s">
        <v>459</v>
      </c>
      <c r="K501" s="15" t="s">
        <v>722</v>
      </c>
      <c r="L501" s="15" t="s">
        <v>723</v>
      </c>
      <c r="M501" s="15"/>
      <c r="N501" s="15"/>
      <c r="O501" s="15"/>
      <c r="P501" s="15"/>
      <c r="Q501" s="15"/>
      <c r="S501" s="35"/>
      <c r="T501" s="13"/>
      <c r="U501" s="17"/>
      <c r="V501" s="17"/>
      <c r="W501" s="36"/>
      <c r="X501" s="17"/>
      <c r="Y501" s="17"/>
      <c r="AA501" s="15" t="s">
        <v>60</v>
      </c>
      <c r="AB501" s="17"/>
      <c r="AC501" s="21" t="s">
        <v>61</v>
      </c>
      <c r="AD501" s="17" t="s">
        <v>61</v>
      </c>
      <c r="AE501" s="17" t="s">
        <v>128</v>
      </c>
      <c r="AF501" s="17"/>
      <c r="AG501" s="15"/>
      <c r="AI501" s="42">
        <f t="shared" ca="1" si="73"/>
        <v>791</v>
      </c>
      <c r="AJ501" s="42">
        <f t="shared" ca="1" si="71"/>
        <v>644</v>
      </c>
      <c r="AK501" s="13" t="s">
        <v>544</v>
      </c>
      <c r="AL501" s="36" t="str">
        <f t="shared" si="74"/>
        <v>Aborted</v>
      </c>
      <c r="AM501" s="37">
        <v>44873</v>
      </c>
      <c r="AN501" s="37">
        <v>44879</v>
      </c>
      <c r="AO501" s="37" t="s">
        <v>65</v>
      </c>
      <c r="AP501" s="37" t="s">
        <v>65</v>
      </c>
      <c r="AQ501" s="38">
        <v>44881</v>
      </c>
      <c r="AR501" s="38">
        <v>44901</v>
      </c>
      <c r="AS501" s="38">
        <v>45005</v>
      </c>
      <c r="AT501" s="38"/>
      <c r="AU501" s="38"/>
      <c r="AV501" s="38"/>
      <c r="AW501" s="38">
        <v>45005</v>
      </c>
      <c r="AX501" s="38"/>
      <c r="AY501" s="38">
        <v>45020</v>
      </c>
      <c r="AZ501" s="38"/>
      <c r="BA501" s="39">
        <f t="shared" si="77"/>
        <v>0.66666666666666663</v>
      </c>
      <c r="BB501" s="38"/>
      <c r="BC501" s="11" t="s">
        <v>7</v>
      </c>
    </row>
    <row r="502" spans="1:55" x14ac:dyDescent="0.35">
      <c r="B502" s="16">
        <f>IF(D502=$A$516,1,IF(D502=$A$517,2,IF(D502=$A$518,3,IF(D502=$A$519,4,IF(D502=$A$520,5,IF(D502=$A$521,6))))))</f>
        <v>5</v>
      </c>
      <c r="D502" s="20" t="str">
        <f t="shared" si="76"/>
        <v>abt</v>
      </c>
      <c r="E502" s="20" t="s">
        <v>915</v>
      </c>
      <c r="F502" s="13" t="s">
        <v>911</v>
      </c>
      <c r="G502" s="13" t="s">
        <v>288</v>
      </c>
      <c r="H502" s="14" t="s">
        <v>916</v>
      </c>
      <c r="I502" s="13">
        <v>105120</v>
      </c>
      <c r="J502" s="13" t="s">
        <v>83</v>
      </c>
      <c r="K502" s="15" t="s">
        <v>901</v>
      </c>
      <c r="L502" s="15" t="s">
        <v>917</v>
      </c>
      <c r="M502" s="15"/>
      <c r="N502" s="15"/>
      <c r="O502" s="15"/>
      <c r="P502" s="15"/>
      <c r="Q502" s="15"/>
      <c r="S502" s="35" t="s">
        <v>144</v>
      </c>
      <c r="T502" s="13">
        <v>2021</v>
      </c>
      <c r="U502" s="17">
        <v>128.24799999999999</v>
      </c>
      <c r="V502" s="17">
        <v>7.87</v>
      </c>
      <c r="W502" s="36">
        <f>+V502/U502</f>
        <v>6.1365479383694098E-2</v>
      </c>
      <c r="X502" s="17">
        <v>3.621</v>
      </c>
      <c r="Y502" s="17">
        <v>57.606000000000002</v>
      </c>
      <c r="AA502" s="15" t="s">
        <v>140</v>
      </c>
      <c r="AB502" s="17"/>
      <c r="AC502" s="21" t="s">
        <v>153</v>
      </c>
      <c r="AD502" s="21" t="s">
        <v>153</v>
      </c>
      <c r="AE502" s="17" t="s">
        <v>86</v>
      </c>
      <c r="AF502" s="17"/>
      <c r="AG502" s="15"/>
      <c r="AI502" s="42">
        <f t="shared" ca="1" si="73"/>
        <v>701</v>
      </c>
      <c r="AJ502" s="42">
        <f t="shared" ca="1" si="71"/>
        <v>686</v>
      </c>
      <c r="AK502" s="13" t="s">
        <v>64</v>
      </c>
      <c r="AL502" s="36" t="str">
        <f t="shared" si="74"/>
        <v>Aborted</v>
      </c>
      <c r="AM502" s="37">
        <v>44963</v>
      </c>
      <c r="AN502" s="75">
        <v>44963</v>
      </c>
      <c r="AO502" s="37">
        <v>44963</v>
      </c>
      <c r="AP502" s="37">
        <v>44963</v>
      </c>
      <c r="AQ502" s="38"/>
      <c r="AR502" s="38"/>
      <c r="AS502" s="38"/>
      <c r="AT502" s="38"/>
      <c r="AU502" s="38"/>
      <c r="AV502" s="38"/>
      <c r="AW502" s="38">
        <v>44964</v>
      </c>
      <c r="AX502" s="38"/>
      <c r="AY502" s="38">
        <v>44978</v>
      </c>
      <c r="AZ502" s="38"/>
      <c r="BA502" s="39">
        <f t="shared" si="77"/>
        <v>0.33333333333333331</v>
      </c>
      <c r="BB502" s="38"/>
      <c r="BC502" s="11" t="s">
        <v>7</v>
      </c>
    </row>
    <row r="503" spans="1:55" x14ac:dyDescent="0.35">
      <c r="B503" s="16">
        <f>IF(D503=$A$516,1,IF(D503=$A$517,2,IF(D503=$A$518,3,IF(D503=$A$519,4,IF(D503=$A$520,5,IF(D503=$A$521,6))))))</f>
        <v>5</v>
      </c>
      <c r="D503" s="20" t="str">
        <f t="shared" si="76"/>
        <v>abt</v>
      </c>
      <c r="E503" s="12" t="s">
        <v>737</v>
      </c>
      <c r="F503" s="13"/>
      <c r="G503" s="13" t="s">
        <v>174</v>
      </c>
      <c r="H503" s="14" t="s">
        <v>738</v>
      </c>
      <c r="I503" s="13"/>
      <c r="J503" s="13" t="s">
        <v>132</v>
      </c>
      <c r="K503" s="15" t="s">
        <v>739</v>
      </c>
      <c r="L503" s="15" t="s">
        <v>740</v>
      </c>
      <c r="M503" s="15"/>
      <c r="N503" s="15"/>
      <c r="O503" s="15"/>
      <c r="P503" s="15"/>
      <c r="Q503" s="15"/>
      <c r="S503" s="35" t="s">
        <v>144</v>
      </c>
      <c r="T503" s="13">
        <v>2021</v>
      </c>
      <c r="U503" s="17">
        <v>318.536</v>
      </c>
      <c r="V503" s="17">
        <v>20.166</v>
      </c>
      <c r="W503" s="36">
        <f>+V503/U503</f>
        <v>6.3308385865333897E-2</v>
      </c>
      <c r="X503" s="17">
        <v>12.039</v>
      </c>
      <c r="Y503" s="17">
        <v>11.222</v>
      </c>
      <c r="AA503" s="15" t="s">
        <v>140</v>
      </c>
      <c r="AB503" s="17"/>
      <c r="AC503" s="21" t="s">
        <v>78</v>
      </c>
      <c r="AD503" s="21" t="s">
        <v>78</v>
      </c>
      <c r="AE503" s="61"/>
      <c r="AF503" s="17"/>
      <c r="AG503" s="15"/>
      <c r="AI503" s="42">
        <f t="shared" ca="1" si="73"/>
        <v>728</v>
      </c>
      <c r="AJ503" s="42">
        <f t="shared" ca="1" si="71"/>
        <v>609</v>
      </c>
      <c r="AK503" s="13" t="s">
        <v>87</v>
      </c>
      <c r="AL503" s="36" t="str">
        <f t="shared" si="74"/>
        <v>Aborted</v>
      </c>
      <c r="AM503" s="37">
        <v>44936</v>
      </c>
      <c r="AN503" s="37">
        <v>44936</v>
      </c>
      <c r="AO503" s="37">
        <v>45037</v>
      </c>
      <c r="AP503" s="37"/>
      <c r="AQ503" s="38"/>
      <c r="AR503" s="38"/>
      <c r="AS503" s="38"/>
      <c r="AT503" s="38"/>
      <c r="AU503" s="38"/>
      <c r="AV503" s="38"/>
      <c r="AW503" s="38">
        <v>44973</v>
      </c>
      <c r="AX503" s="38"/>
      <c r="AY503" s="38">
        <v>45055</v>
      </c>
      <c r="AZ503" s="38"/>
      <c r="BA503" s="39">
        <f t="shared" si="77"/>
        <v>0.22222222222222221</v>
      </c>
      <c r="BB503" s="38"/>
      <c r="BC503" s="11" t="s">
        <v>7</v>
      </c>
    </row>
    <row r="504" spans="1:55" x14ac:dyDescent="0.35">
      <c r="B504" s="16">
        <f>IF(D504=$A$516,1,IF(D504=$A$517,2,IF(D504=$A$518,3,IF(D504=$A$519,4,IF(D504=$A$520,5,IF(D504=$A$521,6))))))</f>
        <v>5</v>
      </c>
      <c r="D504" s="20" t="str">
        <f t="shared" si="76"/>
        <v>abt</v>
      </c>
      <c r="E504" s="20" t="s">
        <v>928</v>
      </c>
      <c r="F504" s="13"/>
      <c r="G504" s="13" t="s">
        <v>232</v>
      </c>
      <c r="H504" s="14" t="s">
        <v>929</v>
      </c>
      <c r="I504" s="13"/>
      <c r="J504" s="13" t="s">
        <v>111</v>
      </c>
      <c r="K504" s="15" t="s">
        <v>930</v>
      </c>
      <c r="L504" s="15" t="s">
        <v>276</v>
      </c>
      <c r="M504" s="15"/>
      <c r="N504" s="15"/>
      <c r="O504" s="15"/>
      <c r="P504" s="15"/>
      <c r="Q504" s="15"/>
      <c r="S504" s="35" t="s">
        <v>144</v>
      </c>
      <c r="T504" s="13">
        <v>2021</v>
      </c>
      <c r="U504" s="17">
        <v>99.722999999999999</v>
      </c>
      <c r="V504" s="17">
        <v>10.095000000000001</v>
      </c>
      <c r="W504" s="36">
        <f>+V504/U504</f>
        <v>0.10123040823079932</v>
      </c>
      <c r="X504" s="17">
        <v>3.6269999999999998</v>
      </c>
      <c r="Y504" s="17">
        <v>42.326999999999998</v>
      </c>
      <c r="AA504" s="15" t="s">
        <v>60</v>
      </c>
      <c r="AB504" s="17"/>
      <c r="AC504" s="21" t="s">
        <v>153</v>
      </c>
      <c r="AD504" s="21" t="s">
        <v>153</v>
      </c>
      <c r="AE504" s="17"/>
      <c r="AF504" s="17"/>
      <c r="AG504" s="15"/>
      <c r="AI504" s="42">
        <f t="shared" ca="1" si="73"/>
        <v>1528</v>
      </c>
      <c r="AJ504" s="42">
        <f t="shared" ca="1" si="71"/>
        <v>714</v>
      </c>
      <c r="AK504" s="13" t="s">
        <v>70</v>
      </c>
      <c r="AL504" s="36" t="str">
        <f t="shared" si="74"/>
        <v>Aborted</v>
      </c>
      <c r="AM504" s="37">
        <v>44136</v>
      </c>
      <c r="AN504" s="37">
        <f>+AM504</f>
        <v>44136</v>
      </c>
      <c r="AO504" s="37" t="s">
        <v>65</v>
      </c>
      <c r="AP504" s="37" t="s">
        <v>65</v>
      </c>
      <c r="AQ504" s="38">
        <f>+AN504</f>
        <v>44136</v>
      </c>
      <c r="AR504" s="38" t="s">
        <v>65</v>
      </c>
      <c r="AS504" s="38" t="s">
        <v>65</v>
      </c>
      <c r="AT504" s="38" t="s">
        <v>65</v>
      </c>
      <c r="AU504" s="38" t="s">
        <v>65</v>
      </c>
      <c r="AV504" s="38">
        <v>44208</v>
      </c>
      <c r="AW504" s="38"/>
      <c r="AX504" s="38"/>
      <c r="AY504" s="38">
        <v>44950</v>
      </c>
      <c r="AZ504" s="38"/>
      <c r="BA504" s="39">
        <f t="shared" si="77"/>
        <v>1</v>
      </c>
      <c r="BB504" s="38"/>
      <c r="BC504" s="11" t="s">
        <v>7</v>
      </c>
    </row>
    <row r="505" spans="1:55" x14ac:dyDescent="0.35">
      <c r="B505" s="16">
        <f>IF(D505=$A$516,1,IF(D505=$A$517,2,IF(D505=$A$518,3,IF(D505=$A$519,4,IF(D505=$A$520,5,IF(D505=$A$521,6))))))</f>
        <v>5</v>
      </c>
      <c r="D505" s="20" t="str">
        <f t="shared" si="76"/>
        <v>abt</v>
      </c>
      <c r="E505" s="12" t="s">
        <v>1422</v>
      </c>
      <c r="F505" s="13"/>
      <c r="G505" s="13" t="s">
        <v>333</v>
      </c>
      <c r="H505" s="14" t="s">
        <v>1423</v>
      </c>
      <c r="I505" s="13">
        <v>464500</v>
      </c>
      <c r="J505" s="13" t="s">
        <v>621</v>
      </c>
      <c r="K505" s="15" t="s">
        <v>1006</v>
      </c>
      <c r="L505" s="15" t="s">
        <v>1424</v>
      </c>
      <c r="M505" s="15" t="s">
        <v>1425</v>
      </c>
      <c r="N505" s="15" t="s">
        <v>1426</v>
      </c>
      <c r="O505" s="15"/>
      <c r="P505" s="15"/>
      <c r="Q505" s="15"/>
      <c r="S505" s="35" t="s">
        <v>77</v>
      </c>
      <c r="T505" s="13">
        <v>2020</v>
      </c>
      <c r="U505" s="17">
        <v>7.1520000000000001</v>
      </c>
      <c r="V505" s="17">
        <v>0.96099999999999997</v>
      </c>
      <c r="W505" s="36">
        <f>+V505/U505</f>
        <v>0.13436800894854586</v>
      </c>
      <c r="X505" s="17">
        <v>0.46800000000000003</v>
      </c>
      <c r="Y505" s="17">
        <v>0.77300000000000002</v>
      </c>
      <c r="AA505" s="631" t="s">
        <v>99</v>
      </c>
      <c r="AB505" s="17" t="s">
        <v>591</v>
      </c>
      <c r="AC505" s="21" t="s">
        <v>61</v>
      </c>
      <c r="AD505" s="21" t="s">
        <v>61</v>
      </c>
      <c r="AE505" s="17"/>
      <c r="AF505" s="17"/>
      <c r="AG505" s="15"/>
      <c r="AI505" s="42">
        <f t="shared" ca="1" si="73"/>
        <v>1337</v>
      </c>
      <c r="AJ505" s="42">
        <f t="shared" ca="1" si="71"/>
        <v>1309</v>
      </c>
      <c r="AK505" s="13"/>
      <c r="AL505" s="36" t="str">
        <f t="shared" si="74"/>
        <v>Aborted</v>
      </c>
      <c r="AM505" s="37">
        <v>44327</v>
      </c>
      <c r="AN505" s="37"/>
      <c r="AO505" s="37" t="s">
        <v>65</v>
      </c>
      <c r="AP505" s="37"/>
      <c r="AQ505" s="38"/>
      <c r="AR505" s="38"/>
      <c r="AS505" s="38"/>
      <c r="AT505" s="38"/>
      <c r="AU505" s="38"/>
      <c r="AV505" s="38"/>
      <c r="AW505" s="38"/>
      <c r="AX505" s="38">
        <v>44341</v>
      </c>
      <c r="AY505" s="38">
        <v>44355</v>
      </c>
      <c r="AZ505" s="38"/>
      <c r="BA505" s="39">
        <f t="shared" si="77"/>
        <v>0.1111111111111111</v>
      </c>
      <c r="BB505" s="38"/>
      <c r="BC505" s="11" t="s">
        <v>7</v>
      </c>
    </row>
    <row r="506" spans="1:55" x14ac:dyDescent="0.35">
      <c r="B506" s="16">
        <f>IF(D506=$A$516,1,IF(D506=$A$517,2,IF(D506=$A$518,3,IF(D506=$A$519,4,IF(D506=$A$520,5,IF(D506=$A$521,6))))))</f>
        <v>5</v>
      </c>
      <c r="D506" s="20" t="str">
        <f t="shared" si="76"/>
        <v>abt</v>
      </c>
      <c r="E506" s="185" t="s">
        <v>2681</v>
      </c>
      <c r="F506" s="186"/>
      <c r="G506" s="186" t="s">
        <v>259</v>
      </c>
      <c r="H506" s="187"/>
      <c r="I506" s="186"/>
      <c r="J506" s="270" t="s">
        <v>1629</v>
      </c>
      <c r="K506" s="189" t="s">
        <v>2682</v>
      </c>
      <c r="L506" s="189" t="s">
        <v>2683</v>
      </c>
      <c r="M506" s="189" t="s">
        <v>2684</v>
      </c>
      <c r="N506" s="189"/>
      <c r="O506" s="189"/>
      <c r="P506" s="189"/>
      <c r="Q506" s="189"/>
      <c r="R506" s="183"/>
      <c r="S506" s="190"/>
      <c r="T506" s="186"/>
      <c r="U506" s="191"/>
      <c r="V506" s="191"/>
      <c r="W506" s="36"/>
      <c r="X506" s="191"/>
      <c r="Y506" s="191"/>
      <c r="Z506" s="183"/>
      <c r="AA506" s="189" t="s">
        <v>60</v>
      </c>
      <c r="AB506" s="191"/>
      <c r="AC506" s="193" t="s">
        <v>78</v>
      </c>
      <c r="AD506" s="193" t="s">
        <v>78</v>
      </c>
      <c r="AE506" s="200"/>
      <c r="AF506" s="191"/>
      <c r="AG506" s="189"/>
      <c r="AH506" s="183"/>
      <c r="AI506" s="42">
        <f t="shared" ca="1" si="73"/>
        <v>363</v>
      </c>
      <c r="AJ506" s="42">
        <f t="shared" ref="AJ506:AJ510" ca="1" si="79">+(IF(AL506="Closed","-",IF(TODAY()-MAX(AN506:BA506)&gt;0,TODAY()-MAX(AN506:BA506),0)))</f>
        <v>336</v>
      </c>
      <c r="AK506" s="186" t="s">
        <v>720</v>
      </c>
      <c r="AL506" s="288" t="str">
        <f t="shared" si="74"/>
        <v>Aborted</v>
      </c>
      <c r="AM506" s="197">
        <v>45301</v>
      </c>
      <c r="AN506" s="172">
        <v>45301</v>
      </c>
      <c r="AO506" s="37">
        <v>45317</v>
      </c>
      <c r="AP506" s="197"/>
      <c r="AQ506" s="38"/>
      <c r="AR506" s="38"/>
      <c r="AS506" s="38"/>
      <c r="AT506" s="38"/>
      <c r="AU506" s="38"/>
      <c r="AV506" s="38"/>
      <c r="AW506" s="38">
        <v>45316</v>
      </c>
      <c r="AX506" s="38"/>
      <c r="AY506" s="38">
        <v>45328</v>
      </c>
      <c r="AZ506" s="198"/>
      <c r="BA506" s="202">
        <f t="shared" si="77"/>
        <v>0.22222222222222221</v>
      </c>
      <c r="BB506" s="198"/>
      <c r="BC506" s="11" t="s">
        <v>7</v>
      </c>
    </row>
    <row r="507" spans="1:55" x14ac:dyDescent="0.35">
      <c r="B507" s="16">
        <f>IF(D507=$A$516,1,IF(D507=$A$517,2,IF(D507=$A$518,3,IF(D507=$A$519,4,IF(D507=$A$520,5,IF(D507=$A$521,6))))))</f>
        <v>5</v>
      </c>
      <c r="D507" s="20" t="str">
        <f t="shared" si="76"/>
        <v>abt</v>
      </c>
      <c r="E507" s="20" t="s">
        <v>839</v>
      </c>
      <c r="F507" s="14"/>
      <c r="G507" s="13" t="s">
        <v>340</v>
      </c>
      <c r="H507" s="14" t="s">
        <v>840</v>
      </c>
      <c r="I507" s="13">
        <v>222909</v>
      </c>
      <c r="J507" s="13" t="s">
        <v>111</v>
      </c>
      <c r="K507" s="15" t="s">
        <v>841</v>
      </c>
      <c r="L507" s="15" t="s">
        <v>842</v>
      </c>
      <c r="M507" s="15" t="s">
        <v>843</v>
      </c>
      <c r="N507" s="15"/>
      <c r="O507" s="15"/>
      <c r="P507" s="15"/>
      <c r="Q507" s="15"/>
      <c r="S507" s="35" t="s">
        <v>77</v>
      </c>
      <c r="T507" s="13">
        <v>2021</v>
      </c>
      <c r="U507" s="17">
        <v>18.688582</v>
      </c>
      <c r="V507" s="17">
        <v>7.2275359999999997</v>
      </c>
      <c r="W507" s="36">
        <f t="shared" ref="W507:W510" si="80">+V507/U507</f>
        <v>0.38673538741462565</v>
      </c>
      <c r="X507" s="17">
        <v>2.187538</v>
      </c>
      <c r="Y507" s="17">
        <v>-4.7828739999999996</v>
      </c>
      <c r="AA507" s="15" t="s">
        <v>237</v>
      </c>
      <c r="AB507" s="17" t="s">
        <v>844</v>
      </c>
      <c r="AC507" s="21" t="s">
        <v>78</v>
      </c>
      <c r="AD507" s="21" t="s">
        <v>78</v>
      </c>
      <c r="AE507" s="17" t="s">
        <v>86</v>
      </c>
      <c r="AF507" s="17" t="s">
        <v>128</v>
      </c>
      <c r="AG507" s="15"/>
      <c r="AI507" s="42">
        <f t="shared" ca="1" si="73"/>
        <v>824</v>
      </c>
      <c r="AJ507" s="42">
        <f t="shared" ca="1" si="79"/>
        <v>637</v>
      </c>
      <c r="AK507" s="13"/>
      <c r="AL507" s="36" t="str">
        <f t="shared" si="74"/>
        <v>Aborted</v>
      </c>
      <c r="AM507" s="37">
        <v>44840</v>
      </c>
      <c r="AN507" s="37">
        <v>44840</v>
      </c>
      <c r="AO507" s="37" t="s">
        <v>65</v>
      </c>
      <c r="AP507" s="37">
        <v>44840</v>
      </c>
      <c r="AQ507" s="38"/>
      <c r="AR507" s="38"/>
      <c r="AS507" s="38"/>
      <c r="AT507" s="38"/>
      <c r="AU507" s="38"/>
      <c r="AV507" s="38"/>
      <c r="AW507" s="38">
        <v>44887</v>
      </c>
      <c r="AX507" s="38">
        <v>44894</v>
      </c>
      <c r="AY507" s="38">
        <v>45027</v>
      </c>
      <c r="AZ507" s="38"/>
      <c r="BA507" s="39">
        <f t="shared" si="77"/>
        <v>0.33333333333333331</v>
      </c>
      <c r="BB507" s="38"/>
      <c r="BC507" s="11" t="s">
        <v>7</v>
      </c>
    </row>
    <row r="508" spans="1:55" x14ac:dyDescent="0.35">
      <c r="B508" s="16">
        <f>IF(D508=$A$516,1,IF(D508=$A$517,2,IF(D508=$A$518,3,IF(D508=$A$519,4,IF(D508=$A$520,5,IF(D508=$A$521,6))))))</f>
        <v>5</v>
      </c>
      <c r="D508" s="20" t="str">
        <f t="shared" si="76"/>
        <v>abt</v>
      </c>
      <c r="E508" s="12" t="s">
        <v>1308</v>
      </c>
      <c r="F508" s="14"/>
      <c r="G508" s="13" t="s">
        <v>1309</v>
      </c>
      <c r="H508" s="119"/>
      <c r="I508" s="13"/>
      <c r="J508" s="13" t="s">
        <v>111</v>
      </c>
      <c r="K508" s="15" t="s">
        <v>1310</v>
      </c>
      <c r="L508" s="15" t="s">
        <v>1311</v>
      </c>
      <c r="M508" s="15"/>
      <c r="N508" s="15"/>
      <c r="O508" s="15"/>
      <c r="P508" s="15"/>
      <c r="Q508" s="15"/>
      <c r="S508" s="35" t="s">
        <v>144</v>
      </c>
      <c r="T508" s="13">
        <v>2020</v>
      </c>
      <c r="U508" s="17">
        <v>20</v>
      </c>
      <c r="V508" s="17">
        <v>8.9</v>
      </c>
      <c r="W508" s="36">
        <f t="shared" si="80"/>
        <v>0.44500000000000001</v>
      </c>
      <c r="X508" s="17" t="s">
        <v>65</v>
      </c>
      <c r="Y508" s="17" t="s">
        <v>65</v>
      </c>
      <c r="AA508" s="15" t="s">
        <v>99</v>
      </c>
      <c r="AB508" s="17" t="s">
        <v>312</v>
      </c>
      <c r="AC508" s="21" t="s">
        <v>61</v>
      </c>
      <c r="AD508" s="21" t="s">
        <v>61</v>
      </c>
      <c r="AE508" s="17" t="s">
        <v>86</v>
      </c>
      <c r="AF508" s="17" t="s">
        <v>1312</v>
      </c>
      <c r="AG508" s="15"/>
      <c r="AH508" s="677"/>
      <c r="AI508" s="42">
        <f t="shared" ca="1" si="73"/>
        <v>1085</v>
      </c>
      <c r="AJ508" s="42">
        <f t="shared" ca="1" si="79"/>
        <v>744</v>
      </c>
      <c r="AK508" s="13"/>
      <c r="AL508" s="36" t="str">
        <f t="shared" si="74"/>
        <v>Aborted</v>
      </c>
      <c r="AM508" s="37">
        <v>44579</v>
      </c>
      <c r="AN508" s="75">
        <v>44579</v>
      </c>
      <c r="AO508" s="37" t="s">
        <v>65</v>
      </c>
      <c r="AP508" s="37" t="s">
        <v>65</v>
      </c>
      <c r="AQ508" s="38">
        <v>44920</v>
      </c>
      <c r="AR508" s="38">
        <v>44595</v>
      </c>
      <c r="AS508" s="38"/>
      <c r="AT508" s="38">
        <v>44599</v>
      </c>
      <c r="AU508" s="38"/>
      <c r="AV508" s="38"/>
      <c r="AW508" s="38">
        <v>44600</v>
      </c>
      <c r="AX508" s="38"/>
      <c r="AY508" s="38">
        <v>44600</v>
      </c>
      <c r="AZ508" s="38"/>
      <c r="BA508" s="39">
        <f t="shared" si="77"/>
        <v>0.66666666666666663</v>
      </c>
      <c r="BB508" s="38"/>
      <c r="BC508" s="11" t="s">
        <v>7</v>
      </c>
    </row>
    <row r="509" spans="1:55" x14ac:dyDescent="0.35">
      <c r="B509" s="16">
        <f>IF(D509=$A$516,1,IF(D509=$A$517,2,IF(D509=$A$518,3,IF(D509=$A$519,4,IF(D509=$A$520,5,IF(D509=$A$521,6))))))</f>
        <v>5</v>
      </c>
      <c r="D509" s="20" t="str">
        <f t="shared" si="76"/>
        <v>abt</v>
      </c>
      <c r="E509" s="20" t="s">
        <v>899</v>
      </c>
      <c r="F509" s="14"/>
      <c r="G509" s="13" t="s">
        <v>270</v>
      </c>
      <c r="H509" s="14" t="s">
        <v>900</v>
      </c>
      <c r="I509" s="13">
        <v>105120</v>
      </c>
      <c r="J509" s="13" t="s">
        <v>83</v>
      </c>
      <c r="K509" s="15" t="s">
        <v>901</v>
      </c>
      <c r="L509" s="15" t="s">
        <v>902</v>
      </c>
      <c r="M509" s="15"/>
      <c r="N509" s="15"/>
      <c r="O509" s="15"/>
      <c r="P509" s="15"/>
      <c r="Q509" s="15"/>
      <c r="S509" s="35" t="s">
        <v>144</v>
      </c>
      <c r="T509" s="13">
        <v>2021</v>
      </c>
      <c r="U509" s="17">
        <v>423.1</v>
      </c>
      <c r="V509" s="17">
        <v>28.187999999999999</v>
      </c>
      <c r="W509" s="36">
        <f t="shared" si="80"/>
        <v>6.6622547861025755E-2</v>
      </c>
      <c r="X509" s="17">
        <v>17.183</v>
      </c>
      <c r="Y509" s="17">
        <v>63.47</v>
      </c>
      <c r="AA509" s="15" t="s">
        <v>60</v>
      </c>
      <c r="AB509" s="17"/>
      <c r="AC509" s="21" t="s">
        <v>153</v>
      </c>
      <c r="AD509" s="21" t="s">
        <v>153</v>
      </c>
      <c r="AE509" s="17" t="s">
        <v>86</v>
      </c>
      <c r="AF509" s="17"/>
      <c r="AG509" s="15"/>
      <c r="AI509" s="42">
        <f t="shared" ca="1" si="73"/>
        <v>700</v>
      </c>
      <c r="AJ509" s="42">
        <f t="shared" ca="1" si="79"/>
        <v>672</v>
      </c>
      <c r="AK509" s="13" t="s">
        <v>64</v>
      </c>
      <c r="AL509" s="36" t="str">
        <f t="shared" si="74"/>
        <v>Aborted</v>
      </c>
      <c r="AM509" s="37">
        <v>44964</v>
      </c>
      <c r="AN509" s="37">
        <v>44964</v>
      </c>
      <c r="AO509" s="37">
        <v>44964</v>
      </c>
      <c r="AP509" s="37">
        <v>44964</v>
      </c>
      <c r="AQ509" s="38"/>
      <c r="AR509" s="38"/>
      <c r="AS509" s="38"/>
      <c r="AT509" s="38"/>
      <c r="AU509" s="38"/>
      <c r="AV509" s="38"/>
      <c r="AW509" s="38">
        <v>44964</v>
      </c>
      <c r="AX509" s="38"/>
      <c r="AY509" s="38">
        <v>44992</v>
      </c>
      <c r="AZ509" s="38"/>
      <c r="BA509" s="39">
        <f t="shared" si="77"/>
        <v>0.33333333333333331</v>
      </c>
      <c r="BB509" s="38"/>
      <c r="BC509" s="11" t="s">
        <v>7</v>
      </c>
    </row>
    <row r="510" spans="1:55" x14ac:dyDescent="0.35">
      <c r="B510" s="16">
        <f>IF(D510=$A$516,1,IF(D510=$A$517,2,IF(D510=$A$518,3,IF(D510=$A$519,4,IF(D510=$A$520,5,IF(D510=$A$521,6))))))</f>
        <v>5</v>
      </c>
      <c r="D510" s="20" t="str">
        <f t="shared" si="76"/>
        <v>abt</v>
      </c>
      <c r="E510" s="12" t="s">
        <v>996</v>
      </c>
      <c r="F510" s="13"/>
      <c r="G510" s="13" t="s">
        <v>997</v>
      </c>
      <c r="H510" s="14" t="s">
        <v>998</v>
      </c>
      <c r="I510" s="13">
        <v>240000</v>
      </c>
      <c r="J510" s="13" t="s">
        <v>111</v>
      </c>
      <c r="K510" s="15" t="s">
        <v>999</v>
      </c>
      <c r="L510" s="15"/>
      <c r="M510" s="15" t="s">
        <v>1000</v>
      </c>
      <c r="N510" s="15" t="s">
        <v>1001</v>
      </c>
      <c r="O510" s="15"/>
      <c r="P510" s="15"/>
      <c r="Q510" s="15"/>
      <c r="S510" s="35" t="s">
        <v>144</v>
      </c>
      <c r="T510" s="13">
        <v>2021</v>
      </c>
      <c r="U510" s="17">
        <v>645</v>
      </c>
      <c r="V510" s="17">
        <v>85.670100000000005</v>
      </c>
      <c r="W510" s="36">
        <f t="shared" si="80"/>
        <v>0.13282186046511629</v>
      </c>
      <c r="X510" s="17">
        <v>42.319000000000003</v>
      </c>
      <c r="Y510" s="17">
        <v>34.493000000000002</v>
      </c>
      <c r="AA510" s="15" t="s">
        <v>99</v>
      </c>
      <c r="AB510" s="15" t="s">
        <v>416</v>
      </c>
      <c r="AC510" s="21" t="s">
        <v>78</v>
      </c>
      <c r="AD510" s="21" t="s">
        <v>78</v>
      </c>
      <c r="AE510" s="17" t="s">
        <v>86</v>
      </c>
      <c r="AF510" s="17"/>
      <c r="AG510" s="15"/>
      <c r="AI510" s="42">
        <f t="shared" ca="1" si="73"/>
        <v>897</v>
      </c>
      <c r="AJ510" s="42">
        <f t="shared" ca="1" si="79"/>
        <v>728</v>
      </c>
      <c r="AK510" s="13" t="s">
        <v>720</v>
      </c>
      <c r="AL510" s="36" t="str">
        <f t="shared" si="74"/>
        <v>Aborted</v>
      </c>
      <c r="AM510" s="37">
        <v>44767</v>
      </c>
      <c r="AN510" s="37">
        <v>44767</v>
      </c>
      <c r="AO510" s="37" t="s">
        <v>65</v>
      </c>
      <c r="AP510" s="37">
        <v>44783</v>
      </c>
      <c r="AQ510" s="38">
        <v>44783</v>
      </c>
      <c r="AR510" s="38">
        <v>44837</v>
      </c>
      <c r="AS510" s="38"/>
      <c r="AT510" s="38"/>
      <c r="AU510" s="38"/>
      <c r="AV510" s="38"/>
      <c r="AW510" s="38">
        <v>44837</v>
      </c>
      <c r="AX510" s="38">
        <v>44838</v>
      </c>
      <c r="AY510" s="38">
        <v>44936</v>
      </c>
      <c r="AZ510" s="38"/>
      <c r="BA510" s="39">
        <f t="shared" si="77"/>
        <v>0.55555555555555558</v>
      </c>
      <c r="BB510" s="38"/>
      <c r="BC510" s="11" t="s">
        <v>7</v>
      </c>
    </row>
    <row r="511" spans="1:55" x14ac:dyDescent="0.35">
      <c r="A511" s="765"/>
      <c r="B511" s="765"/>
      <c r="C511" s="765"/>
      <c r="D511" s="764"/>
      <c r="E511" s="20"/>
      <c r="F511" s="769"/>
      <c r="G511" s="13"/>
      <c r="H511" s="14"/>
      <c r="I511" s="769"/>
      <c r="J511" s="13"/>
      <c r="K511" s="15"/>
      <c r="L511" s="15"/>
      <c r="M511" s="15"/>
      <c r="N511" s="15"/>
      <c r="O511" s="15"/>
      <c r="P511" s="15"/>
      <c r="Q511" s="772"/>
      <c r="R511" s="765"/>
      <c r="S511" s="35"/>
      <c r="T511" s="769"/>
      <c r="U511" s="774"/>
      <c r="V511" s="774"/>
      <c r="W511" s="36"/>
      <c r="X511" s="774"/>
      <c r="Y511" s="774"/>
      <c r="Z511" s="765"/>
      <c r="AA511" s="15"/>
      <c r="AB511" s="798"/>
      <c r="AC511" s="21"/>
      <c r="AD511" s="21"/>
      <c r="AE511" s="13"/>
      <c r="AF511" s="1094"/>
      <c r="AG511" s="15"/>
      <c r="AH511" s="767"/>
      <c r="AI511" s="42"/>
      <c r="AJ511" s="42"/>
      <c r="AK511" s="604"/>
      <c r="AL511" s="993"/>
      <c r="AM511" s="776"/>
      <c r="AN511" s="776"/>
      <c r="AO511" s="1009"/>
      <c r="AP511" s="776"/>
      <c r="AQ511" s="997"/>
      <c r="AR511" s="777"/>
      <c r="AS511" s="777"/>
      <c r="AT511" s="777"/>
      <c r="AU511" s="777"/>
      <c r="AV511" s="777"/>
      <c r="AW511" s="777"/>
      <c r="AX511" s="777"/>
      <c r="AY511" s="777"/>
      <c r="AZ511" s="777"/>
      <c r="BA511" s="778"/>
      <c r="BB511" s="777"/>
      <c r="BC511" s="11" t="s">
        <v>7</v>
      </c>
    </row>
    <row r="512" spans="1:55" x14ac:dyDescent="0.35">
      <c r="A512" s="20"/>
      <c r="D512" s="20"/>
      <c r="E512" s="20"/>
      <c r="F512" s="13"/>
      <c r="G512" s="13"/>
      <c r="H512" s="13"/>
      <c r="I512" s="13"/>
      <c r="J512" s="13"/>
      <c r="K512" s="13"/>
      <c r="L512" s="15"/>
      <c r="M512" s="15"/>
      <c r="N512" s="15"/>
      <c r="O512" s="15"/>
      <c r="P512" s="15"/>
      <c r="Q512" s="15"/>
      <c r="S512" s="35"/>
      <c r="T512" s="13"/>
      <c r="U512" s="17"/>
      <c r="V512" s="17"/>
      <c r="W512" s="36"/>
      <c r="X512" s="17"/>
      <c r="Y512" s="17"/>
      <c r="AA512" s="15"/>
      <c r="AB512" s="15"/>
      <c r="AC512" s="13"/>
      <c r="AD512" s="13"/>
      <c r="AE512" s="13"/>
      <c r="AF512" s="13"/>
      <c r="AG512" s="15"/>
      <c r="AI512" s="13"/>
      <c r="AJ512" s="13"/>
      <c r="AK512" s="13"/>
      <c r="AL512" s="13"/>
      <c r="AM512" s="106"/>
      <c r="AN512" s="106"/>
      <c r="AO512" s="106"/>
      <c r="AP512" s="106"/>
      <c r="AQ512" s="38"/>
      <c r="AR512" s="38"/>
      <c r="AS512" s="38"/>
      <c r="AT512" s="38"/>
      <c r="AU512" s="38"/>
      <c r="AV512" s="38"/>
      <c r="AW512" s="106"/>
      <c r="AX512" s="106"/>
      <c r="AY512" s="106"/>
      <c r="AZ512" s="106"/>
      <c r="BA512" s="39"/>
      <c r="BB512" s="39"/>
      <c r="BC512" s="11" t="s">
        <v>7</v>
      </c>
    </row>
    <row r="513" spans="1:55" x14ac:dyDescent="0.35">
      <c r="F513" s="11"/>
      <c r="S513" s="58"/>
      <c r="W513" s="59"/>
      <c r="BA513" s="26"/>
      <c r="BB513" s="26"/>
      <c r="BC513" s="11" t="s">
        <v>7</v>
      </c>
    </row>
    <row r="514" spans="1:55" x14ac:dyDescent="0.35">
      <c r="D514" s="11" t="s">
        <v>240</v>
      </c>
      <c r="E514" s="11" t="s">
        <v>240</v>
      </c>
      <c r="G514" s="11" t="s">
        <v>240</v>
      </c>
      <c r="H514" s="11" t="s">
        <v>240</v>
      </c>
      <c r="I514" s="11" t="s">
        <v>240</v>
      </c>
      <c r="J514" s="11" t="s">
        <v>240</v>
      </c>
      <c r="K514" s="11" t="s">
        <v>240</v>
      </c>
      <c r="L514" s="11" t="s">
        <v>240</v>
      </c>
      <c r="M514" s="11" t="s">
        <v>240</v>
      </c>
      <c r="N514" s="11" t="s">
        <v>240</v>
      </c>
      <c r="O514" s="11" t="s">
        <v>240</v>
      </c>
      <c r="P514" s="11" t="s">
        <v>240</v>
      </c>
      <c r="Q514" s="11" t="s">
        <v>240</v>
      </c>
      <c r="R514" s="11" t="s">
        <v>240</v>
      </c>
      <c r="S514" s="11" t="s">
        <v>240</v>
      </c>
      <c r="T514" s="11" t="s">
        <v>240</v>
      </c>
      <c r="U514" s="11" t="s">
        <v>240</v>
      </c>
      <c r="V514" s="11" t="s">
        <v>240</v>
      </c>
      <c r="W514" s="11" t="s">
        <v>240</v>
      </c>
      <c r="X514" s="11" t="s">
        <v>240</v>
      </c>
      <c r="Y514" s="11" t="s">
        <v>240</v>
      </c>
      <c r="Z514" s="11" t="s">
        <v>240</v>
      </c>
      <c r="AA514" s="11" t="s">
        <v>240</v>
      </c>
      <c r="AB514" s="11" t="s">
        <v>240</v>
      </c>
      <c r="AC514" s="11" t="s">
        <v>240</v>
      </c>
      <c r="AD514" s="11" t="s">
        <v>240</v>
      </c>
      <c r="AE514" s="11" t="s">
        <v>240</v>
      </c>
      <c r="AF514" s="11" t="s">
        <v>240</v>
      </c>
      <c r="AG514" s="11" t="s">
        <v>240</v>
      </c>
      <c r="AH514" s="11" t="s">
        <v>240</v>
      </c>
      <c r="AI514" s="11" t="s">
        <v>240</v>
      </c>
      <c r="AJ514" s="11" t="s">
        <v>240</v>
      </c>
      <c r="AM514" s="11" t="s">
        <v>240</v>
      </c>
      <c r="AN514" s="11" t="s">
        <v>240</v>
      </c>
      <c r="AO514" s="11" t="s">
        <v>240</v>
      </c>
      <c r="AP514" s="26" t="s">
        <v>240</v>
      </c>
      <c r="AQ514" s="26" t="s">
        <v>240</v>
      </c>
      <c r="AR514" s="26" t="s">
        <v>240</v>
      </c>
      <c r="AS514" s="26" t="s">
        <v>240</v>
      </c>
      <c r="AT514" s="26" t="s">
        <v>240</v>
      </c>
      <c r="AU514" s="26" t="s">
        <v>240</v>
      </c>
      <c r="AV514" s="26" t="s">
        <v>240</v>
      </c>
      <c r="AW514" s="26" t="s">
        <v>240</v>
      </c>
      <c r="AX514" s="26" t="s">
        <v>240</v>
      </c>
      <c r="AY514" s="26" t="s">
        <v>240</v>
      </c>
      <c r="BA514" s="26" t="s">
        <v>240</v>
      </c>
      <c r="BB514" s="26" t="s">
        <v>240</v>
      </c>
      <c r="BC514" s="11" t="s">
        <v>7</v>
      </c>
    </row>
    <row r="515" spans="1:55" x14ac:dyDescent="0.35">
      <c r="F515" s="11"/>
      <c r="S515" s="58"/>
      <c r="W515" s="59"/>
      <c r="BA515" s="26"/>
      <c r="BB515" s="26"/>
      <c r="BC515" s="11" t="s">
        <v>7</v>
      </c>
    </row>
    <row r="516" spans="1:55" x14ac:dyDescent="0.35">
      <c r="A516" s="43" t="s">
        <v>1</v>
      </c>
      <c r="S516" s="58"/>
      <c r="W516" s="59"/>
      <c r="BA516" s="26"/>
      <c r="BB516" s="26"/>
      <c r="BC516" s="11" t="s">
        <v>7</v>
      </c>
    </row>
    <row r="517" spans="1:55" x14ac:dyDescent="0.35">
      <c r="A517" s="112" t="s">
        <v>2</v>
      </c>
      <c r="S517" s="58"/>
      <c r="W517" s="59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11" t="s">
        <v>7</v>
      </c>
    </row>
    <row r="518" spans="1:55" x14ac:dyDescent="0.35">
      <c r="A518" s="113" t="s">
        <v>3</v>
      </c>
      <c r="F518" s="11"/>
      <c r="S518" s="58"/>
      <c r="W518" s="59"/>
      <c r="AK518" s="11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11" t="s">
        <v>7</v>
      </c>
    </row>
    <row r="519" spans="1:55" x14ac:dyDescent="0.35">
      <c r="A519" s="114" t="s">
        <v>4</v>
      </c>
      <c r="S519" s="58"/>
      <c r="W519" s="59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11" t="s">
        <v>7</v>
      </c>
    </row>
    <row r="520" spans="1:55" x14ac:dyDescent="0.35">
      <c r="A520" s="115" t="s">
        <v>5</v>
      </c>
      <c r="S520" s="58"/>
      <c r="W520" s="59"/>
      <c r="AM520" s="23">
        <f>+COUNTA(AM26:AM513)</f>
        <v>485</v>
      </c>
      <c r="AN520" s="23">
        <f>+COUNTA(AN26:AN513)</f>
        <v>481</v>
      </c>
      <c r="AO520" s="23">
        <f>+COUNTA(AO26:AO513)</f>
        <v>479</v>
      </c>
      <c r="AP520" s="23">
        <f>+COUNTA(AP26:AP513)</f>
        <v>446</v>
      </c>
      <c r="AQ520" s="23">
        <f>+COUNTA(AQ26:AQ513)</f>
        <v>370</v>
      </c>
      <c r="AR520" s="23">
        <f>+COUNTA(AR26:AR513)</f>
        <v>207</v>
      </c>
      <c r="AS520" s="23">
        <f>+COUNTA(AS26:AS513)</f>
        <v>146</v>
      </c>
      <c r="AT520" s="23">
        <f>+COUNTA(AT26:AT513)</f>
        <v>91</v>
      </c>
      <c r="AU520" s="23">
        <f>+COUNTA(AU26:AU513)</f>
        <v>74</v>
      </c>
      <c r="AV520" s="23">
        <f>+COUNTA(AV26:AV513)</f>
        <v>62</v>
      </c>
      <c r="AW520" s="23"/>
      <c r="AX520" s="23"/>
      <c r="AY520" s="23"/>
      <c r="AZ520" s="23"/>
      <c r="BA520" s="23"/>
      <c r="BB520" s="23"/>
      <c r="BC520" s="11" t="s">
        <v>7</v>
      </c>
    </row>
    <row r="521" spans="1:55" x14ac:dyDescent="0.35">
      <c r="A521" s="116" t="s">
        <v>6</v>
      </c>
      <c r="S521" s="58"/>
      <c r="W521" s="59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11" t="s">
        <v>7</v>
      </c>
    </row>
    <row r="522" spans="1:55" x14ac:dyDescent="0.35">
      <c r="S522" s="58"/>
      <c r="W522" s="59"/>
      <c r="AK522" s="13" t="s">
        <v>64</v>
      </c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11" t="s">
        <v>7</v>
      </c>
    </row>
    <row r="523" spans="1:55" x14ac:dyDescent="0.35">
      <c r="S523" s="58"/>
      <c r="W523" s="59"/>
      <c r="AK523" s="13" t="s">
        <v>87</v>
      </c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35">
      <c r="S524" s="58"/>
      <c r="W524" s="59"/>
      <c r="AK524" s="13" t="s">
        <v>544</v>
      </c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35">
      <c r="S525" s="58"/>
      <c r="W525" s="59"/>
      <c r="AK525" s="13" t="s">
        <v>501</v>
      </c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35">
      <c r="S526" s="58"/>
      <c r="W526" s="59"/>
      <c r="AK526" s="13" t="s">
        <v>720</v>
      </c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35">
      <c r="S527" s="58"/>
      <c r="W527" s="59"/>
      <c r="AK527" s="13" t="s">
        <v>70</v>
      </c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35">
      <c r="S528" s="58"/>
      <c r="W528" s="59"/>
      <c r="AK528" s="13" t="s">
        <v>2672</v>
      </c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9:55" x14ac:dyDescent="0.35">
      <c r="S529" s="58"/>
      <c r="W529" s="59"/>
      <c r="AK529" s="13" t="s">
        <v>2725</v>
      </c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9:55" x14ac:dyDescent="0.35">
      <c r="S530" s="58"/>
      <c r="W530" s="59"/>
      <c r="AK530" s="13" t="s">
        <v>101</v>
      </c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</sheetData>
  <autoFilter ref="B4:BC513" xr:uid="{9D03DBE1-916D-42E5-A64B-588CEA821AD1}">
    <sortState xmlns:xlrd2="http://schemas.microsoft.com/office/spreadsheetml/2017/richdata2" ref="B5:BC513">
      <sortCondition ref="B4:B513"/>
    </sortState>
  </autoFilter>
  <sortState xmlns:xlrd2="http://schemas.microsoft.com/office/spreadsheetml/2017/richdata2" ref="A36:BC45">
    <sortCondition descending="1" ref="AL36:AL45"/>
  </sortState>
  <conditionalFormatting sqref="D5:D25 D511:D512">
    <cfRule type="containsText" dxfId="243" priority="353" operator="containsText" text="abt">
      <formula>NOT(ISERROR(SEARCH("abt",D5)))</formula>
    </cfRule>
    <cfRule type="containsText" dxfId="242" priority="354" operator="containsText" text="sgn">
      <formula>NOT(ISERROR(SEARCH("sgn",D5)))</formula>
    </cfRule>
    <cfRule type="containsText" dxfId="241" priority="355" operator="containsText" text="wip">
      <formula>NOT(ISERROR(SEARCH("wip",D5)))</formula>
    </cfRule>
  </conditionalFormatting>
  <conditionalFormatting sqref="D5:D512">
    <cfRule type="cellIs" dxfId="240" priority="272" operator="equal">
      <formula>"RIP"</formula>
    </cfRule>
  </conditionalFormatting>
  <conditionalFormatting sqref="D5:D512">
    <cfRule type="containsText" dxfId="239" priority="58" operator="containsText" text="hld">
      <formula>NOT(ISERROR(SEARCH("hld",D5)))</formula>
    </cfRule>
  </conditionalFormatting>
  <conditionalFormatting sqref="D25">
    <cfRule type="containsText" dxfId="238" priority="356" operator="containsText" text="hld">
      <formula>NOT(ISERROR(SEARCH("hld",D25)))</formula>
    </cfRule>
  </conditionalFormatting>
  <conditionalFormatting sqref="D26">
    <cfRule type="containsText" dxfId="237" priority="1501" operator="containsText" text="hld">
      <formula>NOT(ISERROR(SEARCH("hld",D26)))</formula>
    </cfRule>
  </conditionalFormatting>
  <conditionalFormatting sqref="D26:D510">
    <cfRule type="containsText" dxfId="236" priority="1159" operator="containsText" text="sgn">
      <formula>NOT(ISERROR(SEARCH("sgn",D26)))</formula>
    </cfRule>
    <cfRule type="containsText" dxfId="235" priority="1160" operator="containsText" text="wip">
      <formula>NOT(ISERROR(SEARCH("wip",D26)))</formula>
    </cfRule>
  </conditionalFormatting>
  <conditionalFormatting sqref="D26:D510">
    <cfRule type="containsText" dxfId="234" priority="1158" operator="containsText" text="abt">
      <formula>NOT(ISERROR(SEARCH("abt",D26)))</formula>
    </cfRule>
  </conditionalFormatting>
  <conditionalFormatting sqref="AF44:AF45 D5:D35 D36:Z36 AB36:AG37 E37:Z37 AB38:AH38 E38:I38 L38:V38 X38:Z38 D37:D45 D46:AH79 G163:L174 S163:Y174 D67:D512">
    <cfRule type="cellIs" dxfId="233" priority="2" operator="equal">
      <formula>"cls"</formula>
    </cfRule>
  </conditionalFormatting>
  <conditionalFormatting sqref="D41:Z41 W31 E147:AG148">
    <cfRule type="cellIs" dxfId="232" priority="240" operator="equal">
      <formula>"cls"</formula>
    </cfRule>
  </conditionalFormatting>
  <conditionalFormatting sqref="D128 D123 D101:D115 D76">
    <cfRule type="containsText" dxfId="231" priority="1122" operator="containsText" text="hld">
      <formula>NOT(ISERROR(SEARCH("hld",D76)))</formula>
    </cfRule>
  </conditionalFormatting>
  <conditionalFormatting sqref="D128">
    <cfRule type="containsText" dxfId="230" priority="1085" operator="containsText" text="sgn">
      <formula>NOT(ISERROR(SEARCH("sgn",D128)))</formula>
    </cfRule>
    <cfRule type="containsText" dxfId="229" priority="1086" operator="containsText" text="wip">
      <formula>NOT(ISERROR(SEARCH("wip",D128)))</formula>
    </cfRule>
  </conditionalFormatting>
  <conditionalFormatting sqref="D97:D98">
    <cfRule type="containsText" dxfId="228" priority="850" operator="containsText" text="abt">
      <formula>NOT(ISERROR(SEARCH("abt",D97)))</formula>
    </cfRule>
    <cfRule type="containsText" dxfId="227" priority="851" operator="containsText" text="sgn">
      <formula>NOT(ISERROR(SEARCH("sgn",D97)))</formula>
    </cfRule>
    <cfRule type="containsText" dxfId="226" priority="852" operator="containsText" text="wip">
      <formula>NOT(ISERROR(SEARCH("wip",D97)))</formula>
    </cfRule>
  </conditionalFormatting>
  <conditionalFormatting sqref="D104">
    <cfRule type="containsText" dxfId="225" priority="863" operator="containsText" text="hld">
      <formula>NOT(ISERROR(SEARCH("hld",D104)))</formula>
    </cfRule>
    <cfRule type="cellIs" dxfId="224" priority="864" operator="equal">
      <formula>"RIP"</formula>
    </cfRule>
    <cfRule type="containsText" dxfId="223" priority="868" operator="containsText" text="abt">
      <formula>NOT(ISERROR(SEARCH("abt",D104)))</formula>
    </cfRule>
    <cfRule type="containsText" dxfId="222" priority="869" operator="containsText" text="sgn">
      <formula>NOT(ISERROR(SEARCH("sgn",D104)))</formula>
    </cfRule>
    <cfRule type="containsText" dxfId="221" priority="870" operator="containsText" text="wip">
      <formula>NOT(ISERROR(SEARCH("wip",D104)))</formula>
    </cfRule>
    <cfRule type="cellIs" dxfId="220" priority="873" operator="equal">
      <formula>"cls"</formula>
    </cfRule>
    <cfRule type="containsText" dxfId="219" priority="874" operator="containsText" text="abt">
      <formula>NOT(ISERROR(SEARCH("abt",D104)))</formula>
    </cfRule>
    <cfRule type="containsText" dxfId="218" priority="875" operator="containsText" text="sgn">
      <formula>NOT(ISERROR(SEARCH("sgn",D104)))</formula>
    </cfRule>
    <cfRule type="containsText" dxfId="217" priority="876" operator="containsText" text="wip">
      <formula>NOT(ISERROR(SEARCH("wip",D104)))</formula>
    </cfRule>
  </conditionalFormatting>
  <conditionalFormatting sqref="D120:D121">
    <cfRule type="containsText" dxfId="216" priority="903" operator="containsText" text="abt">
      <formula>NOT(ISERROR(SEARCH("abt",D120)))</formula>
    </cfRule>
    <cfRule type="containsText" dxfId="215" priority="904" operator="containsText" text="sgn">
      <formula>NOT(ISERROR(SEARCH("sgn",D120)))</formula>
    </cfRule>
    <cfRule type="containsText" dxfId="214" priority="905" operator="containsText" text="wip">
      <formula>NOT(ISERROR(SEARCH("wip",D120)))</formula>
    </cfRule>
  </conditionalFormatting>
  <conditionalFormatting sqref="D122:D125 D127">
    <cfRule type="containsText" dxfId="213" priority="985" operator="containsText" text="abt">
      <formula>NOT(ISERROR(SEARCH("abt",D122)))</formula>
    </cfRule>
    <cfRule type="containsText" dxfId="212" priority="986" operator="containsText" text="sgn">
      <formula>NOT(ISERROR(SEARCH("sgn",D122)))</formula>
    </cfRule>
    <cfRule type="containsText" dxfId="211" priority="987" operator="containsText" text="wip">
      <formula>NOT(ISERROR(SEARCH("wip",D122)))</formula>
    </cfRule>
  </conditionalFormatting>
  <conditionalFormatting sqref="D122:D125">
    <cfRule type="containsText" dxfId="210" priority="892" operator="containsText" text="hld">
      <formula>NOT(ISERROR(SEARCH("hld",D122)))</formula>
    </cfRule>
    <cfRule type="cellIs" dxfId="209" priority="893" operator="equal">
      <formula>"RIP"</formula>
    </cfRule>
  </conditionalFormatting>
  <conditionalFormatting sqref="D124:D125 D127">
    <cfRule type="containsText" dxfId="208" priority="980" operator="containsText" text="sgn">
      <formula>NOT(ISERROR(SEARCH("sgn",D124)))</formula>
    </cfRule>
    <cfRule type="containsText" dxfId="207" priority="981" operator="containsText" text="wip">
      <formula>NOT(ISERROR(SEARCH("wip",D124)))</formula>
    </cfRule>
  </conditionalFormatting>
  <conditionalFormatting sqref="D126">
    <cfRule type="containsText" dxfId="206" priority="886" operator="containsText" text="abt">
      <formula>NOT(ISERROR(SEARCH("abt",D126)))</formula>
    </cfRule>
    <cfRule type="containsText" dxfId="205" priority="887" operator="containsText" text="sgn">
      <formula>NOT(ISERROR(SEARCH("sgn",D126)))</formula>
    </cfRule>
    <cfRule type="containsText" dxfId="204" priority="888" operator="containsText" text="wip">
      <formula>NOT(ISERROR(SEARCH("wip",D126)))</formula>
    </cfRule>
  </conditionalFormatting>
  <conditionalFormatting sqref="D127 D124:D125 AA134:AH134">
    <cfRule type="cellIs" dxfId="203" priority="984" operator="equal">
      <formula>"cls"</formula>
    </cfRule>
  </conditionalFormatting>
  <conditionalFormatting sqref="D127 D124:D125">
    <cfRule type="containsText" dxfId="202" priority="979" operator="containsText" text="abt">
      <formula>NOT(ISERROR(SEARCH("abt",D124)))</formula>
    </cfRule>
  </conditionalFormatting>
  <conditionalFormatting sqref="D127:D130">
    <cfRule type="containsText" dxfId="201" priority="982" operator="containsText" text="hld">
      <formula>NOT(ISERROR(SEARCH("hld",D127)))</formula>
    </cfRule>
    <cfRule type="cellIs" dxfId="200" priority="983" operator="equal">
      <formula>"RIP"</formula>
    </cfRule>
  </conditionalFormatting>
  <conditionalFormatting sqref="D128">
    <cfRule type="containsText" dxfId="199" priority="1084" operator="containsText" text="abt">
      <formula>NOT(ISERROR(SEARCH("abt",D128)))</formula>
    </cfRule>
  </conditionalFormatting>
  <conditionalFormatting sqref="D128:D136">
    <cfRule type="containsText" dxfId="198" priority="1059" operator="containsText" text="hld">
      <formula>NOT(ISERROR(SEARCH("hld",D128)))</formula>
    </cfRule>
    <cfRule type="cellIs" dxfId="197" priority="1060" operator="equal">
      <formula>"RIP"</formula>
    </cfRule>
  </conditionalFormatting>
  <conditionalFormatting sqref="D129:D130">
    <cfRule type="containsText" dxfId="196" priority="1055" operator="containsText" text="abt">
      <formula>NOT(ISERROR(SEARCH("abt",D129)))</formula>
    </cfRule>
    <cfRule type="containsText" dxfId="195" priority="1056" operator="containsText" text="sgn">
      <formula>NOT(ISERROR(SEARCH("sgn",D129)))</formula>
    </cfRule>
    <cfRule type="containsText" dxfId="194" priority="1057" operator="containsText" text="wip">
      <formula>NOT(ISERROR(SEARCH("wip",D129)))</formula>
    </cfRule>
    <cfRule type="containsText" dxfId="193" priority="1062" operator="containsText" text="abt">
      <formula>NOT(ISERROR(SEARCH("abt",D129)))</formula>
    </cfRule>
    <cfRule type="containsText" dxfId="192" priority="1063" operator="containsText" text="sgn">
      <formula>NOT(ISERROR(SEARCH("sgn",D129)))</formula>
    </cfRule>
    <cfRule type="containsText" dxfId="191" priority="1064" operator="containsText" text="wip">
      <formula>NOT(ISERROR(SEARCH("wip",D129)))</formula>
    </cfRule>
  </conditionalFormatting>
  <conditionalFormatting sqref="D129:D136">
    <cfRule type="cellIs" dxfId="190" priority="1061" operator="equal">
      <formula>"cls"</formula>
    </cfRule>
  </conditionalFormatting>
  <conditionalFormatting sqref="D145:D146">
    <cfRule type="containsText" dxfId="189" priority="1000" operator="containsText" text="abt">
      <formula>NOT(ISERROR(SEARCH("abt",D145)))</formula>
    </cfRule>
    <cfRule type="containsText" dxfId="188" priority="1001" operator="containsText" text="sgn">
      <formula>NOT(ISERROR(SEARCH("sgn",D145)))</formula>
    </cfRule>
    <cfRule type="containsText" dxfId="187" priority="1002" operator="containsText" text="wip">
      <formula>NOT(ISERROR(SEARCH("wip",D145)))</formula>
    </cfRule>
    <cfRule type="containsText" dxfId="186" priority="1006" operator="containsText" text="abt">
      <formula>NOT(ISERROR(SEARCH("abt",D145)))</formula>
    </cfRule>
    <cfRule type="containsText" dxfId="185" priority="1007" operator="containsText" text="sgn">
      <formula>NOT(ISERROR(SEARCH("sgn",D145)))</formula>
    </cfRule>
    <cfRule type="containsText" dxfId="184" priority="1008" operator="containsText" text="wip">
      <formula>NOT(ISERROR(SEARCH("wip",D145)))</formula>
    </cfRule>
  </conditionalFormatting>
  <conditionalFormatting sqref="D215:D216">
    <cfRule type="containsText" dxfId="183" priority="463" operator="containsText" text="hld">
      <formula>NOT(ISERROR(SEARCH("hld",D215)))</formula>
    </cfRule>
    <cfRule type="cellIs" dxfId="182" priority="464" operator="equal">
      <formula>"RIP"</formula>
    </cfRule>
    <cfRule type="cellIs" dxfId="181" priority="465" operator="equal">
      <formula>"cls"</formula>
    </cfRule>
    <cfRule type="containsText" dxfId="180" priority="466" operator="containsText" text="abt">
      <formula>NOT(ISERROR(SEARCH("abt",D215)))</formula>
    </cfRule>
    <cfRule type="containsText" dxfId="179" priority="467" operator="containsText" text="sgn">
      <formula>NOT(ISERROR(SEARCH("sgn",D215)))</formula>
    </cfRule>
    <cfRule type="containsText" dxfId="178" priority="468" operator="containsText" text="wip">
      <formula>NOT(ISERROR(SEARCH("wip",D215)))</formula>
    </cfRule>
  </conditionalFormatting>
  <conditionalFormatting sqref="D216">
    <cfRule type="containsText" dxfId="177" priority="422" operator="containsText" text="hld">
      <formula>NOT(ISERROR(SEARCH("hld",D216)))</formula>
    </cfRule>
    <cfRule type="cellIs" dxfId="176" priority="423" operator="equal">
      <formula>"RIP"</formula>
    </cfRule>
    <cfRule type="cellIs" dxfId="175" priority="424" operator="equal">
      <formula>"cls"</formula>
    </cfRule>
    <cfRule type="containsText" dxfId="174" priority="425" operator="containsText" text="abt">
      <formula>NOT(ISERROR(SEARCH("abt",D216)))</formula>
    </cfRule>
    <cfRule type="containsText" dxfId="173" priority="426" operator="containsText" text="sgn">
      <formula>NOT(ISERROR(SEARCH("sgn",D216)))</formula>
    </cfRule>
    <cfRule type="containsText" dxfId="172" priority="427" operator="containsText" text="wip">
      <formula>NOT(ISERROR(SEARCH("wip",D216)))</formula>
    </cfRule>
  </conditionalFormatting>
  <conditionalFormatting sqref="D113:E113">
    <cfRule type="cellIs" dxfId="171" priority="839" operator="equal">
      <formula>"cls"</formula>
    </cfRule>
  </conditionalFormatting>
  <conditionalFormatting sqref="D120:G121">
    <cfRule type="cellIs" dxfId="170" priority="899" operator="equal">
      <formula>"cls"</formula>
    </cfRule>
  </conditionalFormatting>
  <conditionalFormatting sqref="D115:V115 X115:AG115">
    <cfRule type="cellIs" dxfId="169" priority="891" operator="equal">
      <formula>"cls"</formula>
    </cfRule>
  </conditionalFormatting>
  <conditionalFormatting sqref="D127:Z127">
    <cfRule type="cellIs" dxfId="168" priority="968" operator="equal">
      <formula>"cls"</formula>
    </cfRule>
  </conditionalFormatting>
  <conditionalFormatting sqref="D128:Z128">
    <cfRule type="cellIs" dxfId="167" priority="1082" operator="equal">
      <formula>"cls"</formula>
    </cfRule>
  </conditionalFormatting>
  <conditionalFormatting sqref="D129:Z130">
    <cfRule type="cellIs" dxfId="166" priority="1048" operator="equal">
      <formula>"cls"</formula>
    </cfRule>
  </conditionalFormatting>
  <conditionalFormatting sqref="D131:Z134">
    <cfRule type="cellIs" dxfId="165" priority="1072" operator="equal">
      <formula>"cls"</formula>
    </cfRule>
  </conditionalFormatting>
  <conditionalFormatting sqref="D137:Z137">
    <cfRule type="cellIs" dxfId="164" priority="1022" operator="equal">
      <formula>"cls"</formula>
    </cfRule>
  </conditionalFormatting>
  <conditionalFormatting sqref="D145:Z146">
    <cfRule type="cellIs" dxfId="163" priority="1005" operator="equal">
      <formula>"cls"</formula>
    </cfRule>
  </conditionalFormatting>
  <conditionalFormatting sqref="D154:AD154">
    <cfRule type="cellIs" dxfId="162" priority="1123" operator="equal">
      <formula>"cls"</formula>
    </cfRule>
  </conditionalFormatting>
  <conditionalFormatting sqref="D102:AH104 D105:AG108 D133:AG133 D30:AH31 D42:AH43 D83:AH83 D86:I89 D90:AH92 D138:AH139 D391:AG391 E39:AH39 AB41:AH41 L86:AH89 AH117:AH124 E140:AG142 E161:Z161 E251:AH251 E252:AG252">
    <cfRule type="cellIs" dxfId="161" priority="1156" operator="equal">
      <formula>"cls"</formula>
    </cfRule>
  </conditionalFormatting>
  <conditionalFormatting sqref="D114:AG114 D116:AG116 D117:AH119">
    <cfRule type="cellIs" dxfId="160" priority="949" operator="equal">
      <formula>"cls"</formula>
    </cfRule>
  </conditionalFormatting>
  <conditionalFormatting sqref="D128:AG128">
    <cfRule type="cellIs" dxfId="159" priority="1009" operator="equal">
      <formula>"cls"</formula>
    </cfRule>
  </conditionalFormatting>
  <conditionalFormatting sqref="D80:AG82 D109:AH112">
    <cfRule type="cellIs" dxfId="158" priority="719" operator="equal">
      <formula>"cls"</formula>
    </cfRule>
  </conditionalFormatting>
  <conditionalFormatting sqref="AA218 AA326:AA327 AA356 AA372 AA382 AA388 AA401 AA415:AA416 AA424 AA435 AA470 AA475 AA477 AA502 AA507">
    <cfRule type="cellIs" dxfId="157" priority="826" operator="equal">
      <formula>"cls"</formula>
    </cfRule>
  </conditionalFormatting>
  <conditionalFormatting sqref="D104:AH104">
    <cfRule type="cellIs" dxfId="156" priority="865" operator="equal">
      <formula>"cls"</formula>
    </cfRule>
  </conditionalFormatting>
  <conditionalFormatting sqref="D122:AH124 D125:AG125">
    <cfRule type="cellIs" dxfId="155" priority="940" operator="equal">
      <formula>"cls"</formula>
    </cfRule>
  </conditionalFormatting>
  <conditionalFormatting sqref="E169:E174">
    <cfRule type="cellIs" dxfId="154" priority="54" operator="equal">
      <formula>"cls"</formula>
    </cfRule>
  </conditionalFormatting>
  <conditionalFormatting sqref="E206:E207 E209:E211 E234 K234 E242:E260 K245:K246 E282:E285">
    <cfRule type="cellIs" dxfId="153" priority="1413" operator="equal">
      <formula>"cls"</formula>
    </cfRule>
  </conditionalFormatting>
  <conditionalFormatting sqref="E215:E216">
    <cfRule type="cellIs" dxfId="152" priority="420" operator="equal">
      <formula>"cls"</formula>
    </cfRule>
  </conditionalFormatting>
  <conditionalFormatting sqref="E248">
    <cfRule type="cellIs" dxfId="151" priority="1423" operator="equal">
      <formula>"In Touch - Negative"</formula>
    </cfRule>
    <cfRule type="containsText" dxfId="150" priority="1424" operator="containsText" text="No Answer">
      <formula>NOT(ISERROR(SEARCH("No Answer",E248)))</formula>
    </cfRule>
  </conditionalFormatting>
  <conditionalFormatting sqref="AE152:AE153 E155:I160 J158:Z160">
    <cfRule type="cellIs" dxfId="149" priority="1178" operator="equal">
      <formula>"cls"</formula>
    </cfRule>
  </conditionalFormatting>
  <conditionalFormatting sqref="E149:AD150">
    <cfRule type="cellIs" dxfId="148" priority="1290" operator="equal">
      <formula>"cls"</formula>
    </cfRule>
  </conditionalFormatting>
  <conditionalFormatting sqref="E40:AH40">
    <cfRule type="cellIs" dxfId="147" priority="64" operator="equal">
      <formula>"cls"</formula>
    </cfRule>
  </conditionalFormatting>
  <conditionalFormatting sqref="E135:AH135 E136:AG136 E143:AH144">
    <cfRule type="cellIs" dxfId="146" priority="1140" operator="equal">
      <formula>"cls"</formula>
    </cfRule>
  </conditionalFormatting>
  <conditionalFormatting sqref="E151:AH152 E153:AG153">
    <cfRule type="cellIs" dxfId="145" priority="1149" operator="equal">
      <formula>"cls"</formula>
    </cfRule>
  </conditionalFormatting>
  <conditionalFormatting sqref="G257:G259">
    <cfRule type="cellIs" dxfId="144" priority="1417" operator="equal">
      <formula>"cls"</formula>
    </cfRule>
  </conditionalFormatting>
  <conditionalFormatting sqref="G215:I216">
    <cfRule type="cellIs" dxfId="143" priority="419" operator="equal">
      <formula>"cls"</formula>
    </cfRule>
  </conditionalFormatting>
  <conditionalFormatting sqref="G113:AH113 AA127:AH131 AA132:AG133 AH134:AH135">
    <cfRule type="cellIs" dxfId="142" priority="906" operator="equal">
      <formula>"cls"</formula>
    </cfRule>
  </conditionalFormatting>
  <conditionalFormatting sqref="I44:I45">
    <cfRule type="cellIs" dxfId="141" priority="72" operator="equal">
      <formula>"cls"</formula>
    </cfRule>
  </conditionalFormatting>
  <conditionalFormatting sqref="I120:J121 N120:Z121 AG120:AH121">
    <cfRule type="cellIs" dxfId="140" priority="902" operator="equal">
      <formula>"cls"</formula>
    </cfRule>
  </conditionalFormatting>
  <conditionalFormatting sqref="J98">
    <cfRule type="cellIs" dxfId="139" priority="840" operator="equal">
      <formula>"cls"</formula>
    </cfRule>
  </conditionalFormatting>
  <conditionalFormatting sqref="J126:K126">
    <cfRule type="cellIs" dxfId="138" priority="881" operator="equal">
      <formula>"cls"</formula>
    </cfRule>
  </conditionalFormatting>
  <conditionalFormatting sqref="J156:Z156 J157:V157 X157:Z157">
    <cfRule type="cellIs" dxfId="137" priority="1170" operator="equal">
      <formula>"cls"</formula>
    </cfRule>
  </conditionalFormatting>
  <conditionalFormatting sqref="L162">
    <cfRule type="cellIs" dxfId="136" priority="1270" operator="equal">
      <formula>"cls"</formula>
    </cfRule>
  </conditionalFormatting>
  <conditionalFormatting sqref="L155:AC155 AE155:AG155">
    <cfRule type="cellIs" dxfId="135" priority="1316" operator="equal">
      <formula>"cls"</formula>
    </cfRule>
  </conditionalFormatting>
  <conditionalFormatting sqref="N215:N216">
    <cfRule type="cellIs" dxfId="134" priority="418" operator="equal">
      <formula>"cls"</formula>
    </cfRule>
  </conditionalFormatting>
  <conditionalFormatting sqref="U44:Y45">
    <cfRule type="cellIs" dxfId="133" priority="65" operator="equal">
      <formula>"cls"</formula>
    </cfRule>
  </conditionalFormatting>
  <conditionalFormatting sqref="W215:W216">
    <cfRule type="cellIs" dxfId="132" priority="421" operator="equal">
      <formula>"cls"</formula>
    </cfRule>
  </conditionalFormatting>
  <conditionalFormatting sqref="W259">
    <cfRule type="cellIs" dxfId="131" priority="1415" operator="equal">
      <formula>"cls"</formula>
    </cfRule>
  </conditionalFormatting>
  <conditionalFormatting sqref="AA386">
    <cfRule type="cellIs" dxfId="130" priority="822" operator="equal">
      <formula>"cls"</formula>
    </cfRule>
  </conditionalFormatting>
  <conditionalFormatting sqref="AA398">
    <cfRule type="cellIs" dxfId="129" priority="819" operator="equal">
      <formula>"cls"</formula>
    </cfRule>
  </conditionalFormatting>
  <conditionalFormatting sqref="AA473">
    <cfRule type="cellIs" dxfId="128" priority="824" operator="equal">
      <formula>"cls"</formula>
    </cfRule>
  </conditionalFormatting>
  <conditionalFormatting sqref="AA137:AG137">
    <cfRule type="cellIs" dxfId="127" priority="1" operator="equal">
      <formula>"cls"</formula>
    </cfRule>
  </conditionalFormatting>
  <conditionalFormatting sqref="AA145:AG146">
    <cfRule type="cellIs" dxfId="126" priority="995" operator="equal">
      <formula>"cls"</formula>
    </cfRule>
  </conditionalFormatting>
  <conditionalFormatting sqref="AB174">
    <cfRule type="cellIs" dxfId="125" priority="37" operator="equal">
      <formula>"cls"</formula>
    </cfRule>
  </conditionalFormatting>
  <conditionalFormatting sqref="AB156:AG158 AB159:AH161">
    <cfRule type="cellIs" dxfId="124" priority="1161" operator="equal">
      <formula>"cls"</formula>
    </cfRule>
  </conditionalFormatting>
  <conditionalFormatting sqref="AC121:AE121">
    <cfRule type="cellIs" dxfId="123" priority="898" operator="equal">
      <formula>"cls"</formula>
    </cfRule>
  </conditionalFormatting>
  <conditionalFormatting sqref="AE38">
    <cfRule type="cellIs" dxfId="122" priority="360" operator="equal">
      <formula>"cls"</formula>
    </cfRule>
  </conditionalFormatting>
  <conditionalFormatting sqref="AE149">
    <cfRule type="cellIs" dxfId="121" priority="647" operator="equal">
      <formula>"cls"</formula>
    </cfRule>
  </conditionalFormatting>
  <conditionalFormatting sqref="AE162:AF162">
    <cfRule type="cellIs" dxfId="120" priority="1269" operator="equal">
      <formula>"cls"</formula>
    </cfRule>
  </conditionalFormatting>
  <conditionalFormatting sqref="AH149:AH152">
    <cfRule type="cellIs" dxfId="119" priority="1121" operator="equal">
      <formula>"cls"</formula>
    </cfRule>
  </conditionalFormatting>
  <conditionalFormatting sqref="AI5">
    <cfRule type="colorScale" priority="371">
      <colorScale>
        <cfvo type="min"/>
        <cfvo type="max"/>
        <color rgb="FFFCFCFF"/>
        <color rgb="FFF8696B"/>
      </colorScale>
    </cfRule>
    <cfRule type="colorScale" priority="372">
      <colorScale>
        <cfvo type="min"/>
        <cfvo type="max"/>
        <color rgb="FFFCFCFF"/>
        <color rgb="FFF8696B"/>
      </colorScale>
    </cfRule>
  </conditionalFormatting>
  <conditionalFormatting sqref="AI25">
    <cfRule type="colorScale" priority="357">
      <colorScale>
        <cfvo type="min"/>
        <cfvo type="max"/>
        <color rgb="FFFCFCFF"/>
        <color rgb="FFF8696B"/>
      </colorScale>
    </cfRule>
    <cfRule type="colorScale" priority="358">
      <colorScale>
        <cfvo type="min"/>
        <cfvo type="max"/>
        <color rgb="FFFCFCFF"/>
        <color rgb="FFF8696B"/>
      </colorScale>
    </cfRule>
  </conditionalFormatting>
  <conditionalFormatting sqref="AI104">
    <cfRule type="colorScale" priority="867">
      <colorScale>
        <cfvo type="min"/>
        <cfvo type="max"/>
        <color rgb="FFFCFCFF"/>
        <color rgb="FFF8696B"/>
      </colorScale>
    </cfRule>
    <cfRule type="colorScale" priority="877">
      <colorScale>
        <cfvo type="min"/>
        <cfvo type="max"/>
        <color rgb="FFFCFCFF"/>
        <color rgb="FFF8696B"/>
      </colorScale>
    </cfRule>
  </conditionalFormatting>
  <conditionalFormatting sqref="AI121">
    <cfRule type="colorScale" priority="912">
      <colorScale>
        <cfvo type="min"/>
        <cfvo type="max"/>
        <color rgb="FFFCFCFF"/>
        <color rgb="FFF8696B"/>
      </colorScale>
    </cfRule>
    <cfRule type="colorScale" priority="914">
      <colorScale>
        <cfvo type="min"/>
        <cfvo type="max"/>
        <color rgb="FFFCFCFF"/>
        <color rgb="FFF8696B"/>
      </colorScale>
    </cfRule>
    <cfRule type="colorScale" priority="916">
      <colorScale>
        <cfvo type="min"/>
        <cfvo type="max"/>
        <color rgb="FFFCFCFF"/>
        <color rgb="FFF8696B"/>
      </colorScale>
    </cfRule>
    <cfRule type="colorScale" priority="917">
      <colorScale>
        <cfvo type="min"/>
        <cfvo type="max"/>
        <color rgb="FFFCFCFF"/>
        <color rgb="FFF8696B"/>
      </colorScale>
    </cfRule>
  </conditionalFormatting>
  <conditionalFormatting sqref="AI122">
    <cfRule type="colorScale" priority="943">
      <colorScale>
        <cfvo type="min"/>
        <cfvo type="max"/>
        <color rgb="FFFCFCFF"/>
        <color rgb="FFF8696B"/>
      </colorScale>
    </cfRule>
  </conditionalFormatting>
  <conditionalFormatting sqref="AI124:AI125 AI127">
    <cfRule type="colorScale" priority="977">
      <colorScale>
        <cfvo type="min"/>
        <cfvo type="max"/>
        <color rgb="FFFCFCFF"/>
        <color rgb="FFF8696B"/>
      </colorScale>
    </cfRule>
    <cfRule type="colorScale" priority="988">
      <colorScale>
        <cfvo type="min"/>
        <cfvo type="max"/>
        <color rgb="FFFCFCFF"/>
        <color rgb="FFF8696B"/>
      </colorScale>
    </cfRule>
  </conditionalFormatting>
  <conditionalFormatting sqref="AI126">
    <cfRule type="colorScale" priority="884">
      <colorScale>
        <cfvo type="min"/>
        <cfvo type="max"/>
        <color rgb="FFFCFCFF"/>
        <color rgb="FFF8696B"/>
      </colorScale>
    </cfRule>
    <cfRule type="colorScale" priority="889">
      <colorScale>
        <cfvo type="min"/>
        <cfvo type="max"/>
        <color rgb="FFFCFCFF"/>
        <color rgb="FFF8696B"/>
      </colorScale>
    </cfRule>
  </conditionalFormatting>
  <conditionalFormatting sqref="AI128">
    <cfRule type="colorScale" priority="1016">
      <colorScale>
        <cfvo type="min"/>
        <cfvo type="max"/>
        <color rgb="FFFCFCFF"/>
        <color rgb="FFF8696B"/>
      </colorScale>
    </cfRule>
    <cfRule type="colorScale" priority="1019">
      <colorScale>
        <cfvo type="min"/>
        <cfvo type="max"/>
        <color rgb="FFFCFCFF"/>
        <color rgb="FFF8696B"/>
      </colorScale>
    </cfRule>
  </conditionalFormatting>
  <conditionalFormatting sqref="AI137">
    <cfRule type="colorScale" priority="1025">
      <colorScale>
        <cfvo type="min"/>
        <cfvo type="max"/>
        <color rgb="FFFCFCFF"/>
        <color rgb="FFF8696B"/>
      </colorScale>
    </cfRule>
    <cfRule type="colorScale" priority="1027">
      <colorScale>
        <cfvo type="min"/>
        <cfvo type="max"/>
        <color rgb="FFFCFCFF"/>
        <color rgb="FFF8696B"/>
      </colorScale>
    </cfRule>
    <cfRule type="colorScale" priority="1035">
      <colorScale>
        <cfvo type="min"/>
        <cfvo type="max"/>
        <color rgb="FFFCFCFF"/>
        <color rgb="FFF8696B"/>
      </colorScale>
    </cfRule>
    <cfRule type="colorScale" priority="1036">
      <colorScale>
        <cfvo type="min"/>
        <cfvo type="max"/>
        <color rgb="FFFCFCFF"/>
        <color rgb="FFF8696B"/>
      </colorScale>
    </cfRule>
  </conditionalFormatting>
  <conditionalFormatting sqref="AI154">
    <cfRule type="colorScale" priority="1134">
      <colorScale>
        <cfvo type="min"/>
        <cfvo type="max"/>
        <color rgb="FFFCFCFF"/>
        <color rgb="FFF8696B"/>
      </colorScale>
    </cfRule>
    <cfRule type="colorScale" priority="1136">
      <colorScale>
        <cfvo type="min"/>
        <cfvo type="max"/>
        <color rgb="FFFCFCFF"/>
        <color rgb="FFF8696B"/>
      </colorScale>
    </cfRule>
  </conditionalFormatting>
  <conditionalFormatting sqref="AI159:AI160 AI40:AI43">
    <cfRule type="colorScale" priority="5984">
      <colorScale>
        <cfvo type="min"/>
        <cfvo type="max"/>
        <color rgb="FFFCFCFF"/>
        <color rgb="FFF8696B"/>
      </colorScale>
    </cfRule>
  </conditionalFormatting>
  <conditionalFormatting sqref="AI161">
    <cfRule type="colorScale" priority="1162">
      <colorScale>
        <cfvo type="min"/>
        <cfvo type="max"/>
        <color rgb="FFFCFCFF"/>
        <color rgb="FFF8696B"/>
      </colorScale>
    </cfRule>
  </conditionalFormatting>
  <conditionalFormatting sqref="AI216">
    <cfRule type="colorScale" priority="433">
      <colorScale>
        <cfvo type="min"/>
        <cfvo type="max"/>
        <color rgb="FFFCFCFF"/>
        <color rgb="FFF8696B"/>
      </colorScale>
    </cfRule>
    <cfRule type="colorScale" priority="434">
      <colorScale>
        <cfvo type="min"/>
        <cfvo type="max"/>
        <color rgb="FFFCFCFF"/>
        <color rgb="FFF8696B"/>
      </colorScale>
    </cfRule>
    <cfRule type="colorScale" priority="436">
      <colorScale>
        <cfvo type="min"/>
        <cfvo type="max"/>
        <color rgb="FFFCFCFF"/>
        <color rgb="FFF8696B"/>
      </colorScale>
    </cfRule>
    <cfRule type="colorScale" priority="437">
      <colorScale>
        <cfvo type="min"/>
        <cfvo type="max"/>
        <color rgb="FFFCFCFF"/>
        <color rgb="FFF8696B"/>
      </colorScale>
    </cfRule>
  </conditionalFormatting>
  <conditionalFormatting sqref="AJ216">
    <cfRule type="colorScale" priority="432">
      <colorScale>
        <cfvo type="min"/>
        <cfvo type="max"/>
        <color rgb="FFFCFCFF"/>
        <color rgb="FFF8696B"/>
      </colorScale>
    </cfRule>
  </conditionalFormatting>
  <conditionalFormatting sqref="AL5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{C264AB25-8DBF-4802-A2ED-10ABCD7C63A5}</x14:id>
        </ext>
      </extLst>
    </cfRule>
  </conditionalFormatting>
  <conditionalFormatting sqref="AL5:AL512">
    <cfRule type="containsText" dxfId="118" priority="5" operator="containsText" text="RIP">
      <formula>NOT(ISERROR(SEARCH("RIP",AL5)))</formula>
    </cfRule>
    <cfRule type="cellIs" dxfId="117" priority="6" operator="equal">
      <formula>"Closed"</formula>
    </cfRule>
    <cfRule type="containsText" dxfId="116" priority="7" operator="containsText" text="Aborted">
      <formula>NOT(ISERROR(SEARCH("Aborted",AL5)))</formula>
    </cfRule>
    <cfRule type="containsText" dxfId="115" priority="8" operator="containsText" text="On-hold">
      <formula>NOT(ISERROR(SEARCH("On-hold",AL5)))</formula>
    </cfRule>
  </conditionalFormatting>
  <conditionalFormatting sqref="AL25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{1A972BA3-A9C2-42F5-BB58-4A37D278E5B2}</x14:id>
        </ext>
      </extLst>
    </cfRule>
  </conditionalFormatting>
  <conditionalFormatting sqref="AL121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{97FDA5DA-497C-440B-8067-2D402ACC3E46}</x14:id>
        </ext>
      </extLst>
    </cfRule>
  </conditionalFormatting>
  <conditionalFormatting sqref="AL137">
    <cfRule type="dataBar" priority="10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{CDB6186B-4EAE-4FC9-962A-076F9371A131}</x14:id>
        </ext>
      </extLst>
    </cfRule>
  </conditionalFormatting>
  <conditionalFormatting sqref="AL215">
    <cfRule type="dataBar" priority="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{3CE893D6-354B-4248-91ED-2E8B865AC0DE}</x14:id>
        </ext>
      </extLst>
    </cfRule>
  </conditionalFormatting>
  <conditionalFormatting sqref="AL215:AL216">
    <cfRule type="containsText" dxfId="114" priority="469" operator="containsText" text="RIP">
      <formula>NOT(ISERROR(SEARCH("RIP",AL215)))</formula>
    </cfRule>
    <cfRule type="cellIs" dxfId="113" priority="470" operator="equal">
      <formula>"Closed"</formula>
    </cfRule>
    <cfRule type="containsText" dxfId="112" priority="471" operator="containsText" text="Aborted">
      <formula>NOT(ISERROR(SEARCH("Aborted",AL215)))</formula>
    </cfRule>
    <cfRule type="containsText" dxfId="111" priority="472" operator="containsText" text="On-hold">
      <formula>NOT(ISERROR(SEARCH("On-hold",AL215)))</formula>
    </cfRule>
  </conditionalFormatting>
  <conditionalFormatting sqref="AL216">
    <cfRule type="containsText" dxfId="110" priority="428" operator="containsText" text="RIP">
      <formula>NOT(ISERROR(SEARCH("RIP",AL216)))</formula>
    </cfRule>
    <cfRule type="cellIs" dxfId="109" priority="429" operator="equal">
      <formula>"Closed"</formula>
    </cfRule>
    <cfRule type="containsText" dxfId="108" priority="430" operator="containsText" text="Aborted">
      <formula>NOT(ISERROR(SEARCH("Aborted",AL216)))</formula>
    </cfRule>
    <cfRule type="containsText" dxfId="107" priority="431" operator="containsText" text="On-hold">
      <formula>NOT(ISERROR(SEARCH("On-hold",AL216)))</formula>
    </cfRule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{433E67C1-13DC-4E9E-9671-6A1C2DF04C23}</x14:id>
        </ext>
      </extLst>
    </cfRule>
  </conditionalFormatting>
  <conditionalFormatting sqref="AI44:AI45">
    <cfRule type="colorScale" priority="8093">
      <colorScale>
        <cfvo type="min"/>
        <cfvo type="max"/>
        <color rgb="FFFCFCFF"/>
        <color rgb="FFF8696B"/>
      </colorScale>
    </cfRule>
  </conditionalFormatting>
  <conditionalFormatting sqref="AI251:AI252 AI148:AI154 AI135 AI133 AI138:AI144 AI116:AI120 AI110:AI114 AI68:AI75 AI39 AI31 AI36:AI37">
    <cfRule type="colorScale" priority="8105">
      <colorScale>
        <cfvo type="min"/>
        <cfvo type="max"/>
        <color rgb="FFFCFCFF"/>
        <color rgb="FFF8696B"/>
      </colorScale>
    </cfRule>
  </conditionalFormatting>
  <conditionalFormatting sqref="AI251:AI252 AI155:AI161 AI19:AI24 AI135:AI136 AI133 AI138:AI144 AI147:AI151 AI116:AI120 AI110:AI114 AI68:AI75 AI130 AI39:AI45 AI31:AI37">
    <cfRule type="colorScale" priority="8116">
      <colorScale>
        <cfvo type="min"/>
        <cfvo type="max"/>
        <color rgb="FFFCFCFF"/>
        <color rgb="FFF8696B"/>
      </colorScale>
    </cfRule>
  </conditionalFormatting>
  <conditionalFormatting sqref="AI122:AI123 AI105:AI120 AI128:AI136 AI217:AI511 AI6:AI24 AI138:AI215 AI26:AI103">
    <cfRule type="colorScale" priority="8129">
      <colorScale>
        <cfvo type="min"/>
        <cfvo type="max"/>
        <color rgb="FFFCFCFF"/>
        <color rgb="FFF8696B"/>
      </colorScale>
    </cfRule>
  </conditionalFormatting>
  <conditionalFormatting sqref="AI155:AI158 AI138:AI153 AI123 AI105:AI120 AI128:AI136 AI217:AI512 AI6:AI24 AI162:AI215 AI26:AI39 AI44:AI103">
    <cfRule type="colorScale" priority="8137">
      <colorScale>
        <cfvo type="min"/>
        <cfvo type="max"/>
        <color rgb="FFFCFCFF"/>
        <color rgb="FFF8696B"/>
      </colorScale>
    </cfRule>
  </conditionalFormatting>
  <conditionalFormatting sqref="AJ38:AJ45">
    <cfRule type="colorScale" priority="8148">
      <colorScale>
        <cfvo type="min"/>
        <cfvo type="max"/>
        <color rgb="FFFCFCFF"/>
        <color rgb="FFF8696B"/>
      </colorScale>
    </cfRule>
  </conditionalFormatting>
  <conditionalFormatting sqref="AL122:AL136 AL217:AL512 AL6:AL24 AL138:AL214 AL26:AL120">
    <cfRule type="dataBar" priority="8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{B35D4A95-1172-4779-B10B-26ABF8CE71AF}</x14:id>
        </ext>
      </extLst>
    </cfRule>
  </conditionalFormatting>
  <dataValidations count="5">
    <dataValidation type="list" allowBlank="1" showInputMessage="1" showErrorMessage="1" sqref="AR95:AR99" xr:uid="{339AA236-8842-497A-8D72-18928A7AF021}">
      <formula1>"In Touch,Negative,Ongoing,No Answer,"</formula1>
    </dataValidation>
    <dataValidation type="list" allowBlank="1" showInputMessage="1" showErrorMessage="1" sqref="AK5" xr:uid="{EBF36985-55A5-4542-9295-D59395BF48B2}">
      <formula1>$AM$511:$AM$519</formula1>
    </dataValidation>
    <dataValidation type="list" allowBlank="1" showInputMessage="1" showErrorMessage="1" sqref="AK6:AK15 AK25:AK31 AK223:AK311 AK19 AK313:AK512 AK33:AK221" xr:uid="{22062A57-CDBD-4B42-A257-79629D8739A1}">
      <formula1>$AK$522:$AK$530</formula1>
    </dataValidation>
    <dataValidation type="list" allowBlank="1" showInputMessage="1" showErrorMessage="1" sqref="AK237:AK240 AK46:AK71 AK33:AK38 AK73:AK92 AK391 AK127:AK139 AK149:AK154 AK355 AK322 AK235 AK27 AK306:AK311 AK313 AK29:AK31 AK102:AK125 AK25" xr:uid="{D3316BDE-D873-4685-8DCD-76ADB4C876CB}">
      <formula1>$AM$524:$AM$532</formula1>
    </dataValidation>
    <dataValidation type="list" allowBlank="1" showInputMessage="1" showErrorMessage="1" sqref="AK230 AK29:AK45 AK74 AK130 AK81 AK152:AK153 AK222:AK223 AK312 AK207 AK162 AK133 AK136 AK147 AK214:AK218 AK16:AK25 AK27" xr:uid="{50062299-5282-4AF3-A93E-819B73BDFFE8}">
      <formula1>$AM$523:$AM$531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10" orientation="portrait" r:id="rId1"/>
  <rowBreaks count="1" manualBreakCount="1">
    <brk id="480" max="16383" man="1"/>
  </rowBreaks>
  <colBreaks count="1" manualBreakCount="1">
    <brk id="49" min="2" max="309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64AB25-8DBF-4802-A2ED-10ABCD7C63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AL5</xm:sqref>
        </x14:conditionalFormatting>
        <x14:conditionalFormatting xmlns:xm="http://schemas.microsoft.com/office/excel/2006/main">
          <x14:cfRule type="dataBar" id="{1A972BA3-A9C2-42F5-BB58-4A37D278E5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AL25</xm:sqref>
        </x14:conditionalFormatting>
        <x14:conditionalFormatting xmlns:xm="http://schemas.microsoft.com/office/excel/2006/main">
          <x14:cfRule type="dataBar" id="{97FDA5DA-497C-440B-8067-2D402ACC3E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AL121</xm:sqref>
        </x14:conditionalFormatting>
        <x14:conditionalFormatting xmlns:xm="http://schemas.microsoft.com/office/excel/2006/main">
          <x14:cfRule type="dataBar" id="{CDB6186B-4EAE-4FC9-962A-076F9371A1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AL137</xm:sqref>
        </x14:conditionalFormatting>
        <x14:conditionalFormatting xmlns:xm="http://schemas.microsoft.com/office/excel/2006/main">
          <x14:cfRule type="dataBar" id="{3CE893D6-354B-4248-91ED-2E8B865AC0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AL215</xm:sqref>
        </x14:conditionalFormatting>
        <x14:conditionalFormatting xmlns:xm="http://schemas.microsoft.com/office/excel/2006/main">
          <x14:cfRule type="dataBar" id="{433E67C1-13DC-4E9E-9671-6A1C2DF04C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AL216</xm:sqref>
        </x14:conditionalFormatting>
        <x14:conditionalFormatting xmlns:xm="http://schemas.microsoft.com/office/excel/2006/main">
          <x14:cfRule type="containsText" priority="1425" operator="containsText" id="{FF9672FE-10EF-4C88-8490-143A43FF6114}">
            <xm:f>NOT(ISERROR(SEARCH("In Touch - Positive",E248)))</xm:f>
            <xm:f>"In Touch - Positive"</xm:f>
            <x14:dxf>
              <fill>
                <patternFill>
                  <bgColor rgb="FFCDC2F6"/>
                </patternFill>
              </fill>
            </x14:dxf>
          </x14:cfRule>
          <x14:cfRule type="containsText" priority="1426" operator="containsText" id="{B71FCEE9-5E88-409A-8B1A-06C0C248BEB9}">
            <xm:f>NOT(ISERROR(SEARCH("Pending",E248)))</xm:f>
            <xm:f>"Pending"</xm:f>
            <x14:dxf>
              <fill>
                <patternFill>
                  <bgColor rgb="FFFCF6BC"/>
                </patternFill>
              </fill>
            </x14:dxf>
          </x14:cfRule>
          <xm:sqref>E248</xm:sqref>
        </x14:conditionalFormatting>
        <x14:conditionalFormatting xmlns:xm="http://schemas.microsoft.com/office/excel/2006/main">
          <x14:cfRule type="dataBar" id="{B35D4A95-1172-4779-B10B-26ABF8CE71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AL122:AL136 AL217:AL512 AL6:AL24 AL138:AL214 AL26:AL120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83B7-ACBD-4203-B638-9D67E19A1741}">
  <sheetPr codeName="Foglio2">
    <tabColor theme="9"/>
  </sheetPr>
  <dimension ref="A1:AC207"/>
  <sheetViews>
    <sheetView showGridLines="0" zoomScale="90" zoomScaleNormal="115" zoomScaleSheetLayoutView="85" workbookViewId="0">
      <pane xSplit="5" ySplit="3" topLeftCell="F205" activePane="bottomRight" state="frozen"/>
      <selection pane="topRight" activeCell="E15" sqref="E15"/>
      <selection pane="bottomLeft" activeCell="E15" sqref="E15"/>
      <selection pane="bottomRight" activeCell="B1" sqref="B1:B1048576"/>
    </sheetView>
  </sheetViews>
  <sheetFormatPr defaultColWidth="8.5" defaultRowHeight="11.65" outlineLevelCol="1" x14ac:dyDescent="0.35"/>
  <cols>
    <col min="1" max="1" width="3" style="6" customWidth="1"/>
    <col min="2" max="2" width="6" style="6" customWidth="1" outlineLevel="1"/>
    <col min="3" max="4" width="8.5" style="6" customWidth="1"/>
    <col min="5" max="5" width="28.5" style="6" customWidth="1"/>
    <col min="6" max="6" width="32.5" style="6" customWidth="1"/>
    <col min="7" max="7" width="9.0625" style="7" bestFit="1" customWidth="1"/>
    <col min="8" max="8" width="8.5" style="7" customWidth="1"/>
    <col min="9" max="9" width="2.5" style="6" customWidth="1" outlineLevel="1"/>
    <col min="10" max="10" width="12.5" style="6" customWidth="1" outlineLevel="1"/>
    <col min="11" max="11" width="83.5" style="6" bestFit="1" customWidth="1" outlineLevel="1"/>
    <col min="12" max="12" width="29" style="6" customWidth="1" outlineLevel="1"/>
    <col min="13" max="13" width="2.5" style="6" customWidth="1"/>
    <col min="14" max="16" width="8.5" style="7" customWidth="1"/>
    <col min="17" max="17" width="21" style="8" customWidth="1"/>
    <col min="18" max="18" width="2.5" style="6" customWidth="1"/>
    <col min="19" max="20" width="8.5" style="7" customWidth="1"/>
    <col min="21" max="21" width="9" style="7" customWidth="1"/>
    <col min="22" max="24" width="11" style="9" customWidth="1"/>
    <col min="25" max="25" width="12.5" style="9" customWidth="1"/>
    <col min="26" max="16384" width="8.5" style="6"/>
  </cols>
  <sheetData>
    <row r="1" spans="1:29" x14ac:dyDescent="0.35">
      <c r="E1" s="543">
        <f ca="1">+Tracking!$E$2</f>
        <v>2</v>
      </c>
      <c r="F1" s="273" t="s">
        <v>1467</v>
      </c>
      <c r="G1" s="274"/>
      <c r="T1" s="8"/>
      <c r="U1" s="10"/>
      <c r="V1" s="74" t="s">
        <v>1468</v>
      </c>
      <c r="W1" s="275">
        <f>+COUNTIF($B:$B,1)</f>
        <v>9</v>
      </c>
      <c r="X1" s="276"/>
      <c r="Y1" s="68" t="s">
        <v>1469</v>
      </c>
      <c r="Z1" s="69">
        <f>+COUNTIF($B:$B,2)</f>
        <v>2</v>
      </c>
      <c r="AA1" s="9"/>
      <c r="AB1" s="73" t="s">
        <v>52</v>
      </c>
      <c r="AC1" s="72">
        <f>+COUNTIF($B:$B,3)</f>
        <v>181</v>
      </c>
    </row>
    <row r="2" spans="1:29" x14ac:dyDescent="0.35">
      <c r="E2" s="7"/>
      <c r="F2" s="7"/>
      <c r="I2" s="7"/>
      <c r="J2" s="7"/>
      <c r="K2" s="7"/>
      <c r="L2" s="7"/>
      <c r="M2" s="7"/>
      <c r="Q2" s="7"/>
      <c r="R2" s="7"/>
      <c r="V2" s="7"/>
      <c r="W2" s="7"/>
      <c r="X2" s="7"/>
      <c r="Y2" s="7"/>
      <c r="AA2" s="11" t="s">
        <v>7</v>
      </c>
    </row>
    <row r="3" spans="1:29" s="1" customFormat="1" ht="41.25" customHeight="1" x14ac:dyDescent="0.35">
      <c r="B3" s="2"/>
      <c r="C3" s="2" t="s">
        <v>10</v>
      </c>
      <c r="D3" s="3" t="s">
        <v>1470</v>
      </c>
      <c r="E3" s="2" t="s">
        <v>11</v>
      </c>
      <c r="F3" s="2" t="s">
        <v>1471</v>
      </c>
      <c r="G3" s="3" t="s">
        <v>1472</v>
      </c>
      <c r="H3" s="3" t="s">
        <v>1473</v>
      </c>
      <c r="J3" s="2" t="s">
        <v>1474</v>
      </c>
      <c r="K3" s="2" t="s">
        <v>1475</v>
      </c>
      <c r="L3" s="2" t="s">
        <v>1476</v>
      </c>
      <c r="N3" s="4" t="s">
        <v>1477</v>
      </c>
      <c r="O3" s="4" t="s">
        <v>34</v>
      </c>
      <c r="P3" s="4"/>
      <c r="Q3" s="4" t="s">
        <v>1478</v>
      </c>
      <c r="S3" s="3" t="s">
        <v>38</v>
      </c>
      <c r="T3" s="3" t="s">
        <v>39</v>
      </c>
      <c r="U3" s="3"/>
      <c r="V3" s="5" t="s">
        <v>42</v>
      </c>
      <c r="W3" s="5" t="s">
        <v>1479</v>
      </c>
      <c r="X3" s="5" t="s">
        <v>1480</v>
      </c>
      <c r="Y3" s="5" t="s">
        <v>10</v>
      </c>
      <c r="AA3" s="11" t="s">
        <v>7</v>
      </c>
    </row>
    <row r="4" spans="1:29" x14ac:dyDescent="0.35">
      <c r="U4" s="56"/>
      <c r="AA4" s="11" t="s">
        <v>7</v>
      </c>
    </row>
    <row r="5" spans="1:29" x14ac:dyDescent="0.35">
      <c r="A5" s="1384"/>
      <c r="B5" s="1384" cm="1">
        <f t="array" ref="B5">+_xlfn.IFS(C5="Tracking",2,C5="WIP",1,C5="Aborted",3)</f>
        <v>1</v>
      </c>
      <c r="C5" s="1385" t="str">
        <f t="shared" ref="C5:C36" si="0">+Y5</f>
        <v>WIP</v>
      </c>
      <c r="D5" s="1386" t="s">
        <v>1490</v>
      </c>
      <c r="E5" s="1387" t="s">
        <v>5575</v>
      </c>
      <c r="F5" s="1387" t="s">
        <v>1529</v>
      </c>
      <c r="G5" s="1386" t="s">
        <v>1603</v>
      </c>
      <c r="H5" s="1386" t="s">
        <v>1484</v>
      </c>
      <c r="I5" s="1384"/>
      <c r="J5" s="1395" t="s">
        <v>111</v>
      </c>
      <c r="K5" s="1387" t="s">
        <v>5576</v>
      </c>
      <c r="L5" s="1387"/>
      <c r="M5" s="1384"/>
      <c r="N5" s="1388" t="s">
        <v>78</v>
      </c>
      <c r="O5" s="1388"/>
      <c r="P5" s="1388"/>
      <c r="Q5" s="1389"/>
      <c r="R5" s="1384"/>
      <c r="S5" s="1390">
        <f t="shared" ref="S5:S36" ca="1" si="1">+TODAY()-V5</f>
        <v>30</v>
      </c>
      <c r="T5" s="1390">
        <f t="shared" ref="T5:T36" ca="1" si="2">+TODAY()-X5</f>
        <v>30</v>
      </c>
      <c r="U5" s="1391"/>
      <c r="V5" s="1392">
        <v>45634</v>
      </c>
      <c r="W5" s="1392">
        <v>45634</v>
      </c>
      <c r="X5" s="1392">
        <v>45634</v>
      </c>
      <c r="Y5" s="1393" t="s">
        <v>1469</v>
      </c>
      <c r="Z5" s="1384"/>
      <c r="AA5" s="1394"/>
      <c r="AB5" s="1384"/>
      <c r="AC5" s="1384"/>
    </row>
    <row r="6" spans="1:29" x14ac:dyDescent="0.35">
      <c r="A6" s="1384"/>
      <c r="B6" s="1384" cm="1">
        <f t="array" ref="B6">+_xlfn.IFS(C6="Tracking",2,C6="WIP",1,C6="Aborted",3)</f>
        <v>1</v>
      </c>
      <c r="C6" s="1385" t="str">
        <f t="shared" si="0"/>
        <v>WIP</v>
      </c>
      <c r="D6" s="1386" t="s">
        <v>1490</v>
      </c>
      <c r="E6" s="1387" t="s">
        <v>5573</v>
      </c>
      <c r="F6" s="1387" t="s">
        <v>1636</v>
      </c>
      <c r="G6" s="1386" t="s">
        <v>1637</v>
      </c>
      <c r="H6" s="1386" t="s">
        <v>1484</v>
      </c>
      <c r="I6" s="1384"/>
      <c r="J6" s="1395" t="s">
        <v>3207</v>
      </c>
      <c r="K6" s="1387" t="s">
        <v>5574</v>
      </c>
      <c r="L6" s="1387"/>
      <c r="M6" s="1384"/>
      <c r="N6" s="1388" t="s">
        <v>78</v>
      </c>
      <c r="O6" s="1388" t="s">
        <v>62</v>
      </c>
      <c r="P6" s="1388"/>
      <c r="Q6" s="1389"/>
      <c r="R6" s="1384"/>
      <c r="S6" s="1390">
        <f t="shared" ca="1" si="1"/>
        <v>30</v>
      </c>
      <c r="T6" s="1390">
        <f t="shared" ca="1" si="2"/>
        <v>29</v>
      </c>
      <c r="U6" s="1391"/>
      <c r="V6" s="1392">
        <v>45634</v>
      </c>
      <c r="W6" s="1392">
        <v>45634</v>
      </c>
      <c r="X6" s="1392">
        <v>45635</v>
      </c>
      <c r="Y6" s="1393" t="s">
        <v>1469</v>
      </c>
      <c r="Z6" s="1384"/>
      <c r="AA6" s="1394"/>
      <c r="AB6" s="1384"/>
      <c r="AC6" s="1384"/>
    </row>
    <row r="7" spans="1:29" x14ac:dyDescent="0.35">
      <c r="B7" s="6" cm="1">
        <f t="array" ref="B7">+_xlfn.IFS(C7="Tracking",2,C7="WIP",1,C7="Aborted",3)</f>
        <v>1</v>
      </c>
      <c r="C7" s="67" t="str">
        <f t="shared" si="0"/>
        <v>WIP</v>
      </c>
      <c r="D7" s="47" t="s">
        <v>1490</v>
      </c>
      <c r="E7" s="28" t="s">
        <v>5569</v>
      </c>
      <c r="F7" s="28" t="s">
        <v>1514</v>
      </c>
      <c r="G7" s="47" t="s">
        <v>5570</v>
      </c>
      <c r="H7" s="47" t="s">
        <v>1484</v>
      </c>
      <c r="J7" s="48" t="s">
        <v>111</v>
      </c>
      <c r="K7" s="28" t="s">
        <v>5571</v>
      </c>
      <c r="L7" s="28" t="s">
        <v>5572</v>
      </c>
      <c r="N7" s="50" t="s">
        <v>62</v>
      </c>
      <c r="O7" s="50" t="s">
        <v>153</v>
      </c>
      <c r="P7" s="50"/>
      <c r="Q7" s="51"/>
      <c r="S7" s="55">
        <f t="shared" ca="1" si="1"/>
        <v>36</v>
      </c>
      <c r="T7" s="55">
        <f t="shared" ca="1" si="2"/>
        <v>29</v>
      </c>
      <c r="U7" s="56"/>
      <c r="V7" s="124">
        <v>45628</v>
      </c>
      <c r="W7" s="124">
        <v>45628</v>
      </c>
      <c r="X7" s="124">
        <v>45635</v>
      </c>
      <c r="Y7" s="62" t="s">
        <v>1469</v>
      </c>
      <c r="AA7" s="54"/>
    </row>
    <row r="8" spans="1:29" x14ac:dyDescent="0.35">
      <c r="B8" s="6" cm="1">
        <f t="array" ref="B8">+_xlfn.IFS(C8="Tracking",2,C8="WIP",1,C8="Aborted",3)</f>
        <v>1</v>
      </c>
      <c r="C8" s="67" t="str">
        <f t="shared" si="0"/>
        <v>WIP</v>
      </c>
      <c r="D8" s="47" t="s">
        <v>1490</v>
      </c>
      <c r="E8" s="28" t="s">
        <v>5396</v>
      </c>
      <c r="F8" s="28" t="s">
        <v>5397</v>
      </c>
      <c r="G8" s="47" t="s">
        <v>1492</v>
      </c>
      <c r="H8" s="47" t="s">
        <v>1484</v>
      </c>
      <c r="J8" s="48" t="s">
        <v>83</v>
      </c>
      <c r="K8" s="28" t="s">
        <v>5398</v>
      </c>
      <c r="L8" s="28" t="s">
        <v>5399</v>
      </c>
      <c r="N8" s="50"/>
      <c r="O8" s="50" t="s">
        <v>62</v>
      </c>
      <c r="P8" s="50"/>
      <c r="Q8" s="51"/>
      <c r="S8" s="55">
        <f t="shared" ca="1" si="1"/>
        <v>36</v>
      </c>
      <c r="T8" s="55">
        <f t="shared" ca="1" si="2"/>
        <v>36</v>
      </c>
      <c r="U8" s="56"/>
      <c r="V8" s="124">
        <v>45628</v>
      </c>
      <c r="W8" s="124">
        <v>45628</v>
      </c>
      <c r="X8" s="124">
        <v>45628</v>
      </c>
      <c r="Y8" s="62" t="s">
        <v>1469</v>
      </c>
      <c r="AA8" s="54"/>
    </row>
    <row r="9" spans="1:29" x14ac:dyDescent="0.35">
      <c r="B9" s="6" cm="1">
        <f t="array" ref="B9">+_xlfn.IFS(C9="Tracking",2,C9="WIP",1,C9="Aborted",3)</f>
        <v>1</v>
      </c>
      <c r="C9" s="67" t="str">
        <f t="shared" si="0"/>
        <v>WIP</v>
      </c>
      <c r="D9" s="47" t="s">
        <v>1490</v>
      </c>
      <c r="E9" s="28" t="s">
        <v>5401</v>
      </c>
      <c r="F9" s="28" t="s">
        <v>5400</v>
      </c>
      <c r="G9" s="47" t="s">
        <v>712</v>
      </c>
      <c r="H9" s="47" t="s">
        <v>1484</v>
      </c>
      <c r="J9" s="48" t="s">
        <v>452</v>
      </c>
      <c r="K9" s="28" t="s">
        <v>5402</v>
      </c>
      <c r="L9" s="28" t="s">
        <v>5403</v>
      </c>
      <c r="N9" s="50"/>
      <c r="O9" s="50" t="s">
        <v>62</v>
      </c>
      <c r="P9" s="50"/>
      <c r="Q9" s="51"/>
      <c r="S9" s="55">
        <f t="shared" ca="1" si="1"/>
        <v>49</v>
      </c>
      <c r="T9" s="55">
        <f t="shared" ca="1" si="2"/>
        <v>36</v>
      </c>
      <c r="U9" s="56"/>
      <c r="V9" s="124">
        <v>45615</v>
      </c>
      <c r="W9" s="124">
        <v>45615</v>
      </c>
      <c r="X9" s="124">
        <v>45628</v>
      </c>
      <c r="Y9" s="62" t="s">
        <v>1469</v>
      </c>
      <c r="AA9" s="54"/>
    </row>
    <row r="10" spans="1:29" x14ac:dyDescent="0.35">
      <c r="A10" s="1140"/>
      <c r="B10" s="1140" cm="1">
        <f t="array" ref="B10">+_xlfn.IFS(C10="Tracking",2,C10="WIP",1,C10="Aborted",3)</f>
        <v>1</v>
      </c>
      <c r="C10" s="1141" t="str">
        <f t="shared" si="0"/>
        <v>WIP</v>
      </c>
      <c r="D10" s="1142" t="s">
        <v>1490</v>
      </c>
      <c r="E10" s="1143" t="s">
        <v>4890</v>
      </c>
      <c r="F10" s="1143" t="s">
        <v>1525</v>
      </c>
      <c r="G10" s="1142" t="s">
        <v>1526</v>
      </c>
      <c r="H10" s="1142" t="s">
        <v>1484</v>
      </c>
      <c r="I10" s="1140"/>
      <c r="J10" s="1151" t="s">
        <v>111</v>
      </c>
      <c r="K10" s="1143" t="s">
        <v>4891</v>
      </c>
      <c r="L10" s="1143" t="s">
        <v>4892</v>
      </c>
      <c r="M10" s="1140"/>
      <c r="N10" s="1184" t="s">
        <v>78</v>
      </c>
      <c r="O10" s="1144" t="s">
        <v>62</v>
      </c>
      <c r="P10" s="1144"/>
      <c r="Q10" s="1145"/>
      <c r="R10" s="1140"/>
      <c r="S10" s="1146">
        <f t="shared" ca="1" si="1"/>
        <v>78</v>
      </c>
      <c r="T10" s="1146">
        <f t="shared" ca="1" si="2"/>
        <v>68</v>
      </c>
      <c r="U10" s="1147"/>
      <c r="V10" s="1148">
        <v>45586</v>
      </c>
      <c r="W10" s="1148">
        <v>45586</v>
      </c>
      <c r="X10" s="1148">
        <v>45596</v>
      </c>
      <c r="Y10" s="1149" t="s">
        <v>1469</v>
      </c>
      <c r="Z10" s="1140"/>
      <c r="AA10" s="1150"/>
      <c r="AB10" s="1298"/>
      <c r="AC10" s="1298"/>
    </row>
    <row r="11" spans="1:29" x14ac:dyDescent="0.35">
      <c r="A11" s="780"/>
      <c r="B11" s="780" cm="1">
        <f t="array" ref="B11">+_xlfn.IFS(C11="Tracking",2,C11="WIP",1,C11="Aborted",3)</f>
        <v>1</v>
      </c>
      <c r="C11" s="781" t="str">
        <f t="shared" si="0"/>
        <v>WIP</v>
      </c>
      <c r="D11" s="782" t="s">
        <v>1481</v>
      </c>
      <c r="E11" s="28" t="s">
        <v>5359</v>
      </c>
      <c r="F11" s="28" t="s">
        <v>1525</v>
      </c>
      <c r="G11" s="47" t="s">
        <v>1526</v>
      </c>
      <c r="H11" s="782" t="s">
        <v>1493</v>
      </c>
      <c r="I11" s="780"/>
      <c r="J11" s="48" t="s">
        <v>111</v>
      </c>
      <c r="K11" s="28" t="s">
        <v>5360</v>
      </c>
      <c r="L11" s="1024"/>
      <c r="M11" s="780"/>
      <c r="N11" s="50" t="s">
        <v>61</v>
      </c>
      <c r="O11" s="50" t="s">
        <v>79</v>
      </c>
      <c r="P11" s="784"/>
      <c r="Q11" s="785"/>
      <c r="R11" s="780"/>
      <c r="S11" s="786">
        <f t="shared" ca="1" si="1"/>
        <v>41</v>
      </c>
      <c r="T11" s="786">
        <f t="shared" ca="1" si="2"/>
        <v>41</v>
      </c>
      <c r="U11" s="787"/>
      <c r="V11" s="788">
        <v>45623</v>
      </c>
      <c r="W11" s="788">
        <v>45623</v>
      </c>
      <c r="X11" s="788">
        <v>45623</v>
      </c>
      <c r="Y11" s="971" t="s">
        <v>1469</v>
      </c>
      <c r="Z11" s="780"/>
      <c r="AA11" s="790"/>
      <c r="AB11" s="1140"/>
      <c r="AC11" s="1140"/>
    </row>
    <row r="12" spans="1:29" x14ac:dyDescent="0.35">
      <c r="A12" s="780"/>
      <c r="B12" s="780" cm="1">
        <f t="array" ref="B12">+_xlfn.IFS(C12="Tracking",2,C12="WIP",1,C12="Aborted",3)</f>
        <v>1</v>
      </c>
      <c r="C12" s="781" t="str">
        <f t="shared" si="0"/>
        <v>WIP</v>
      </c>
      <c r="D12" s="782" t="s">
        <v>1481</v>
      </c>
      <c r="E12" s="28" t="s">
        <v>5361</v>
      </c>
      <c r="F12" s="28" t="s">
        <v>5362</v>
      </c>
      <c r="G12" s="47" t="s">
        <v>1511</v>
      </c>
      <c r="H12" s="782" t="s">
        <v>1493</v>
      </c>
      <c r="I12" s="780"/>
      <c r="J12" s="48" t="s">
        <v>3649</v>
      </c>
      <c r="K12" s="28" t="s">
        <v>3548</v>
      </c>
      <c r="L12" s="1024"/>
      <c r="M12" s="780"/>
      <c r="N12" s="50" t="s">
        <v>61</v>
      </c>
      <c r="O12" s="50" t="s">
        <v>79</v>
      </c>
      <c r="P12" s="784"/>
      <c r="Q12" s="785"/>
      <c r="R12" s="780"/>
      <c r="S12" s="786">
        <f t="shared" ca="1" si="1"/>
        <v>41</v>
      </c>
      <c r="T12" s="786">
        <f t="shared" ca="1" si="2"/>
        <v>41</v>
      </c>
      <c r="U12" s="787"/>
      <c r="V12" s="788">
        <v>45623</v>
      </c>
      <c r="W12" s="788">
        <v>45623</v>
      </c>
      <c r="X12" s="788">
        <v>45623</v>
      </c>
      <c r="Y12" s="971" t="s">
        <v>1469</v>
      </c>
      <c r="Z12" s="780"/>
      <c r="AA12" s="790"/>
    </row>
    <row r="13" spans="1:29" x14ac:dyDescent="0.35">
      <c r="A13" s="1179"/>
      <c r="B13" s="1179" cm="1">
        <f t="array" ref="B13">+_xlfn.IFS(C13="Tracking",2,C13="WIP",1,C13="Aborted",3)</f>
        <v>1</v>
      </c>
      <c r="C13" s="1180" t="str">
        <f t="shared" si="0"/>
        <v>WIP</v>
      </c>
      <c r="D13" s="1181" t="s">
        <v>1481</v>
      </c>
      <c r="E13" s="28" t="s">
        <v>5415</v>
      </c>
      <c r="F13" s="1182" t="s">
        <v>5416</v>
      </c>
      <c r="G13" s="1181" t="s">
        <v>1483</v>
      </c>
      <c r="H13" s="1181" t="s">
        <v>1493</v>
      </c>
      <c r="I13" s="1179"/>
      <c r="J13" s="1183" t="s">
        <v>149</v>
      </c>
      <c r="K13" s="1182" t="s">
        <v>5417</v>
      </c>
      <c r="L13" s="1182"/>
      <c r="M13" s="1179"/>
      <c r="N13" s="1184" t="s">
        <v>153</v>
      </c>
      <c r="O13" s="1184" t="s">
        <v>273</v>
      </c>
      <c r="P13" s="1184"/>
      <c r="Q13" s="1185"/>
      <c r="R13" s="1179"/>
      <c r="S13" s="1186">
        <f t="shared" ca="1" si="1"/>
        <v>98</v>
      </c>
      <c r="T13" s="1186">
        <f t="shared" ca="1" si="2"/>
        <v>41</v>
      </c>
      <c r="U13" s="1187"/>
      <c r="V13" s="1188">
        <v>45566</v>
      </c>
      <c r="W13" s="1188">
        <v>45602</v>
      </c>
      <c r="X13" s="1188">
        <v>45623</v>
      </c>
      <c r="Y13" s="1189" t="s">
        <v>1469</v>
      </c>
      <c r="Z13" s="1179"/>
      <c r="AA13" s="1190"/>
    </row>
    <row r="14" spans="1:29" x14ac:dyDescent="0.35">
      <c r="A14" s="780"/>
      <c r="B14" s="780" cm="1">
        <f t="array" ref="B14">+_xlfn.IFS(C14="Tracking",2,C14="WIP",1,C14="Aborted",3)</f>
        <v>2</v>
      </c>
      <c r="C14" s="781" t="str">
        <f t="shared" si="0"/>
        <v>Tracking</v>
      </c>
      <c r="D14" s="782" t="s">
        <v>1490</v>
      </c>
      <c r="E14" s="28" t="s">
        <v>4556</v>
      </c>
      <c r="F14" s="28" t="s">
        <v>3594</v>
      </c>
      <c r="G14" s="47" t="s">
        <v>3595</v>
      </c>
      <c r="H14" s="782" t="s">
        <v>1484</v>
      </c>
      <c r="I14" s="780"/>
      <c r="J14" s="48" t="s">
        <v>452</v>
      </c>
      <c r="K14" s="28" t="s">
        <v>4557</v>
      </c>
      <c r="L14" s="1024" t="s">
        <v>4627</v>
      </c>
      <c r="M14" s="780"/>
      <c r="N14" s="50" t="s">
        <v>153</v>
      </c>
      <c r="O14" s="50" t="s">
        <v>62</v>
      </c>
      <c r="P14" s="784"/>
      <c r="Q14" s="785"/>
      <c r="R14" s="780"/>
      <c r="S14" s="786">
        <f t="shared" ca="1" si="1"/>
        <v>106</v>
      </c>
      <c r="T14" s="786">
        <f t="shared" ca="1" si="2"/>
        <v>106</v>
      </c>
      <c r="U14" s="787"/>
      <c r="V14" s="788">
        <v>45558</v>
      </c>
      <c r="W14" s="788">
        <v>45558</v>
      </c>
      <c r="X14" s="788">
        <v>45558</v>
      </c>
      <c r="Y14" s="971" t="s">
        <v>1468</v>
      </c>
      <c r="Z14" s="780"/>
      <c r="AA14" s="790"/>
    </row>
    <row r="15" spans="1:29" x14ac:dyDescent="0.35">
      <c r="A15" s="1179"/>
      <c r="B15" s="1179" cm="1">
        <f t="array" ref="B15">+_xlfn.IFS(C15="Tracking",2,C15="WIP",1,C15="Aborted",3)</f>
        <v>2</v>
      </c>
      <c r="C15" s="1180" t="str">
        <f t="shared" si="0"/>
        <v>Tracking</v>
      </c>
      <c r="D15" s="1181" t="s">
        <v>1481</v>
      </c>
      <c r="E15" s="28" t="s">
        <v>4490</v>
      </c>
      <c r="F15" s="1182"/>
      <c r="G15" s="1181" t="s">
        <v>1483</v>
      </c>
      <c r="H15" s="1181" t="s">
        <v>1484</v>
      </c>
      <c r="I15" s="1179"/>
      <c r="J15" s="1183" t="s">
        <v>132</v>
      </c>
      <c r="K15" s="1182" t="s">
        <v>5188</v>
      </c>
      <c r="L15" s="1182"/>
      <c r="M15" s="1179"/>
      <c r="N15" s="1184" t="s">
        <v>78</v>
      </c>
      <c r="O15" s="1184" t="s">
        <v>86</v>
      </c>
      <c r="P15" s="1184"/>
      <c r="Q15" s="1185"/>
      <c r="R15" s="1179"/>
      <c r="S15" s="1186">
        <f t="shared" ca="1" si="1"/>
        <v>64</v>
      </c>
      <c r="T15" s="1186">
        <f t="shared" ca="1" si="2"/>
        <v>64</v>
      </c>
      <c r="U15" s="1187"/>
      <c r="V15" s="1188">
        <v>45600</v>
      </c>
      <c r="W15" s="1188">
        <v>45600</v>
      </c>
      <c r="X15" s="1188">
        <v>45600</v>
      </c>
      <c r="Y15" s="1189" t="s">
        <v>1468</v>
      </c>
      <c r="Z15" s="1179"/>
      <c r="AA15" s="1190"/>
    </row>
    <row r="16" spans="1:29" x14ac:dyDescent="0.35">
      <c r="A16" s="1298"/>
      <c r="B16" s="1298" cm="1">
        <f t="array" ref="B16">+_xlfn.IFS(C16="Tracking",2,C16="WIP",1,C16="Aborted",3)</f>
        <v>3</v>
      </c>
      <c r="C16" s="1299" t="str">
        <f t="shared" si="0"/>
        <v>Aborted</v>
      </c>
      <c r="D16" s="1300" t="s">
        <v>1490</v>
      </c>
      <c r="E16" s="1331" t="s">
        <v>5312</v>
      </c>
      <c r="F16" s="1301" t="s">
        <v>3930</v>
      </c>
      <c r="G16" s="1300" t="s">
        <v>712</v>
      </c>
      <c r="H16" s="1300" t="s">
        <v>1484</v>
      </c>
      <c r="I16" s="1298"/>
      <c r="J16" s="1309" t="s">
        <v>132</v>
      </c>
      <c r="K16" s="1301"/>
      <c r="L16" s="1301"/>
      <c r="M16" s="1298"/>
      <c r="N16" s="1302" t="s">
        <v>78</v>
      </c>
      <c r="O16" s="1302" t="s">
        <v>62</v>
      </c>
      <c r="P16" s="1302"/>
      <c r="Q16" s="1303"/>
      <c r="R16" s="1298"/>
      <c r="S16" s="1304">
        <f t="shared" ca="1" si="1"/>
        <v>76</v>
      </c>
      <c r="T16" s="1304">
        <f t="shared" ca="1" si="2"/>
        <v>28</v>
      </c>
      <c r="U16" s="1305"/>
      <c r="V16" s="1306">
        <v>45588</v>
      </c>
      <c r="W16" s="1306">
        <v>45588</v>
      </c>
      <c r="X16" s="1306">
        <v>45636</v>
      </c>
      <c r="Y16" s="1307" t="s">
        <v>52</v>
      </c>
      <c r="Z16" s="1298"/>
      <c r="AA16" s="1308"/>
    </row>
    <row r="17" spans="1:29" x14ac:dyDescent="0.35">
      <c r="B17" s="6" cm="1">
        <f t="array" ref="B17">+_xlfn.IFS(C17="Tracking",2,C17="WIP",1,C17="Aborted",3)</f>
        <v>3</v>
      </c>
      <c r="C17" s="67" t="str">
        <f t="shared" si="0"/>
        <v>Aborted</v>
      </c>
      <c r="D17" s="47" t="s">
        <v>1481</v>
      </c>
      <c r="E17" s="28" t="s">
        <v>5404</v>
      </c>
      <c r="F17" s="28" t="s">
        <v>5405</v>
      </c>
      <c r="G17" s="47" t="s">
        <v>5406</v>
      </c>
      <c r="H17" s="47" t="s">
        <v>1493</v>
      </c>
      <c r="J17" s="48" t="s">
        <v>111</v>
      </c>
      <c r="K17" s="28" t="s">
        <v>5407</v>
      </c>
      <c r="L17" s="28"/>
      <c r="N17" s="50" t="s">
        <v>3598</v>
      </c>
      <c r="O17" s="50" t="s">
        <v>4423</v>
      </c>
      <c r="P17" s="50"/>
      <c r="Q17" s="51"/>
      <c r="S17" s="55">
        <f t="shared" ca="1" si="1"/>
        <v>79</v>
      </c>
      <c r="T17" s="55">
        <f t="shared" ca="1" si="2"/>
        <v>42</v>
      </c>
      <c r="U17" s="56"/>
      <c r="V17" s="124">
        <v>45585</v>
      </c>
      <c r="W17" s="124">
        <v>45585</v>
      </c>
      <c r="X17" s="124">
        <v>45622</v>
      </c>
      <c r="Y17" s="62" t="s">
        <v>52</v>
      </c>
      <c r="AA17" s="54"/>
    </row>
    <row r="18" spans="1:29" x14ac:dyDescent="0.35">
      <c r="A18" s="780"/>
      <c r="B18" s="780" cm="1">
        <f t="array" ref="B18">+_xlfn.IFS(C18="Tracking",2,C18="WIP",1,C18="Aborted",3)</f>
        <v>3</v>
      </c>
      <c r="C18" s="781" t="str">
        <f t="shared" si="0"/>
        <v>Aborted</v>
      </c>
      <c r="D18" s="782" t="s">
        <v>1490</v>
      </c>
      <c r="E18" s="28" t="s">
        <v>4349</v>
      </c>
      <c r="F18" s="28" t="s">
        <v>1497</v>
      </c>
      <c r="G18" s="47" t="s">
        <v>1498</v>
      </c>
      <c r="H18" s="782" t="s">
        <v>1484</v>
      </c>
      <c r="I18" s="780"/>
      <c r="J18" s="48" t="s">
        <v>1456</v>
      </c>
      <c r="K18" s="813" t="s">
        <v>4356</v>
      </c>
      <c r="L18" s="783"/>
      <c r="M18" s="780"/>
      <c r="N18" s="50" t="s">
        <v>78</v>
      </c>
      <c r="O18" s="784"/>
      <c r="P18" s="784"/>
      <c r="Q18" s="785"/>
      <c r="R18" s="780"/>
      <c r="S18" s="786">
        <f t="shared" ca="1" si="1"/>
        <v>151</v>
      </c>
      <c r="T18" s="786">
        <f t="shared" ca="1" si="2"/>
        <v>134</v>
      </c>
      <c r="U18" s="787"/>
      <c r="V18" s="788">
        <v>45513</v>
      </c>
      <c r="W18" s="788">
        <v>45528</v>
      </c>
      <c r="X18" s="788">
        <v>45530</v>
      </c>
      <c r="Y18" s="789" t="s">
        <v>52</v>
      </c>
      <c r="Z18" s="780"/>
      <c r="AA18" s="790"/>
      <c r="AB18" s="1179"/>
      <c r="AC18" s="1179"/>
    </row>
    <row r="19" spans="1:29" x14ac:dyDescent="0.35">
      <c r="A19" s="509"/>
      <c r="B19" s="509" cm="1">
        <f t="array" ref="B19">+_xlfn.IFS(C19="Tracking",2,C19="WIP",1,C19="Aborted",3)</f>
        <v>3</v>
      </c>
      <c r="C19" s="1234" t="str">
        <f t="shared" si="0"/>
        <v>Aborted</v>
      </c>
      <c r="D19" s="510" t="s">
        <v>1490</v>
      </c>
      <c r="E19" s="28" t="s">
        <v>4348</v>
      </c>
      <c r="F19" s="511" t="s">
        <v>1558</v>
      </c>
      <c r="G19" s="510" t="s">
        <v>1559</v>
      </c>
      <c r="H19" s="510" t="s">
        <v>1484</v>
      </c>
      <c r="I19" s="509"/>
      <c r="J19" s="518" t="s">
        <v>111</v>
      </c>
      <c r="K19" s="511" t="s">
        <v>3575</v>
      </c>
      <c r="L19" s="511" t="s">
        <v>3576</v>
      </c>
      <c r="M19" s="509"/>
      <c r="N19" s="512" t="s">
        <v>78</v>
      </c>
      <c r="O19" s="50" t="s">
        <v>4423</v>
      </c>
      <c r="P19" s="512"/>
      <c r="Q19" s="51" t="s">
        <v>4424</v>
      </c>
      <c r="R19" s="509"/>
      <c r="S19" s="513">
        <f t="shared" ca="1" si="1"/>
        <v>286</v>
      </c>
      <c r="T19" s="513">
        <f t="shared" ca="1" si="2"/>
        <v>119</v>
      </c>
      <c r="U19" s="514"/>
      <c r="V19" s="515">
        <v>45378</v>
      </c>
      <c r="W19" s="515">
        <v>45383</v>
      </c>
      <c r="X19" s="515">
        <v>45545</v>
      </c>
      <c r="Y19" s="789" t="s">
        <v>52</v>
      </c>
      <c r="Z19" s="509"/>
      <c r="AA19" s="516"/>
    </row>
    <row r="20" spans="1:29" x14ac:dyDescent="0.35">
      <c r="A20" s="780"/>
      <c r="B20" s="780" cm="1">
        <f t="array" ref="B20">+_xlfn.IFS(C20="Tracking",2,C20="WIP",1,C20="Aborted",3)</f>
        <v>3</v>
      </c>
      <c r="C20" s="781" t="str">
        <f t="shared" si="0"/>
        <v>Aborted</v>
      </c>
      <c r="D20" s="782" t="s">
        <v>1490</v>
      </c>
      <c r="E20" s="28" t="s">
        <v>4350</v>
      </c>
      <c r="F20" s="28" t="s">
        <v>1525</v>
      </c>
      <c r="G20" s="47" t="s">
        <v>1526</v>
      </c>
      <c r="H20" s="782" t="s">
        <v>1484</v>
      </c>
      <c r="I20" s="780"/>
      <c r="J20" s="48" t="s">
        <v>452</v>
      </c>
      <c r="K20" s="28" t="s">
        <v>4351</v>
      </c>
      <c r="L20" s="28" t="s">
        <v>4352</v>
      </c>
      <c r="M20" s="780"/>
      <c r="N20" s="50" t="s">
        <v>78</v>
      </c>
      <c r="O20" s="1144" t="s">
        <v>62</v>
      </c>
      <c r="P20" s="784"/>
      <c r="Q20" s="785"/>
      <c r="R20" s="780"/>
      <c r="S20" s="786">
        <f t="shared" ca="1" si="1"/>
        <v>151</v>
      </c>
      <c r="T20" s="786">
        <f t="shared" ca="1" si="2"/>
        <v>105</v>
      </c>
      <c r="U20" s="787"/>
      <c r="V20" s="788">
        <v>45513</v>
      </c>
      <c r="W20" s="788">
        <v>45513</v>
      </c>
      <c r="X20" s="788">
        <v>45559</v>
      </c>
      <c r="Y20" s="789" t="s">
        <v>52</v>
      </c>
      <c r="Z20" s="780"/>
      <c r="AA20" s="790"/>
      <c r="AB20" s="1021"/>
      <c r="AC20" s="1021"/>
    </row>
    <row r="21" spans="1:29" x14ac:dyDescent="0.35">
      <c r="A21" s="713"/>
      <c r="B21" s="713" cm="1">
        <f t="array" ref="B21">+_xlfn.IFS(C21="Tracking",2,C21="WIP",1,C21="Aborted",3)</f>
        <v>3</v>
      </c>
      <c r="C21" s="714" t="str">
        <f t="shared" si="0"/>
        <v>Aborted</v>
      </c>
      <c r="D21" s="715" t="s">
        <v>1490</v>
      </c>
      <c r="E21" s="716" t="s">
        <v>4273</v>
      </c>
      <c r="F21" s="716" t="s">
        <v>4274</v>
      </c>
      <c r="G21" s="715" t="s">
        <v>4275</v>
      </c>
      <c r="H21" s="715" t="s">
        <v>1484</v>
      </c>
      <c r="I21" s="713"/>
      <c r="J21" s="724" t="s">
        <v>111</v>
      </c>
      <c r="K21" s="716" t="s">
        <v>4276</v>
      </c>
      <c r="L21" s="1024" t="s">
        <v>4625</v>
      </c>
      <c r="M21" s="713"/>
      <c r="N21" s="717" t="s">
        <v>78</v>
      </c>
      <c r="O21" s="717" t="s">
        <v>62</v>
      </c>
      <c r="P21" s="717"/>
      <c r="Q21" s="718"/>
      <c r="R21" s="713"/>
      <c r="S21" s="719">
        <f t="shared" ca="1" si="1"/>
        <v>196</v>
      </c>
      <c r="T21" s="719">
        <f t="shared" ca="1" si="2"/>
        <v>127</v>
      </c>
      <c r="U21" s="720"/>
      <c r="V21" s="721">
        <v>45468</v>
      </c>
      <c r="W21" s="721">
        <v>45468</v>
      </c>
      <c r="X21" s="721">
        <v>45537</v>
      </c>
      <c r="Y21" s="722" t="s">
        <v>52</v>
      </c>
      <c r="Z21" s="713"/>
      <c r="AA21" s="723"/>
    </row>
    <row r="22" spans="1:29" x14ac:dyDescent="0.35">
      <c r="B22" s="6" cm="1">
        <f t="array" ref="B22">+_xlfn.IFS(C22="Tracking",2,C22="WIP",1,C22="Aborted",3)</f>
        <v>3</v>
      </c>
      <c r="C22" s="67" t="str">
        <f t="shared" si="0"/>
        <v>Aborted</v>
      </c>
      <c r="D22" s="47" t="s">
        <v>1490</v>
      </c>
      <c r="E22" s="28" t="s">
        <v>3924</v>
      </c>
      <c r="F22" s="28" t="s">
        <v>1504</v>
      </c>
      <c r="G22" s="47" t="s">
        <v>1038</v>
      </c>
      <c r="H22" s="47" t="s">
        <v>1484</v>
      </c>
      <c r="J22" s="48" t="s">
        <v>83</v>
      </c>
      <c r="K22" s="28" t="s">
        <v>3927</v>
      </c>
      <c r="L22" s="28" t="s">
        <v>4626</v>
      </c>
      <c r="N22" s="50" t="s">
        <v>153</v>
      </c>
      <c r="O22" s="50" t="s">
        <v>62</v>
      </c>
      <c r="P22" s="50"/>
      <c r="Q22" s="51"/>
      <c r="S22" s="55">
        <f t="shared" ca="1" si="1"/>
        <v>224</v>
      </c>
      <c r="T22" s="55">
        <f t="shared" ca="1" si="2"/>
        <v>106</v>
      </c>
      <c r="U22" s="56"/>
      <c r="V22" s="124">
        <v>45440</v>
      </c>
      <c r="W22" s="124">
        <v>45440</v>
      </c>
      <c r="X22" s="124">
        <v>45558</v>
      </c>
      <c r="Y22" s="62" t="s">
        <v>52</v>
      </c>
      <c r="AA22" s="54"/>
    </row>
    <row r="23" spans="1:29" x14ac:dyDescent="0.35">
      <c r="B23" s="661" cm="1">
        <f t="array" ref="B23">+_xlfn.IFS(C23="Tracking",2,C23="WIP",1,C23="Aborted",3)</f>
        <v>3</v>
      </c>
      <c r="C23" s="67" t="str">
        <f t="shared" si="0"/>
        <v>Aborted</v>
      </c>
      <c r="D23" s="47" t="s">
        <v>1490</v>
      </c>
      <c r="E23" s="28" t="s">
        <v>4159</v>
      </c>
      <c r="F23" s="28" t="s">
        <v>1514</v>
      </c>
      <c r="G23" s="47" t="s">
        <v>689</v>
      </c>
      <c r="H23" s="47" t="s">
        <v>1493</v>
      </c>
      <c r="J23" s="48" t="s">
        <v>377</v>
      </c>
      <c r="K23" s="28" t="s">
        <v>4160</v>
      </c>
      <c r="L23" s="28" t="s">
        <v>4161</v>
      </c>
      <c r="N23" s="50" t="s">
        <v>153</v>
      </c>
      <c r="O23" s="50"/>
      <c r="P23" s="50"/>
      <c r="Q23" s="51"/>
      <c r="S23" s="55">
        <f t="shared" ca="1" si="1"/>
        <v>217</v>
      </c>
      <c r="T23" s="55">
        <f t="shared" ca="1" si="2"/>
        <v>211</v>
      </c>
      <c r="U23" s="56"/>
      <c r="V23" s="124">
        <v>45447</v>
      </c>
      <c r="W23" s="124">
        <v>45449</v>
      </c>
      <c r="X23" s="124">
        <v>45453</v>
      </c>
      <c r="Y23" s="62" t="s">
        <v>52</v>
      </c>
      <c r="AA23" s="54"/>
    </row>
    <row r="24" spans="1:29" x14ac:dyDescent="0.35">
      <c r="B24" s="6" cm="1">
        <f t="array" ref="B24">+_xlfn.IFS(C24="Tracking",2,C24="WIP",1,C24="Aborted",3)</f>
        <v>3</v>
      </c>
      <c r="C24" s="67" t="str">
        <f t="shared" si="0"/>
        <v>Aborted</v>
      </c>
      <c r="D24" s="47" t="s">
        <v>1481</v>
      </c>
      <c r="E24" s="511" t="s">
        <v>407</v>
      </c>
      <c r="F24" s="28" t="s">
        <v>4336</v>
      </c>
      <c r="G24" s="47" t="s">
        <v>1483</v>
      </c>
      <c r="H24" s="47" t="s">
        <v>1484</v>
      </c>
      <c r="J24" s="518" t="s">
        <v>111</v>
      </c>
      <c r="K24" s="28" t="s">
        <v>409</v>
      </c>
      <c r="L24" s="28"/>
      <c r="N24" s="50" t="s">
        <v>78</v>
      </c>
      <c r="O24" s="50" t="s">
        <v>86</v>
      </c>
      <c r="P24" s="50" t="s">
        <v>79</v>
      </c>
      <c r="Q24" s="51"/>
      <c r="S24" s="55">
        <f t="shared" ca="1" si="1"/>
        <v>169</v>
      </c>
      <c r="T24" s="55">
        <f t="shared" ca="1" si="2"/>
        <v>169</v>
      </c>
      <c r="U24" s="56"/>
      <c r="V24" s="124">
        <v>45495</v>
      </c>
      <c r="W24" s="124">
        <v>45495</v>
      </c>
      <c r="X24" s="124">
        <v>45495</v>
      </c>
      <c r="Y24" s="62" t="s">
        <v>52</v>
      </c>
      <c r="AA24" s="54"/>
    </row>
    <row r="25" spans="1:29" x14ac:dyDescent="0.35">
      <c r="B25" s="6" cm="1">
        <f t="array" ref="B25">+_xlfn.IFS(C25="Tracking",2,C25="WIP",1,C25="Aborted",3)</f>
        <v>3</v>
      </c>
      <c r="C25" s="67" t="str">
        <f t="shared" si="0"/>
        <v>Aborted</v>
      </c>
      <c r="D25" s="47" t="s">
        <v>1481</v>
      </c>
      <c r="E25" s="511" t="s">
        <v>3811</v>
      </c>
      <c r="F25" s="28" t="s">
        <v>4337</v>
      </c>
      <c r="G25" s="47" t="s">
        <v>1483</v>
      </c>
      <c r="H25" s="47" t="s">
        <v>1484</v>
      </c>
      <c r="J25" s="48" t="s">
        <v>377</v>
      </c>
      <c r="K25" s="28" t="s">
        <v>3814</v>
      </c>
      <c r="L25" s="28"/>
      <c r="N25" s="50" t="s">
        <v>61</v>
      </c>
      <c r="O25" s="50" t="s">
        <v>86</v>
      </c>
      <c r="P25" s="50"/>
      <c r="Q25" s="51"/>
      <c r="S25" s="55">
        <f t="shared" ca="1" si="1"/>
        <v>165</v>
      </c>
      <c r="T25" s="55">
        <f t="shared" ca="1" si="2"/>
        <v>165</v>
      </c>
      <c r="U25" s="56"/>
      <c r="V25" s="124">
        <v>45499</v>
      </c>
      <c r="W25" s="124">
        <v>45499</v>
      </c>
      <c r="X25" s="124">
        <v>45499</v>
      </c>
      <c r="Y25" s="62" t="s">
        <v>52</v>
      </c>
      <c r="AA25" s="54"/>
      <c r="AB25" s="780"/>
      <c r="AC25" s="780"/>
    </row>
    <row r="26" spans="1:29" x14ac:dyDescent="0.35">
      <c r="B26" s="6" cm="1">
        <f t="array" ref="B26">+_xlfn.IFS(C26="Tracking",2,C26="WIP",1,C26="Aborted",3)</f>
        <v>3</v>
      </c>
      <c r="C26" s="67" t="str">
        <f t="shared" si="0"/>
        <v>Aborted</v>
      </c>
      <c r="D26" s="47" t="s">
        <v>1481</v>
      </c>
      <c r="E26" s="28" t="s">
        <v>3647</v>
      </c>
      <c r="F26" s="28" t="s">
        <v>1594</v>
      </c>
      <c r="G26" s="47" t="s">
        <v>1511</v>
      </c>
      <c r="H26" s="47" t="s">
        <v>1484</v>
      </c>
      <c r="J26" s="462" t="s">
        <v>3648</v>
      </c>
      <c r="K26" s="28" t="s">
        <v>3919</v>
      </c>
      <c r="L26" s="28" t="s">
        <v>3920</v>
      </c>
      <c r="N26" s="50" t="s">
        <v>3598</v>
      </c>
      <c r="O26" s="50" t="s">
        <v>62</v>
      </c>
      <c r="P26" s="50"/>
      <c r="Q26" s="51"/>
      <c r="S26" s="55">
        <f t="shared" ca="1" si="1"/>
        <v>224</v>
      </c>
      <c r="T26" s="55">
        <f t="shared" ca="1" si="2"/>
        <v>224</v>
      </c>
      <c r="U26" s="56"/>
      <c r="V26" s="124">
        <v>45440</v>
      </c>
      <c r="W26" s="124">
        <v>45440</v>
      </c>
      <c r="X26" s="124">
        <v>45440</v>
      </c>
      <c r="Y26" s="62" t="s">
        <v>52</v>
      </c>
      <c r="AA26" s="54"/>
      <c r="AB26" s="780"/>
      <c r="AC26" s="780"/>
    </row>
    <row r="27" spans="1:29" x14ac:dyDescent="0.35">
      <c r="B27" s="6" cm="1">
        <f t="array" ref="B27">+_xlfn.IFS(C27="Tracking",2,C27="WIP",1,C27="Aborted",3)</f>
        <v>3</v>
      </c>
      <c r="C27" s="67" t="str">
        <f t="shared" si="0"/>
        <v>Aborted</v>
      </c>
      <c r="D27" s="47" t="s">
        <v>1481</v>
      </c>
      <c r="E27" s="28" t="s">
        <v>3677</v>
      </c>
      <c r="F27" s="28" t="s">
        <v>1594</v>
      </c>
      <c r="G27" s="47" t="s">
        <v>1511</v>
      </c>
      <c r="H27" s="47" t="s">
        <v>1484</v>
      </c>
      <c r="J27" s="48" t="s">
        <v>267</v>
      </c>
      <c r="K27" s="28" t="s">
        <v>3678</v>
      </c>
      <c r="L27" s="28" t="s">
        <v>3679</v>
      </c>
      <c r="N27" s="50" t="s">
        <v>3598</v>
      </c>
      <c r="O27" s="50" t="s">
        <v>62</v>
      </c>
      <c r="P27" s="50"/>
      <c r="Q27" s="51"/>
      <c r="S27" s="55">
        <f t="shared" ca="1" si="1"/>
        <v>239</v>
      </c>
      <c r="T27" s="55">
        <f t="shared" ca="1" si="2"/>
        <v>237</v>
      </c>
      <c r="U27" s="56"/>
      <c r="V27" s="124">
        <v>45425</v>
      </c>
      <c r="W27" s="124">
        <v>45425</v>
      </c>
      <c r="X27" s="124">
        <v>45427</v>
      </c>
      <c r="Y27" s="62" t="s">
        <v>52</v>
      </c>
      <c r="AA27" s="54"/>
      <c r="AB27" s="780"/>
      <c r="AC27" s="780"/>
    </row>
    <row r="28" spans="1:29" x14ac:dyDescent="0.35">
      <c r="A28" s="203"/>
      <c r="B28" s="203" cm="1">
        <f t="array" ref="B28">+_xlfn.IFS(C28="Tracking",2,C28="WIP",1,C28="Aborted",3)</f>
        <v>3</v>
      </c>
      <c r="C28" s="421" t="str">
        <f t="shared" si="0"/>
        <v>Aborted</v>
      </c>
      <c r="D28" s="205" t="s">
        <v>1490</v>
      </c>
      <c r="E28" s="28" t="s">
        <v>2935</v>
      </c>
      <c r="F28" s="206" t="s">
        <v>1491</v>
      </c>
      <c r="G28" s="47" t="s">
        <v>1492</v>
      </c>
      <c r="H28" s="47" t="s">
        <v>1484</v>
      </c>
      <c r="I28" s="203"/>
      <c r="J28" s="48" t="s">
        <v>658</v>
      </c>
      <c r="K28" s="28" t="s">
        <v>2936</v>
      </c>
      <c r="L28" s="28" t="s">
        <v>2937</v>
      </c>
      <c r="M28" s="203"/>
      <c r="N28" s="50" t="s">
        <v>78</v>
      </c>
      <c r="O28" s="50" t="s">
        <v>86</v>
      </c>
      <c r="P28" s="207"/>
      <c r="Q28" s="208"/>
      <c r="R28" s="203"/>
      <c r="S28" s="209">
        <f t="shared" ca="1" si="1"/>
        <v>351</v>
      </c>
      <c r="T28" s="209">
        <f t="shared" ca="1" si="2"/>
        <v>349</v>
      </c>
      <c r="U28" s="210"/>
      <c r="V28" s="211">
        <v>45313</v>
      </c>
      <c r="W28" s="211">
        <v>45313</v>
      </c>
      <c r="X28" s="211">
        <v>45315</v>
      </c>
      <c r="Y28" s="212" t="s">
        <v>52</v>
      </c>
      <c r="Z28" s="203"/>
      <c r="AA28" s="213"/>
      <c r="AB28" s="780"/>
      <c r="AC28" s="780"/>
    </row>
    <row r="29" spans="1:29" x14ac:dyDescent="0.35">
      <c r="A29" s="420"/>
      <c r="B29" s="420" cm="1">
        <f t="array" ref="B29">+_xlfn.IFS(C29="Tracking",2,C29="WIP",1,C29="Aborted",3)</f>
        <v>3</v>
      </c>
      <c r="C29" s="421" t="str">
        <f t="shared" si="0"/>
        <v>Aborted</v>
      </c>
      <c r="D29" s="422" t="s">
        <v>1490</v>
      </c>
      <c r="E29" s="423" t="s">
        <v>3317</v>
      </c>
      <c r="F29" s="423" t="s">
        <v>1558</v>
      </c>
      <c r="G29" s="422" t="s">
        <v>1559</v>
      </c>
      <c r="H29" s="422" t="s">
        <v>1493</v>
      </c>
      <c r="I29" s="420"/>
      <c r="J29" s="431" t="s">
        <v>3207</v>
      </c>
      <c r="K29" s="423" t="s">
        <v>3318</v>
      </c>
      <c r="L29" s="423" t="s">
        <v>240</v>
      </c>
      <c r="M29" s="420"/>
      <c r="N29" s="424" t="s">
        <v>78</v>
      </c>
      <c r="O29" s="424" t="s">
        <v>62</v>
      </c>
      <c r="P29" s="424"/>
      <c r="Q29" s="425"/>
      <c r="R29" s="420"/>
      <c r="S29" s="426">
        <f t="shared" ca="1" si="1"/>
        <v>321</v>
      </c>
      <c r="T29" s="426">
        <f t="shared" ca="1" si="2"/>
        <v>321</v>
      </c>
      <c r="U29" s="427"/>
      <c r="V29" s="428">
        <v>45343</v>
      </c>
      <c r="W29" s="428">
        <v>45343</v>
      </c>
      <c r="X29" s="428">
        <v>45343</v>
      </c>
      <c r="Y29" s="429" t="s">
        <v>52</v>
      </c>
      <c r="Z29" s="420"/>
      <c r="AA29" s="430" t="s">
        <v>7</v>
      </c>
    </row>
    <row r="30" spans="1:29" x14ac:dyDescent="0.35">
      <c r="B30" s="6" cm="1">
        <f t="array" ref="B30">+_xlfn.IFS(C30="Tracking",2,C30="WIP",1,C30="Aborted",3)</f>
        <v>3</v>
      </c>
      <c r="C30" s="67" t="str">
        <f t="shared" si="0"/>
        <v>Aborted</v>
      </c>
      <c r="D30" s="47" t="s">
        <v>1481</v>
      </c>
      <c r="E30" s="28" t="s">
        <v>1487</v>
      </c>
      <c r="F30" s="28" t="s">
        <v>253</v>
      </c>
      <c r="G30" s="47" t="s">
        <v>1483</v>
      </c>
      <c r="H30" s="47" t="s">
        <v>1484</v>
      </c>
      <c r="J30" s="48" t="s">
        <v>111</v>
      </c>
      <c r="K30" s="28" t="s">
        <v>1488</v>
      </c>
      <c r="L30" s="28" t="s">
        <v>1489</v>
      </c>
      <c r="N30" s="50" t="s">
        <v>78</v>
      </c>
      <c r="O30" s="50" t="s">
        <v>86</v>
      </c>
      <c r="P30" s="50"/>
      <c r="Q30" s="51"/>
      <c r="S30" s="55">
        <f t="shared" ca="1" si="1"/>
        <v>439</v>
      </c>
      <c r="T30" s="55">
        <f t="shared" ca="1" si="2"/>
        <v>439</v>
      </c>
      <c r="U30" s="56"/>
      <c r="V30" s="124">
        <v>45225</v>
      </c>
      <c r="W30" s="124">
        <v>45225</v>
      </c>
      <c r="X30" s="124">
        <v>45225</v>
      </c>
      <c r="Y30" s="62" t="s">
        <v>52</v>
      </c>
      <c r="AA30" s="54"/>
    </row>
    <row r="31" spans="1:29" x14ac:dyDescent="0.35">
      <c r="B31" s="6" cm="1">
        <f t="array" ref="B31">+_xlfn.IFS(C31="Tracking",2,C31="WIP",1,C31="Aborted",3)</f>
        <v>3</v>
      </c>
      <c r="C31" s="67" t="str">
        <f t="shared" si="0"/>
        <v>Aborted</v>
      </c>
      <c r="D31" s="47" t="s">
        <v>1481</v>
      </c>
      <c r="E31" s="28" t="s">
        <v>3253</v>
      </c>
      <c r="F31" s="28" t="s">
        <v>253</v>
      </c>
      <c r="G31" s="47" t="s">
        <v>1483</v>
      </c>
      <c r="H31" s="47" t="s">
        <v>1484</v>
      </c>
      <c r="J31" s="48" t="s">
        <v>111</v>
      </c>
      <c r="K31" s="28" t="s">
        <v>3252</v>
      </c>
      <c r="L31" s="28"/>
      <c r="N31" s="50" t="s">
        <v>78</v>
      </c>
      <c r="O31" s="50" t="s">
        <v>86</v>
      </c>
      <c r="P31" s="50"/>
      <c r="Q31" s="51"/>
      <c r="S31" s="55">
        <f t="shared" ca="1" si="1"/>
        <v>328</v>
      </c>
      <c r="T31" s="55">
        <f t="shared" ca="1" si="2"/>
        <v>328</v>
      </c>
      <c r="U31" s="56"/>
      <c r="V31" s="124">
        <v>45336</v>
      </c>
      <c r="W31" s="124">
        <v>45336</v>
      </c>
      <c r="X31" s="124">
        <v>45336</v>
      </c>
      <c r="Y31" s="62" t="s">
        <v>52</v>
      </c>
      <c r="AA31" s="54"/>
    </row>
    <row r="32" spans="1:29" x14ac:dyDescent="0.35">
      <c r="A32" s="375"/>
      <c r="B32" s="375" cm="1">
        <f t="array" ref="B32">+_xlfn.IFS(C32="Tracking",2,C32="WIP",1,C32="Aborted",3)</f>
        <v>3</v>
      </c>
      <c r="C32" s="376" t="str">
        <f t="shared" si="0"/>
        <v>Aborted</v>
      </c>
      <c r="D32" s="377" t="s">
        <v>1490</v>
      </c>
      <c r="E32" s="378" t="s">
        <v>3264</v>
      </c>
      <c r="F32" s="378" t="s">
        <v>1491</v>
      </c>
      <c r="G32" s="377" t="s">
        <v>3268</v>
      </c>
      <c r="H32" s="377" t="s">
        <v>1493</v>
      </c>
      <c r="I32" s="375"/>
      <c r="J32" s="379" t="s">
        <v>149</v>
      </c>
      <c r="K32" s="378" t="s">
        <v>3265</v>
      </c>
      <c r="L32" s="378" t="s">
        <v>3267</v>
      </c>
      <c r="M32" s="375"/>
      <c r="N32" s="380" t="s">
        <v>153</v>
      </c>
      <c r="O32" s="380" t="s">
        <v>154</v>
      </c>
      <c r="P32" s="380"/>
      <c r="Q32" s="381" t="s">
        <v>3266</v>
      </c>
      <c r="R32" s="375"/>
      <c r="S32" s="382">
        <f t="shared" ca="1" si="1"/>
        <v>336</v>
      </c>
      <c r="T32" s="382">
        <f t="shared" ca="1" si="2"/>
        <v>336</v>
      </c>
      <c r="U32" s="383"/>
      <c r="V32" s="384">
        <v>45328</v>
      </c>
      <c r="W32" s="384">
        <f>+V32</f>
        <v>45328</v>
      </c>
      <c r="X32" s="384">
        <f>+W32</f>
        <v>45328</v>
      </c>
      <c r="Y32" s="385" t="s">
        <v>52</v>
      </c>
      <c r="Z32" s="375"/>
      <c r="AA32" s="386"/>
      <c r="AB32" s="703"/>
      <c r="AC32" s="691"/>
    </row>
    <row r="33" spans="1:29" x14ac:dyDescent="0.35">
      <c r="A33" s="203"/>
      <c r="B33" s="203" cm="1">
        <f t="array" ref="B33">+_xlfn.IFS(C33="Tracking",2,C33="WIP",1,C33="Aborted",3)</f>
        <v>3</v>
      </c>
      <c r="C33" s="204" t="str">
        <f t="shared" si="0"/>
        <v>Aborted</v>
      </c>
      <c r="D33" s="205" t="s">
        <v>1490</v>
      </c>
      <c r="E33" s="206" t="s">
        <v>2728</v>
      </c>
      <c r="F33" s="206" t="s">
        <v>1491</v>
      </c>
      <c r="G33" s="205" t="s">
        <v>1492</v>
      </c>
      <c r="H33" s="205" t="s">
        <v>1493</v>
      </c>
      <c r="I33" s="203"/>
      <c r="J33" s="215" t="s">
        <v>111</v>
      </c>
      <c r="K33" s="206" t="s">
        <v>2729</v>
      </c>
      <c r="L33" s="206" t="s">
        <v>240</v>
      </c>
      <c r="M33" s="203"/>
      <c r="N33" s="207" t="s">
        <v>61</v>
      </c>
      <c r="O33" s="207" t="s">
        <v>62</v>
      </c>
      <c r="P33" s="207"/>
      <c r="Q33" s="208"/>
      <c r="R33" s="203"/>
      <c r="S33" s="209">
        <f t="shared" ca="1" si="1"/>
        <v>358</v>
      </c>
      <c r="T33" s="209">
        <f t="shared" ca="1" si="2"/>
        <v>358</v>
      </c>
      <c r="U33" s="210"/>
      <c r="V33" s="211">
        <v>45306</v>
      </c>
      <c r="W33" s="211">
        <v>45306</v>
      </c>
      <c r="X33" s="211">
        <v>45306</v>
      </c>
      <c r="Y33" s="212" t="s">
        <v>52</v>
      </c>
      <c r="Z33" s="203"/>
      <c r="AA33" s="213"/>
      <c r="AB33" s="674"/>
      <c r="AC33" s="661"/>
    </row>
    <row r="34" spans="1:29" x14ac:dyDescent="0.35">
      <c r="A34" s="203"/>
      <c r="B34" s="203" cm="1">
        <f t="array" ref="B34">+_xlfn.IFS(C34="Tracking",2,C34="WIP",1,C34="Aborted",3)</f>
        <v>3</v>
      </c>
      <c r="C34" s="204" t="str">
        <f t="shared" si="0"/>
        <v>Aborted</v>
      </c>
      <c r="D34" s="205" t="s">
        <v>1481</v>
      </c>
      <c r="E34" s="206" t="s">
        <v>2730</v>
      </c>
      <c r="F34" s="206" t="s">
        <v>1491</v>
      </c>
      <c r="G34" s="205" t="s">
        <v>1483</v>
      </c>
      <c r="H34" s="205" t="s">
        <v>1493</v>
      </c>
      <c r="I34" s="203"/>
      <c r="J34" s="215" t="s">
        <v>111</v>
      </c>
      <c r="K34" s="206" t="s">
        <v>2733</v>
      </c>
      <c r="L34" s="206" t="s">
        <v>2735</v>
      </c>
      <c r="M34" s="203"/>
      <c r="N34" s="207" t="s">
        <v>61</v>
      </c>
      <c r="O34" s="207" t="s">
        <v>79</v>
      </c>
      <c r="P34" s="207"/>
      <c r="Q34" s="208"/>
      <c r="R34" s="203"/>
      <c r="S34" s="209">
        <f t="shared" ca="1" si="1"/>
        <v>361</v>
      </c>
      <c r="T34" s="209">
        <f t="shared" ca="1" si="2"/>
        <v>358</v>
      </c>
      <c r="U34" s="210"/>
      <c r="V34" s="211">
        <v>45303</v>
      </c>
      <c r="W34" s="211">
        <v>45303</v>
      </c>
      <c r="X34" s="211">
        <v>45306</v>
      </c>
      <c r="Y34" s="212" t="s">
        <v>52</v>
      </c>
      <c r="Z34" s="203"/>
      <c r="AA34" s="213"/>
      <c r="AB34" s="674"/>
      <c r="AC34" s="661"/>
    </row>
    <row r="35" spans="1:29" x14ac:dyDescent="0.35">
      <c r="A35" s="203"/>
      <c r="B35" s="203" cm="1">
        <f t="array" ref="B35">+_xlfn.IFS(C35="Tracking",2,C35="WIP",1,C35="Aborted",3)</f>
        <v>3</v>
      </c>
      <c r="C35" s="204" t="str">
        <f t="shared" si="0"/>
        <v>Aborted</v>
      </c>
      <c r="D35" s="205" t="s">
        <v>1481</v>
      </c>
      <c r="E35" s="206" t="s">
        <v>2731</v>
      </c>
      <c r="F35" s="206" t="s">
        <v>1491</v>
      </c>
      <c r="G35" s="205" t="s">
        <v>1483</v>
      </c>
      <c r="H35" s="205" t="s">
        <v>1493</v>
      </c>
      <c r="I35" s="203"/>
      <c r="J35" s="215" t="s">
        <v>658</v>
      </c>
      <c r="K35" s="206" t="s">
        <v>2734</v>
      </c>
      <c r="L35" s="206" t="s">
        <v>2735</v>
      </c>
      <c r="M35" s="203"/>
      <c r="N35" s="207" t="s">
        <v>61</v>
      </c>
      <c r="O35" s="207" t="s">
        <v>79</v>
      </c>
      <c r="P35" s="207"/>
      <c r="Q35" s="208"/>
      <c r="R35" s="203"/>
      <c r="S35" s="209">
        <f t="shared" ca="1" si="1"/>
        <v>361</v>
      </c>
      <c r="T35" s="209">
        <f t="shared" ca="1" si="2"/>
        <v>358</v>
      </c>
      <c r="U35" s="210"/>
      <c r="V35" s="211">
        <v>45303</v>
      </c>
      <c r="W35" s="211">
        <v>45303</v>
      </c>
      <c r="X35" s="211">
        <v>45306</v>
      </c>
      <c r="Y35" s="212" t="s">
        <v>52</v>
      </c>
      <c r="Z35" s="203"/>
      <c r="AA35" s="216"/>
      <c r="AB35" s="674"/>
      <c r="AC35" s="661"/>
    </row>
    <row r="36" spans="1:29" x14ac:dyDescent="0.35">
      <c r="A36" s="203"/>
      <c r="B36" s="203" cm="1">
        <f t="array" ref="B36">+_xlfn.IFS(C36="Tracking",2,C36="WIP",1,C36="Aborted",3)</f>
        <v>3</v>
      </c>
      <c r="C36" s="204" t="str">
        <f t="shared" si="0"/>
        <v>Aborted</v>
      </c>
      <c r="D36" s="205" t="s">
        <v>1481</v>
      </c>
      <c r="E36" s="206" t="s">
        <v>2732</v>
      </c>
      <c r="F36" s="206" t="s">
        <v>1594</v>
      </c>
      <c r="G36" s="205" t="s">
        <v>1483</v>
      </c>
      <c r="H36" s="205" t="s">
        <v>1493</v>
      </c>
      <c r="I36" s="203"/>
      <c r="J36" s="215" t="s">
        <v>377</v>
      </c>
      <c r="K36" s="206" t="s">
        <v>1488</v>
      </c>
      <c r="L36" s="206" t="s">
        <v>2736</v>
      </c>
      <c r="M36" s="203"/>
      <c r="N36" s="207" t="s">
        <v>78</v>
      </c>
      <c r="O36" s="207"/>
      <c r="P36" s="207"/>
      <c r="Q36" s="208"/>
      <c r="R36" s="203"/>
      <c r="S36" s="209">
        <f t="shared" ca="1" si="1"/>
        <v>389</v>
      </c>
      <c r="T36" s="209">
        <f t="shared" ca="1" si="2"/>
        <v>361</v>
      </c>
      <c r="U36" s="210"/>
      <c r="V36" s="211">
        <v>45275</v>
      </c>
      <c r="W36" s="211">
        <v>45275</v>
      </c>
      <c r="X36" s="211">
        <v>45303</v>
      </c>
      <c r="Y36" s="212" t="s">
        <v>52</v>
      </c>
      <c r="Z36" s="203"/>
      <c r="AA36" s="216"/>
      <c r="AB36" s="674"/>
      <c r="AC36" s="661"/>
    </row>
    <row r="37" spans="1:29" x14ac:dyDescent="0.35">
      <c r="B37" s="6" cm="1">
        <f t="array" ref="B37">+_xlfn.IFS(C37="Tracking",2,C37="WIP",1,C37="Aborted",3)</f>
        <v>3</v>
      </c>
      <c r="C37" s="204" t="str">
        <f t="shared" ref="C37:C68" si="3">+Y37</f>
        <v>Aborted</v>
      </c>
      <c r="D37" s="47" t="s">
        <v>1490</v>
      </c>
      <c r="E37" s="28" t="s">
        <v>2578</v>
      </c>
      <c r="F37" s="28" t="s">
        <v>1600</v>
      </c>
      <c r="G37" s="47" t="s">
        <v>1040</v>
      </c>
      <c r="H37" s="47" t="s">
        <v>1484</v>
      </c>
      <c r="J37" s="48" t="s">
        <v>2579</v>
      </c>
      <c r="K37" s="28" t="s">
        <v>2581</v>
      </c>
      <c r="L37" s="28" t="s">
        <v>2580</v>
      </c>
      <c r="N37" s="50" t="s">
        <v>78</v>
      </c>
      <c r="O37" s="50" t="s">
        <v>62</v>
      </c>
      <c r="P37" s="50"/>
      <c r="Q37" s="51"/>
      <c r="S37" s="55">
        <f t="shared" ref="S37:S68" ca="1" si="4">+TODAY()-V37</f>
        <v>419</v>
      </c>
      <c r="T37" s="55">
        <f t="shared" ref="T37:T68" ca="1" si="5">+TODAY()-X37</f>
        <v>411</v>
      </c>
      <c r="U37" s="56"/>
      <c r="V37" s="124">
        <v>45245</v>
      </c>
      <c r="W37" s="124">
        <v>45245</v>
      </c>
      <c r="X37" s="124">
        <v>45253</v>
      </c>
      <c r="Y37" s="62" t="s">
        <v>52</v>
      </c>
      <c r="AA37" s="54"/>
      <c r="AB37" s="674"/>
      <c r="AC37" s="661"/>
    </row>
    <row r="38" spans="1:29" x14ac:dyDescent="0.35">
      <c r="B38" s="6" cm="1">
        <f t="array" ref="B38">+_xlfn.IFS(C38="Tracking",2,C38="WIP",1,C38="Aborted",3)</f>
        <v>3</v>
      </c>
      <c r="C38" s="204" t="str">
        <f t="shared" si="3"/>
        <v>Aborted</v>
      </c>
      <c r="D38" s="47" t="s">
        <v>1490</v>
      </c>
      <c r="E38" s="28" t="s">
        <v>399</v>
      </c>
      <c r="F38" s="28" t="s">
        <v>1497</v>
      </c>
      <c r="G38" s="47" t="s">
        <v>1498</v>
      </c>
      <c r="H38" s="47" t="s">
        <v>1484</v>
      </c>
      <c r="J38" s="48" t="s">
        <v>83</v>
      </c>
      <c r="K38" s="28" t="s">
        <v>1499</v>
      </c>
      <c r="L38" s="28" t="s">
        <v>1500</v>
      </c>
      <c r="N38" s="50" t="s">
        <v>61</v>
      </c>
      <c r="O38" s="50" t="s">
        <v>62</v>
      </c>
      <c r="P38" s="50"/>
      <c r="Q38" s="51"/>
      <c r="S38" s="55">
        <f t="shared" ca="1" si="4"/>
        <v>480</v>
      </c>
      <c r="T38" s="55">
        <f t="shared" ca="1" si="5"/>
        <v>480</v>
      </c>
      <c r="U38" s="56"/>
      <c r="V38" s="124">
        <v>45184</v>
      </c>
      <c r="W38" s="124">
        <v>45184</v>
      </c>
      <c r="X38" s="124">
        <v>45184</v>
      </c>
      <c r="Y38" s="62" t="s">
        <v>52</v>
      </c>
      <c r="AA38" s="54"/>
      <c r="AB38" s="674"/>
      <c r="AC38" s="661"/>
    </row>
    <row r="39" spans="1:29" x14ac:dyDescent="0.35">
      <c r="B39" s="6" cm="1">
        <f t="array" ref="B39">+_xlfn.IFS(C39="Tracking",2,C39="WIP",1,C39="Aborted",3)</f>
        <v>3</v>
      </c>
      <c r="C39" s="204" t="str">
        <f t="shared" si="3"/>
        <v>Aborted</v>
      </c>
      <c r="D39" s="47" t="s">
        <v>1490</v>
      </c>
      <c r="E39" s="28" t="s">
        <v>608</v>
      </c>
      <c r="F39" s="28" t="s">
        <v>1491</v>
      </c>
      <c r="G39" s="47" t="s">
        <v>1492</v>
      </c>
      <c r="H39" s="47" t="s">
        <v>1484</v>
      </c>
      <c r="J39" s="48" t="s">
        <v>83</v>
      </c>
      <c r="K39" s="28" t="s">
        <v>609</v>
      </c>
      <c r="L39" s="28" t="s">
        <v>1501</v>
      </c>
      <c r="N39" s="50" t="s">
        <v>61</v>
      </c>
      <c r="O39" s="50" t="s">
        <v>62</v>
      </c>
      <c r="P39" s="50"/>
      <c r="Q39" s="51"/>
      <c r="S39" s="55">
        <f t="shared" ca="1" si="4"/>
        <v>489</v>
      </c>
      <c r="T39" s="55">
        <f t="shared" ca="1" si="5"/>
        <v>489</v>
      </c>
      <c r="U39" s="56"/>
      <c r="V39" s="124">
        <v>45175</v>
      </c>
      <c r="W39" s="124">
        <v>45175</v>
      </c>
      <c r="X39" s="124">
        <v>45175</v>
      </c>
      <c r="Y39" s="62" t="s">
        <v>52</v>
      </c>
      <c r="AA39" s="54"/>
      <c r="AB39" s="71"/>
    </row>
    <row r="40" spans="1:29" x14ac:dyDescent="0.35">
      <c r="B40" s="6" cm="1">
        <f t="array" ref="B40">+_xlfn.IFS(C40="Tracking",2,C40="WIP",1,C40="Aborted",3)</f>
        <v>3</v>
      </c>
      <c r="C40" s="204" t="str">
        <f t="shared" si="3"/>
        <v>Aborted</v>
      </c>
      <c r="D40" s="47" t="s">
        <v>1481</v>
      </c>
      <c r="E40" s="28" t="s">
        <v>345</v>
      </c>
      <c r="F40" s="28" t="s">
        <v>253</v>
      </c>
      <c r="G40" s="47" t="s">
        <v>1483</v>
      </c>
      <c r="H40" s="47" t="s">
        <v>1484</v>
      </c>
      <c r="J40" s="48" t="s">
        <v>111</v>
      </c>
      <c r="K40" s="28" t="s">
        <v>347</v>
      </c>
      <c r="L40" s="28" t="s">
        <v>1502</v>
      </c>
      <c r="N40" s="50" t="s">
        <v>78</v>
      </c>
      <c r="O40" s="50" t="s">
        <v>86</v>
      </c>
      <c r="P40" s="50" t="s">
        <v>62</v>
      </c>
      <c r="Q40" s="51"/>
      <c r="S40" s="55">
        <f t="shared" ca="1" si="4"/>
        <v>502</v>
      </c>
      <c r="T40" s="55">
        <f t="shared" ca="1" si="5"/>
        <v>502</v>
      </c>
      <c r="U40" s="56"/>
      <c r="V40" s="124">
        <v>45162</v>
      </c>
      <c r="W40" s="124">
        <v>45162</v>
      </c>
      <c r="X40" s="124">
        <v>45162</v>
      </c>
      <c r="Y40" s="62" t="s">
        <v>52</v>
      </c>
      <c r="AA40" s="54"/>
      <c r="AB40" s="71"/>
    </row>
    <row r="41" spans="1:29" x14ac:dyDescent="0.35">
      <c r="B41" s="6" cm="1">
        <f t="array" ref="B41">+_xlfn.IFS(C41="Tracking",2,C41="WIP",1,C41="Aborted",3)</f>
        <v>3</v>
      </c>
      <c r="C41" s="67" t="str">
        <f t="shared" si="3"/>
        <v>Aborted</v>
      </c>
      <c r="D41" s="47" t="s">
        <v>1490</v>
      </c>
      <c r="E41" s="28" t="s">
        <v>1503</v>
      </c>
      <c r="F41" s="28" t="s">
        <v>1504</v>
      </c>
      <c r="G41" s="47" t="s">
        <v>1038</v>
      </c>
      <c r="H41" s="47" t="s">
        <v>1484</v>
      </c>
      <c r="J41" s="48" t="s">
        <v>267</v>
      </c>
      <c r="K41" s="28" t="s">
        <v>1505</v>
      </c>
      <c r="L41" s="28" t="s">
        <v>1506</v>
      </c>
      <c r="N41" s="50" t="s">
        <v>153</v>
      </c>
      <c r="O41" s="50"/>
      <c r="P41" s="50"/>
      <c r="Q41" s="51"/>
      <c r="S41" s="55">
        <f t="shared" ca="1" si="4"/>
        <v>531</v>
      </c>
      <c r="T41" s="55">
        <f t="shared" ca="1" si="5"/>
        <v>531</v>
      </c>
      <c r="U41" s="56"/>
      <c r="V41" s="124">
        <v>45133</v>
      </c>
      <c r="W41" s="124">
        <v>45133</v>
      </c>
      <c r="X41" s="124">
        <v>45133</v>
      </c>
      <c r="Y41" s="62" t="s">
        <v>52</v>
      </c>
      <c r="AA41" s="54"/>
      <c r="AB41" s="71"/>
    </row>
    <row r="42" spans="1:29" x14ac:dyDescent="0.35">
      <c r="B42" s="6" cm="1">
        <f t="array" ref="B42">+_xlfn.IFS(C42="Tracking",2,C42="WIP",1,C42="Aborted",3)</f>
        <v>3</v>
      </c>
      <c r="C42" s="67" t="str">
        <f t="shared" si="3"/>
        <v>Aborted</v>
      </c>
      <c r="D42" s="47" t="s">
        <v>1490</v>
      </c>
      <c r="E42" s="28" t="s">
        <v>694</v>
      </c>
      <c r="F42" s="28" t="s">
        <v>1491</v>
      </c>
      <c r="G42" s="47" t="s">
        <v>1492</v>
      </c>
      <c r="H42" s="47" t="s">
        <v>1484</v>
      </c>
      <c r="J42" s="48" t="s">
        <v>111</v>
      </c>
      <c r="K42" s="28" t="s">
        <v>1507</v>
      </c>
      <c r="L42" s="28"/>
      <c r="N42" s="50" t="s">
        <v>78</v>
      </c>
      <c r="O42" s="50" t="s">
        <v>86</v>
      </c>
      <c r="P42" s="50"/>
      <c r="Q42" s="51"/>
      <c r="S42" s="55">
        <f t="shared" ca="1" si="4"/>
        <v>695</v>
      </c>
      <c r="T42" s="55">
        <f t="shared" ca="1" si="5"/>
        <v>582</v>
      </c>
      <c r="U42" s="56"/>
      <c r="V42" s="124">
        <v>44969</v>
      </c>
      <c r="W42" s="124">
        <v>44970</v>
      </c>
      <c r="X42" s="124">
        <v>45082</v>
      </c>
      <c r="Y42" s="62" t="s">
        <v>52</v>
      </c>
      <c r="AA42" s="54" t="s">
        <v>7</v>
      </c>
      <c r="AB42" s="71"/>
    </row>
    <row r="43" spans="1:29" x14ac:dyDescent="0.35">
      <c r="B43" s="6" cm="1">
        <f t="array" ref="B43">+_xlfn.IFS(C43="Tracking",2,C43="WIP",1,C43="Aborted",3)</f>
        <v>3</v>
      </c>
      <c r="C43" s="67" t="str">
        <f t="shared" si="3"/>
        <v>Aborted</v>
      </c>
      <c r="D43" s="47" t="s">
        <v>1490</v>
      </c>
      <c r="E43" s="28" t="s">
        <v>697</v>
      </c>
      <c r="F43" s="28" t="s">
        <v>1491</v>
      </c>
      <c r="G43" s="47" t="s">
        <v>1492</v>
      </c>
      <c r="H43" s="47" t="s">
        <v>1484</v>
      </c>
      <c r="J43" s="48" t="s">
        <v>111</v>
      </c>
      <c r="K43" s="28" t="s">
        <v>1508</v>
      </c>
      <c r="L43" s="28" t="s">
        <v>1509</v>
      </c>
      <c r="N43" s="50" t="s">
        <v>153</v>
      </c>
      <c r="O43" s="50" t="s">
        <v>62</v>
      </c>
      <c r="P43" s="50" t="s">
        <v>313</v>
      </c>
      <c r="Q43" s="51"/>
      <c r="S43" s="55">
        <f t="shared" ca="1" si="4"/>
        <v>581</v>
      </c>
      <c r="T43" s="55">
        <f t="shared" ca="1" si="5"/>
        <v>573</v>
      </c>
      <c r="U43" s="56"/>
      <c r="V43" s="124">
        <v>45083</v>
      </c>
      <c r="W43" s="124">
        <v>45083</v>
      </c>
      <c r="X43" s="124">
        <v>45091</v>
      </c>
      <c r="Y43" s="62" t="s">
        <v>52</v>
      </c>
      <c r="AA43" s="54" t="s">
        <v>7</v>
      </c>
      <c r="AB43" s="71"/>
    </row>
    <row r="44" spans="1:29" x14ac:dyDescent="0.35">
      <c r="B44" s="6" cm="1">
        <f t="array" ref="B44">+_xlfn.IFS(C44="Tracking",2,C44="WIP",1,C44="Aborted",3)</f>
        <v>3</v>
      </c>
      <c r="C44" s="67" t="str">
        <f t="shared" si="3"/>
        <v>Aborted</v>
      </c>
      <c r="D44" s="47" t="s">
        <v>1490</v>
      </c>
      <c r="E44" s="28" t="s">
        <v>663</v>
      </c>
      <c r="F44" s="28" t="s">
        <v>1510</v>
      </c>
      <c r="G44" s="47" t="s">
        <v>1511</v>
      </c>
      <c r="H44" s="47" t="s">
        <v>1493</v>
      </c>
      <c r="J44" s="48" t="s">
        <v>111</v>
      </c>
      <c r="K44" s="28" t="s">
        <v>1512</v>
      </c>
      <c r="L44" s="28" t="s">
        <v>1513</v>
      </c>
      <c r="N44" s="50" t="s">
        <v>61</v>
      </c>
      <c r="O44" s="50" t="s">
        <v>62</v>
      </c>
      <c r="P44" s="50" t="s">
        <v>313</v>
      </c>
      <c r="Q44" s="51"/>
      <c r="S44" s="55">
        <f t="shared" ca="1" si="4"/>
        <v>596</v>
      </c>
      <c r="T44" s="55">
        <f t="shared" ca="1" si="5"/>
        <v>595</v>
      </c>
      <c r="U44" s="56"/>
      <c r="V44" s="124">
        <v>45068</v>
      </c>
      <c r="W44" s="124">
        <v>45064</v>
      </c>
      <c r="X44" s="124">
        <v>45069</v>
      </c>
      <c r="Y44" s="62" t="s">
        <v>52</v>
      </c>
      <c r="AA44" s="54" t="s">
        <v>7</v>
      </c>
      <c r="AB44" s="71"/>
    </row>
    <row r="45" spans="1:29" x14ac:dyDescent="0.35">
      <c r="B45" s="6" cm="1">
        <f t="array" ref="B45">+_xlfn.IFS(C45="Tracking",2,C45="WIP",1,C45="Aborted",3)</f>
        <v>3</v>
      </c>
      <c r="C45" s="67" t="str">
        <f t="shared" si="3"/>
        <v>Aborted</v>
      </c>
      <c r="D45" s="47" t="s">
        <v>1490</v>
      </c>
      <c r="E45" s="28" t="s">
        <v>687</v>
      </c>
      <c r="F45" s="28" t="s">
        <v>1514</v>
      </c>
      <c r="G45" s="47" t="s">
        <v>689</v>
      </c>
      <c r="H45" s="47" t="s">
        <v>1484</v>
      </c>
      <c r="J45" s="48" t="s">
        <v>111</v>
      </c>
      <c r="K45" s="28" t="s">
        <v>690</v>
      </c>
      <c r="L45" s="28" t="s">
        <v>1515</v>
      </c>
      <c r="N45" s="50" t="s">
        <v>153</v>
      </c>
      <c r="O45" s="50" t="s">
        <v>62</v>
      </c>
      <c r="P45" s="50"/>
      <c r="Q45" s="51"/>
      <c r="S45" s="55">
        <f t="shared" ca="1" si="4"/>
        <v>620</v>
      </c>
      <c r="T45" s="55">
        <f t="shared" ca="1" si="5"/>
        <v>616</v>
      </c>
      <c r="U45" s="56"/>
      <c r="V45" s="124">
        <v>45044</v>
      </c>
      <c r="W45" s="124">
        <v>45044</v>
      </c>
      <c r="X45" s="124">
        <v>45048</v>
      </c>
      <c r="Y45" s="62" t="s">
        <v>52</v>
      </c>
      <c r="AA45" s="54" t="s">
        <v>7</v>
      </c>
      <c r="AB45" s="71"/>
    </row>
    <row r="46" spans="1:29" x14ac:dyDescent="0.35">
      <c r="B46" s="6" cm="1">
        <f t="array" ref="B46">+_xlfn.IFS(C46="Tracking",2,C46="WIP",1,C46="Aborted",3)</f>
        <v>3</v>
      </c>
      <c r="C46" s="67" t="str">
        <f t="shared" si="3"/>
        <v>Aborted</v>
      </c>
      <c r="D46" s="47" t="s">
        <v>1481</v>
      </c>
      <c r="E46" s="28" t="s">
        <v>1516</v>
      </c>
      <c r="F46" s="28" t="s">
        <v>1517</v>
      </c>
      <c r="G46" s="47" t="s">
        <v>1483</v>
      </c>
      <c r="H46" s="47" t="s">
        <v>1493</v>
      </c>
      <c r="J46" s="48"/>
      <c r="K46" s="28"/>
      <c r="L46" s="28"/>
      <c r="N46" s="50" t="s">
        <v>61</v>
      </c>
      <c r="O46" s="50" t="s">
        <v>128</v>
      </c>
      <c r="P46" s="50" t="s">
        <v>313</v>
      </c>
      <c r="Q46" s="51"/>
      <c r="S46" s="55">
        <f t="shared" ca="1" si="4"/>
        <v>596</v>
      </c>
      <c r="T46" s="55">
        <f t="shared" ca="1" si="5"/>
        <v>586</v>
      </c>
      <c r="U46" s="56"/>
      <c r="V46" s="124">
        <v>45068</v>
      </c>
      <c r="W46" s="124">
        <v>45068</v>
      </c>
      <c r="X46" s="125">
        <v>45078</v>
      </c>
      <c r="Y46" s="62" t="s">
        <v>52</v>
      </c>
      <c r="AA46" s="54" t="s">
        <v>7</v>
      </c>
      <c r="AB46" s="71"/>
    </row>
    <row r="47" spans="1:29" x14ac:dyDescent="0.35">
      <c r="B47" s="6" cm="1">
        <f t="array" ref="B47">+_xlfn.IFS(C47="Tracking",2,C47="WIP",1,C47="Aborted",3)</f>
        <v>3</v>
      </c>
      <c r="C47" s="67" t="str">
        <f t="shared" si="3"/>
        <v>Aborted</v>
      </c>
      <c r="D47" s="47" t="s">
        <v>1481</v>
      </c>
      <c r="E47" s="28" t="s">
        <v>1518</v>
      </c>
      <c r="F47" s="28" t="s">
        <v>1517</v>
      </c>
      <c r="G47" s="47" t="s">
        <v>1483</v>
      </c>
      <c r="H47" s="47" t="s">
        <v>1484</v>
      </c>
      <c r="J47" s="48"/>
      <c r="K47" s="28"/>
      <c r="L47" s="28"/>
      <c r="N47" s="50" t="s">
        <v>61</v>
      </c>
      <c r="O47" s="50" t="s">
        <v>86</v>
      </c>
      <c r="P47" s="50" t="s">
        <v>79</v>
      </c>
      <c r="Q47" s="51"/>
      <c r="S47" s="55">
        <f t="shared" ca="1" si="4"/>
        <v>596</v>
      </c>
      <c r="T47" s="55">
        <f t="shared" ca="1" si="5"/>
        <v>582</v>
      </c>
      <c r="U47" s="56"/>
      <c r="V47" s="124">
        <v>45068</v>
      </c>
      <c r="W47" s="124">
        <v>45068</v>
      </c>
      <c r="X47" s="125">
        <v>45082</v>
      </c>
      <c r="Y47" s="62" t="s">
        <v>52</v>
      </c>
      <c r="AA47" s="54" t="s">
        <v>7</v>
      </c>
      <c r="AB47" s="71"/>
    </row>
    <row r="48" spans="1:29" x14ac:dyDescent="0.35">
      <c r="B48" s="6" cm="1">
        <f t="array" ref="B48">+_xlfn.IFS(C48="Tracking",2,C48="WIP",1,C48="Aborted",3)</f>
        <v>3</v>
      </c>
      <c r="C48" s="67" t="str">
        <f t="shared" si="3"/>
        <v>Aborted</v>
      </c>
      <c r="D48" s="47" t="s">
        <v>1481</v>
      </c>
      <c r="E48" s="28" t="s">
        <v>1519</v>
      </c>
      <c r="F48" s="28" t="s">
        <v>1517</v>
      </c>
      <c r="G48" s="47" t="s">
        <v>1483</v>
      </c>
      <c r="H48" s="47" t="s">
        <v>1484</v>
      </c>
      <c r="J48" s="48"/>
      <c r="K48" s="28"/>
      <c r="L48" s="28"/>
      <c r="N48" s="50"/>
      <c r="O48" s="50"/>
      <c r="P48" s="50"/>
      <c r="Q48" s="51"/>
      <c r="S48" s="55">
        <f t="shared" ca="1" si="4"/>
        <v>596</v>
      </c>
      <c r="T48" s="55">
        <f t="shared" ca="1" si="5"/>
        <v>586</v>
      </c>
      <c r="U48" s="56"/>
      <c r="V48" s="124">
        <v>45068</v>
      </c>
      <c r="W48" s="124">
        <v>45068</v>
      </c>
      <c r="X48" s="125">
        <v>45078</v>
      </c>
      <c r="Y48" s="62" t="s">
        <v>52</v>
      </c>
      <c r="AA48" s="54" t="s">
        <v>7</v>
      </c>
      <c r="AB48" s="71"/>
    </row>
    <row r="49" spans="2:29" x14ac:dyDescent="0.35">
      <c r="B49" s="6" cm="1">
        <f t="array" ref="B49">+_xlfn.IFS(C49="Tracking",2,C49="WIP",1,C49="Aborted",3)</f>
        <v>3</v>
      </c>
      <c r="C49" s="67" t="str">
        <f t="shared" si="3"/>
        <v>Aborted</v>
      </c>
      <c r="D49" s="47" t="s">
        <v>1481</v>
      </c>
      <c r="E49" s="28" t="s">
        <v>1520</v>
      </c>
      <c r="F49" s="28" t="s">
        <v>1517</v>
      </c>
      <c r="G49" s="47" t="s">
        <v>1483</v>
      </c>
      <c r="H49" s="47" t="s">
        <v>1484</v>
      </c>
      <c r="J49" s="50"/>
      <c r="K49" s="28"/>
      <c r="L49" s="28"/>
      <c r="N49" s="50" t="s">
        <v>153</v>
      </c>
      <c r="O49" s="50"/>
      <c r="P49" s="50"/>
      <c r="Q49" s="51"/>
      <c r="S49" s="55">
        <f t="shared" ca="1" si="4"/>
        <v>596</v>
      </c>
      <c r="T49" s="55">
        <f t="shared" ca="1" si="5"/>
        <v>596</v>
      </c>
      <c r="U49" s="56"/>
      <c r="V49" s="124">
        <v>45068</v>
      </c>
      <c r="W49" s="124">
        <v>45068</v>
      </c>
      <c r="X49" s="124">
        <v>45068</v>
      </c>
      <c r="Y49" s="62" t="s">
        <v>52</v>
      </c>
      <c r="AA49" s="54" t="s">
        <v>7</v>
      </c>
      <c r="AB49" s="71"/>
    </row>
    <row r="50" spans="2:29" x14ac:dyDescent="0.35">
      <c r="B50" s="6" cm="1">
        <f t="array" ref="B50">+_xlfn.IFS(C50="Tracking",2,C50="WIP",1,C50="Aborted",3)</f>
        <v>3</v>
      </c>
      <c r="C50" s="67" t="str">
        <f t="shared" si="3"/>
        <v>Aborted</v>
      </c>
      <c r="D50" s="47" t="s">
        <v>1481</v>
      </c>
      <c r="E50" s="28" t="s">
        <v>1521</v>
      </c>
      <c r="F50" s="28" t="s">
        <v>1517</v>
      </c>
      <c r="G50" s="47" t="s">
        <v>1483</v>
      </c>
      <c r="H50" s="47" t="s">
        <v>1484</v>
      </c>
      <c r="J50" s="50"/>
      <c r="K50" s="28"/>
      <c r="L50" s="28"/>
      <c r="N50" s="50" t="s">
        <v>153</v>
      </c>
      <c r="O50" s="50" t="s">
        <v>79</v>
      </c>
      <c r="P50" s="50" t="s">
        <v>313</v>
      </c>
      <c r="Q50" s="51"/>
      <c r="S50" s="55">
        <f t="shared" ca="1" si="4"/>
        <v>596</v>
      </c>
      <c r="T50" s="55">
        <f t="shared" ca="1" si="5"/>
        <v>586</v>
      </c>
      <c r="U50" s="56"/>
      <c r="V50" s="124">
        <v>45068</v>
      </c>
      <c r="W50" s="124">
        <v>45068</v>
      </c>
      <c r="X50" s="125">
        <v>45078</v>
      </c>
      <c r="Y50" s="62" t="s">
        <v>52</v>
      </c>
      <c r="AA50" s="54" t="s">
        <v>7</v>
      </c>
      <c r="AB50" s="531"/>
      <c r="AC50" s="520"/>
    </row>
    <row r="51" spans="2:29" x14ac:dyDescent="0.35">
      <c r="B51" s="6" cm="1">
        <f t="array" ref="B51">+_xlfn.IFS(C51="Tracking",2,C51="WIP",1,C51="Aborted",3)</f>
        <v>3</v>
      </c>
      <c r="C51" s="67" t="str">
        <f t="shared" si="3"/>
        <v>Aborted</v>
      </c>
      <c r="D51" s="47" t="s">
        <v>1481</v>
      </c>
      <c r="E51" s="28" t="s">
        <v>1522</v>
      </c>
      <c r="F51" s="28" t="s">
        <v>253</v>
      </c>
      <c r="G51" s="47" t="s">
        <v>1483</v>
      </c>
      <c r="H51" s="47" t="s">
        <v>1484</v>
      </c>
      <c r="J51" s="48" t="s">
        <v>239</v>
      </c>
      <c r="K51" s="28" t="s">
        <v>1523</v>
      </c>
      <c r="L51" s="28"/>
      <c r="N51" s="50" t="s">
        <v>153</v>
      </c>
      <c r="O51" s="50" t="s">
        <v>153</v>
      </c>
      <c r="P51" s="50"/>
      <c r="Q51" s="51"/>
      <c r="S51" s="55">
        <f t="shared" ca="1" si="4"/>
        <v>622</v>
      </c>
      <c r="T51" s="55">
        <f t="shared" ca="1" si="5"/>
        <v>622</v>
      </c>
      <c r="U51" s="56"/>
      <c r="V51" s="124">
        <v>45042</v>
      </c>
      <c r="W51" s="124"/>
      <c r="X51" s="124">
        <v>45042</v>
      </c>
      <c r="Y51" s="62" t="s">
        <v>52</v>
      </c>
      <c r="AA51" s="54" t="s">
        <v>7</v>
      </c>
      <c r="AB51" s="517"/>
      <c r="AC51" s="509"/>
    </row>
    <row r="52" spans="2:29" x14ac:dyDescent="0.35">
      <c r="B52" s="6" cm="1">
        <f t="array" ref="B52">+_xlfn.IFS(C52="Tracking",2,C52="WIP",1,C52="Aborted",3)</f>
        <v>3</v>
      </c>
      <c r="C52" s="67" t="str">
        <f t="shared" si="3"/>
        <v>Aborted</v>
      </c>
      <c r="D52" s="47" t="s">
        <v>1490</v>
      </c>
      <c r="E52" s="28" t="s">
        <v>1524</v>
      </c>
      <c r="F52" s="28" t="s">
        <v>1525</v>
      </c>
      <c r="G52" s="47" t="s">
        <v>1526</v>
      </c>
      <c r="H52" s="47" t="s">
        <v>1484</v>
      </c>
      <c r="J52" s="48" t="s">
        <v>132</v>
      </c>
      <c r="K52" s="28" t="s">
        <v>1527</v>
      </c>
      <c r="L52" s="28" t="s">
        <v>1528</v>
      </c>
      <c r="N52" s="50" t="s">
        <v>78</v>
      </c>
      <c r="O52" s="50" t="s">
        <v>62</v>
      </c>
      <c r="P52" s="50"/>
      <c r="Q52" s="51"/>
      <c r="S52" s="55">
        <f t="shared" ca="1" si="4"/>
        <v>706</v>
      </c>
      <c r="T52" s="55">
        <f t="shared" ca="1" si="5"/>
        <v>678</v>
      </c>
      <c r="U52" s="56"/>
      <c r="V52" s="124">
        <v>44958</v>
      </c>
      <c r="W52" s="124">
        <v>44958</v>
      </c>
      <c r="X52" s="124">
        <v>44986</v>
      </c>
      <c r="Y52" s="62" t="s">
        <v>52</v>
      </c>
      <c r="AA52" s="54" t="s">
        <v>7</v>
      </c>
      <c r="AB52" s="461"/>
      <c r="AC52" s="450"/>
    </row>
    <row r="53" spans="2:29" x14ac:dyDescent="0.35">
      <c r="B53" s="6" cm="1">
        <f t="array" ref="B53">+_xlfn.IFS(C53="Tracking",2,C53="WIP",1,C53="Aborted",3)</f>
        <v>3</v>
      </c>
      <c r="C53" s="67" t="str">
        <f t="shared" si="3"/>
        <v>Aborted</v>
      </c>
      <c r="D53" s="47" t="s">
        <v>1481</v>
      </c>
      <c r="E53" s="28" t="s">
        <v>532</v>
      </c>
      <c r="F53" s="28" t="s">
        <v>253</v>
      </c>
      <c r="G53" s="47" t="s">
        <v>1483</v>
      </c>
      <c r="H53" s="47" t="s">
        <v>1493</v>
      </c>
      <c r="J53" s="48" t="s">
        <v>222</v>
      </c>
      <c r="K53" s="28" t="s">
        <v>1534</v>
      </c>
      <c r="L53" s="28" t="s">
        <v>1535</v>
      </c>
      <c r="N53" s="50" t="s">
        <v>78</v>
      </c>
      <c r="O53" s="50" t="s">
        <v>62</v>
      </c>
      <c r="P53" s="50"/>
      <c r="Q53" s="51"/>
      <c r="S53" s="55">
        <f t="shared" ca="1" si="4"/>
        <v>768</v>
      </c>
      <c r="T53" s="55">
        <f t="shared" ca="1" si="5"/>
        <v>749</v>
      </c>
      <c r="U53" s="56"/>
      <c r="V53" s="124">
        <v>44896</v>
      </c>
      <c r="W53" s="124">
        <v>44896</v>
      </c>
      <c r="X53" s="124">
        <v>44915</v>
      </c>
      <c r="Y53" s="62" t="s">
        <v>52</v>
      </c>
      <c r="AA53" s="54" t="s">
        <v>7</v>
      </c>
      <c r="AB53" s="461"/>
      <c r="AC53" s="450"/>
    </row>
    <row r="54" spans="2:29" x14ac:dyDescent="0.35">
      <c r="B54" s="6" cm="1">
        <f t="array" ref="B54">+_xlfn.IFS(C54="Tracking",2,C54="WIP",1,C54="Aborted",3)</f>
        <v>3</v>
      </c>
      <c r="C54" s="67" t="str">
        <f t="shared" si="3"/>
        <v>Aborted</v>
      </c>
      <c r="D54" s="47" t="s">
        <v>1481</v>
      </c>
      <c r="E54" s="46" t="s">
        <v>502</v>
      </c>
      <c r="F54" s="28" t="s">
        <v>253</v>
      </c>
      <c r="G54" s="47" t="s">
        <v>1483</v>
      </c>
      <c r="H54" s="47" t="s">
        <v>1484</v>
      </c>
      <c r="J54" s="48" t="s">
        <v>267</v>
      </c>
      <c r="K54" s="28" t="s">
        <v>504</v>
      </c>
      <c r="L54" s="28"/>
      <c r="N54" s="50" t="s">
        <v>153</v>
      </c>
      <c r="O54" s="50" t="s">
        <v>62</v>
      </c>
      <c r="P54" s="50"/>
      <c r="Q54" s="51"/>
      <c r="S54" s="55">
        <f t="shared" ca="1" si="4"/>
        <v>712</v>
      </c>
      <c r="T54" s="55">
        <f t="shared" ca="1" si="5"/>
        <v>712</v>
      </c>
      <c r="U54" s="56"/>
      <c r="V54" s="124">
        <v>44952</v>
      </c>
      <c r="W54" s="124">
        <v>44952</v>
      </c>
      <c r="X54" s="124">
        <v>44952</v>
      </c>
      <c r="Y54" s="62" t="s">
        <v>52</v>
      </c>
      <c r="AA54" s="54" t="s">
        <v>7</v>
      </c>
      <c r="AB54" s="461"/>
      <c r="AC54" s="450"/>
    </row>
    <row r="55" spans="2:29" x14ac:dyDescent="0.35">
      <c r="B55" s="6" cm="1">
        <f t="array" ref="B55">+_xlfn.IFS(C55="Tracking",2,C55="WIP",1,C55="Aborted",3)</f>
        <v>3</v>
      </c>
      <c r="C55" s="67" t="str">
        <f t="shared" si="3"/>
        <v>Aborted</v>
      </c>
      <c r="D55" s="47" t="s">
        <v>1481</v>
      </c>
      <c r="E55" s="28" t="s">
        <v>1536</v>
      </c>
      <c r="F55" s="28" t="s">
        <v>253</v>
      </c>
      <c r="G55" s="47" t="s">
        <v>1483</v>
      </c>
      <c r="H55" s="47" t="s">
        <v>1484</v>
      </c>
      <c r="J55" s="48" t="s">
        <v>267</v>
      </c>
      <c r="K55" s="28" t="s">
        <v>1537</v>
      </c>
      <c r="L55" s="28"/>
      <c r="N55" s="50" t="s">
        <v>78</v>
      </c>
      <c r="O55" s="50" t="s">
        <v>86</v>
      </c>
      <c r="P55" s="50"/>
      <c r="Q55" s="51"/>
      <c r="S55" s="55">
        <f t="shared" ca="1" si="4"/>
        <v>713</v>
      </c>
      <c r="T55" s="55">
        <f t="shared" ca="1" si="5"/>
        <v>708</v>
      </c>
      <c r="U55" s="56"/>
      <c r="V55" s="124">
        <v>44951</v>
      </c>
      <c r="W55" s="124">
        <v>44952</v>
      </c>
      <c r="X55" s="124">
        <v>44956</v>
      </c>
      <c r="Y55" s="62" t="s">
        <v>52</v>
      </c>
      <c r="AA55" s="54" t="s">
        <v>7</v>
      </c>
      <c r="AB55" s="461"/>
      <c r="AC55" s="450"/>
    </row>
    <row r="56" spans="2:29" x14ac:dyDescent="0.35">
      <c r="B56" s="6" cm="1">
        <f t="array" ref="B56">+_xlfn.IFS(C56="Tracking",2,C56="WIP",1,C56="Aborted",3)</f>
        <v>3</v>
      </c>
      <c r="C56" s="67" t="str">
        <f t="shared" si="3"/>
        <v>Aborted</v>
      </c>
      <c r="D56" s="47" t="s">
        <v>1490</v>
      </c>
      <c r="E56" s="28" t="s">
        <v>892</v>
      </c>
      <c r="F56" s="28" t="s">
        <v>1538</v>
      </c>
      <c r="G56" s="47" t="s">
        <v>1483</v>
      </c>
      <c r="H56" s="47" t="s">
        <v>1493</v>
      </c>
      <c r="J56" s="48" t="s">
        <v>420</v>
      </c>
      <c r="K56" s="28" t="s">
        <v>819</v>
      </c>
      <c r="L56" s="28"/>
      <c r="N56" s="50" t="s">
        <v>78</v>
      </c>
      <c r="O56" s="50" t="s">
        <v>62</v>
      </c>
      <c r="P56" s="50"/>
      <c r="Q56" s="51"/>
      <c r="S56" s="55">
        <f t="shared" ca="1" si="4"/>
        <v>708</v>
      </c>
      <c r="T56" s="55">
        <f t="shared" ca="1" si="5"/>
        <v>708</v>
      </c>
      <c r="U56" s="56"/>
      <c r="V56" s="124">
        <v>44956</v>
      </c>
      <c r="W56" s="124">
        <v>44956</v>
      </c>
      <c r="X56" s="124">
        <v>44956</v>
      </c>
      <c r="Y56" s="62" t="s">
        <v>52</v>
      </c>
      <c r="AA56" s="54" t="s">
        <v>7</v>
      </c>
      <c r="AB56" s="461"/>
      <c r="AC56" s="450"/>
    </row>
    <row r="57" spans="2:29" x14ac:dyDescent="0.35">
      <c r="B57" s="6" cm="1">
        <f t="array" ref="B57">+_xlfn.IFS(C57="Tracking",2,C57="WIP",1,C57="Aborted",3)</f>
        <v>3</v>
      </c>
      <c r="C57" s="67" t="str">
        <f t="shared" si="3"/>
        <v>Aborted</v>
      </c>
      <c r="D57" s="47" t="s">
        <v>1481</v>
      </c>
      <c r="E57" s="28" t="s">
        <v>176</v>
      </c>
      <c r="F57" s="28" t="s">
        <v>253</v>
      </c>
      <c r="G57" s="47" t="s">
        <v>1483</v>
      </c>
      <c r="H57" s="47" t="s">
        <v>1493</v>
      </c>
      <c r="J57" s="48" t="s">
        <v>1539</v>
      </c>
      <c r="K57" s="28"/>
      <c r="L57" s="28"/>
      <c r="N57" s="50" t="s">
        <v>78</v>
      </c>
      <c r="O57" s="50" t="s">
        <v>62</v>
      </c>
      <c r="P57" s="50"/>
      <c r="Q57" s="51"/>
      <c r="S57" s="55">
        <f t="shared" ca="1" si="4"/>
        <v>768</v>
      </c>
      <c r="T57" s="55">
        <f t="shared" ca="1" si="5"/>
        <v>0</v>
      </c>
      <c r="U57" s="56"/>
      <c r="V57" s="124">
        <v>44896</v>
      </c>
      <c r="W57" s="124">
        <v>44896</v>
      </c>
      <c r="X57" s="124">
        <f ca="1">+TODAY()</f>
        <v>45664</v>
      </c>
      <c r="Y57" s="62" t="s">
        <v>52</v>
      </c>
      <c r="AA57" s="54" t="s">
        <v>7</v>
      </c>
      <c r="AB57" s="71"/>
    </row>
    <row r="58" spans="2:29" x14ac:dyDescent="0.35">
      <c r="B58" s="6" cm="1">
        <f t="array" ref="B58">+_xlfn.IFS(C58="Tracking",2,C58="WIP",1,C58="Aborted",3)</f>
        <v>3</v>
      </c>
      <c r="C58" s="67" t="str">
        <f t="shared" si="3"/>
        <v>Aborted</v>
      </c>
      <c r="D58" s="47" t="s">
        <v>1481</v>
      </c>
      <c r="E58" s="28" t="s">
        <v>691</v>
      </c>
      <c r="F58" s="28" t="s">
        <v>253</v>
      </c>
      <c r="G58" s="47" t="s">
        <v>1483</v>
      </c>
      <c r="H58" s="47" t="s">
        <v>1484</v>
      </c>
      <c r="J58" s="48" t="s">
        <v>111</v>
      </c>
      <c r="K58" s="28" t="s">
        <v>1540</v>
      </c>
      <c r="L58" s="28"/>
      <c r="N58" s="50" t="s">
        <v>78</v>
      </c>
      <c r="O58" s="50" t="s">
        <v>562</v>
      </c>
      <c r="P58" s="50"/>
      <c r="Q58" s="51"/>
      <c r="S58" s="55">
        <f t="shared" ca="1" si="4"/>
        <v>963</v>
      </c>
      <c r="T58" s="55">
        <f t="shared" ca="1" si="5"/>
        <v>0</v>
      </c>
      <c r="U58" s="56"/>
      <c r="V58" s="124">
        <v>44701</v>
      </c>
      <c r="W58" s="124">
        <v>44711</v>
      </c>
      <c r="X58" s="124">
        <f ca="1">+TODAY()</f>
        <v>45664</v>
      </c>
      <c r="Y58" s="62" t="s">
        <v>52</v>
      </c>
      <c r="AA58" s="54" t="s">
        <v>7</v>
      </c>
      <c r="AB58" s="71"/>
    </row>
    <row r="59" spans="2:29" x14ac:dyDescent="0.35">
      <c r="B59" s="6" cm="1">
        <f t="array" ref="B59">+_xlfn.IFS(C59="Tracking",2,C59="WIP",1,C59="Aborted",3)</f>
        <v>3</v>
      </c>
      <c r="C59" s="67" t="str">
        <f t="shared" si="3"/>
        <v>Aborted</v>
      </c>
      <c r="D59" s="47" t="s">
        <v>1481</v>
      </c>
      <c r="E59" s="28" t="s">
        <v>3830</v>
      </c>
      <c r="F59" s="28" t="s">
        <v>3824</v>
      </c>
      <c r="G59" s="47" t="s">
        <v>1483</v>
      </c>
      <c r="H59" s="47" t="s">
        <v>1484</v>
      </c>
      <c r="J59" s="48" t="s">
        <v>267</v>
      </c>
      <c r="K59" s="28" t="s">
        <v>3826</v>
      </c>
      <c r="L59" s="28" t="s">
        <v>3825</v>
      </c>
      <c r="N59" s="50" t="s">
        <v>3598</v>
      </c>
      <c r="O59" s="50" t="s">
        <v>128</v>
      </c>
      <c r="P59" s="50"/>
      <c r="Q59" s="51" t="s">
        <v>3832</v>
      </c>
      <c r="S59" s="55">
        <f t="shared" ca="1" si="4"/>
        <v>228</v>
      </c>
      <c r="T59" s="55">
        <f t="shared" ca="1" si="5"/>
        <v>225</v>
      </c>
      <c r="U59" s="56"/>
      <c r="V59" s="124">
        <v>45436</v>
      </c>
      <c r="W59" s="124">
        <v>45439</v>
      </c>
      <c r="X59" s="124">
        <v>45439</v>
      </c>
      <c r="Y59" s="62" t="s">
        <v>52</v>
      </c>
      <c r="AA59" s="54"/>
      <c r="AB59" s="71"/>
    </row>
    <row r="60" spans="2:29" x14ac:dyDescent="0.35">
      <c r="B60" s="6" cm="1">
        <f t="array" ref="B60">+_xlfn.IFS(C60="Tracking",2,C60="WIP",1,C60="Aborted",3)</f>
        <v>3</v>
      </c>
      <c r="C60" s="67" t="str">
        <f t="shared" si="3"/>
        <v>Aborted</v>
      </c>
      <c r="D60" s="47" t="s">
        <v>1481</v>
      </c>
      <c r="E60" s="28" t="s">
        <v>3829</v>
      </c>
      <c r="F60" s="28" t="s">
        <v>3824</v>
      </c>
      <c r="G60" s="47" t="s">
        <v>1483</v>
      </c>
      <c r="H60" s="47" t="s">
        <v>1484</v>
      </c>
      <c r="J60" s="48" t="s">
        <v>267</v>
      </c>
      <c r="K60" s="28" t="s">
        <v>3827</v>
      </c>
      <c r="L60" s="28" t="s">
        <v>3828</v>
      </c>
      <c r="N60" s="50" t="s">
        <v>3598</v>
      </c>
      <c r="O60" s="50" t="s">
        <v>128</v>
      </c>
      <c r="P60" s="50"/>
      <c r="Q60" s="51" t="s">
        <v>3831</v>
      </c>
      <c r="S60" s="55">
        <f t="shared" ca="1" si="4"/>
        <v>228</v>
      </c>
      <c r="T60" s="55">
        <f t="shared" ca="1" si="5"/>
        <v>225</v>
      </c>
      <c r="U60" s="56"/>
      <c r="V60" s="124">
        <v>45436</v>
      </c>
      <c r="W60" s="124">
        <v>45439</v>
      </c>
      <c r="X60" s="124">
        <v>45439</v>
      </c>
      <c r="Y60" s="62" t="s">
        <v>52</v>
      </c>
      <c r="AA60" s="54"/>
      <c r="AB60" s="71"/>
    </row>
    <row r="61" spans="2:29" x14ac:dyDescent="0.35">
      <c r="B61" s="6" cm="1">
        <f t="array" ref="B61">+_xlfn.IFS(C61="Tracking",2,C61="WIP",1,C61="Aborted",3)</f>
        <v>3</v>
      </c>
      <c r="C61" s="67" t="str">
        <f t="shared" si="3"/>
        <v>Aborted</v>
      </c>
      <c r="D61" s="47" t="s">
        <v>1490</v>
      </c>
      <c r="E61" s="28" t="s">
        <v>250</v>
      </c>
      <c r="F61" s="28" t="s">
        <v>1491</v>
      </c>
      <c r="G61" s="47" t="s">
        <v>1492</v>
      </c>
      <c r="H61" s="47" t="s">
        <v>1493</v>
      </c>
      <c r="J61" s="48" t="s">
        <v>1494</v>
      </c>
      <c r="K61" s="28" t="s">
        <v>1495</v>
      </c>
      <c r="L61" s="28" t="s">
        <v>1496</v>
      </c>
      <c r="N61" s="50" t="s">
        <v>61</v>
      </c>
      <c r="O61" s="50" t="s">
        <v>128</v>
      </c>
      <c r="P61" s="50"/>
      <c r="Q61" s="51"/>
      <c r="S61" s="55">
        <f t="shared" ca="1" si="4"/>
        <v>648</v>
      </c>
      <c r="T61" s="55">
        <f t="shared" ca="1" si="5"/>
        <v>435</v>
      </c>
      <c r="U61" s="56"/>
      <c r="V61" s="124">
        <v>45016</v>
      </c>
      <c r="W61" s="124">
        <v>45016</v>
      </c>
      <c r="X61" s="124">
        <v>45229</v>
      </c>
      <c r="Y61" s="62" t="s">
        <v>52</v>
      </c>
      <c r="AA61" s="54" t="s">
        <v>7</v>
      </c>
      <c r="AB61" s="307"/>
      <c r="AC61" s="297"/>
    </row>
    <row r="62" spans="2:29" x14ac:dyDescent="0.35">
      <c r="B62" s="6" cm="1">
        <f t="array" ref="B62">+_xlfn.IFS(C62="Tracking",2,C62="WIP",1,C62="Aborted",3)</f>
        <v>3</v>
      </c>
      <c r="C62" s="67" t="str">
        <f t="shared" si="3"/>
        <v>Aborted</v>
      </c>
      <c r="D62" s="47" t="s">
        <v>1481</v>
      </c>
      <c r="E62" s="28" t="s">
        <v>213</v>
      </c>
      <c r="F62" s="28" t="s">
        <v>253</v>
      </c>
      <c r="G62" s="47" t="s">
        <v>1483</v>
      </c>
      <c r="H62" s="47" t="s">
        <v>1484</v>
      </c>
      <c r="J62" s="48" t="s">
        <v>132</v>
      </c>
      <c r="K62" s="28"/>
      <c r="L62" s="28"/>
      <c r="N62" s="50" t="s">
        <v>78</v>
      </c>
      <c r="O62" s="50"/>
      <c r="P62" s="50"/>
      <c r="Q62" s="51"/>
      <c r="S62" s="55">
        <f t="shared" ca="1" si="4"/>
        <v>538</v>
      </c>
      <c r="T62" s="55">
        <f t="shared" ca="1" si="5"/>
        <v>536</v>
      </c>
      <c r="U62" s="56"/>
      <c r="V62" s="124">
        <v>45126</v>
      </c>
      <c r="W62" s="124">
        <v>45126</v>
      </c>
      <c r="X62" s="124">
        <v>45128</v>
      </c>
      <c r="Y62" s="62" t="s">
        <v>52</v>
      </c>
      <c r="AA62" s="54"/>
      <c r="AB62" s="214"/>
      <c r="AC62" s="203"/>
    </row>
    <row r="63" spans="2:29" x14ac:dyDescent="0.35">
      <c r="B63" s="6" cm="1">
        <f t="array" ref="B63">+_xlfn.IFS(C63="Tracking",2,C63="WIP",1,C63="Aborted",3)</f>
        <v>3</v>
      </c>
      <c r="C63" s="67" t="str">
        <f t="shared" si="3"/>
        <v>Aborted</v>
      </c>
      <c r="D63" s="47" t="s">
        <v>1481</v>
      </c>
      <c r="E63" s="28" t="s">
        <v>788</v>
      </c>
      <c r="F63" s="28" t="s">
        <v>1529</v>
      </c>
      <c r="G63" s="47" t="s">
        <v>1483</v>
      </c>
      <c r="H63" s="47" t="s">
        <v>1484</v>
      </c>
      <c r="J63" s="48" t="s">
        <v>239</v>
      </c>
      <c r="K63" s="28" t="s">
        <v>1530</v>
      </c>
      <c r="L63" s="28" t="s">
        <v>1531</v>
      </c>
      <c r="N63" s="50" t="s">
        <v>78</v>
      </c>
      <c r="O63" s="50" t="s">
        <v>62</v>
      </c>
      <c r="P63" s="50"/>
      <c r="Q63" s="51"/>
      <c r="S63" s="55">
        <f t="shared" ca="1" si="4"/>
        <v>686</v>
      </c>
      <c r="T63" s="55">
        <f t="shared" ca="1" si="5"/>
        <v>685</v>
      </c>
      <c r="U63" s="56"/>
      <c r="V63" s="124">
        <v>44978</v>
      </c>
      <c r="W63" s="124">
        <v>44979</v>
      </c>
      <c r="X63" s="124">
        <v>44979</v>
      </c>
      <c r="Y63" s="62" t="s">
        <v>52</v>
      </c>
      <c r="AA63" s="54" t="s">
        <v>7</v>
      </c>
      <c r="AB63" s="356"/>
      <c r="AC63" s="346"/>
    </row>
    <row r="64" spans="2:29" x14ac:dyDescent="0.35">
      <c r="B64" s="6" cm="1">
        <f t="array" ref="B64">+_xlfn.IFS(C64="Tracking",2,C64="WIP",1,C64="Aborted",3)</f>
        <v>3</v>
      </c>
      <c r="C64" s="67" t="str">
        <f t="shared" si="3"/>
        <v>Aborted</v>
      </c>
      <c r="D64" s="47" t="s">
        <v>1481</v>
      </c>
      <c r="E64" s="28" t="s">
        <v>625</v>
      </c>
      <c r="F64" s="28" t="s">
        <v>253</v>
      </c>
      <c r="G64" s="47" t="s">
        <v>1483</v>
      </c>
      <c r="H64" s="47" t="s">
        <v>1484</v>
      </c>
      <c r="J64" s="48" t="s">
        <v>111</v>
      </c>
      <c r="K64" s="28" t="s">
        <v>1532</v>
      </c>
      <c r="L64" s="28" t="s">
        <v>1533</v>
      </c>
      <c r="N64" s="50" t="s">
        <v>61</v>
      </c>
      <c r="O64" s="50" t="s">
        <v>62</v>
      </c>
      <c r="P64" s="50"/>
      <c r="Q64" s="51"/>
      <c r="S64" s="55">
        <f t="shared" ca="1" si="4"/>
        <v>697</v>
      </c>
      <c r="T64" s="55">
        <f t="shared" ca="1" si="5"/>
        <v>697</v>
      </c>
      <c r="U64" s="56"/>
      <c r="V64" s="124">
        <v>44967</v>
      </c>
      <c r="W64" s="124">
        <v>44967</v>
      </c>
      <c r="X64" s="124">
        <v>44967</v>
      </c>
      <c r="Y64" s="62" t="s">
        <v>52</v>
      </c>
      <c r="AA64" s="54" t="s">
        <v>7</v>
      </c>
      <c r="AB64" s="214"/>
      <c r="AC64" s="203"/>
    </row>
    <row r="65" spans="2:29" x14ac:dyDescent="0.35">
      <c r="B65" s="6" cm="1">
        <f t="array" ref="B65">+_xlfn.IFS(C65="Tracking",2,C65="WIP",1,C65="Aborted",3)</f>
        <v>3</v>
      </c>
      <c r="C65" s="67" t="str">
        <f t="shared" si="3"/>
        <v>Aborted</v>
      </c>
      <c r="D65" s="47" t="s">
        <v>1481</v>
      </c>
      <c r="E65" s="46" t="s">
        <v>784</v>
      </c>
      <c r="F65" s="28" t="s">
        <v>253</v>
      </c>
      <c r="G65" s="47" t="s">
        <v>1483</v>
      </c>
      <c r="H65" s="47" t="s">
        <v>1484</v>
      </c>
      <c r="J65" s="48" t="s">
        <v>57</v>
      </c>
      <c r="K65" s="28" t="s">
        <v>786</v>
      </c>
      <c r="L65" s="28"/>
      <c r="N65" s="50" t="s">
        <v>61</v>
      </c>
      <c r="O65" s="50" t="s">
        <v>62</v>
      </c>
      <c r="P65" s="50"/>
      <c r="Q65" s="51"/>
      <c r="S65" s="55">
        <f t="shared" ca="1" si="4"/>
        <v>701</v>
      </c>
      <c r="T65" s="55">
        <f t="shared" ca="1" si="5"/>
        <v>701</v>
      </c>
      <c r="U65" s="56"/>
      <c r="V65" s="124">
        <v>44963</v>
      </c>
      <c r="W65" s="124">
        <v>44963</v>
      </c>
      <c r="X65" s="124">
        <v>44963</v>
      </c>
      <c r="Y65" s="62" t="s">
        <v>52</v>
      </c>
      <c r="AA65" s="54" t="s">
        <v>7</v>
      </c>
      <c r="AB65" s="214"/>
      <c r="AC65" s="203"/>
    </row>
    <row r="66" spans="2:29" x14ac:dyDescent="0.35">
      <c r="B66" s="6" cm="1">
        <f t="array" ref="B66">+_xlfn.IFS(C66="Tracking",2,C66="WIP",1,C66="Aborted",3)</f>
        <v>3</v>
      </c>
      <c r="C66" s="67" t="str">
        <f t="shared" si="3"/>
        <v>Aborted</v>
      </c>
      <c r="D66" s="47" t="s">
        <v>1481</v>
      </c>
      <c r="E66" s="46" t="s">
        <v>804</v>
      </c>
      <c r="F66" s="28" t="s">
        <v>253</v>
      </c>
      <c r="G66" s="47" t="s">
        <v>1483</v>
      </c>
      <c r="H66" s="47" t="s">
        <v>1484</v>
      </c>
      <c r="J66" s="48" t="s">
        <v>267</v>
      </c>
      <c r="K66" s="28" t="s">
        <v>806</v>
      </c>
      <c r="L66" s="28"/>
      <c r="N66" s="50" t="s">
        <v>61</v>
      </c>
      <c r="O66" s="50" t="s">
        <v>86</v>
      </c>
      <c r="P66" s="50"/>
      <c r="Q66" s="51"/>
      <c r="S66" s="55">
        <f t="shared" ca="1" si="4"/>
        <v>713</v>
      </c>
      <c r="T66" s="55">
        <f t="shared" ca="1" si="5"/>
        <v>713</v>
      </c>
      <c r="U66" s="56"/>
      <c r="V66" s="124">
        <v>44951</v>
      </c>
      <c r="W66" s="124">
        <v>44951</v>
      </c>
      <c r="X66" s="124">
        <v>44951</v>
      </c>
      <c r="Y66" s="62" t="s">
        <v>52</v>
      </c>
      <c r="AA66" s="54" t="s">
        <v>7</v>
      </c>
      <c r="AB66" s="71"/>
    </row>
    <row r="67" spans="2:29" x14ac:dyDescent="0.35">
      <c r="B67" s="6" cm="1">
        <f t="array" ref="B67">+_xlfn.IFS(C67="Tracking",2,C67="WIP",1,C67="Aborted",3)</f>
        <v>3</v>
      </c>
      <c r="C67" s="67" t="str">
        <f t="shared" si="3"/>
        <v>Aborted</v>
      </c>
      <c r="D67" s="47" t="s">
        <v>1481</v>
      </c>
      <c r="E67" s="28" t="s">
        <v>1541</v>
      </c>
      <c r="F67" s="28" t="s">
        <v>1542</v>
      </c>
      <c r="G67" s="47" t="s">
        <v>1483</v>
      </c>
      <c r="H67" s="47" t="s">
        <v>1493</v>
      </c>
      <c r="J67" s="48" t="s">
        <v>251</v>
      </c>
      <c r="K67" s="28" t="s">
        <v>1543</v>
      </c>
      <c r="L67" s="28"/>
      <c r="N67" s="50" t="s">
        <v>61</v>
      </c>
      <c r="O67" s="120"/>
      <c r="P67" s="50"/>
      <c r="Q67" s="51"/>
      <c r="S67" s="52">
        <f t="shared" ca="1" si="4"/>
        <v>960</v>
      </c>
      <c r="T67" s="55">
        <f t="shared" ca="1" si="5"/>
        <v>960</v>
      </c>
      <c r="U67" s="56"/>
      <c r="V67" s="124">
        <v>44704</v>
      </c>
      <c r="W67" s="124">
        <v>44707</v>
      </c>
      <c r="X67" s="124">
        <v>44704</v>
      </c>
      <c r="Y67" s="62" t="s">
        <v>52</v>
      </c>
      <c r="AA67" s="54" t="s">
        <v>7</v>
      </c>
      <c r="AB67" s="387"/>
      <c r="AC67" s="375"/>
    </row>
    <row r="68" spans="2:29" x14ac:dyDescent="0.35">
      <c r="B68" s="6" cm="1">
        <f t="array" ref="B68">+_xlfn.IFS(C68="Tracking",2,C68="WIP",1,C68="Aborted",3)</f>
        <v>3</v>
      </c>
      <c r="C68" s="67" t="str">
        <f t="shared" si="3"/>
        <v>Aborted</v>
      </c>
      <c r="D68" s="47" t="s">
        <v>1481</v>
      </c>
      <c r="E68" s="28" t="s">
        <v>1544</v>
      </c>
      <c r="F68" s="28" t="s">
        <v>1525</v>
      </c>
      <c r="G68" s="47" t="s">
        <v>1483</v>
      </c>
      <c r="H68" s="47" t="s">
        <v>1484</v>
      </c>
      <c r="J68" s="48" t="s">
        <v>1545</v>
      </c>
      <c r="K68" s="28" t="s">
        <v>1546</v>
      </c>
      <c r="L68" s="28"/>
      <c r="N68" s="50" t="s">
        <v>61</v>
      </c>
      <c r="O68" s="50" t="s">
        <v>562</v>
      </c>
      <c r="P68" s="50"/>
      <c r="Q68" s="51"/>
      <c r="S68" s="52">
        <f t="shared" ca="1" si="4"/>
        <v>1063</v>
      </c>
      <c r="T68" s="55">
        <f t="shared" ca="1" si="5"/>
        <v>1063</v>
      </c>
      <c r="U68" s="56"/>
      <c r="V68" s="124">
        <v>44601</v>
      </c>
      <c r="W68" s="124">
        <v>44613</v>
      </c>
      <c r="X68" s="124">
        <v>44601</v>
      </c>
      <c r="Y68" s="62" t="s">
        <v>52</v>
      </c>
      <c r="AA68" s="54" t="s">
        <v>7</v>
      </c>
      <c r="AB68" s="71"/>
    </row>
    <row r="69" spans="2:29" x14ac:dyDescent="0.35">
      <c r="B69" s="6" cm="1">
        <f t="array" ref="B69">+_xlfn.IFS(C69="Tracking",2,C69="WIP",1,C69="Aborted",3)</f>
        <v>3</v>
      </c>
      <c r="C69" s="67" t="str">
        <f t="shared" ref="C69:C100" si="6">+Y69</f>
        <v>Aborted</v>
      </c>
      <c r="D69" s="47" t="s">
        <v>1481</v>
      </c>
      <c r="E69" s="28" t="s">
        <v>1547</v>
      </c>
      <c r="F69" s="28" t="s">
        <v>1491</v>
      </c>
      <c r="G69" s="47" t="s">
        <v>1483</v>
      </c>
      <c r="H69" s="47" t="s">
        <v>1493</v>
      </c>
      <c r="J69" s="48" t="s">
        <v>111</v>
      </c>
      <c r="K69" s="28" t="s">
        <v>1548</v>
      </c>
      <c r="L69" s="28"/>
      <c r="N69" s="50" t="s">
        <v>61</v>
      </c>
      <c r="O69" s="50" t="s">
        <v>62</v>
      </c>
      <c r="P69" s="50"/>
      <c r="Q69" s="51"/>
      <c r="S69" s="52">
        <f t="shared" ref="S69:S100" ca="1" si="7">+TODAY()-V69</f>
        <v>1079</v>
      </c>
      <c r="T69" s="55">
        <f t="shared" ref="T69:T100" ca="1" si="8">+TODAY()-X69</f>
        <v>1079</v>
      </c>
      <c r="U69" s="56"/>
      <c r="V69" s="124">
        <v>44585</v>
      </c>
      <c r="W69" s="124">
        <v>44600</v>
      </c>
      <c r="X69" s="124">
        <v>44585</v>
      </c>
      <c r="Y69" s="62" t="s">
        <v>52</v>
      </c>
      <c r="AA69" s="54" t="s">
        <v>7</v>
      </c>
      <c r="AB69" s="71"/>
    </row>
    <row r="70" spans="2:29" x14ac:dyDescent="0.35">
      <c r="B70" s="6" cm="1">
        <f t="array" ref="B70">+_xlfn.IFS(C70="Tracking",2,C70="WIP",1,C70="Aborted",3)</f>
        <v>3</v>
      </c>
      <c r="C70" s="67" t="str">
        <f t="shared" si="6"/>
        <v>Aborted</v>
      </c>
      <c r="D70" s="47" t="s">
        <v>1481</v>
      </c>
      <c r="E70" s="28" t="s">
        <v>1549</v>
      </c>
      <c r="F70" s="28" t="s">
        <v>1550</v>
      </c>
      <c r="G70" s="47" t="s">
        <v>1483</v>
      </c>
      <c r="H70" s="47" t="s">
        <v>1493</v>
      </c>
      <c r="J70" s="48" t="s">
        <v>1545</v>
      </c>
      <c r="K70" s="28" t="s">
        <v>1462</v>
      </c>
      <c r="L70" s="28"/>
      <c r="N70" s="50" t="s">
        <v>61</v>
      </c>
      <c r="O70" s="50" t="s">
        <v>562</v>
      </c>
      <c r="P70" s="50"/>
      <c r="Q70" s="51"/>
      <c r="S70" s="55">
        <f t="shared" ca="1" si="7"/>
        <v>982</v>
      </c>
      <c r="T70" s="55">
        <f t="shared" ca="1" si="8"/>
        <v>982</v>
      </c>
      <c r="U70" s="56"/>
      <c r="V70" s="124">
        <v>44682</v>
      </c>
      <c r="W70" s="124" t="s">
        <v>65</v>
      </c>
      <c r="X70" s="124">
        <v>44682</v>
      </c>
      <c r="Y70" s="62" t="s">
        <v>52</v>
      </c>
      <c r="AA70" s="54" t="s">
        <v>7</v>
      </c>
      <c r="AB70" s="71"/>
    </row>
    <row r="71" spans="2:29" x14ac:dyDescent="0.35">
      <c r="B71" s="6" cm="1">
        <f t="array" ref="B71">+_xlfn.IFS(C71="Tracking",2,C71="WIP",1,C71="Aborted",3)</f>
        <v>3</v>
      </c>
      <c r="C71" s="67" t="str">
        <f t="shared" si="6"/>
        <v>Aborted</v>
      </c>
      <c r="D71" s="47" t="s">
        <v>1490</v>
      </c>
      <c r="E71" s="28" t="s">
        <v>1551</v>
      </c>
      <c r="F71" s="28" t="s">
        <v>1491</v>
      </c>
      <c r="G71" s="47" t="s">
        <v>1483</v>
      </c>
      <c r="H71" s="47" t="s">
        <v>1493</v>
      </c>
      <c r="J71" s="48" t="s">
        <v>1545</v>
      </c>
      <c r="K71" s="28" t="s">
        <v>1552</v>
      </c>
      <c r="L71" s="28"/>
      <c r="N71" s="50" t="s">
        <v>78</v>
      </c>
      <c r="O71" s="50" t="s">
        <v>562</v>
      </c>
      <c r="P71" s="50"/>
      <c r="Q71" s="51"/>
      <c r="S71" s="55">
        <f t="shared" ca="1" si="7"/>
        <v>1015</v>
      </c>
      <c r="T71" s="55">
        <f t="shared" ca="1" si="8"/>
        <v>954</v>
      </c>
      <c r="U71" s="56"/>
      <c r="V71" s="124">
        <v>44649</v>
      </c>
      <c r="W71" s="124">
        <v>44649</v>
      </c>
      <c r="X71" s="124">
        <v>44710</v>
      </c>
      <c r="Y71" s="62" t="s">
        <v>52</v>
      </c>
      <c r="AA71" s="54" t="s">
        <v>7</v>
      </c>
      <c r="AB71" s="214"/>
      <c r="AC71" s="203"/>
    </row>
    <row r="72" spans="2:29" x14ac:dyDescent="0.35">
      <c r="B72" s="6" cm="1">
        <f t="array" ref="B72">+_xlfn.IFS(C72="Tracking",2,C72="WIP",1,C72="Aborted",3)</f>
        <v>3</v>
      </c>
      <c r="C72" s="67" t="str">
        <f t="shared" si="6"/>
        <v>Aborted</v>
      </c>
      <c r="D72" s="47" t="s">
        <v>1490</v>
      </c>
      <c r="E72" s="28" t="s">
        <v>1553</v>
      </c>
      <c r="F72" s="28" t="s">
        <v>1554</v>
      </c>
      <c r="G72" s="47" t="s">
        <v>1555</v>
      </c>
      <c r="H72" s="47" t="s">
        <v>1493</v>
      </c>
      <c r="J72" s="48" t="s">
        <v>294</v>
      </c>
      <c r="K72" s="28" t="s">
        <v>1556</v>
      </c>
      <c r="L72" s="28"/>
      <c r="N72" s="50" t="s">
        <v>78</v>
      </c>
      <c r="O72" s="50" t="s">
        <v>562</v>
      </c>
      <c r="P72" s="50"/>
      <c r="Q72" s="51"/>
      <c r="S72" s="55">
        <f t="shared" ca="1" si="7"/>
        <v>945</v>
      </c>
      <c r="T72" s="55">
        <f t="shared" ca="1" si="8"/>
        <v>943</v>
      </c>
      <c r="U72" s="56"/>
      <c r="V72" s="124">
        <v>44719</v>
      </c>
      <c r="W72" s="124">
        <v>44719</v>
      </c>
      <c r="X72" s="124">
        <v>44721</v>
      </c>
      <c r="Y72" s="62" t="s">
        <v>52</v>
      </c>
      <c r="AA72" s="54" t="s">
        <v>7</v>
      </c>
      <c r="AB72" s="214"/>
      <c r="AC72" s="203"/>
    </row>
    <row r="73" spans="2:29" x14ac:dyDescent="0.35">
      <c r="B73" s="6" cm="1">
        <f t="array" ref="B73">+_xlfn.IFS(C73="Tracking",2,C73="WIP",1,C73="Aborted",3)</f>
        <v>3</v>
      </c>
      <c r="C73" s="67" t="str">
        <f t="shared" si="6"/>
        <v>Aborted</v>
      </c>
      <c r="D73" s="47" t="s">
        <v>1490</v>
      </c>
      <c r="E73" s="28" t="s">
        <v>1557</v>
      </c>
      <c r="F73" s="28" t="s">
        <v>1558</v>
      </c>
      <c r="G73" s="47" t="s">
        <v>1559</v>
      </c>
      <c r="H73" s="47" t="s">
        <v>1484</v>
      </c>
      <c r="J73" s="48" t="s">
        <v>111</v>
      </c>
      <c r="K73" s="28" t="s">
        <v>1560</v>
      </c>
      <c r="L73" s="28" t="s">
        <v>1561</v>
      </c>
      <c r="N73" s="50" t="s">
        <v>78</v>
      </c>
      <c r="O73" s="50" t="s">
        <v>562</v>
      </c>
      <c r="P73" s="50"/>
      <c r="Q73" s="51"/>
      <c r="S73" s="52">
        <f t="shared" ca="1" si="7"/>
        <v>1201</v>
      </c>
      <c r="T73" s="55">
        <f t="shared" ca="1" si="8"/>
        <v>938</v>
      </c>
      <c r="U73" s="56"/>
      <c r="V73" s="124">
        <v>44463</v>
      </c>
      <c r="W73" s="124">
        <v>44463</v>
      </c>
      <c r="X73" s="124">
        <v>44726</v>
      </c>
      <c r="Y73" s="62" t="s">
        <v>52</v>
      </c>
      <c r="AA73" s="54" t="s">
        <v>7</v>
      </c>
      <c r="AB73" s="214"/>
      <c r="AC73" s="203"/>
    </row>
    <row r="74" spans="2:29" x14ac:dyDescent="0.35">
      <c r="B74" s="6" cm="1">
        <f t="array" ref="B74">+_xlfn.IFS(C74="Tracking",2,C74="WIP",1,C74="Aborted",3)</f>
        <v>3</v>
      </c>
      <c r="C74" s="67" t="str">
        <f t="shared" si="6"/>
        <v>Aborted</v>
      </c>
      <c r="D74" s="47" t="s">
        <v>1490</v>
      </c>
      <c r="E74" s="28" t="s">
        <v>894</v>
      </c>
      <c r="F74" s="28" t="s">
        <v>1504</v>
      </c>
      <c r="G74" s="47" t="s">
        <v>1038</v>
      </c>
      <c r="H74" s="47" t="s">
        <v>1493</v>
      </c>
      <c r="J74" s="48" t="s">
        <v>111</v>
      </c>
      <c r="K74" s="28"/>
      <c r="L74" s="28"/>
      <c r="N74" s="50" t="s">
        <v>78</v>
      </c>
      <c r="O74" s="50" t="s">
        <v>62</v>
      </c>
      <c r="P74" s="47"/>
      <c r="Q74" s="51"/>
      <c r="S74" s="55">
        <f t="shared" ca="1" si="7"/>
        <v>816</v>
      </c>
      <c r="T74" s="55">
        <f t="shared" ca="1" si="8"/>
        <v>812</v>
      </c>
      <c r="U74" s="56"/>
      <c r="V74" s="124">
        <v>44848</v>
      </c>
      <c r="W74" s="124">
        <v>44848</v>
      </c>
      <c r="X74" s="124">
        <v>44852</v>
      </c>
      <c r="Y74" s="62" t="s">
        <v>52</v>
      </c>
      <c r="AA74" s="54" t="s">
        <v>7</v>
      </c>
      <c r="AB74" s="71"/>
    </row>
    <row r="75" spans="2:29" x14ac:dyDescent="0.35">
      <c r="B75" s="6" cm="1">
        <f t="array" ref="B75">+_xlfn.IFS(C75="Tracking",2,C75="WIP",1,C75="Aborted",3)</f>
        <v>3</v>
      </c>
      <c r="C75" s="67" t="str">
        <f t="shared" si="6"/>
        <v>Aborted</v>
      </c>
      <c r="D75" s="47" t="s">
        <v>1490</v>
      </c>
      <c r="E75" s="28" t="s">
        <v>1562</v>
      </c>
      <c r="F75" s="28" t="s">
        <v>1563</v>
      </c>
      <c r="G75" s="47" t="s">
        <v>712</v>
      </c>
      <c r="H75" s="47" t="s">
        <v>1484</v>
      </c>
      <c r="J75" s="48" t="s">
        <v>658</v>
      </c>
      <c r="K75" s="28" t="s">
        <v>659</v>
      </c>
      <c r="L75" s="28" t="s">
        <v>1564</v>
      </c>
      <c r="N75" s="50" t="s">
        <v>78</v>
      </c>
      <c r="O75" s="50" t="s">
        <v>62</v>
      </c>
      <c r="P75" s="50" t="s">
        <v>128</v>
      </c>
      <c r="Q75" s="51"/>
      <c r="S75" s="55">
        <f t="shared" ca="1" si="7"/>
        <v>775</v>
      </c>
      <c r="T75" s="55">
        <f t="shared" ca="1" si="8"/>
        <v>763</v>
      </c>
      <c r="U75" s="56"/>
      <c r="V75" s="124">
        <v>44889</v>
      </c>
      <c r="W75" s="124">
        <v>44889</v>
      </c>
      <c r="X75" s="124">
        <v>44901</v>
      </c>
      <c r="Y75" s="62" t="s">
        <v>52</v>
      </c>
      <c r="AA75" s="54" t="s">
        <v>7</v>
      </c>
    </row>
    <row r="76" spans="2:29" x14ac:dyDescent="0.35">
      <c r="B76" s="6" cm="1">
        <f t="array" ref="B76">+_xlfn.IFS(C76="Tracking",2,C76="WIP",1,C76="Aborted",3)</f>
        <v>3</v>
      </c>
      <c r="C76" s="67" t="str">
        <f t="shared" si="6"/>
        <v>Aborted</v>
      </c>
      <c r="D76" s="47" t="s">
        <v>1481</v>
      </c>
      <c r="E76" s="28" t="s">
        <v>1246</v>
      </c>
      <c r="F76" s="28" t="s">
        <v>1491</v>
      </c>
      <c r="G76" s="47" t="s">
        <v>1483</v>
      </c>
      <c r="H76" s="47" t="s">
        <v>1484</v>
      </c>
      <c r="J76" s="48" t="s">
        <v>74</v>
      </c>
      <c r="K76" s="28" t="s">
        <v>1565</v>
      </c>
      <c r="L76" s="28"/>
      <c r="N76" s="50" t="s">
        <v>61</v>
      </c>
      <c r="O76" s="50" t="s">
        <v>79</v>
      </c>
      <c r="P76" s="50"/>
      <c r="Q76" s="51"/>
      <c r="S76" s="55">
        <f t="shared" ca="1" si="7"/>
        <v>1063</v>
      </c>
      <c r="T76" s="55">
        <f t="shared" ca="1" si="8"/>
        <v>1063</v>
      </c>
      <c r="U76" s="56"/>
      <c r="V76" s="124">
        <v>44601</v>
      </c>
      <c r="W76" s="124">
        <v>44613</v>
      </c>
      <c r="X76" s="124">
        <v>44601</v>
      </c>
      <c r="Y76" s="62" t="s">
        <v>52</v>
      </c>
      <c r="AA76" s="54" t="s">
        <v>7</v>
      </c>
      <c r="AB76" s="71"/>
    </row>
    <row r="77" spans="2:29" x14ac:dyDescent="0.35">
      <c r="B77" s="6" cm="1">
        <f t="array" ref="B77">+_xlfn.IFS(C77="Tracking",2,C77="WIP",1,C77="Aborted",3)</f>
        <v>3</v>
      </c>
      <c r="C77" s="67" t="str">
        <f t="shared" si="6"/>
        <v>Aborted</v>
      </c>
      <c r="D77" s="47" t="s">
        <v>1490</v>
      </c>
      <c r="E77" s="28" t="s">
        <v>710</v>
      </c>
      <c r="F77" s="28" t="s">
        <v>1563</v>
      </c>
      <c r="G77" s="47" t="s">
        <v>712</v>
      </c>
      <c r="H77" s="47" t="s">
        <v>1484</v>
      </c>
      <c r="J77" s="48" t="s">
        <v>294</v>
      </c>
      <c r="K77" s="28" t="s">
        <v>713</v>
      </c>
      <c r="L77" s="28" t="s">
        <v>1566</v>
      </c>
      <c r="N77" s="50" t="s">
        <v>78</v>
      </c>
      <c r="O77" s="50" t="s">
        <v>62</v>
      </c>
      <c r="P77" s="50"/>
      <c r="Q77" s="51"/>
      <c r="S77" s="55">
        <f t="shared" ca="1" si="7"/>
        <v>840</v>
      </c>
      <c r="T77" s="55">
        <f t="shared" ca="1" si="8"/>
        <v>557</v>
      </c>
      <c r="U77" s="56"/>
      <c r="V77" s="124">
        <v>44824</v>
      </c>
      <c r="W77" s="124">
        <v>44824</v>
      </c>
      <c r="X77" s="124">
        <v>45107</v>
      </c>
      <c r="Y77" s="62" t="s">
        <v>52</v>
      </c>
      <c r="AA77" s="54" t="s">
        <v>7</v>
      </c>
      <c r="AB77" s="71"/>
    </row>
    <row r="78" spans="2:29" x14ac:dyDescent="0.35">
      <c r="B78" s="6" cm="1">
        <f t="array" ref="B78">+_xlfn.IFS(C78="Tracking",2,C78="WIP",1,C78="Aborted",3)</f>
        <v>3</v>
      </c>
      <c r="C78" s="67" t="str">
        <f t="shared" si="6"/>
        <v>Aborted</v>
      </c>
      <c r="D78" s="47" t="s">
        <v>1490</v>
      </c>
      <c r="E78" s="28" t="s">
        <v>4689</v>
      </c>
      <c r="F78" s="28" t="s">
        <v>1504</v>
      </c>
      <c r="G78" s="47" t="s">
        <v>1038</v>
      </c>
      <c r="H78" s="47" t="s">
        <v>1484</v>
      </c>
      <c r="J78" s="48" t="s">
        <v>83</v>
      </c>
      <c r="K78" s="28" t="s">
        <v>4693</v>
      </c>
      <c r="L78" s="28" t="s">
        <v>4694</v>
      </c>
      <c r="N78" s="50" t="s">
        <v>153</v>
      </c>
      <c r="O78" s="50" t="s">
        <v>62</v>
      </c>
      <c r="P78" s="50"/>
      <c r="Q78" s="51"/>
      <c r="S78" s="55">
        <f t="shared" ca="1" si="7"/>
        <v>88</v>
      </c>
      <c r="T78" s="55">
        <f t="shared" ca="1" si="8"/>
        <v>63</v>
      </c>
      <c r="U78" s="56"/>
      <c r="V78" s="124">
        <v>45576</v>
      </c>
      <c r="W78" s="124">
        <v>45576</v>
      </c>
      <c r="X78" s="124">
        <v>45601</v>
      </c>
      <c r="Y78" s="62" t="s">
        <v>52</v>
      </c>
      <c r="AA78" s="54"/>
    </row>
    <row r="79" spans="2:29" x14ac:dyDescent="0.35">
      <c r="B79" s="6" cm="1">
        <f t="array" ref="B79">+_xlfn.IFS(C79="Tracking",2,C79="WIP",1,C79="Aborted",3)</f>
        <v>3</v>
      </c>
      <c r="C79" s="67" t="str">
        <f t="shared" si="6"/>
        <v>Aborted</v>
      </c>
      <c r="D79" s="47" t="s">
        <v>1490</v>
      </c>
      <c r="E79" s="28" t="s">
        <v>4671</v>
      </c>
      <c r="F79" s="28" t="s">
        <v>1491</v>
      </c>
      <c r="G79" s="47" t="s">
        <v>1492</v>
      </c>
      <c r="H79" s="47" t="s">
        <v>1493</v>
      </c>
      <c r="J79" s="48" t="s">
        <v>83</v>
      </c>
      <c r="K79" s="28" t="s">
        <v>4672</v>
      </c>
      <c r="L79" s="28"/>
      <c r="N79" s="50"/>
      <c r="O79" s="50" t="s">
        <v>62</v>
      </c>
      <c r="P79" s="50"/>
      <c r="Q79" s="51"/>
      <c r="S79" s="55">
        <f t="shared" ca="1" si="7"/>
        <v>96</v>
      </c>
      <c r="T79" s="55">
        <f t="shared" ca="1" si="8"/>
        <v>92</v>
      </c>
      <c r="U79" s="56"/>
      <c r="V79" s="124">
        <v>45568</v>
      </c>
      <c r="W79" s="124">
        <v>45568</v>
      </c>
      <c r="X79" s="124">
        <v>45572</v>
      </c>
      <c r="Y79" s="62" t="s">
        <v>52</v>
      </c>
      <c r="AA79" s="54"/>
    </row>
    <row r="80" spans="2:29" x14ac:dyDescent="0.35">
      <c r="B80" s="6" cm="1">
        <f t="array" ref="B80">+_xlfn.IFS(C80="Tracking",2,C80="WIP",1,C80="Aborted",3)</f>
        <v>3</v>
      </c>
      <c r="C80" s="67" t="str">
        <f t="shared" si="6"/>
        <v>Aborted</v>
      </c>
      <c r="D80" s="47" t="s">
        <v>1490</v>
      </c>
      <c r="E80" s="28" t="s">
        <v>4264</v>
      </c>
      <c r="F80" s="28" t="s">
        <v>1563</v>
      </c>
      <c r="G80" s="47" t="s">
        <v>712</v>
      </c>
      <c r="H80" s="47" t="s">
        <v>1484</v>
      </c>
      <c r="J80" s="48" t="s">
        <v>83</v>
      </c>
      <c r="K80" s="28" t="s">
        <v>4265</v>
      </c>
      <c r="L80" s="28" t="s">
        <v>4266</v>
      </c>
      <c r="N80" s="50" t="s">
        <v>62</v>
      </c>
      <c r="O80" s="50" t="s">
        <v>62</v>
      </c>
      <c r="P80" s="50"/>
      <c r="Q80" s="51"/>
      <c r="S80" s="55">
        <f t="shared" ca="1" si="7"/>
        <v>197</v>
      </c>
      <c r="T80" s="55">
        <f t="shared" ca="1" si="8"/>
        <v>120</v>
      </c>
      <c r="U80" s="56"/>
      <c r="V80" s="124">
        <v>45467</v>
      </c>
      <c r="W80" s="124">
        <v>45467</v>
      </c>
      <c r="X80" s="124">
        <v>45544</v>
      </c>
      <c r="Y80" s="62" t="s">
        <v>52</v>
      </c>
      <c r="AA80" s="54"/>
    </row>
    <row r="81" spans="1:29" x14ac:dyDescent="0.35">
      <c r="B81" s="6" cm="1">
        <f t="array" ref="B81">+_xlfn.IFS(C81="Tracking",2,C81="WIP",1,C81="Aborted",3)</f>
        <v>3</v>
      </c>
      <c r="C81" s="67" t="str">
        <f t="shared" si="6"/>
        <v>Aborted</v>
      </c>
      <c r="D81" s="47" t="s">
        <v>1490</v>
      </c>
      <c r="E81" s="28" t="s">
        <v>4673</v>
      </c>
      <c r="F81" s="28" t="s">
        <v>1563</v>
      </c>
      <c r="G81" s="47" t="s">
        <v>4617</v>
      </c>
      <c r="H81" s="47" t="s">
        <v>1484</v>
      </c>
      <c r="J81" s="48" t="s">
        <v>3207</v>
      </c>
      <c r="K81" s="28" t="s">
        <v>4674</v>
      </c>
      <c r="L81" s="28"/>
      <c r="N81" s="50"/>
      <c r="O81" s="50"/>
      <c r="P81" s="50"/>
      <c r="Q81" s="51"/>
      <c r="S81" s="55">
        <f t="shared" ca="1" si="7"/>
        <v>92</v>
      </c>
      <c r="T81" s="55">
        <f t="shared" ca="1" si="8"/>
        <v>92</v>
      </c>
      <c r="U81" s="56"/>
      <c r="V81" s="124">
        <v>45572</v>
      </c>
      <c r="W81" s="124">
        <v>45572</v>
      </c>
      <c r="X81" s="124">
        <v>45572</v>
      </c>
      <c r="Y81" s="62" t="s">
        <v>52</v>
      </c>
      <c r="AA81" s="54"/>
    </row>
    <row r="82" spans="1:29" x14ac:dyDescent="0.35">
      <c r="A82" s="1021"/>
      <c r="B82" s="1021" cm="1">
        <f t="array" ref="B82">+_xlfn.IFS(C82="Tracking",2,C82="WIP",1,C82="Aborted",3)</f>
        <v>3</v>
      </c>
      <c r="C82" s="1022" t="str">
        <f t="shared" si="6"/>
        <v>Aborted</v>
      </c>
      <c r="D82" s="1023" t="s">
        <v>1490</v>
      </c>
      <c r="E82" s="1024" t="s">
        <v>4616</v>
      </c>
      <c r="F82" s="1024" t="s">
        <v>1563</v>
      </c>
      <c r="G82" s="1023" t="s">
        <v>4617</v>
      </c>
      <c r="H82" s="1023" t="s">
        <v>1484</v>
      </c>
      <c r="I82" s="1021"/>
      <c r="J82" s="1032" t="s">
        <v>2579</v>
      </c>
      <c r="K82" s="1024" t="s">
        <v>4618</v>
      </c>
      <c r="L82" s="1024" t="s">
        <v>4619</v>
      </c>
      <c r="M82" s="1021"/>
      <c r="N82" s="1025"/>
      <c r="O82" s="1025"/>
      <c r="P82" s="1025"/>
      <c r="Q82" s="1026"/>
      <c r="R82" s="1021"/>
      <c r="S82" s="1027">
        <f t="shared" ca="1" si="7"/>
        <v>99</v>
      </c>
      <c r="T82" s="1027">
        <f t="shared" ca="1" si="8"/>
        <v>99</v>
      </c>
      <c r="U82" s="1028"/>
      <c r="V82" s="1029">
        <v>45565</v>
      </c>
      <c r="W82" s="1029">
        <v>45565</v>
      </c>
      <c r="X82" s="1029">
        <v>45565</v>
      </c>
      <c r="Y82" s="1030" t="s">
        <v>52</v>
      </c>
      <c r="Z82" s="1021"/>
      <c r="AA82" s="1031"/>
    </row>
    <row r="83" spans="1:29" x14ac:dyDescent="0.35">
      <c r="A83" s="780"/>
      <c r="B83" s="780" cm="1">
        <f t="array" ref="B83">+_xlfn.IFS(C83="Tracking",2,C83="WIP",1,C83="Aborted",3)</f>
        <v>3</v>
      </c>
      <c r="C83" s="781" t="str">
        <f t="shared" si="6"/>
        <v>Aborted</v>
      </c>
      <c r="D83" s="782" t="s">
        <v>1490</v>
      </c>
      <c r="E83" s="28" t="s">
        <v>4558</v>
      </c>
      <c r="F83" s="378" t="s">
        <v>1491</v>
      </c>
      <c r="G83" s="47" t="s">
        <v>1492</v>
      </c>
      <c r="H83" s="782" t="s">
        <v>1484</v>
      </c>
      <c r="I83" s="780"/>
      <c r="J83" s="48" t="s">
        <v>4559</v>
      </c>
      <c r="K83" s="28" t="s">
        <v>4560</v>
      </c>
      <c r="L83" s="28"/>
      <c r="M83" s="780"/>
      <c r="N83" s="50"/>
      <c r="O83" s="50"/>
      <c r="P83" s="784"/>
      <c r="Q83" s="785"/>
      <c r="R83" s="780"/>
      <c r="S83" s="786">
        <f t="shared" ca="1" si="7"/>
        <v>106</v>
      </c>
      <c r="T83" s="786">
        <f t="shared" ca="1" si="8"/>
        <v>106</v>
      </c>
      <c r="U83" s="787"/>
      <c r="V83" s="788">
        <v>45558</v>
      </c>
      <c r="W83" s="788">
        <v>45558</v>
      </c>
      <c r="X83" s="788">
        <v>45558</v>
      </c>
      <c r="Y83" s="971" t="s">
        <v>52</v>
      </c>
      <c r="Z83" s="780"/>
      <c r="AA83" s="790"/>
    </row>
    <row r="84" spans="1:29" x14ac:dyDescent="0.35">
      <c r="A84" s="780"/>
      <c r="B84" s="780" cm="1">
        <f t="array" ref="B84">+_xlfn.IFS(C84="Tracking",2,C84="WIP",1,C84="Aborted",3)</f>
        <v>3</v>
      </c>
      <c r="C84" s="781" t="str">
        <f t="shared" si="6"/>
        <v>Aborted</v>
      </c>
      <c r="D84" s="782" t="s">
        <v>1490</v>
      </c>
      <c r="E84" s="28" t="s">
        <v>4554</v>
      </c>
      <c r="F84" s="28" t="s">
        <v>3594</v>
      </c>
      <c r="G84" s="47" t="s">
        <v>3595</v>
      </c>
      <c r="H84" s="782" t="s">
        <v>1484</v>
      </c>
      <c r="I84" s="780"/>
      <c r="J84" s="48" t="s">
        <v>83</v>
      </c>
      <c r="K84" s="28" t="s">
        <v>4555</v>
      </c>
      <c r="L84" s="28"/>
      <c r="M84" s="780"/>
      <c r="N84" s="50" t="s">
        <v>3598</v>
      </c>
      <c r="O84" s="50" t="s">
        <v>62</v>
      </c>
      <c r="P84" s="784"/>
      <c r="Q84" s="785"/>
      <c r="R84" s="780"/>
      <c r="S84" s="786">
        <f t="shared" ca="1" si="7"/>
        <v>106</v>
      </c>
      <c r="T84" s="786">
        <f t="shared" ca="1" si="8"/>
        <v>106</v>
      </c>
      <c r="U84" s="787"/>
      <c r="V84" s="788">
        <v>45558</v>
      </c>
      <c r="W84" s="788">
        <v>45558</v>
      </c>
      <c r="X84" s="788">
        <v>45558</v>
      </c>
      <c r="Y84" s="971" t="s">
        <v>52</v>
      </c>
      <c r="Z84" s="780"/>
      <c r="AA84" s="790"/>
    </row>
    <row r="85" spans="1:29" x14ac:dyDescent="0.35">
      <c r="A85" s="780"/>
      <c r="B85" s="780" cm="1">
        <f t="array" ref="B85">+_xlfn.IFS(C85="Tracking",2,C85="WIP",1,C85="Aborted",3)</f>
        <v>3</v>
      </c>
      <c r="C85" s="781" t="str">
        <f t="shared" si="6"/>
        <v>Aborted</v>
      </c>
      <c r="D85" s="782" t="s">
        <v>1490</v>
      </c>
      <c r="E85" s="28" t="s">
        <v>4353</v>
      </c>
      <c r="F85" s="28" t="s">
        <v>1525</v>
      </c>
      <c r="G85" s="47" t="s">
        <v>1526</v>
      </c>
      <c r="H85" s="782" t="s">
        <v>1484</v>
      </c>
      <c r="I85" s="780"/>
      <c r="J85" s="48" t="s">
        <v>1456</v>
      </c>
      <c r="K85" s="28" t="s">
        <v>4354</v>
      </c>
      <c r="L85" s="28" t="s">
        <v>4355</v>
      </c>
      <c r="M85" s="780"/>
      <c r="N85" s="50" t="s">
        <v>78</v>
      </c>
      <c r="O85" s="784"/>
      <c r="P85" s="784"/>
      <c r="Q85" s="785"/>
      <c r="R85" s="780"/>
      <c r="S85" s="786">
        <f t="shared" ca="1" si="7"/>
        <v>137</v>
      </c>
      <c r="T85" s="786">
        <f t="shared" ca="1" si="8"/>
        <v>137</v>
      </c>
      <c r="U85" s="787"/>
      <c r="V85" s="788">
        <v>45527</v>
      </c>
      <c r="W85" s="788">
        <v>45527</v>
      </c>
      <c r="X85" s="788">
        <v>45527</v>
      </c>
      <c r="Y85" s="971" t="s">
        <v>52</v>
      </c>
      <c r="Z85" s="780"/>
      <c r="AA85" s="790"/>
    </row>
    <row r="86" spans="1:29" x14ac:dyDescent="0.35">
      <c r="B86" s="780" cm="1">
        <f t="array" ref="B86">+_xlfn.IFS(C86="Tracking",2,C86="WIP",1,C86="Aborted",3)</f>
        <v>3</v>
      </c>
      <c r="C86" s="781" t="str">
        <f t="shared" si="6"/>
        <v>Aborted</v>
      </c>
      <c r="D86" s="782" t="s">
        <v>1490</v>
      </c>
      <c r="E86" s="28" t="s">
        <v>4359</v>
      </c>
      <c r="F86" s="28" t="s">
        <v>4360</v>
      </c>
      <c r="G86" s="47" t="s">
        <v>1700</v>
      </c>
      <c r="H86" s="782" t="s">
        <v>1484</v>
      </c>
      <c r="I86" s="780"/>
      <c r="J86" s="48" t="s">
        <v>111</v>
      </c>
      <c r="K86" s="28" t="s">
        <v>4361</v>
      </c>
      <c r="L86" s="28" t="s">
        <v>4362</v>
      </c>
      <c r="M86" s="780"/>
      <c r="N86" s="50" t="s">
        <v>78</v>
      </c>
      <c r="O86" s="784"/>
      <c r="P86" s="784"/>
      <c r="Q86" s="785" t="s">
        <v>4365</v>
      </c>
      <c r="S86" s="786">
        <f t="shared" ca="1" si="7"/>
        <v>133</v>
      </c>
      <c r="T86" s="786">
        <f t="shared" ca="1" si="8"/>
        <v>133</v>
      </c>
      <c r="U86" s="56"/>
      <c r="V86" s="788">
        <v>45531</v>
      </c>
      <c r="W86" s="788">
        <v>45531</v>
      </c>
      <c r="X86" s="788">
        <v>45531</v>
      </c>
      <c r="Y86" s="936" t="s">
        <v>52</v>
      </c>
      <c r="AA86" s="11"/>
    </row>
    <row r="87" spans="1:29" x14ac:dyDescent="0.35">
      <c r="B87" s="6" cm="1">
        <f t="array" ref="B87">+_xlfn.IFS(C87="Tracking",2,C87="WIP",1,C87="Aborted",3)</f>
        <v>3</v>
      </c>
      <c r="C87" s="67" t="str">
        <f t="shared" si="6"/>
        <v>Aborted</v>
      </c>
      <c r="D87" s="47" t="s">
        <v>1490</v>
      </c>
      <c r="E87" s="28" t="s">
        <v>4272</v>
      </c>
      <c r="F87" s="28" t="s">
        <v>1401</v>
      </c>
      <c r="G87" s="47" t="s">
        <v>715</v>
      </c>
      <c r="H87" s="47" t="s">
        <v>1484</v>
      </c>
      <c r="J87" s="859" t="s">
        <v>111</v>
      </c>
      <c r="K87" s="28" t="s">
        <v>4412</v>
      </c>
      <c r="L87" s="28"/>
      <c r="N87" s="50"/>
      <c r="O87" s="50"/>
      <c r="P87" s="50"/>
      <c r="Q87" s="51"/>
      <c r="S87" s="55">
        <f t="shared" ca="1" si="7"/>
        <v>197</v>
      </c>
      <c r="T87" s="55">
        <f t="shared" ca="1" si="8"/>
        <v>195</v>
      </c>
      <c r="U87" s="56"/>
      <c r="V87" s="124">
        <v>45467</v>
      </c>
      <c r="W87" s="124">
        <v>45467</v>
      </c>
      <c r="X87" s="124">
        <v>45469</v>
      </c>
      <c r="Y87" s="62" t="s">
        <v>52</v>
      </c>
      <c r="AA87" s="54"/>
      <c r="AB87" s="713"/>
      <c r="AC87" s="713"/>
    </row>
    <row r="88" spans="1:29" x14ac:dyDescent="0.35">
      <c r="A88" s="780"/>
      <c r="B88" s="780" cm="1">
        <f t="array" ref="B88">+_xlfn.IFS(C88="Tracking",2,C88="WIP",1,C88="Aborted",3)</f>
        <v>3</v>
      </c>
      <c r="C88" s="781" t="str">
        <f t="shared" si="6"/>
        <v>Aborted</v>
      </c>
      <c r="D88" s="782" t="s">
        <v>1490</v>
      </c>
      <c r="E88" s="783" t="s">
        <v>3921</v>
      </c>
      <c r="F88" s="783" t="s">
        <v>1594</v>
      </c>
      <c r="G88" s="782" t="s">
        <v>1511</v>
      </c>
      <c r="H88" s="782" t="s">
        <v>1484</v>
      </c>
      <c r="I88" s="780"/>
      <c r="J88" s="791" t="s">
        <v>452</v>
      </c>
      <c r="K88" s="783" t="s">
        <v>3922</v>
      </c>
      <c r="L88" s="783" t="s">
        <v>3923</v>
      </c>
      <c r="M88" s="780"/>
      <c r="N88" s="784" t="s">
        <v>62</v>
      </c>
      <c r="O88" s="784" t="s">
        <v>62</v>
      </c>
      <c r="P88" s="784"/>
      <c r="Q88" s="785"/>
      <c r="R88" s="780"/>
      <c r="S88" s="786">
        <f t="shared" ca="1" si="7"/>
        <v>224</v>
      </c>
      <c r="T88" s="786">
        <f t="shared" ca="1" si="8"/>
        <v>169</v>
      </c>
      <c r="U88" s="787"/>
      <c r="V88" s="788">
        <v>45440</v>
      </c>
      <c r="W88" s="788">
        <v>45440</v>
      </c>
      <c r="X88" s="788">
        <v>45495</v>
      </c>
      <c r="Y88" s="789" t="s">
        <v>52</v>
      </c>
      <c r="Z88" s="780"/>
      <c r="AA88" s="790"/>
    </row>
    <row r="89" spans="1:29" x14ac:dyDescent="0.35">
      <c r="A89" s="661"/>
      <c r="B89" s="661" cm="1">
        <f t="array" ref="B89">+_xlfn.IFS(C89="Tracking",2,C89="WIP",1,C89="Aborted",3)</f>
        <v>3</v>
      </c>
      <c r="C89" s="665" t="str">
        <f t="shared" si="6"/>
        <v>Aborted</v>
      </c>
      <c r="D89" s="666" t="s">
        <v>1490</v>
      </c>
      <c r="E89" s="662" t="s">
        <v>4180</v>
      </c>
      <c r="F89" s="662" t="s">
        <v>1563</v>
      </c>
      <c r="G89" s="666" t="s">
        <v>712</v>
      </c>
      <c r="H89" s="666" t="s">
        <v>1484</v>
      </c>
      <c r="I89" s="661"/>
      <c r="J89" s="675" t="s">
        <v>111</v>
      </c>
      <c r="K89" s="662" t="s">
        <v>4179</v>
      </c>
      <c r="L89" s="662" t="s">
        <v>4181</v>
      </c>
      <c r="M89" s="661"/>
      <c r="N89" s="667"/>
      <c r="O89" s="667" t="s">
        <v>62</v>
      </c>
      <c r="P89" s="667"/>
      <c r="Q89" s="668"/>
      <c r="R89" s="661"/>
      <c r="S89" s="669">
        <f t="shared" ca="1" si="7"/>
        <v>211</v>
      </c>
      <c r="T89" s="669">
        <f t="shared" ca="1" si="8"/>
        <v>211</v>
      </c>
      <c r="U89" s="670"/>
      <c r="V89" s="671">
        <v>45453</v>
      </c>
      <c r="W89" s="671">
        <v>45453</v>
      </c>
      <c r="X89" s="671">
        <v>45453</v>
      </c>
      <c r="Y89" s="672" t="s">
        <v>52</v>
      </c>
      <c r="Z89" s="661"/>
      <c r="AA89" s="673"/>
    </row>
    <row r="90" spans="1:29" x14ac:dyDescent="0.35">
      <c r="A90" s="661"/>
      <c r="B90" s="661" cm="1">
        <f t="array" ref="B90">+_xlfn.IFS(C90="Tracking",2,C90="WIP",1,C90="Aborted",3)</f>
        <v>3</v>
      </c>
      <c r="C90" s="665" t="str">
        <f t="shared" si="6"/>
        <v>Aborted</v>
      </c>
      <c r="D90" s="666" t="s">
        <v>1490</v>
      </c>
      <c r="E90" s="662" t="s">
        <v>4176</v>
      </c>
      <c r="F90" s="662" t="s">
        <v>1558</v>
      </c>
      <c r="G90" s="666" t="s">
        <v>1559</v>
      </c>
      <c r="H90" s="666" t="s">
        <v>1484</v>
      </c>
      <c r="I90" s="661"/>
      <c r="J90" s="675" t="s">
        <v>83</v>
      </c>
      <c r="K90" s="662" t="s">
        <v>4177</v>
      </c>
      <c r="L90" s="662" t="s">
        <v>4178</v>
      </c>
      <c r="M90" s="661"/>
      <c r="N90" s="667" t="s">
        <v>78</v>
      </c>
      <c r="O90" s="667" t="s">
        <v>62</v>
      </c>
      <c r="P90" s="667"/>
      <c r="Q90" s="668"/>
      <c r="R90" s="661"/>
      <c r="S90" s="669">
        <f t="shared" ca="1" si="7"/>
        <v>214</v>
      </c>
      <c r="T90" s="669">
        <f t="shared" ca="1" si="8"/>
        <v>211</v>
      </c>
      <c r="U90" s="670"/>
      <c r="V90" s="671">
        <v>45450</v>
      </c>
      <c r="W90" s="671">
        <v>45450</v>
      </c>
      <c r="X90" s="671">
        <v>45453</v>
      </c>
      <c r="Y90" s="672" t="s">
        <v>52</v>
      </c>
      <c r="Z90" s="661"/>
      <c r="AA90" s="673"/>
    </row>
    <row r="91" spans="1:29" x14ac:dyDescent="0.35">
      <c r="A91" s="691"/>
      <c r="B91" s="691" cm="1">
        <f t="array" ref="B91">+_xlfn.IFS(C91="Tracking",2,C91="WIP",1,C91="Aborted",3)</f>
        <v>3</v>
      </c>
      <c r="C91" s="692" t="str">
        <f t="shared" si="6"/>
        <v>Aborted</v>
      </c>
      <c r="D91" s="693" t="s">
        <v>1490</v>
      </c>
      <c r="E91" s="694" t="s">
        <v>4193</v>
      </c>
      <c r="F91" s="694" t="s">
        <v>1504</v>
      </c>
      <c r="G91" s="693" t="s">
        <v>1038</v>
      </c>
      <c r="H91" s="693" t="s">
        <v>1484</v>
      </c>
      <c r="I91" s="691"/>
      <c r="J91" s="704" t="s">
        <v>83</v>
      </c>
      <c r="K91" s="696" t="s">
        <v>4194</v>
      </c>
      <c r="L91" s="694" t="s">
        <v>4195</v>
      </c>
      <c r="M91" s="691"/>
      <c r="N91" s="695"/>
      <c r="O91" s="695"/>
      <c r="P91" s="695"/>
      <c r="Q91" s="697"/>
      <c r="R91" s="691"/>
      <c r="S91" s="698">
        <f t="shared" ca="1" si="7"/>
        <v>207</v>
      </c>
      <c r="T91" s="698">
        <f t="shared" ca="1" si="8"/>
        <v>207</v>
      </c>
      <c r="U91" s="699"/>
      <c r="V91" s="700">
        <v>45457</v>
      </c>
      <c r="W91" s="700">
        <v>45457</v>
      </c>
      <c r="X91" s="700">
        <v>45457</v>
      </c>
      <c r="Y91" s="701" t="s">
        <v>52</v>
      </c>
      <c r="Z91" s="691"/>
      <c r="AA91" s="702"/>
    </row>
    <row r="92" spans="1:29" x14ac:dyDescent="0.35">
      <c r="B92" s="6" cm="1">
        <f t="array" ref="B92">+_xlfn.IFS(C92="Tracking",2,C92="WIP",1,C92="Aborted",3)</f>
        <v>3</v>
      </c>
      <c r="C92" s="67" t="str">
        <f t="shared" si="6"/>
        <v>Aborted</v>
      </c>
      <c r="D92" s="47" t="s">
        <v>1490</v>
      </c>
      <c r="E92" s="28" t="s">
        <v>3929</v>
      </c>
      <c r="F92" s="28" t="s">
        <v>3930</v>
      </c>
      <c r="G92" s="47" t="s">
        <v>712</v>
      </c>
      <c r="H92" s="47" t="s">
        <v>1484</v>
      </c>
      <c r="J92" s="48" t="s">
        <v>111</v>
      </c>
      <c r="K92" s="28" t="s">
        <v>3931</v>
      </c>
      <c r="L92" s="28" t="s">
        <v>3932</v>
      </c>
      <c r="N92" s="50" t="s">
        <v>153</v>
      </c>
      <c r="O92" s="50" t="s">
        <v>62</v>
      </c>
      <c r="P92" s="50"/>
      <c r="Q92" s="51"/>
      <c r="S92" s="55">
        <f t="shared" ca="1" si="7"/>
        <v>224</v>
      </c>
      <c r="T92" s="55">
        <f t="shared" ca="1" si="8"/>
        <v>224</v>
      </c>
      <c r="U92" s="56"/>
      <c r="V92" s="124">
        <v>45440</v>
      </c>
      <c r="W92" s="124">
        <v>45440</v>
      </c>
      <c r="X92" s="124">
        <v>45440</v>
      </c>
      <c r="Y92" s="62" t="s">
        <v>52</v>
      </c>
      <c r="AA92" s="54"/>
    </row>
    <row r="93" spans="1:29" x14ac:dyDescent="0.35">
      <c r="A93" s="661"/>
      <c r="B93" s="661" cm="1">
        <f t="array" ref="B93">+_xlfn.IFS(C93="Tracking",2,C93="WIP",1,C93="Aborted",3)</f>
        <v>3</v>
      </c>
      <c r="C93" s="665" t="str">
        <f t="shared" si="6"/>
        <v>Aborted</v>
      </c>
      <c r="D93" s="666" t="s">
        <v>1490</v>
      </c>
      <c r="E93" s="662" t="s">
        <v>4182</v>
      </c>
      <c r="F93" s="662" t="s">
        <v>1529</v>
      </c>
      <c r="G93" s="666" t="s">
        <v>4183</v>
      </c>
      <c r="H93" s="666" t="s">
        <v>1484</v>
      </c>
      <c r="I93" s="661"/>
      <c r="J93" s="675" t="s">
        <v>1010</v>
      </c>
      <c r="K93" s="676" t="s">
        <v>4184</v>
      </c>
      <c r="L93" s="662" t="s">
        <v>4185</v>
      </c>
      <c r="M93" s="661"/>
      <c r="N93" s="667"/>
      <c r="O93" s="667" t="s">
        <v>62</v>
      </c>
      <c r="P93" s="667"/>
      <c r="Q93" s="668"/>
      <c r="R93" s="661"/>
      <c r="S93" s="669">
        <f t="shared" ca="1" si="7"/>
        <v>210</v>
      </c>
      <c r="T93" s="669">
        <f t="shared" ca="1" si="8"/>
        <v>210</v>
      </c>
      <c r="U93" s="670"/>
      <c r="V93" s="671">
        <v>45454</v>
      </c>
      <c r="W93" s="671">
        <v>45454</v>
      </c>
      <c r="X93" s="671">
        <v>45454</v>
      </c>
      <c r="Y93" s="672" t="s">
        <v>52</v>
      </c>
      <c r="Z93" s="661"/>
      <c r="AA93" s="673"/>
    </row>
    <row r="94" spans="1:29" x14ac:dyDescent="0.35">
      <c r="A94" s="661"/>
      <c r="B94" s="661" cm="1">
        <f t="array" ref="B94">+_xlfn.IFS(C94="Tracking",2,C94="WIP",1,C94="Aborted",3)</f>
        <v>3</v>
      </c>
      <c r="C94" s="665" t="str">
        <f t="shared" si="6"/>
        <v>Aborted</v>
      </c>
      <c r="D94" s="666" t="s">
        <v>1490</v>
      </c>
      <c r="E94" s="662" t="s">
        <v>4173</v>
      </c>
      <c r="F94" s="662" t="s">
        <v>1594</v>
      </c>
      <c r="G94" s="666" t="s">
        <v>1511</v>
      </c>
      <c r="H94" s="666" t="s">
        <v>1484</v>
      </c>
      <c r="I94" s="661"/>
      <c r="J94" s="675" t="s">
        <v>1010</v>
      </c>
      <c r="K94" s="662" t="s">
        <v>4174</v>
      </c>
      <c r="L94" s="662" t="s">
        <v>4175</v>
      </c>
      <c r="M94" s="661"/>
      <c r="N94" s="667" t="s">
        <v>78</v>
      </c>
      <c r="O94" s="667" t="s">
        <v>62</v>
      </c>
      <c r="P94" s="667"/>
      <c r="Q94" s="668"/>
      <c r="R94" s="661"/>
      <c r="S94" s="669">
        <f t="shared" ca="1" si="7"/>
        <v>239</v>
      </c>
      <c r="T94" s="669">
        <f t="shared" ca="1" si="8"/>
        <v>237</v>
      </c>
      <c r="U94" s="670"/>
      <c r="V94" s="671">
        <v>45425</v>
      </c>
      <c r="W94" s="671">
        <v>45425</v>
      </c>
      <c r="X94" s="671">
        <v>45427</v>
      </c>
      <c r="Y94" s="672" t="s">
        <v>52</v>
      </c>
      <c r="Z94" s="661"/>
      <c r="AA94" s="673"/>
    </row>
    <row r="95" spans="1:29" x14ac:dyDescent="0.35">
      <c r="B95" s="6" cm="1">
        <f t="array" ref="B95">+_xlfn.IFS(C95="Tracking",2,C95="WIP",1,C95="Aborted",3)</f>
        <v>3</v>
      </c>
      <c r="C95" s="67" t="str">
        <f t="shared" si="6"/>
        <v>Aborted</v>
      </c>
      <c r="D95" s="47" t="s">
        <v>1490</v>
      </c>
      <c r="E95" s="28" t="s">
        <v>3925</v>
      </c>
      <c r="F95" s="28" t="s">
        <v>1594</v>
      </c>
      <c r="G95" s="47" t="s">
        <v>1511</v>
      </c>
      <c r="H95" s="47" t="s">
        <v>1484</v>
      </c>
      <c r="J95" s="48" t="s">
        <v>111</v>
      </c>
      <c r="K95" s="28" t="s">
        <v>3926</v>
      </c>
      <c r="L95" s="28" t="s">
        <v>3928</v>
      </c>
      <c r="N95" s="50" t="s">
        <v>153</v>
      </c>
      <c r="O95" s="50" t="s">
        <v>62</v>
      </c>
      <c r="P95" s="50"/>
      <c r="Q95" s="51"/>
      <c r="S95" s="55">
        <f t="shared" ca="1" si="7"/>
        <v>224</v>
      </c>
      <c r="T95" s="55">
        <f t="shared" ca="1" si="8"/>
        <v>224</v>
      </c>
      <c r="U95" s="56"/>
      <c r="V95" s="124">
        <v>45440</v>
      </c>
      <c r="W95" s="124">
        <v>45440</v>
      </c>
      <c r="X95" s="124">
        <v>45440</v>
      </c>
      <c r="Y95" s="62" t="s">
        <v>52</v>
      </c>
      <c r="AA95" s="54"/>
    </row>
    <row r="96" spans="1:29" x14ac:dyDescent="0.35">
      <c r="B96" s="6" cm="1">
        <f t="array" ref="B96">+_xlfn.IFS(C96="Tracking",2,C96="WIP",1,C96="Aborted",3)</f>
        <v>3</v>
      </c>
      <c r="C96" s="67" t="str">
        <f t="shared" si="6"/>
        <v>Aborted</v>
      </c>
      <c r="D96" s="47" t="s">
        <v>1490</v>
      </c>
      <c r="E96" s="28" t="s">
        <v>3609</v>
      </c>
      <c r="F96" s="28" t="s">
        <v>1525</v>
      </c>
      <c r="G96" s="47" t="s">
        <v>1526</v>
      </c>
      <c r="H96" s="47" t="s">
        <v>1484</v>
      </c>
      <c r="J96" s="48" t="s">
        <v>83</v>
      </c>
      <c r="K96" s="28" t="s">
        <v>3610</v>
      </c>
      <c r="L96" s="28" t="s">
        <v>3611</v>
      </c>
      <c r="N96" s="50" t="s">
        <v>153</v>
      </c>
      <c r="O96" s="50" t="s">
        <v>62</v>
      </c>
      <c r="P96" s="50"/>
      <c r="Q96" s="51"/>
      <c r="S96" s="55">
        <f t="shared" ca="1" si="7"/>
        <v>265</v>
      </c>
      <c r="T96" s="55">
        <f t="shared" ca="1" si="8"/>
        <v>218</v>
      </c>
      <c r="U96" s="56"/>
      <c r="V96" s="124">
        <v>45399</v>
      </c>
      <c r="W96" s="124">
        <v>45399</v>
      </c>
      <c r="X96" s="124">
        <v>45446</v>
      </c>
      <c r="Y96" s="62" t="s">
        <v>52</v>
      </c>
      <c r="AA96" s="54"/>
    </row>
    <row r="97" spans="1:28" x14ac:dyDescent="0.35">
      <c r="B97" s="6" cm="1">
        <f t="array" ref="B97">+_xlfn.IFS(C97="Tracking",2,C97="WIP",1,C97="Aborted",3)</f>
        <v>3</v>
      </c>
      <c r="C97" s="67" t="str">
        <f t="shared" si="6"/>
        <v>Aborted</v>
      </c>
      <c r="D97" s="47" t="s">
        <v>1490</v>
      </c>
      <c r="E97" s="28" t="s">
        <v>3680</v>
      </c>
      <c r="F97" s="28" t="s">
        <v>1491</v>
      </c>
      <c r="G97" s="47" t="s">
        <v>1492</v>
      </c>
      <c r="H97" s="47" t="s">
        <v>1484</v>
      </c>
      <c r="J97" s="48" t="s">
        <v>111</v>
      </c>
      <c r="K97" s="28" t="s">
        <v>3681</v>
      </c>
      <c r="L97" s="28" t="s">
        <v>3682</v>
      </c>
      <c r="N97" s="50" t="s">
        <v>61</v>
      </c>
      <c r="O97" s="50" t="s">
        <v>62</v>
      </c>
      <c r="P97" s="50"/>
      <c r="Q97" s="51"/>
      <c r="S97" s="55">
        <f t="shared" ca="1" si="7"/>
        <v>250</v>
      </c>
      <c r="T97" s="55">
        <f t="shared" ca="1" si="8"/>
        <v>210</v>
      </c>
      <c r="U97" s="56"/>
      <c r="V97" s="124">
        <v>45414</v>
      </c>
      <c r="W97" s="124">
        <v>45414</v>
      </c>
      <c r="X97" s="124">
        <v>45454</v>
      </c>
      <c r="Y97" s="62" t="s">
        <v>52</v>
      </c>
      <c r="AA97" s="54"/>
    </row>
    <row r="98" spans="1:28" x14ac:dyDescent="0.35">
      <c r="B98" s="6" cm="1">
        <f t="array" ref="B98">+_xlfn.IFS(C98="Tracking",2,C98="WIP",1,C98="Aborted",3)</f>
        <v>3</v>
      </c>
      <c r="C98" s="421" t="str">
        <f t="shared" si="6"/>
        <v>Aborted</v>
      </c>
      <c r="D98" s="47" t="s">
        <v>1490</v>
      </c>
      <c r="E98" s="28" t="s">
        <v>3449</v>
      </c>
      <c r="F98" s="206" t="s">
        <v>1491</v>
      </c>
      <c r="G98" s="47" t="s">
        <v>1483</v>
      </c>
      <c r="H98" s="47" t="s">
        <v>1484</v>
      </c>
      <c r="J98" s="48" t="s">
        <v>1462</v>
      </c>
      <c r="K98" s="28" t="s">
        <v>3450</v>
      </c>
      <c r="L98" s="28" t="s">
        <v>3451</v>
      </c>
      <c r="N98" s="50" t="s">
        <v>78</v>
      </c>
      <c r="O98" s="50" t="s">
        <v>62</v>
      </c>
      <c r="P98" s="50"/>
      <c r="Q98" s="51"/>
      <c r="S98" s="55">
        <f t="shared" ca="1" si="7"/>
        <v>309</v>
      </c>
      <c r="T98" s="55">
        <f t="shared" ca="1" si="8"/>
        <v>300</v>
      </c>
      <c r="U98" s="56"/>
      <c r="V98" s="124">
        <v>45355</v>
      </c>
      <c r="W98" s="124">
        <v>45358</v>
      </c>
      <c r="X98" s="124">
        <v>45364</v>
      </c>
      <c r="Y98" s="62" t="s">
        <v>52</v>
      </c>
      <c r="AA98" s="54"/>
    </row>
    <row r="99" spans="1:28" x14ac:dyDescent="0.35">
      <c r="B99" s="6" cm="1">
        <f t="array" ref="B99">+_xlfn.IFS(C99="Tracking",2,C99="WIP",1,C99="Aborted",3)</f>
        <v>3</v>
      </c>
      <c r="C99" s="67" t="str">
        <f t="shared" si="6"/>
        <v>Aborted</v>
      </c>
      <c r="D99" s="47" t="s">
        <v>1490</v>
      </c>
      <c r="E99" s="28" t="s">
        <v>3913</v>
      </c>
      <c r="F99" s="28" t="s">
        <v>1491</v>
      </c>
      <c r="G99" s="47" t="s">
        <v>1492</v>
      </c>
      <c r="H99" s="47" t="s">
        <v>1484</v>
      </c>
      <c r="J99" s="48" t="s">
        <v>240</v>
      </c>
      <c r="K99" s="28" t="s">
        <v>240</v>
      </c>
      <c r="L99" s="28" t="s">
        <v>240</v>
      </c>
      <c r="N99" s="50" t="s">
        <v>78</v>
      </c>
      <c r="O99" s="50"/>
      <c r="P99" s="50"/>
      <c r="Q99" s="51"/>
      <c r="S99" s="55">
        <f t="shared" ca="1" si="7"/>
        <v>225</v>
      </c>
      <c r="T99" s="55">
        <f t="shared" ca="1" si="8"/>
        <v>225</v>
      </c>
      <c r="U99" s="56"/>
      <c r="V99" s="124">
        <v>45439</v>
      </c>
      <c r="W99" s="124">
        <v>45439</v>
      </c>
      <c r="X99" s="124">
        <v>45439</v>
      </c>
      <c r="Y99" s="62" t="s">
        <v>52</v>
      </c>
      <c r="AA99" s="54"/>
    </row>
    <row r="100" spans="1:28" x14ac:dyDescent="0.35">
      <c r="A100" s="520"/>
      <c r="B100" s="520" cm="1">
        <f t="array" ref="B100">+_xlfn.IFS(C100="Tracking",2,C100="WIP",1,C100="Aborted",3)</f>
        <v>3</v>
      </c>
      <c r="C100" s="521" t="str">
        <f t="shared" si="6"/>
        <v>Aborted</v>
      </c>
      <c r="D100" s="522" t="s">
        <v>1490</v>
      </c>
      <c r="E100" s="523" t="s">
        <v>3592</v>
      </c>
      <c r="F100" s="523" t="s">
        <v>3594</v>
      </c>
      <c r="G100" s="522" t="s">
        <v>3595</v>
      </c>
      <c r="H100" s="522" t="s">
        <v>1493</v>
      </c>
      <c r="I100" s="520"/>
      <c r="J100" s="532" t="s">
        <v>83</v>
      </c>
      <c r="K100" s="523" t="s">
        <v>3596</v>
      </c>
      <c r="L100" s="523" t="s">
        <v>3597</v>
      </c>
      <c r="M100" s="520"/>
      <c r="N100" s="524" t="s">
        <v>78</v>
      </c>
      <c r="O100" s="524"/>
      <c r="P100" s="524"/>
      <c r="Q100" s="525"/>
      <c r="R100" s="520"/>
      <c r="S100" s="526">
        <f t="shared" ca="1" si="7"/>
        <v>273</v>
      </c>
      <c r="T100" s="526">
        <f t="shared" ca="1" si="8"/>
        <v>273</v>
      </c>
      <c r="U100" s="527"/>
      <c r="V100" s="528">
        <v>45391</v>
      </c>
      <c r="W100" s="528">
        <v>45391</v>
      </c>
      <c r="X100" s="528">
        <v>45391</v>
      </c>
      <c r="Y100" s="529" t="s">
        <v>52</v>
      </c>
      <c r="Z100" s="520"/>
      <c r="AA100" s="530"/>
    </row>
    <row r="101" spans="1:28" x14ac:dyDescent="0.35">
      <c r="A101" s="450"/>
      <c r="B101" s="450" cm="1">
        <f t="array" ref="B101">+_xlfn.IFS(C101="Tracking",2,C101="WIP",1,C101="Aborted",3)</f>
        <v>3</v>
      </c>
      <c r="C101" s="451" t="str">
        <f t="shared" ref="C101:C132" si="9">+Y101</f>
        <v>Aborted</v>
      </c>
      <c r="D101" s="452" t="s">
        <v>1490</v>
      </c>
      <c r="E101" s="453" t="s">
        <v>3527</v>
      </c>
      <c r="F101" s="453" t="s">
        <v>1491</v>
      </c>
      <c r="G101" s="452" t="s">
        <v>1492</v>
      </c>
      <c r="H101" s="452" t="s">
        <v>1484</v>
      </c>
      <c r="I101" s="450"/>
      <c r="J101" s="462" t="s">
        <v>1462</v>
      </c>
      <c r="K101" s="453" t="s">
        <v>3528</v>
      </c>
      <c r="L101" s="453"/>
      <c r="M101" s="450"/>
      <c r="N101" s="454" t="s">
        <v>78</v>
      </c>
      <c r="O101" s="454" t="s">
        <v>62</v>
      </c>
      <c r="P101" s="454"/>
      <c r="Q101" s="455"/>
      <c r="R101" s="450"/>
      <c r="S101" s="456">
        <f t="shared" ref="S101:S135" ca="1" si="10">+TODAY()-V101</f>
        <v>291</v>
      </c>
      <c r="T101" s="456">
        <f t="shared" ref="T101:T135" ca="1" si="11">+TODAY()-X101</f>
        <v>291</v>
      </c>
      <c r="U101" s="457"/>
      <c r="V101" s="458">
        <v>45373</v>
      </c>
      <c r="W101" s="458">
        <v>45373</v>
      </c>
      <c r="X101" s="458">
        <v>45373</v>
      </c>
      <c r="Y101" s="459" t="s">
        <v>52</v>
      </c>
      <c r="Z101" s="450"/>
      <c r="AA101" s="460"/>
    </row>
    <row r="102" spans="1:28" x14ac:dyDescent="0.35">
      <c r="A102" s="450"/>
      <c r="B102" s="450" cm="1">
        <f t="array" ref="B102">+_xlfn.IFS(C102="Tracking",2,C102="WIP",1,C102="Aborted",3)</f>
        <v>3</v>
      </c>
      <c r="C102" s="451" t="str">
        <f t="shared" si="9"/>
        <v>Aborted</v>
      </c>
      <c r="D102" s="452" t="s">
        <v>1490</v>
      </c>
      <c r="E102" s="453" t="s">
        <v>3508</v>
      </c>
      <c r="F102" s="453" t="s">
        <v>1504</v>
      </c>
      <c r="G102" s="452" t="s">
        <v>1038</v>
      </c>
      <c r="H102" s="452" t="s">
        <v>1484</v>
      </c>
      <c r="I102" s="450"/>
      <c r="J102" s="462" t="s">
        <v>267</v>
      </c>
      <c r="K102" s="453" t="s">
        <v>3510</v>
      </c>
      <c r="L102" s="453" t="s">
        <v>3511</v>
      </c>
      <c r="M102" s="450"/>
      <c r="N102" s="454" t="s">
        <v>78</v>
      </c>
      <c r="O102" s="454" t="s">
        <v>62</v>
      </c>
      <c r="P102" s="454"/>
      <c r="Q102" s="455"/>
      <c r="R102" s="450"/>
      <c r="S102" s="456">
        <f t="shared" ca="1" si="10"/>
        <v>295</v>
      </c>
      <c r="T102" s="456">
        <f t="shared" ca="1" si="11"/>
        <v>293</v>
      </c>
      <c r="U102" s="457"/>
      <c r="V102" s="458">
        <v>45369</v>
      </c>
      <c r="W102" s="458">
        <v>45370</v>
      </c>
      <c r="X102" s="458">
        <v>45371</v>
      </c>
      <c r="Y102" s="459" t="s">
        <v>52</v>
      </c>
      <c r="Z102" s="450"/>
      <c r="AA102" s="460"/>
    </row>
    <row r="103" spans="1:28" x14ac:dyDescent="0.35">
      <c r="B103" s="6" cm="1">
        <f t="array" ref="B103">+_xlfn.IFS(C103="Tracking",2,C103="WIP",1,C103="Aborted",3)</f>
        <v>3</v>
      </c>
      <c r="C103" s="67" t="str">
        <f t="shared" si="9"/>
        <v>Aborted</v>
      </c>
      <c r="D103" s="47" t="s">
        <v>1490</v>
      </c>
      <c r="E103" s="28" t="s">
        <v>3631</v>
      </c>
      <c r="F103" s="28" t="s">
        <v>1525</v>
      </c>
      <c r="G103" s="47" t="s">
        <v>1526</v>
      </c>
      <c r="H103" s="47" t="s">
        <v>1484</v>
      </c>
      <c r="J103" s="48" t="s">
        <v>3206</v>
      </c>
      <c r="K103" s="28" t="s">
        <v>3627</v>
      </c>
      <c r="L103" s="28" t="s">
        <v>3632</v>
      </c>
      <c r="N103" s="50" t="s">
        <v>61</v>
      </c>
      <c r="O103" s="50"/>
      <c r="P103" s="50"/>
      <c r="Q103" s="51"/>
      <c r="S103" s="55">
        <f t="shared" ca="1" si="10"/>
        <v>259</v>
      </c>
      <c r="T103" s="55">
        <f t="shared" ca="1" si="11"/>
        <v>259</v>
      </c>
      <c r="U103" s="56"/>
      <c r="V103" s="124">
        <v>45405</v>
      </c>
      <c r="W103" s="124">
        <v>45405</v>
      </c>
      <c r="X103" s="124">
        <v>45405</v>
      </c>
      <c r="Y103" s="62" t="s">
        <v>52</v>
      </c>
      <c r="AA103" s="54"/>
    </row>
    <row r="104" spans="1:28" x14ac:dyDescent="0.35">
      <c r="A104" s="450"/>
      <c r="B104" s="450" cm="1">
        <f t="array" ref="B104">+_xlfn.IFS(C104="Tracking",2,C104="WIP",1,C104="Aborted",3)</f>
        <v>3</v>
      </c>
      <c r="C104" s="451" t="str">
        <f t="shared" si="9"/>
        <v>Aborted</v>
      </c>
      <c r="D104" s="452" t="s">
        <v>1490</v>
      </c>
      <c r="E104" s="453" t="s">
        <v>3529</v>
      </c>
      <c r="F104" s="453" t="s">
        <v>1600</v>
      </c>
      <c r="G104" s="452" t="s">
        <v>1040</v>
      </c>
      <c r="H104" s="452" t="s">
        <v>1484</v>
      </c>
      <c r="I104" s="450"/>
      <c r="J104" s="462" t="s">
        <v>2579</v>
      </c>
      <c r="K104" s="453" t="s">
        <v>3530</v>
      </c>
      <c r="L104" s="453" t="s">
        <v>3531</v>
      </c>
      <c r="M104" s="450"/>
      <c r="N104" s="454" t="s">
        <v>78</v>
      </c>
      <c r="O104" s="454" t="s">
        <v>62</v>
      </c>
      <c r="P104" s="454"/>
      <c r="Q104" s="455"/>
      <c r="R104" s="450"/>
      <c r="S104" s="456">
        <f t="shared" ca="1" si="10"/>
        <v>337</v>
      </c>
      <c r="T104" s="456">
        <f t="shared" ca="1" si="11"/>
        <v>295</v>
      </c>
      <c r="U104" s="457"/>
      <c r="V104" s="458">
        <v>45327</v>
      </c>
      <c r="W104" s="458">
        <v>45327</v>
      </c>
      <c r="X104" s="458">
        <v>45369</v>
      </c>
      <c r="Y104" s="459" t="s">
        <v>52</v>
      </c>
      <c r="Z104" s="450"/>
      <c r="AA104" s="460"/>
    </row>
    <row r="105" spans="1:28" x14ac:dyDescent="0.35">
      <c r="B105" s="6" cm="1">
        <f t="array" ref="B105">+_xlfn.IFS(C105="Tracking",2,C105="WIP",1,C105="Aborted",3)</f>
        <v>3</v>
      </c>
      <c r="C105" s="421" t="str">
        <f t="shared" si="9"/>
        <v>Aborted</v>
      </c>
      <c r="D105" s="47" t="s">
        <v>1481</v>
      </c>
      <c r="E105" s="28" t="s">
        <v>3195</v>
      </c>
      <c r="F105" s="28" t="s">
        <v>3190</v>
      </c>
      <c r="G105" s="47" t="s">
        <v>1483</v>
      </c>
      <c r="H105" s="47" t="s">
        <v>1493</v>
      </c>
      <c r="J105" s="48" t="s">
        <v>3206</v>
      </c>
      <c r="K105" s="28" t="s">
        <v>3215</v>
      </c>
      <c r="L105" s="28" t="s">
        <v>3230</v>
      </c>
      <c r="N105" s="50" t="s">
        <v>61</v>
      </c>
      <c r="O105" s="50" t="s">
        <v>62</v>
      </c>
      <c r="P105" s="50"/>
      <c r="Q105" s="51"/>
      <c r="S105" s="55">
        <f t="shared" ca="1" si="10"/>
        <v>330</v>
      </c>
      <c r="T105" s="55">
        <f t="shared" ca="1" si="11"/>
        <v>330</v>
      </c>
      <c r="U105" s="56"/>
      <c r="V105" s="124">
        <v>45334</v>
      </c>
      <c r="W105" s="124">
        <v>45334</v>
      </c>
      <c r="X105" s="124">
        <v>45334</v>
      </c>
      <c r="Y105" s="62" t="s">
        <v>52</v>
      </c>
      <c r="AA105" s="54"/>
    </row>
    <row r="106" spans="1:28" x14ac:dyDescent="0.35">
      <c r="B106" s="6" cm="1">
        <f t="array" ref="B106">+_xlfn.IFS(C106="Tracking",2,C106="WIP",1,C106="Aborted",3)</f>
        <v>3</v>
      </c>
      <c r="C106" s="421" t="str">
        <f t="shared" si="9"/>
        <v>Aborted</v>
      </c>
      <c r="D106" s="47" t="s">
        <v>1481</v>
      </c>
      <c r="E106" s="28" t="s">
        <v>3196</v>
      </c>
      <c r="F106" s="28" t="s">
        <v>3190</v>
      </c>
      <c r="G106" s="47" t="s">
        <v>1483</v>
      </c>
      <c r="H106" s="47" t="s">
        <v>1493</v>
      </c>
      <c r="J106" s="48" t="s">
        <v>3208</v>
      </c>
      <c r="K106" s="28" t="s">
        <v>3216</v>
      </c>
      <c r="L106" s="28" t="s">
        <v>3231</v>
      </c>
      <c r="N106" s="50" t="s">
        <v>61</v>
      </c>
      <c r="O106" s="50" t="s">
        <v>62</v>
      </c>
      <c r="P106" s="50"/>
      <c r="Q106" s="51"/>
      <c r="S106" s="55">
        <f t="shared" ca="1" si="10"/>
        <v>330</v>
      </c>
      <c r="T106" s="55">
        <f t="shared" ca="1" si="11"/>
        <v>330</v>
      </c>
      <c r="U106" s="56"/>
      <c r="V106" s="124">
        <v>45334</v>
      </c>
      <c r="W106" s="124">
        <v>45334</v>
      </c>
      <c r="X106" s="124">
        <v>45334</v>
      </c>
      <c r="Y106" s="62" t="s">
        <v>52</v>
      </c>
      <c r="AA106" s="54"/>
      <c r="AB106" s="71"/>
    </row>
    <row r="107" spans="1:28" x14ac:dyDescent="0.35">
      <c r="B107" s="6" cm="1">
        <f t="array" ref="B107">+_xlfn.IFS(C107="Tracking",2,C107="WIP",1,C107="Aborted",3)</f>
        <v>3</v>
      </c>
      <c r="C107" s="421" t="str">
        <f t="shared" si="9"/>
        <v>Aborted</v>
      </c>
      <c r="D107" s="47" t="s">
        <v>1481</v>
      </c>
      <c r="E107" s="28" t="s">
        <v>3197</v>
      </c>
      <c r="F107" s="28" t="s">
        <v>3190</v>
      </c>
      <c r="G107" s="47" t="s">
        <v>1483</v>
      </c>
      <c r="H107" s="47" t="s">
        <v>1493</v>
      </c>
      <c r="J107" s="48" t="s">
        <v>83</v>
      </c>
      <c r="K107" s="28" t="s">
        <v>3217</v>
      </c>
      <c r="L107" s="28" t="s">
        <v>3232</v>
      </c>
      <c r="N107" s="50" t="s">
        <v>61</v>
      </c>
      <c r="O107" s="50" t="s">
        <v>62</v>
      </c>
      <c r="P107" s="50"/>
      <c r="Q107" s="51"/>
      <c r="S107" s="55">
        <f t="shared" ca="1" si="10"/>
        <v>330</v>
      </c>
      <c r="T107" s="55">
        <f t="shared" ca="1" si="11"/>
        <v>330</v>
      </c>
      <c r="U107" s="56"/>
      <c r="V107" s="124">
        <v>45334</v>
      </c>
      <c r="W107" s="124">
        <v>45334</v>
      </c>
      <c r="X107" s="124">
        <v>45334</v>
      </c>
      <c r="Y107" s="62" t="s">
        <v>52</v>
      </c>
      <c r="AA107" s="54"/>
      <c r="AB107" s="71"/>
    </row>
    <row r="108" spans="1:28" x14ac:dyDescent="0.35">
      <c r="B108" s="6" cm="1">
        <f t="array" ref="B108">+_xlfn.IFS(C108="Tracking",2,C108="WIP",1,C108="Aborted",3)</f>
        <v>3</v>
      </c>
      <c r="C108" s="421" t="str">
        <f t="shared" si="9"/>
        <v>Aborted</v>
      </c>
      <c r="D108" s="47" t="s">
        <v>1481</v>
      </c>
      <c r="E108" s="28" t="s">
        <v>3198</v>
      </c>
      <c r="F108" s="28" t="s">
        <v>3190</v>
      </c>
      <c r="G108" s="47" t="s">
        <v>1483</v>
      </c>
      <c r="H108" s="47" t="s">
        <v>1493</v>
      </c>
      <c r="J108" s="48" t="s">
        <v>83</v>
      </c>
      <c r="K108" s="28" t="s">
        <v>3218</v>
      </c>
      <c r="L108" s="28" t="s">
        <v>3233</v>
      </c>
      <c r="N108" s="50" t="s">
        <v>61</v>
      </c>
      <c r="O108" s="50" t="s">
        <v>62</v>
      </c>
      <c r="P108" s="50"/>
      <c r="Q108" s="51"/>
      <c r="S108" s="55">
        <f t="shared" ca="1" si="10"/>
        <v>330</v>
      </c>
      <c r="T108" s="55">
        <f t="shared" ca="1" si="11"/>
        <v>330</v>
      </c>
      <c r="U108" s="56"/>
      <c r="V108" s="124">
        <v>45334</v>
      </c>
      <c r="W108" s="124">
        <v>45334</v>
      </c>
      <c r="X108" s="124">
        <v>45334</v>
      </c>
      <c r="Y108" s="62" t="s">
        <v>52</v>
      </c>
      <c r="AA108" s="54"/>
      <c r="AB108" s="71"/>
    </row>
    <row r="109" spans="1:28" x14ac:dyDescent="0.35">
      <c r="B109" s="6" cm="1">
        <f t="array" ref="B109">+_xlfn.IFS(C109="Tracking",2,C109="WIP",1,C109="Aborted",3)</f>
        <v>3</v>
      </c>
      <c r="C109" s="421" t="str">
        <f t="shared" si="9"/>
        <v>Aborted</v>
      </c>
      <c r="D109" s="47" t="s">
        <v>1481</v>
      </c>
      <c r="E109" s="28" t="s">
        <v>3199</v>
      </c>
      <c r="F109" s="28" t="s">
        <v>3190</v>
      </c>
      <c r="G109" s="47" t="s">
        <v>1483</v>
      </c>
      <c r="H109" s="47" t="s">
        <v>1493</v>
      </c>
      <c r="J109" s="48" t="s">
        <v>3209</v>
      </c>
      <c r="K109" s="28" t="s">
        <v>3219</v>
      </c>
      <c r="L109" s="28" t="s">
        <v>3234</v>
      </c>
      <c r="N109" s="50" t="s">
        <v>61</v>
      </c>
      <c r="O109" s="50" t="s">
        <v>62</v>
      </c>
      <c r="P109" s="50"/>
      <c r="Q109" s="51"/>
      <c r="S109" s="55">
        <f t="shared" ca="1" si="10"/>
        <v>330</v>
      </c>
      <c r="T109" s="55">
        <f t="shared" ca="1" si="11"/>
        <v>330</v>
      </c>
      <c r="U109" s="56"/>
      <c r="V109" s="124">
        <v>45334</v>
      </c>
      <c r="W109" s="124">
        <v>45334</v>
      </c>
      <c r="X109" s="124">
        <v>45334</v>
      </c>
      <c r="Y109" s="62" t="s">
        <v>52</v>
      </c>
      <c r="AA109" s="54"/>
      <c r="AB109" s="71"/>
    </row>
    <row r="110" spans="1:28" x14ac:dyDescent="0.35">
      <c r="B110" s="6" cm="1">
        <f t="array" ref="B110">+_xlfn.IFS(C110="Tracking",2,C110="WIP",1,C110="Aborted",3)</f>
        <v>3</v>
      </c>
      <c r="C110" s="421" t="str">
        <f t="shared" si="9"/>
        <v>Aborted</v>
      </c>
      <c r="D110" s="47" t="s">
        <v>1481</v>
      </c>
      <c r="E110" s="28" t="s">
        <v>3200</v>
      </c>
      <c r="F110" s="28" t="s">
        <v>3190</v>
      </c>
      <c r="G110" s="47" t="s">
        <v>1483</v>
      </c>
      <c r="H110" s="47" t="s">
        <v>1493</v>
      </c>
      <c r="J110" s="48" t="s">
        <v>3210</v>
      </c>
      <c r="K110" s="28" t="s">
        <v>3220</v>
      </c>
      <c r="L110" s="28" t="s">
        <v>3235</v>
      </c>
      <c r="N110" s="50" t="s">
        <v>61</v>
      </c>
      <c r="O110" s="50" t="s">
        <v>62</v>
      </c>
      <c r="P110" s="50"/>
      <c r="Q110" s="51"/>
      <c r="S110" s="55">
        <f t="shared" ca="1" si="10"/>
        <v>330</v>
      </c>
      <c r="T110" s="55">
        <f t="shared" ca="1" si="11"/>
        <v>330</v>
      </c>
      <c r="U110" s="56"/>
      <c r="V110" s="124">
        <v>45334</v>
      </c>
      <c r="W110" s="124">
        <v>45334</v>
      </c>
      <c r="X110" s="124">
        <v>45334</v>
      </c>
      <c r="Y110" s="62" t="s">
        <v>52</v>
      </c>
      <c r="AA110" s="54"/>
      <c r="AB110" s="71"/>
    </row>
    <row r="111" spans="1:28" x14ac:dyDescent="0.35">
      <c r="B111" s="6" cm="1">
        <f t="array" ref="B111">+_xlfn.IFS(C111="Tracking",2,C111="WIP",1,C111="Aborted",3)</f>
        <v>3</v>
      </c>
      <c r="C111" s="421" t="str">
        <f t="shared" si="9"/>
        <v>Aborted</v>
      </c>
      <c r="D111" s="47" t="s">
        <v>1481</v>
      </c>
      <c r="E111" s="28" t="s">
        <v>3201</v>
      </c>
      <c r="F111" s="28" t="s">
        <v>3190</v>
      </c>
      <c r="G111" s="47" t="s">
        <v>1483</v>
      </c>
      <c r="H111" s="47" t="s">
        <v>1493</v>
      </c>
      <c r="J111" s="48" t="s">
        <v>111</v>
      </c>
      <c r="K111" s="28" t="s">
        <v>3221</v>
      </c>
      <c r="L111" s="28" t="s">
        <v>3236</v>
      </c>
      <c r="N111" s="50" t="s">
        <v>61</v>
      </c>
      <c r="O111" s="50" t="s">
        <v>62</v>
      </c>
      <c r="P111" s="50"/>
      <c r="Q111" s="51"/>
      <c r="S111" s="55">
        <f t="shared" ca="1" si="10"/>
        <v>330</v>
      </c>
      <c r="T111" s="55">
        <f t="shared" ca="1" si="11"/>
        <v>330</v>
      </c>
      <c r="U111" s="56"/>
      <c r="V111" s="124">
        <v>45334</v>
      </c>
      <c r="W111" s="124">
        <v>45334</v>
      </c>
      <c r="X111" s="124">
        <v>45334</v>
      </c>
      <c r="Y111" s="62" t="s">
        <v>52</v>
      </c>
      <c r="AA111" s="54"/>
      <c r="AB111" s="71"/>
    </row>
    <row r="112" spans="1:28" x14ac:dyDescent="0.35">
      <c r="B112" s="6" cm="1">
        <f t="array" ref="B112">+_xlfn.IFS(C112="Tracking",2,C112="WIP",1,C112="Aborted",3)</f>
        <v>3</v>
      </c>
      <c r="C112" s="421" t="str">
        <f t="shared" si="9"/>
        <v>Aborted</v>
      </c>
      <c r="D112" s="47" t="s">
        <v>1481</v>
      </c>
      <c r="E112" s="28" t="s">
        <v>3202</v>
      </c>
      <c r="F112" s="28" t="s">
        <v>3190</v>
      </c>
      <c r="G112" s="47" t="s">
        <v>1483</v>
      </c>
      <c r="H112" s="47" t="s">
        <v>1493</v>
      </c>
      <c r="J112" s="48" t="s">
        <v>83</v>
      </c>
      <c r="K112" s="28" t="s">
        <v>3222</v>
      </c>
      <c r="L112" s="28" t="s">
        <v>3237</v>
      </c>
      <c r="N112" s="50" t="s">
        <v>61</v>
      </c>
      <c r="O112" s="50" t="s">
        <v>62</v>
      </c>
      <c r="P112" s="50"/>
      <c r="Q112" s="51"/>
      <c r="S112" s="55">
        <f t="shared" ca="1" si="10"/>
        <v>330</v>
      </c>
      <c r="T112" s="55">
        <f t="shared" ca="1" si="11"/>
        <v>330</v>
      </c>
      <c r="U112" s="56"/>
      <c r="V112" s="124">
        <v>45334</v>
      </c>
      <c r="W112" s="124">
        <v>45334</v>
      </c>
      <c r="X112" s="124">
        <v>45334</v>
      </c>
      <c r="Y112" s="62" t="s">
        <v>52</v>
      </c>
      <c r="AA112" s="54"/>
      <c r="AB112" s="71"/>
    </row>
    <row r="113" spans="1:29" x14ac:dyDescent="0.35">
      <c r="B113" s="6" cm="1">
        <f t="array" ref="B113">+_xlfn.IFS(C113="Tracking",2,C113="WIP",1,C113="Aborted",3)</f>
        <v>3</v>
      </c>
      <c r="C113" s="421" t="str">
        <f t="shared" si="9"/>
        <v>Aborted</v>
      </c>
      <c r="D113" s="47" t="s">
        <v>1481</v>
      </c>
      <c r="E113" s="28" t="s">
        <v>3203</v>
      </c>
      <c r="F113" s="28" t="s">
        <v>3190</v>
      </c>
      <c r="G113" s="47" t="s">
        <v>1483</v>
      </c>
      <c r="H113" s="47" t="s">
        <v>1493</v>
      </c>
      <c r="J113" s="48" t="s">
        <v>1707</v>
      </c>
      <c r="K113" s="28" t="s">
        <v>3223</v>
      </c>
      <c r="L113" s="28" t="s">
        <v>3238</v>
      </c>
      <c r="N113" s="50" t="s">
        <v>61</v>
      </c>
      <c r="O113" s="50" t="s">
        <v>62</v>
      </c>
      <c r="P113" s="50"/>
      <c r="Q113" s="51"/>
      <c r="S113" s="55">
        <f t="shared" ca="1" si="10"/>
        <v>330</v>
      </c>
      <c r="T113" s="55">
        <f t="shared" ca="1" si="11"/>
        <v>330</v>
      </c>
      <c r="U113" s="56"/>
      <c r="V113" s="124">
        <v>45334</v>
      </c>
      <c r="W113" s="124">
        <v>45334</v>
      </c>
      <c r="X113" s="124">
        <v>45334</v>
      </c>
      <c r="Y113" s="62" t="s">
        <v>52</v>
      </c>
      <c r="AA113" s="54"/>
      <c r="AB113" s="71"/>
    </row>
    <row r="114" spans="1:29" x14ac:dyDescent="0.35">
      <c r="B114" s="6" cm="1">
        <f t="array" ref="B114">+_xlfn.IFS(C114="Tracking",2,C114="WIP",1,C114="Aborted",3)</f>
        <v>3</v>
      </c>
      <c r="C114" s="421" t="str">
        <f t="shared" si="9"/>
        <v>Aborted</v>
      </c>
      <c r="D114" s="47" t="s">
        <v>1481</v>
      </c>
      <c r="E114" s="28" t="s">
        <v>3204</v>
      </c>
      <c r="F114" s="28" t="s">
        <v>3190</v>
      </c>
      <c r="G114" s="47" t="s">
        <v>1483</v>
      </c>
      <c r="H114" s="47" t="s">
        <v>1493</v>
      </c>
      <c r="J114" s="48" t="s">
        <v>3206</v>
      </c>
      <c r="K114" s="28" t="s">
        <v>3224</v>
      </c>
      <c r="L114" s="28" t="s">
        <v>3239</v>
      </c>
      <c r="N114" s="50" t="s">
        <v>61</v>
      </c>
      <c r="O114" s="50" t="s">
        <v>62</v>
      </c>
      <c r="P114" s="50"/>
      <c r="Q114" s="51"/>
      <c r="S114" s="55">
        <f t="shared" ca="1" si="10"/>
        <v>330</v>
      </c>
      <c r="T114" s="55">
        <f t="shared" ca="1" si="11"/>
        <v>330</v>
      </c>
      <c r="U114" s="56"/>
      <c r="V114" s="124">
        <v>45334</v>
      </c>
      <c r="W114" s="124">
        <v>45334</v>
      </c>
      <c r="X114" s="124">
        <v>45334</v>
      </c>
      <c r="Y114" s="62" t="s">
        <v>52</v>
      </c>
      <c r="AA114" s="54"/>
      <c r="AB114" s="71"/>
    </row>
    <row r="115" spans="1:29" x14ac:dyDescent="0.35">
      <c r="B115" s="6" cm="1">
        <f t="array" ref="B115">+_xlfn.IFS(C115="Tracking",2,C115="WIP",1,C115="Aborted",3)</f>
        <v>3</v>
      </c>
      <c r="C115" s="421" t="str">
        <f t="shared" si="9"/>
        <v>Aborted</v>
      </c>
      <c r="D115" s="47" t="s">
        <v>1481</v>
      </c>
      <c r="E115" s="28" t="s">
        <v>3205</v>
      </c>
      <c r="F115" s="28" t="s">
        <v>3190</v>
      </c>
      <c r="G115" s="47" t="s">
        <v>1483</v>
      </c>
      <c r="H115" s="47" t="s">
        <v>1493</v>
      </c>
      <c r="J115" s="48" t="s">
        <v>149</v>
      </c>
      <c r="K115" s="28" t="s">
        <v>3225</v>
      </c>
      <c r="L115" s="28" t="s">
        <v>3240</v>
      </c>
      <c r="N115" s="50" t="s">
        <v>61</v>
      </c>
      <c r="O115" s="50" t="s">
        <v>62</v>
      </c>
      <c r="P115" s="50"/>
      <c r="Q115" s="51"/>
      <c r="S115" s="55">
        <f t="shared" ca="1" si="10"/>
        <v>330</v>
      </c>
      <c r="T115" s="55">
        <f t="shared" ca="1" si="11"/>
        <v>330</v>
      </c>
      <c r="U115" s="56"/>
      <c r="V115" s="124">
        <v>45334</v>
      </c>
      <c r="W115" s="124">
        <v>45334</v>
      </c>
      <c r="X115" s="124">
        <v>45334</v>
      </c>
      <c r="Y115" s="62" t="s">
        <v>52</v>
      </c>
      <c r="AA115" s="54"/>
      <c r="AB115" s="71"/>
    </row>
    <row r="116" spans="1:29" x14ac:dyDescent="0.35">
      <c r="B116" s="6" cm="1">
        <f t="array" ref="B116">+_xlfn.IFS(C116="Tracking",2,C116="WIP",1,C116="Aborted",3)</f>
        <v>3</v>
      </c>
      <c r="C116" s="421" t="str">
        <f t="shared" si="9"/>
        <v>Aborted</v>
      </c>
      <c r="D116" s="47" t="s">
        <v>1481</v>
      </c>
      <c r="E116" s="28" t="s">
        <v>3191</v>
      </c>
      <c r="F116" s="28" t="s">
        <v>3190</v>
      </c>
      <c r="G116" s="47" t="s">
        <v>1483</v>
      </c>
      <c r="H116" s="47" t="s">
        <v>1493</v>
      </c>
      <c r="J116" s="48" t="s">
        <v>3206</v>
      </c>
      <c r="K116" s="28" t="s">
        <v>3211</v>
      </c>
      <c r="L116" s="28" t="s">
        <v>3226</v>
      </c>
      <c r="N116" s="50" t="s">
        <v>61</v>
      </c>
      <c r="O116" s="50" t="s">
        <v>62</v>
      </c>
      <c r="P116" s="50"/>
      <c r="Q116" s="51"/>
      <c r="S116" s="55">
        <f t="shared" ca="1" si="10"/>
        <v>330</v>
      </c>
      <c r="T116" s="55">
        <f t="shared" ca="1" si="11"/>
        <v>330</v>
      </c>
      <c r="U116" s="56"/>
      <c r="V116" s="124">
        <v>45334</v>
      </c>
      <c r="W116" s="124">
        <v>45334</v>
      </c>
      <c r="X116" s="124">
        <v>45334</v>
      </c>
      <c r="Y116" s="62" t="s">
        <v>52</v>
      </c>
      <c r="AA116" s="54"/>
      <c r="AB116" s="420"/>
      <c r="AC116" s="420"/>
    </row>
    <row r="117" spans="1:29" x14ac:dyDescent="0.35">
      <c r="B117" s="6" cm="1">
        <f t="array" ref="B117">+_xlfn.IFS(C117="Tracking",2,C117="WIP",1,C117="Aborted",3)</f>
        <v>3</v>
      </c>
      <c r="C117" s="421" t="str">
        <f t="shared" si="9"/>
        <v>Aborted</v>
      </c>
      <c r="D117" s="47" t="s">
        <v>1481</v>
      </c>
      <c r="E117" s="28" t="s">
        <v>3192</v>
      </c>
      <c r="F117" s="28" t="s">
        <v>3190</v>
      </c>
      <c r="G117" s="47" t="s">
        <v>1483</v>
      </c>
      <c r="H117" s="47" t="s">
        <v>1493</v>
      </c>
      <c r="J117" s="48" t="s">
        <v>3207</v>
      </c>
      <c r="K117" s="28" t="s">
        <v>3212</v>
      </c>
      <c r="L117" s="28" t="s">
        <v>3227</v>
      </c>
      <c r="N117" s="50" t="s">
        <v>61</v>
      </c>
      <c r="O117" s="50" t="s">
        <v>62</v>
      </c>
      <c r="P117" s="50"/>
      <c r="Q117" s="51"/>
      <c r="S117" s="55">
        <f t="shared" ca="1" si="10"/>
        <v>330</v>
      </c>
      <c r="T117" s="55">
        <f t="shared" ca="1" si="11"/>
        <v>330</v>
      </c>
      <c r="U117" s="56"/>
      <c r="V117" s="124">
        <v>45334</v>
      </c>
      <c r="W117" s="124">
        <v>45334</v>
      </c>
      <c r="X117" s="124">
        <v>45334</v>
      </c>
      <c r="Y117" s="62" t="s">
        <v>52</v>
      </c>
      <c r="AA117" s="54"/>
      <c r="AB117" s="71"/>
    </row>
    <row r="118" spans="1:29" x14ac:dyDescent="0.35">
      <c r="B118" s="6" cm="1">
        <f t="array" ref="B118">+_xlfn.IFS(C118="Tracking",2,C118="WIP",1,C118="Aborted",3)</f>
        <v>3</v>
      </c>
      <c r="C118" s="421" t="str">
        <f t="shared" si="9"/>
        <v>Aborted</v>
      </c>
      <c r="D118" s="47" t="s">
        <v>1481</v>
      </c>
      <c r="E118" s="28" t="s">
        <v>3193</v>
      </c>
      <c r="F118" s="28" t="s">
        <v>3190</v>
      </c>
      <c r="G118" s="47" t="s">
        <v>1483</v>
      </c>
      <c r="H118" s="47" t="s">
        <v>1493</v>
      </c>
      <c r="J118" s="48" t="s">
        <v>111</v>
      </c>
      <c r="K118" s="28" t="s">
        <v>3213</v>
      </c>
      <c r="L118" s="28" t="s">
        <v>3228</v>
      </c>
      <c r="N118" s="50" t="s">
        <v>61</v>
      </c>
      <c r="O118" s="50" t="s">
        <v>62</v>
      </c>
      <c r="P118" s="50"/>
      <c r="Q118" s="51"/>
      <c r="S118" s="55">
        <f t="shared" ca="1" si="10"/>
        <v>330</v>
      </c>
      <c r="T118" s="55">
        <f t="shared" ca="1" si="11"/>
        <v>330</v>
      </c>
      <c r="U118" s="56"/>
      <c r="V118" s="124">
        <v>45334</v>
      </c>
      <c r="W118" s="124">
        <v>45334</v>
      </c>
      <c r="X118" s="124">
        <v>45334</v>
      </c>
      <c r="Y118" s="62" t="s">
        <v>52</v>
      </c>
      <c r="AA118" s="54"/>
      <c r="AB118" s="71"/>
    </row>
    <row r="119" spans="1:29" x14ac:dyDescent="0.35">
      <c r="B119" s="6" cm="1">
        <f t="array" ref="B119">+_xlfn.IFS(C119="Tracking",2,C119="WIP",1,C119="Aborted",3)</f>
        <v>3</v>
      </c>
      <c r="C119" s="421" t="str">
        <f t="shared" si="9"/>
        <v>Aborted</v>
      </c>
      <c r="D119" s="47" t="s">
        <v>1481</v>
      </c>
      <c r="E119" s="28" t="s">
        <v>3194</v>
      </c>
      <c r="F119" s="28" t="s">
        <v>3190</v>
      </c>
      <c r="G119" s="47" t="s">
        <v>1483</v>
      </c>
      <c r="H119" s="47" t="s">
        <v>1493</v>
      </c>
      <c r="J119" s="48" t="s">
        <v>1018</v>
      </c>
      <c r="K119" s="28" t="s">
        <v>3214</v>
      </c>
      <c r="L119" s="28" t="s">
        <v>3229</v>
      </c>
      <c r="N119" s="50" t="s">
        <v>61</v>
      </c>
      <c r="O119" s="50" t="s">
        <v>62</v>
      </c>
      <c r="P119" s="50"/>
      <c r="Q119" s="51"/>
      <c r="S119" s="55">
        <f t="shared" ca="1" si="10"/>
        <v>330</v>
      </c>
      <c r="T119" s="55">
        <f t="shared" ca="1" si="11"/>
        <v>330</v>
      </c>
      <c r="U119" s="56"/>
      <c r="V119" s="124">
        <v>45334</v>
      </c>
      <c r="W119" s="124">
        <v>45334</v>
      </c>
      <c r="X119" s="124">
        <v>45334</v>
      </c>
      <c r="Y119" s="62" t="s">
        <v>52</v>
      </c>
      <c r="AA119" s="54"/>
      <c r="AB119" s="71"/>
    </row>
    <row r="120" spans="1:29" x14ac:dyDescent="0.35">
      <c r="A120" s="346"/>
      <c r="B120" s="346" cm="1">
        <f t="array" ref="B120">+_xlfn.IFS(C120="Tracking",2,C120="WIP",1,C120="Aborted",3)</f>
        <v>3</v>
      </c>
      <c r="C120" s="421" t="str">
        <f t="shared" si="9"/>
        <v>Aborted</v>
      </c>
      <c r="D120" s="347" t="s">
        <v>1490</v>
      </c>
      <c r="E120" s="348" t="s">
        <v>3168</v>
      </c>
      <c r="F120" s="348" t="s">
        <v>1491</v>
      </c>
      <c r="G120" s="347" t="s">
        <v>1492</v>
      </c>
      <c r="H120" s="347" t="s">
        <v>1493</v>
      </c>
      <c r="I120" s="346"/>
      <c r="J120" s="357" t="s">
        <v>111</v>
      </c>
      <c r="K120" s="348" t="s">
        <v>3169</v>
      </c>
      <c r="L120" s="348" t="s">
        <v>240</v>
      </c>
      <c r="M120" s="346"/>
      <c r="N120" s="349" t="s">
        <v>78</v>
      </c>
      <c r="O120" s="349" t="s">
        <v>62</v>
      </c>
      <c r="P120" s="349"/>
      <c r="Q120" s="350"/>
      <c r="R120" s="346"/>
      <c r="S120" s="351">
        <f t="shared" ca="1" si="10"/>
        <v>334</v>
      </c>
      <c r="T120" s="351">
        <f t="shared" ca="1" si="11"/>
        <v>334</v>
      </c>
      <c r="U120" s="352"/>
      <c r="V120" s="353">
        <v>45330</v>
      </c>
      <c r="W120" s="353">
        <v>45330</v>
      </c>
      <c r="X120" s="353">
        <v>45330</v>
      </c>
      <c r="Y120" s="354" t="s">
        <v>52</v>
      </c>
      <c r="Z120" s="346"/>
      <c r="AA120" s="355"/>
    </row>
    <row r="121" spans="1:29" x14ac:dyDescent="0.35">
      <c r="A121" s="297"/>
      <c r="B121" s="297" cm="1">
        <f t="array" ref="B121">+_xlfn.IFS(C121="Tracking",2,C121="WIP",1,C121="Aborted",3)</f>
        <v>3</v>
      </c>
      <c r="C121" s="421" t="str">
        <f t="shared" si="9"/>
        <v>Aborted</v>
      </c>
      <c r="D121" s="298" t="s">
        <v>1490</v>
      </c>
      <c r="E121" s="299" t="s">
        <v>3032</v>
      </c>
      <c r="F121" s="299" t="s">
        <v>1600</v>
      </c>
      <c r="G121" s="298" t="s">
        <v>1040</v>
      </c>
      <c r="H121" s="298" t="s">
        <v>1484</v>
      </c>
      <c r="I121" s="297"/>
      <c r="J121" s="308" t="s">
        <v>2579</v>
      </c>
      <c r="K121" s="299" t="s">
        <v>3033</v>
      </c>
      <c r="L121" s="299" t="s">
        <v>3034</v>
      </c>
      <c r="M121" s="297"/>
      <c r="N121" s="300" t="s">
        <v>78</v>
      </c>
      <c r="O121" s="300" t="s">
        <v>62</v>
      </c>
      <c r="P121" s="300"/>
      <c r="Q121" s="301"/>
      <c r="R121" s="297"/>
      <c r="S121" s="302">
        <f t="shared" ca="1" si="10"/>
        <v>337</v>
      </c>
      <c r="T121" s="302">
        <f t="shared" ca="1" si="11"/>
        <v>337</v>
      </c>
      <c r="U121" s="303"/>
      <c r="V121" s="304">
        <v>45327</v>
      </c>
      <c r="W121" s="304">
        <v>45327</v>
      </c>
      <c r="X121" s="304">
        <v>45327</v>
      </c>
      <c r="Y121" s="305" t="s">
        <v>52</v>
      </c>
      <c r="Z121" s="297"/>
      <c r="AA121" s="306"/>
    </row>
    <row r="122" spans="1:29" x14ac:dyDescent="0.35">
      <c r="A122" s="203"/>
      <c r="B122" s="203" cm="1">
        <f t="array" ref="B122">+_xlfn.IFS(C122="Tracking",2,C122="WIP",1,C122="Aborted",3)</f>
        <v>3</v>
      </c>
      <c r="C122" s="421" t="str">
        <f t="shared" si="9"/>
        <v>Aborted</v>
      </c>
      <c r="D122" s="205" t="s">
        <v>1490</v>
      </c>
      <c r="E122" s="28" t="s">
        <v>2877</v>
      </c>
      <c r="F122" s="28" t="s">
        <v>1563</v>
      </c>
      <c r="G122" s="47" t="s">
        <v>712</v>
      </c>
      <c r="H122" s="205" t="s">
        <v>1493</v>
      </c>
      <c r="I122" s="203"/>
      <c r="J122" s="48" t="s">
        <v>83</v>
      </c>
      <c r="K122" s="28" t="s">
        <v>2878</v>
      </c>
      <c r="L122" s="206" t="s">
        <v>240</v>
      </c>
      <c r="M122" s="203"/>
      <c r="N122" s="424" t="s">
        <v>78</v>
      </c>
      <c r="O122" s="207" t="s">
        <v>62</v>
      </c>
      <c r="P122" s="207"/>
      <c r="Q122" s="208"/>
      <c r="R122" s="203"/>
      <c r="S122" s="209">
        <f t="shared" ca="1" si="10"/>
        <v>354</v>
      </c>
      <c r="T122" s="209">
        <f t="shared" ca="1" si="11"/>
        <v>354</v>
      </c>
      <c r="U122" s="210"/>
      <c r="V122" s="211">
        <v>45310</v>
      </c>
      <c r="W122" s="211">
        <v>45310</v>
      </c>
      <c r="X122" s="211">
        <v>45310</v>
      </c>
      <c r="Y122" s="212" t="s">
        <v>52</v>
      </c>
      <c r="Z122" s="203"/>
      <c r="AA122" s="213"/>
    </row>
    <row r="123" spans="1:29" x14ac:dyDescent="0.35">
      <c r="B123" s="149" cm="1">
        <f t="array" ref="B123">+_xlfn.IFS(C123="Tracking",2,C123="WIP",1,C123="Aborted",3)</f>
        <v>3</v>
      </c>
      <c r="C123" s="421" t="str">
        <f t="shared" si="9"/>
        <v>Aborted</v>
      </c>
      <c r="D123" s="47" t="s">
        <v>1490</v>
      </c>
      <c r="E123" s="28" t="s">
        <v>2657</v>
      </c>
      <c r="F123" s="28" t="s">
        <v>1491</v>
      </c>
      <c r="G123" s="47" t="s">
        <v>1492</v>
      </c>
      <c r="H123" s="47" t="s">
        <v>1484</v>
      </c>
      <c r="J123" s="48" t="s">
        <v>83</v>
      </c>
      <c r="K123" s="28" t="s">
        <v>2658</v>
      </c>
      <c r="L123" s="28" t="s">
        <v>2659</v>
      </c>
      <c r="N123" s="50" t="s">
        <v>78</v>
      </c>
      <c r="O123" s="50" t="s">
        <v>62</v>
      </c>
      <c r="P123" s="50"/>
      <c r="Q123" s="51"/>
      <c r="S123" s="55">
        <f t="shared" ca="1" si="10"/>
        <v>393</v>
      </c>
      <c r="T123" s="55">
        <f t="shared" ca="1" si="11"/>
        <v>358</v>
      </c>
      <c r="U123" s="56"/>
      <c r="V123" s="124">
        <v>45271</v>
      </c>
      <c r="W123" s="124">
        <v>45271</v>
      </c>
      <c r="X123" s="124">
        <v>45306</v>
      </c>
      <c r="Y123" s="62" t="s">
        <v>52</v>
      </c>
      <c r="AA123" s="54"/>
    </row>
    <row r="124" spans="1:29" x14ac:dyDescent="0.35">
      <c r="B124" s="6" cm="1">
        <f t="array" ref="B124">+_xlfn.IFS(C124="Tracking",2,C124="WIP",1,C124="Aborted",3)</f>
        <v>3</v>
      </c>
      <c r="C124" s="67" t="str">
        <f t="shared" si="9"/>
        <v>Aborted</v>
      </c>
      <c r="D124" s="47" t="s">
        <v>1490</v>
      </c>
      <c r="E124" s="28" t="s">
        <v>2628</v>
      </c>
      <c r="F124" s="28" t="s">
        <v>2629</v>
      </c>
      <c r="G124" s="47" t="s">
        <v>2630</v>
      </c>
      <c r="H124" s="47" t="s">
        <v>1484</v>
      </c>
      <c r="J124" s="48" t="s">
        <v>2631</v>
      </c>
      <c r="K124" s="28" t="s">
        <v>2632</v>
      </c>
      <c r="L124" s="28" t="s">
        <v>2633</v>
      </c>
      <c r="N124" s="50" t="s">
        <v>78</v>
      </c>
      <c r="O124" s="50" t="s">
        <v>62</v>
      </c>
      <c r="P124" s="50"/>
      <c r="Q124" s="51"/>
      <c r="S124" s="55">
        <f t="shared" ca="1" si="10"/>
        <v>400</v>
      </c>
      <c r="T124" s="55">
        <f t="shared" ca="1" si="11"/>
        <v>400</v>
      </c>
      <c r="U124" s="56"/>
      <c r="V124" s="124">
        <v>45264</v>
      </c>
      <c r="W124" s="124">
        <v>45264</v>
      </c>
      <c r="X124" s="124">
        <v>45264</v>
      </c>
      <c r="Y124" s="62" t="s">
        <v>52</v>
      </c>
      <c r="AA124" s="54"/>
    </row>
    <row r="125" spans="1:29" x14ac:dyDescent="0.35">
      <c r="B125" s="6" cm="1">
        <f t="array" ref="B125">+_xlfn.IFS(C125="Tracking",2,C125="WIP",1,C125="Aborted",3)</f>
        <v>3</v>
      </c>
      <c r="C125" s="67" t="str">
        <f t="shared" si="9"/>
        <v>Aborted</v>
      </c>
      <c r="D125" s="47" t="s">
        <v>1490</v>
      </c>
      <c r="E125" s="28" t="s">
        <v>2575</v>
      </c>
      <c r="F125" s="28" t="s">
        <v>1514</v>
      </c>
      <c r="G125" s="47" t="s">
        <v>689</v>
      </c>
      <c r="H125" s="47" t="s">
        <v>1484</v>
      </c>
      <c r="J125" s="48" t="s">
        <v>111</v>
      </c>
      <c r="K125" s="28" t="s">
        <v>2582</v>
      </c>
      <c r="L125" s="28" t="s">
        <v>2576</v>
      </c>
      <c r="N125" s="50" t="s">
        <v>78</v>
      </c>
      <c r="O125" s="50" t="s">
        <v>62</v>
      </c>
      <c r="P125" s="50"/>
      <c r="Q125" s="51"/>
      <c r="S125" s="55">
        <f t="shared" ca="1" si="10"/>
        <v>414</v>
      </c>
      <c r="T125" s="55">
        <f t="shared" ca="1" si="11"/>
        <v>364</v>
      </c>
      <c r="U125" s="56"/>
      <c r="V125" s="124">
        <v>45250</v>
      </c>
      <c r="W125" s="124">
        <v>45250</v>
      </c>
      <c r="X125" s="124">
        <v>45300</v>
      </c>
      <c r="Y125" s="62" t="s">
        <v>52</v>
      </c>
      <c r="AA125" s="54"/>
    </row>
    <row r="126" spans="1:29" x14ac:dyDescent="0.35">
      <c r="B126" s="6" cm="1">
        <f t="array" ref="B126">+_xlfn.IFS(C126="Tracking",2,C126="WIP",1,C126="Aborted",3)</f>
        <v>3</v>
      </c>
      <c r="C126" s="67" t="str">
        <f t="shared" si="9"/>
        <v>Aborted</v>
      </c>
      <c r="D126" s="47" t="s">
        <v>1481</v>
      </c>
      <c r="E126" s="28" t="s">
        <v>1482</v>
      </c>
      <c r="F126" s="28" t="s">
        <v>253</v>
      </c>
      <c r="G126" s="47" t="s">
        <v>1483</v>
      </c>
      <c r="H126" s="47" t="s">
        <v>1484</v>
      </c>
      <c r="J126" s="48" t="s">
        <v>111</v>
      </c>
      <c r="K126" s="28" t="s">
        <v>1485</v>
      </c>
      <c r="L126" s="28" t="s">
        <v>1486</v>
      </c>
      <c r="N126" s="50" t="s">
        <v>78</v>
      </c>
      <c r="O126" s="50" t="s">
        <v>86</v>
      </c>
      <c r="P126" s="50"/>
      <c r="Q126" s="51"/>
      <c r="S126" s="55">
        <f t="shared" ca="1" si="10"/>
        <v>439</v>
      </c>
      <c r="T126" s="55">
        <f t="shared" ca="1" si="11"/>
        <v>439</v>
      </c>
      <c r="U126" s="56"/>
      <c r="V126" s="124">
        <v>45225</v>
      </c>
      <c r="W126" s="124">
        <v>45225</v>
      </c>
      <c r="X126" s="124">
        <v>45225</v>
      </c>
      <c r="Y126" s="62" t="s">
        <v>52</v>
      </c>
      <c r="AA126" s="54"/>
      <c r="AB126" s="71"/>
    </row>
    <row r="127" spans="1:29" x14ac:dyDescent="0.35">
      <c r="B127" s="6" cm="1">
        <f t="array" ref="B127">+_xlfn.IFS(C127="Tracking",2,C127="WIP",1,C127="Aborted",3)</f>
        <v>3</v>
      </c>
      <c r="C127" s="67" t="str">
        <f t="shared" si="9"/>
        <v>Aborted</v>
      </c>
      <c r="D127" s="47" t="s">
        <v>1490</v>
      </c>
      <c r="E127" s="28" t="s">
        <v>1567</v>
      </c>
      <c r="F127" s="28" t="s">
        <v>1525</v>
      </c>
      <c r="G127" s="47" t="s">
        <v>1526</v>
      </c>
      <c r="H127" s="47" t="s">
        <v>1484</v>
      </c>
      <c r="J127" s="48" t="s">
        <v>111</v>
      </c>
      <c r="K127" s="28" t="s">
        <v>1568</v>
      </c>
      <c r="L127" s="28" t="s">
        <v>1569</v>
      </c>
      <c r="N127" s="50" t="s">
        <v>153</v>
      </c>
      <c r="O127" s="50"/>
      <c r="P127" s="50"/>
      <c r="Q127" s="51"/>
      <c r="S127" s="55">
        <f t="shared" ca="1" si="10"/>
        <v>596</v>
      </c>
      <c r="T127" s="55">
        <f t="shared" ca="1" si="11"/>
        <v>596</v>
      </c>
      <c r="U127" s="56"/>
      <c r="V127" s="124">
        <v>45068</v>
      </c>
      <c r="W127" s="124">
        <v>45068</v>
      </c>
      <c r="X127" s="124">
        <v>45068</v>
      </c>
      <c r="Y127" s="62" t="s">
        <v>52</v>
      </c>
      <c r="AA127" s="54"/>
      <c r="AB127" s="71">
        <v>45202</v>
      </c>
    </row>
    <row r="128" spans="1:29" x14ac:dyDescent="0.35">
      <c r="B128" s="6" cm="1">
        <f t="array" ref="B128">+_xlfn.IFS(C128="Tracking",2,C128="WIP",1,C128="Aborted",3)</f>
        <v>3</v>
      </c>
      <c r="C128" s="67" t="str">
        <f t="shared" si="9"/>
        <v>Aborted</v>
      </c>
      <c r="D128" s="47" t="s">
        <v>1490</v>
      </c>
      <c r="E128" s="28" t="s">
        <v>1570</v>
      </c>
      <c r="F128" s="28" t="s">
        <v>1525</v>
      </c>
      <c r="G128" s="47" t="s">
        <v>1526</v>
      </c>
      <c r="H128" s="47" t="s">
        <v>1484</v>
      </c>
      <c r="J128" s="48" t="s">
        <v>111</v>
      </c>
      <c r="K128" s="28" t="s">
        <v>1571</v>
      </c>
      <c r="L128" s="28" t="s">
        <v>1572</v>
      </c>
      <c r="N128" s="50" t="s">
        <v>78</v>
      </c>
      <c r="O128" s="50"/>
      <c r="P128" s="50"/>
      <c r="Q128" s="51"/>
      <c r="S128" s="55">
        <f t="shared" ca="1" si="10"/>
        <v>510</v>
      </c>
      <c r="T128" s="55">
        <f t="shared" ca="1" si="11"/>
        <v>505</v>
      </c>
      <c r="U128" s="56"/>
      <c r="V128" s="124">
        <v>45154</v>
      </c>
      <c r="W128" s="124">
        <v>45154</v>
      </c>
      <c r="X128" s="124">
        <v>45159</v>
      </c>
      <c r="Y128" s="62" t="s">
        <v>52</v>
      </c>
      <c r="AA128" s="54"/>
    </row>
    <row r="129" spans="2:28" x14ac:dyDescent="0.35">
      <c r="B129" s="6" cm="1">
        <f t="array" ref="B129">+_xlfn.IFS(C129="Tracking",2,C129="WIP",1,C129="Aborted",3)</f>
        <v>3</v>
      </c>
      <c r="C129" s="67" t="str">
        <f t="shared" si="9"/>
        <v>Aborted</v>
      </c>
      <c r="D129" s="47" t="s">
        <v>1490</v>
      </c>
      <c r="E129" s="28" t="s">
        <v>1573</v>
      </c>
      <c r="F129" s="28" t="s">
        <v>1525</v>
      </c>
      <c r="G129" s="47" t="s">
        <v>1526</v>
      </c>
      <c r="H129" s="47" t="s">
        <v>1484</v>
      </c>
      <c r="J129" s="48" t="s">
        <v>452</v>
      </c>
      <c r="K129" s="28" t="s">
        <v>1574</v>
      </c>
      <c r="L129" s="28" t="s">
        <v>1575</v>
      </c>
      <c r="N129" s="50" t="s">
        <v>153</v>
      </c>
      <c r="O129" s="50"/>
      <c r="P129" s="50"/>
      <c r="Q129" s="51"/>
      <c r="S129" s="55">
        <f t="shared" ca="1" si="10"/>
        <v>596</v>
      </c>
      <c r="T129" s="55">
        <f t="shared" ca="1" si="11"/>
        <v>481</v>
      </c>
      <c r="U129" s="56"/>
      <c r="V129" s="124">
        <v>45068</v>
      </c>
      <c r="W129" s="124">
        <v>45068</v>
      </c>
      <c r="X129" s="124">
        <v>45183</v>
      </c>
      <c r="Y129" s="62" t="s">
        <v>52</v>
      </c>
      <c r="AA129" s="54"/>
    </row>
    <row r="130" spans="2:28" x14ac:dyDescent="0.35">
      <c r="B130" s="6" cm="1">
        <f t="array" ref="B130">+_xlfn.IFS(C130="Tracking",2,C130="WIP",1,C130="Aborted",3)</f>
        <v>3</v>
      </c>
      <c r="C130" s="67" t="str">
        <f t="shared" si="9"/>
        <v>Aborted</v>
      </c>
      <c r="D130" s="47" t="s">
        <v>1490</v>
      </c>
      <c r="E130" s="28" t="s">
        <v>1576</v>
      </c>
      <c r="F130" s="28" t="s">
        <v>1577</v>
      </c>
      <c r="G130" s="47" t="s">
        <v>712</v>
      </c>
      <c r="H130" s="47" t="s">
        <v>1484</v>
      </c>
      <c r="J130" s="48" t="s">
        <v>1578</v>
      </c>
      <c r="K130" s="28" t="s">
        <v>1579</v>
      </c>
      <c r="L130" s="28" t="s">
        <v>1580</v>
      </c>
      <c r="N130" s="50" t="s">
        <v>78</v>
      </c>
      <c r="O130" s="50"/>
      <c r="P130" s="50"/>
      <c r="Q130" s="51"/>
      <c r="S130" s="55">
        <f t="shared" ca="1" si="10"/>
        <v>482</v>
      </c>
      <c r="T130" s="55">
        <f t="shared" ca="1" si="11"/>
        <v>482</v>
      </c>
      <c r="U130" s="56"/>
      <c r="V130" s="124">
        <v>45182</v>
      </c>
      <c r="W130" s="124">
        <v>45182</v>
      </c>
      <c r="X130" s="124">
        <v>45182</v>
      </c>
      <c r="Y130" s="62" t="s">
        <v>52</v>
      </c>
      <c r="AA130" s="54"/>
    </row>
    <row r="131" spans="2:28" x14ac:dyDescent="0.35">
      <c r="B131" s="6" cm="1">
        <f t="array" ref="B131">+_xlfn.IFS(C131="Tracking",2,C131="WIP",1,C131="Aborted",3)</f>
        <v>3</v>
      </c>
      <c r="C131" s="67" t="str">
        <f t="shared" si="9"/>
        <v>Aborted</v>
      </c>
      <c r="D131" s="47" t="s">
        <v>1490</v>
      </c>
      <c r="E131" s="28" t="s">
        <v>1581</v>
      </c>
      <c r="F131" s="28" t="s">
        <v>1529</v>
      </c>
      <c r="G131" s="47" t="s">
        <v>1038</v>
      </c>
      <c r="H131" s="47" t="s">
        <v>1484</v>
      </c>
      <c r="J131" s="48" t="s">
        <v>132</v>
      </c>
      <c r="K131" s="28" t="s">
        <v>1582</v>
      </c>
      <c r="L131" s="28"/>
      <c r="N131" s="50" t="s">
        <v>78</v>
      </c>
      <c r="O131" s="50"/>
      <c r="P131" s="50"/>
      <c r="Q131" s="51"/>
      <c r="S131" s="55">
        <f t="shared" ca="1" si="10"/>
        <v>529</v>
      </c>
      <c r="T131" s="55">
        <f t="shared" ca="1" si="11"/>
        <v>529</v>
      </c>
      <c r="U131" s="56"/>
      <c r="V131" s="124">
        <v>45135</v>
      </c>
      <c r="W131" s="124">
        <v>45135</v>
      </c>
      <c r="X131" s="124">
        <v>45135</v>
      </c>
      <c r="Y131" s="62" t="s">
        <v>52</v>
      </c>
      <c r="AA131" s="54"/>
    </row>
    <row r="132" spans="2:28" x14ac:dyDescent="0.35">
      <c r="B132" s="6" cm="1">
        <f t="array" ref="B132">+_xlfn.IFS(C132="Tracking",2,C132="WIP",1,C132="Aborted",3)</f>
        <v>3</v>
      </c>
      <c r="C132" s="67" t="str">
        <f t="shared" si="9"/>
        <v>Aborted</v>
      </c>
      <c r="D132" s="47" t="s">
        <v>1490</v>
      </c>
      <c r="E132" s="28" t="s">
        <v>1583</v>
      </c>
      <c r="F132" s="28" t="s">
        <v>1525</v>
      </c>
      <c r="G132" s="47" t="s">
        <v>1526</v>
      </c>
      <c r="H132" s="47" t="s">
        <v>1484</v>
      </c>
      <c r="J132" s="48"/>
      <c r="K132" s="28"/>
      <c r="L132" s="28"/>
      <c r="N132" s="50" t="s">
        <v>153</v>
      </c>
      <c r="O132" s="50"/>
      <c r="P132" s="50"/>
      <c r="Q132" s="51"/>
      <c r="S132" s="55">
        <f t="shared" ca="1" si="10"/>
        <v>596</v>
      </c>
      <c r="T132" s="55">
        <f t="shared" ca="1" si="11"/>
        <v>596</v>
      </c>
      <c r="U132" s="56"/>
      <c r="V132" s="124">
        <v>45068</v>
      </c>
      <c r="W132" s="124">
        <v>45068</v>
      </c>
      <c r="X132" s="124">
        <v>45068</v>
      </c>
      <c r="Y132" s="62" t="s">
        <v>52</v>
      </c>
      <c r="AA132" s="54"/>
    </row>
    <row r="133" spans="2:28" x14ac:dyDescent="0.35">
      <c r="B133" s="6" cm="1">
        <f t="array" ref="B133">+_xlfn.IFS(C133="Tracking",2,C133="WIP",1,C133="Aborted",3)</f>
        <v>3</v>
      </c>
      <c r="C133" s="67" t="str">
        <f t="shared" ref="C133:C164" si="12">+Y133</f>
        <v>Aborted</v>
      </c>
      <c r="D133" s="47" t="s">
        <v>1490</v>
      </c>
      <c r="E133" s="28" t="s">
        <v>1584</v>
      </c>
      <c r="F133" s="28" t="s">
        <v>1563</v>
      </c>
      <c r="G133" s="47" t="s">
        <v>712</v>
      </c>
      <c r="H133" s="47" t="s">
        <v>1484</v>
      </c>
      <c r="J133" s="48" t="s">
        <v>1010</v>
      </c>
      <c r="K133" s="28" t="s">
        <v>1585</v>
      </c>
      <c r="L133" s="28" t="s">
        <v>1586</v>
      </c>
      <c r="N133" s="50"/>
      <c r="O133" s="50"/>
      <c r="P133" s="50"/>
      <c r="Q133" s="51"/>
      <c r="S133" s="55">
        <f t="shared" ca="1" si="10"/>
        <v>518</v>
      </c>
      <c r="T133" s="55">
        <f t="shared" ca="1" si="11"/>
        <v>518</v>
      </c>
      <c r="U133" s="56"/>
      <c r="V133" s="124">
        <v>45146</v>
      </c>
      <c r="W133" s="124">
        <v>45146</v>
      </c>
      <c r="X133" s="124">
        <v>45146</v>
      </c>
      <c r="Y133" s="62" t="s">
        <v>52</v>
      </c>
      <c r="AA133" s="54"/>
    </row>
    <row r="134" spans="2:28" x14ac:dyDescent="0.35">
      <c r="B134" s="6" cm="1">
        <f t="array" ref="B134">+_xlfn.IFS(C134="Tracking",2,C134="WIP",1,C134="Aborted",3)</f>
        <v>3</v>
      </c>
      <c r="C134" s="67" t="str">
        <f t="shared" si="12"/>
        <v>Aborted</v>
      </c>
      <c r="D134" s="47" t="s">
        <v>1490</v>
      </c>
      <c r="E134" s="28" t="s">
        <v>1587</v>
      </c>
      <c r="F134" s="28" t="s">
        <v>1588</v>
      </c>
      <c r="G134" s="47" t="s">
        <v>712</v>
      </c>
      <c r="H134" s="47" t="s">
        <v>1484</v>
      </c>
      <c r="J134" s="48" t="s">
        <v>1589</v>
      </c>
      <c r="K134" s="28"/>
      <c r="L134" s="28"/>
      <c r="N134" s="50" t="s">
        <v>153</v>
      </c>
      <c r="O134" s="50"/>
      <c r="P134" s="50"/>
      <c r="Q134" s="51"/>
      <c r="S134" s="55">
        <f t="shared" ca="1" si="10"/>
        <v>596</v>
      </c>
      <c r="T134" s="55">
        <f t="shared" ca="1" si="11"/>
        <v>596</v>
      </c>
      <c r="U134" s="56"/>
      <c r="V134" s="124">
        <v>45068</v>
      </c>
      <c r="W134" s="124">
        <v>45068</v>
      </c>
      <c r="X134" s="124">
        <v>45068</v>
      </c>
      <c r="Y134" s="62" t="s">
        <v>52</v>
      </c>
      <c r="AA134" s="54"/>
    </row>
    <row r="135" spans="2:28" x14ac:dyDescent="0.35">
      <c r="B135" s="6" cm="1">
        <f t="array" ref="B135">+_xlfn.IFS(C135="Tracking",2,C135="WIP",1,C135="Aborted",3)</f>
        <v>3</v>
      </c>
      <c r="C135" s="67" t="str">
        <f t="shared" si="12"/>
        <v>Aborted</v>
      </c>
      <c r="D135" s="47" t="s">
        <v>1490</v>
      </c>
      <c r="E135" s="28" t="s">
        <v>1590</v>
      </c>
      <c r="F135" s="28" t="s">
        <v>1504</v>
      </c>
      <c r="G135" s="47" t="s">
        <v>1038</v>
      </c>
      <c r="H135" s="47" t="s">
        <v>1484</v>
      </c>
      <c r="J135" s="48" t="s">
        <v>452</v>
      </c>
      <c r="K135" s="28" t="s">
        <v>1591</v>
      </c>
      <c r="L135" s="28" t="s">
        <v>1592</v>
      </c>
      <c r="N135" s="50" t="s">
        <v>78</v>
      </c>
      <c r="O135" s="50"/>
      <c r="P135" s="50"/>
      <c r="Q135" s="51"/>
      <c r="S135" s="55">
        <f t="shared" ca="1" si="10"/>
        <v>503</v>
      </c>
      <c r="T135" s="55">
        <f t="shared" ca="1" si="11"/>
        <v>503</v>
      </c>
      <c r="U135" s="56"/>
      <c r="V135" s="124">
        <v>45161</v>
      </c>
      <c r="W135" s="124">
        <v>45161</v>
      </c>
      <c r="X135" s="124">
        <v>45161</v>
      </c>
      <c r="Y135" s="62" t="s">
        <v>52</v>
      </c>
      <c r="AA135" s="54"/>
    </row>
    <row r="136" spans="2:28" x14ac:dyDescent="0.35">
      <c r="B136" s="6" cm="1">
        <f t="array" ref="B136">+_xlfn.IFS(C136="Tracking",2,C136="WIP",1,C136="Aborted",3)</f>
        <v>3</v>
      </c>
      <c r="C136" s="67" t="str">
        <f t="shared" si="12"/>
        <v>Aborted</v>
      </c>
      <c r="D136" s="47" t="s">
        <v>1490</v>
      </c>
      <c r="E136" s="28" t="s">
        <v>1593</v>
      </c>
      <c r="F136" s="28" t="s">
        <v>1594</v>
      </c>
      <c r="G136" s="47" t="s">
        <v>1511</v>
      </c>
      <c r="H136" s="47" t="s">
        <v>1484</v>
      </c>
      <c r="J136" s="48"/>
      <c r="K136" s="28"/>
      <c r="L136" s="28"/>
      <c r="N136" s="50" t="s">
        <v>78</v>
      </c>
      <c r="O136" s="50"/>
      <c r="P136" s="50"/>
      <c r="Q136" s="51"/>
      <c r="S136" s="55"/>
      <c r="T136" s="55"/>
      <c r="U136" s="56"/>
      <c r="V136" s="124">
        <v>45124</v>
      </c>
      <c r="W136" s="124">
        <v>45124</v>
      </c>
      <c r="X136" s="124">
        <v>45124</v>
      </c>
      <c r="Y136" s="62" t="s">
        <v>52</v>
      </c>
      <c r="AA136" s="54"/>
      <c r="AB136" s="71"/>
    </row>
    <row r="137" spans="2:28" x14ac:dyDescent="0.35">
      <c r="B137" s="6" cm="1">
        <f t="array" ref="B137">+_xlfn.IFS(C137="Tracking",2,C137="WIP",1,C137="Aborted",3)</f>
        <v>3</v>
      </c>
      <c r="C137" s="67" t="str">
        <f t="shared" si="12"/>
        <v>Aborted</v>
      </c>
      <c r="D137" s="47" t="s">
        <v>1490</v>
      </c>
      <c r="E137" s="28" t="s">
        <v>1595</v>
      </c>
      <c r="F137" s="28" t="s">
        <v>1563</v>
      </c>
      <c r="G137" s="47" t="s">
        <v>712</v>
      </c>
      <c r="H137" s="47" t="s">
        <v>1484</v>
      </c>
      <c r="J137" s="48" t="s">
        <v>452</v>
      </c>
      <c r="K137" s="28"/>
      <c r="L137" s="28"/>
      <c r="N137" s="50" t="s">
        <v>78</v>
      </c>
      <c r="O137" s="50"/>
      <c r="P137" s="50"/>
      <c r="Q137" s="51"/>
      <c r="S137" s="55"/>
      <c r="T137" s="55"/>
      <c r="U137" s="56"/>
      <c r="V137" s="124">
        <v>45092</v>
      </c>
      <c r="W137" s="124">
        <v>45092</v>
      </c>
      <c r="X137" s="124">
        <v>45093</v>
      </c>
      <c r="Y137" s="62" t="s">
        <v>52</v>
      </c>
      <c r="AA137" s="54"/>
      <c r="AB137" s="71"/>
    </row>
    <row r="138" spans="2:28" x14ac:dyDescent="0.35">
      <c r="B138" s="6" cm="1">
        <f t="array" ref="B138">+_xlfn.IFS(C138="Tracking",2,C138="WIP",1,C138="Aborted",3)</f>
        <v>3</v>
      </c>
      <c r="C138" s="67" t="str">
        <f t="shared" si="12"/>
        <v>Aborted</v>
      </c>
      <c r="D138" s="47" t="s">
        <v>1490</v>
      </c>
      <c r="E138" s="28" t="s">
        <v>1596</v>
      </c>
      <c r="F138" s="28" t="s">
        <v>1491</v>
      </c>
      <c r="G138" s="47" t="s">
        <v>1492</v>
      </c>
      <c r="H138" s="47" t="s">
        <v>1484</v>
      </c>
      <c r="J138" s="48" t="s">
        <v>111</v>
      </c>
      <c r="K138" s="28" t="s">
        <v>1597</v>
      </c>
      <c r="L138" s="28"/>
      <c r="N138" s="50" t="s">
        <v>78</v>
      </c>
      <c r="O138" s="50" t="s">
        <v>86</v>
      </c>
      <c r="P138" s="50"/>
      <c r="Q138" s="51"/>
      <c r="S138" s="55">
        <f t="shared" ref="S138:S169" ca="1" si="13">+TODAY()-V138</f>
        <v>561</v>
      </c>
      <c r="T138" s="55">
        <f t="shared" ref="T138:T169" ca="1" si="14">+TODAY()-X138</f>
        <v>561</v>
      </c>
      <c r="U138" s="56"/>
      <c r="V138" s="124">
        <v>45103</v>
      </c>
      <c r="W138" s="124">
        <v>45103</v>
      </c>
      <c r="X138" s="124">
        <v>45103</v>
      </c>
      <c r="Y138" s="62" t="s">
        <v>52</v>
      </c>
      <c r="AA138" s="54" t="s">
        <v>7</v>
      </c>
    </row>
    <row r="139" spans="2:28" x14ac:dyDescent="0.35">
      <c r="B139" s="6" cm="1">
        <f t="array" ref="B139">+_xlfn.IFS(C139="Tracking",2,C139="WIP",1,C139="Aborted",3)</f>
        <v>3</v>
      </c>
      <c r="C139" s="67" t="str">
        <f t="shared" si="12"/>
        <v>Aborted</v>
      </c>
      <c r="D139" s="47" t="s">
        <v>1490</v>
      </c>
      <c r="E139" s="28" t="s">
        <v>1598</v>
      </c>
      <c r="F139" s="28" t="s">
        <v>1491</v>
      </c>
      <c r="G139" s="47" t="s">
        <v>1492</v>
      </c>
      <c r="H139" s="47" t="s">
        <v>1493</v>
      </c>
      <c r="J139" s="50"/>
      <c r="K139" s="28"/>
      <c r="L139" s="28"/>
      <c r="N139" s="50"/>
      <c r="O139" s="50"/>
      <c r="P139" s="50"/>
      <c r="Q139" s="51"/>
      <c r="S139" s="55">
        <f t="shared" ca="1" si="13"/>
        <v>596</v>
      </c>
      <c r="T139" s="55">
        <f t="shared" ca="1" si="14"/>
        <v>596</v>
      </c>
      <c r="U139" s="56"/>
      <c r="V139" s="124">
        <v>45068</v>
      </c>
      <c r="W139" s="124">
        <v>45068</v>
      </c>
      <c r="X139" s="124">
        <v>45068</v>
      </c>
      <c r="Y139" s="62" t="s">
        <v>52</v>
      </c>
      <c r="AA139" s="54" t="s">
        <v>7</v>
      </c>
    </row>
    <row r="140" spans="2:28" x14ac:dyDescent="0.35">
      <c r="B140" s="6" cm="1">
        <f t="array" ref="B140">+_xlfn.IFS(C140="Tracking",2,C140="WIP",1,C140="Aborted",3)</f>
        <v>3</v>
      </c>
      <c r="C140" s="67" t="str">
        <f t="shared" si="12"/>
        <v>Aborted</v>
      </c>
      <c r="D140" s="47" t="s">
        <v>1490</v>
      </c>
      <c r="E140" s="28" t="s">
        <v>1599</v>
      </c>
      <c r="F140" s="28" t="s">
        <v>1600</v>
      </c>
      <c r="G140" s="47" t="s">
        <v>1040</v>
      </c>
      <c r="H140" s="47" t="s">
        <v>1484</v>
      </c>
      <c r="J140" s="50"/>
      <c r="K140" s="28"/>
      <c r="L140" s="28" t="s">
        <v>1601</v>
      </c>
      <c r="N140" s="50"/>
      <c r="O140" s="50"/>
      <c r="P140" s="50"/>
      <c r="Q140" s="51"/>
      <c r="S140" s="55">
        <f t="shared" ca="1" si="13"/>
        <v>596</v>
      </c>
      <c r="T140" s="55">
        <f t="shared" ca="1" si="14"/>
        <v>596</v>
      </c>
      <c r="U140" s="56"/>
      <c r="V140" s="124">
        <v>45068</v>
      </c>
      <c r="W140" s="124">
        <v>45068</v>
      </c>
      <c r="X140" s="124">
        <v>45068</v>
      </c>
      <c r="Y140" s="62" t="s">
        <v>52</v>
      </c>
      <c r="AA140" s="54" t="s">
        <v>7</v>
      </c>
    </row>
    <row r="141" spans="2:28" x14ac:dyDescent="0.35">
      <c r="B141" s="6" cm="1">
        <f t="array" ref="B141">+_xlfn.IFS(C141="Tracking",2,C141="WIP",1,C141="Aborted",3)</f>
        <v>3</v>
      </c>
      <c r="C141" s="67" t="str">
        <f t="shared" si="12"/>
        <v>Aborted</v>
      </c>
      <c r="D141" s="47" t="s">
        <v>1490</v>
      </c>
      <c r="E141" s="28" t="s">
        <v>1602</v>
      </c>
      <c r="F141" s="28" t="s">
        <v>1529</v>
      </c>
      <c r="G141" s="47" t="s">
        <v>1603</v>
      </c>
      <c r="H141" s="47" t="s">
        <v>1484</v>
      </c>
      <c r="J141" s="48" t="s">
        <v>1604</v>
      </c>
      <c r="K141" s="28"/>
      <c r="L141" s="28"/>
      <c r="N141" s="50" t="s">
        <v>153</v>
      </c>
      <c r="O141" s="50"/>
      <c r="P141" s="50"/>
      <c r="Q141" s="51"/>
      <c r="S141" s="55">
        <f t="shared" ca="1" si="13"/>
        <v>596</v>
      </c>
      <c r="T141" s="55">
        <f t="shared" ca="1" si="14"/>
        <v>596</v>
      </c>
      <c r="U141" s="56"/>
      <c r="V141" s="124">
        <v>45068</v>
      </c>
      <c r="W141" s="124">
        <v>45068</v>
      </c>
      <c r="X141" s="124">
        <v>45068</v>
      </c>
      <c r="Y141" s="62" t="s">
        <v>52</v>
      </c>
      <c r="AA141" s="54"/>
    </row>
    <row r="142" spans="2:28" x14ac:dyDescent="0.35">
      <c r="B142" s="6">
        <v>3</v>
      </c>
      <c r="C142" s="67" t="str">
        <f t="shared" si="12"/>
        <v>Aborted</v>
      </c>
      <c r="D142" s="47" t="s">
        <v>1490</v>
      </c>
      <c r="E142" s="28" t="s">
        <v>1605</v>
      </c>
      <c r="F142" s="28" t="s">
        <v>1525</v>
      </c>
      <c r="G142" s="47" t="s">
        <v>1526</v>
      </c>
      <c r="H142" s="47" t="s">
        <v>1484</v>
      </c>
      <c r="J142" s="48" t="s">
        <v>111</v>
      </c>
      <c r="K142" s="28" t="s">
        <v>1606</v>
      </c>
      <c r="L142" s="28" t="s">
        <v>1607</v>
      </c>
      <c r="N142" s="50" t="s">
        <v>78</v>
      </c>
      <c r="O142" s="50" t="s">
        <v>62</v>
      </c>
      <c r="P142" s="50"/>
      <c r="Q142" s="51"/>
      <c r="S142" s="55">
        <f t="shared" ca="1" si="13"/>
        <v>634</v>
      </c>
      <c r="T142" s="55">
        <f t="shared" ca="1" si="14"/>
        <v>634</v>
      </c>
      <c r="U142" s="56"/>
      <c r="V142" s="124">
        <v>45030</v>
      </c>
      <c r="W142" s="124">
        <v>45030</v>
      </c>
      <c r="X142" s="124">
        <v>45030</v>
      </c>
      <c r="Y142" s="62" t="s">
        <v>52</v>
      </c>
      <c r="AA142" s="54" t="s">
        <v>7</v>
      </c>
    </row>
    <row r="143" spans="2:28" x14ac:dyDescent="0.35">
      <c r="B143" s="6" cm="1">
        <f t="array" ref="B143">+_xlfn.IFS(C143="Tracking",2,C143="WIP",1,C143="Aborted",3)</f>
        <v>3</v>
      </c>
      <c r="C143" s="67" t="str">
        <f t="shared" si="12"/>
        <v>Aborted</v>
      </c>
      <c r="D143" s="47" t="s">
        <v>1490</v>
      </c>
      <c r="E143" s="28" t="s">
        <v>1608</v>
      </c>
      <c r="F143" s="28" t="s">
        <v>1525</v>
      </c>
      <c r="G143" s="47" t="s">
        <v>1526</v>
      </c>
      <c r="H143" s="47" t="s">
        <v>1484</v>
      </c>
      <c r="J143" s="48" t="s">
        <v>111</v>
      </c>
      <c r="K143" s="28" t="s">
        <v>1609</v>
      </c>
      <c r="L143" s="28"/>
      <c r="N143" s="50" t="s">
        <v>78</v>
      </c>
      <c r="O143" s="50" t="s">
        <v>62</v>
      </c>
      <c r="P143" s="50"/>
      <c r="Q143" s="51"/>
      <c r="S143" s="55">
        <f t="shared" ca="1" si="13"/>
        <v>679</v>
      </c>
      <c r="T143" s="55">
        <f t="shared" ca="1" si="14"/>
        <v>678</v>
      </c>
      <c r="U143" s="56"/>
      <c r="V143" s="124">
        <v>44985</v>
      </c>
      <c r="W143" s="124">
        <v>44986</v>
      </c>
      <c r="X143" s="124">
        <v>44986</v>
      </c>
      <c r="Y143" s="62" t="s">
        <v>52</v>
      </c>
      <c r="AA143" s="54" t="s">
        <v>7</v>
      </c>
    </row>
    <row r="144" spans="2:28" x14ac:dyDescent="0.35">
      <c r="B144" s="6" cm="1">
        <f t="array" ref="B144">+_xlfn.IFS(C144="Tracking",2,C144="WIP",1,C144="Aborted",3)</f>
        <v>3</v>
      </c>
      <c r="C144" s="67" t="str">
        <f t="shared" si="12"/>
        <v>Aborted</v>
      </c>
      <c r="D144" s="47" t="s">
        <v>1490</v>
      </c>
      <c r="E144" s="28" t="s">
        <v>1610</v>
      </c>
      <c r="F144" s="28" t="s">
        <v>1525</v>
      </c>
      <c r="G144" s="47" t="s">
        <v>1483</v>
      </c>
      <c r="H144" s="47" t="s">
        <v>1484</v>
      </c>
      <c r="J144" s="48" t="s">
        <v>1611</v>
      </c>
      <c r="K144" s="28" t="s">
        <v>1606</v>
      </c>
      <c r="L144" s="28" t="s">
        <v>1607</v>
      </c>
      <c r="N144" s="50" t="s">
        <v>78</v>
      </c>
      <c r="O144" s="50" t="s">
        <v>62</v>
      </c>
      <c r="P144" s="50"/>
      <c r="Q144" s="51"/>
      <c r="S144" s="55">
        <f t="shared" ca="1" si="13"/>
        <v>634</v>
      </c>
      <c r="T144" s="55">
        <f t="shared" ca="1" si="14"/>
        <v>632</v>
      </c>
      <c r="U144" s="56"/>
      <c r="V144" s="124">
        <v>45030</v>
      </c>
      <c r="W144" s="124">
        <v>45030</v>
      </c>
      <c r="X144" s="124">
        <v>45032</v>
      </c>
      <c r="Y144" s="62" t="s">
        <v>52</v>
      </c>
      <c r="AA144" s="54" t="s">
        <v>7</v>
      </c>
    </row>
    <row r="145" spans="2:28" x14ac:dyDescent="0.35">
      <c r="B145" s="6" cm="1">
        <f t="array" ref="B145">+_xlfn.IFS(C145="Tracking",2,C145="WIP",1,C145="Aborted",3)</f>
        <v>3</v>
      </c>
      <c r="C145" s="67" t="str">
        <f t="shared" si="12"/>
        <v>Aborted</v>
      </c>
      <c r="D145" s="47" t="s">
        <v>1490</v>
      </c>
      <c r="E145" s="28" t="s">
        <v>1612</v>
      </c>
      <c r="F145" s="28" t="s">
        <v>1529</v>
      </c>
      <c r="G145" s="47" t="s">
        <v>1603</v>
      </c>
      <c r="H145" s="47" t="s">
        <v>1493</v>
      </c>
      <c r="J145" s="48" t="s">
        <v>1010</v>
      </c>
      <c r="K145" s="28" t="s">
        <v>1613</v>
      </c>
      <c r="L145" s="28"/>
      <c r="N145" s="50" t="s">
        <v>78</v>
      </c>
      <c r="O145" s="50" t="s">
        <v>62</v>
      </c>
      <c r="P145" s="50"/>
      <c r="Q145" s="51"/>
      <c r="S145" s="55">
        <f t="shared" ca="1" si="13"/>
        <v>706</v>
      </c>
      <c r="T145" s="55">
        <f t="shared" ca="1" si="14"/>
        <v>685</v>
      </c>
      <c r="U145" s="56"/>
      <c r="V145" s="124">
        <v>44958</v>
      </c>
      <c r="W145" s="124">
        <v>44958</v>
      </c>
      <c r="X145" s="124">
        <v>44979</v>
      </c>
      <c r="Y145" s="62" t="s">
        <v>52</v>
      </c>
      <c r="AA145" s="54" t="s">
        <v>7</v>
      </c>
      <c r="AB145" s="71"/>
    </row>
    <row r="146" spans="2:28" x14ac:dyDescent="0.35">
      <c r="B146" s="6" cm="1">
        <f t="array" ref="B146">+_xlfn.IFS(C146="Tracking",2,C146="WIP",1,C146="Aborted",3)</f>
        <v>3</v>
      </c>
      <c r="C146" s="67" t="str">
        <f t="shared" si="12"/>
        <v>Aborted</v>
      </c>
      <c r="D146" s="47" t="s">
        <v>1490</v>
      </c>
      <c r="E146" s="28" t="s">
        <v>1614</v>
      </c>
      <c r="F146" s="28" t="s">
        <v>1615</v>
      </c>
      <c r="G146" s="47" t="s">
        <v>1040</v>
      </c>
      <c r="H146" s="47" t="s">
        <v>1484</v>
      </c>
      <c r="J146" s="48" t="s">
        <v>267</v>
      </c>
      <c r="K146" s="28" t="s">
        <v>1616</v>
      </c>
      <c r="L146" s="28"/>
      <c r="N146" s="50" t="s">
        <v>78</v>
      </c>
      <c r="O146" s="50" t="s">
        <v>313</v>
      </c>
      <c r="P146" s="50"/>
      <c r="Q146" s="51"/>
      <c r="S146" s="55">
        <f t="shared" ca="1" si="13"/>
        <v>687</v>
      </c>
      <c r="T146" s="55">
        <f t="shared" ca="1" si="14"/>
        <v>656</v>
      </c>
      <c r="U146" s="56"/>
      <c r="V146" s="124">
        <v>44977</v>
      </c>
      <c r="W146" s="124">
        <v>44977</v>
      </c>
      <c r="X146" s="124">
        <v>45008</v>
      </c>
      <c r="Y146" s="62" t="s">
        <v>52</v>
      </c>
      <c r="AA146" s="54" t="s">
        <v>7</v>
      </c>
      <c r="AB146" s="71"/>
    </row>
    <row r="147" spans="2:28" x14ac:dyDescent="0.35">
      <c r="B147" s="6" cm="1">
        <f t="array" ref="B147">+_xlfn.IFS(C147="Tracking",2,C147="WIP",1,C147="Aborted",3)</f>
        <v>3</v>
      </c>
      <c r="C147" s="67" t="str">
        <f t="shared" si="12"/>
        <v>Aborted</v>
      </c>
      <c r="D147" s="47" t="s">
        <v>1490</v>
      </c>
      <c r="E147" s="28" t="s">
        <v>1617</v>
      </c>
      <c r="F147" s="28" t="s">
        <v>1491</v>
      </c>
      <c r="G147" s="47" t="s">
        <v>1492</v>
      </c>
      <c r="H147" s="47" t="s">
        <v>796</v>
      </c>
      <c r="J147" s="48" t="s">
        <v>1618</v>
      </c>
      <c r="K147" s="28" t="s">
        <v>1619</v>
      </c>
      <c r="L147" s="28" t="s">
        <v>1620</v>
      </c>
      <c r="N147" s="50" t="s">
        <v>78</v>
      </c>
      <c r="O147" s="50" t="s">
        <v>62</v>
      </c>
      <c r="P147" s="50"/>
      <c r="Q147" s="51"/>
      <c r="S147" s="55">
        <f t="shared" ca="1" si="13"/>
        <v>720</v>
      </c>
      <c r="T147" s="55">
        <f t="shared" ca="1" si="14"/>
        <v>720</v>
      </c>
      <c r="U147" s="56"/>
      <c r="V147" s="124">
        <v>44944</v>
      </c>
      <c r="W147" s="124">
        <v>44944</v>
      </c>
      <c r="X147" s="124">
        <v>44944</v>
      </c>
      <c r="Y147" s="62" t="s">
        <v>52</v>
      </c>
      <c r="AA147" s="54" t="s">
        <v>7</v>
      </c>
    </row>
    <row r="148" spans="2:28" x14ac:dyDescent="0.35">
      <c r="B148" s="6" cm="1">
        <f t="array" ref="B148">+_xlfn.IFS(C148="Tracking",2,C148="WIP",1,C148="Aborted",3)</f>
        <v>3</v>
      </c>
      <c r="C148" s="67" t="str">
        <f t="shared" si="12"/>
        <v>Aborted</v>
      </c>
      <c r="D148" s="47" t="s">
        <v>1490</v>
      </c>
      <c r="E148" s="28" t="s">
        <v>1621</v>
      </c>
      <c r="F148" s="28" t="s">
        <v>1563</v>
      </c>
      <c r="G148" s="47" t="s">
        <v>712</v>
      </c>
      <c r="H148" s="47" t="s">
        <v>1493</v>
      </c>
      <c r="J148" s="48" t="s">
        <v>1622</v>
      </c>
      <c r="K148" s="28" t="s">
        <v>1623</v>
      </c>
      <c r="L148" s="28"/>
      <c r="N148" s="50" t="s">
        <v>78</v>
      </c>
      <c r="O148" s="50" t="s">
        <v>62</v>
      </c>
      <c r="P148" s="50"/>
      <c r="Q148" s="51"/>
      <c r="S148" s="55">
        <f t="shared" ca="1" si="13"/>
        <v>715</v>
      </c>
      <c r="T148" s="55">
        <f t="shared" ca="1" si="14"/>
        <v>714</v>
      </c>
      <c r="U148" s="56"/>
      <c r="V148" s="124">
        <v>44949</v>
      </c>
      <c r="W148" s="124">
        <v>44949</v>
      </c>
      <c r="X148" s="124">
        <v>44950</v>
      </c>
      <c r="Y148" s="62" t="s">
        <v>52</v>
      </c>
      <c r="AA148" s="54" t="s">
        <v>7</v>
      </c>
      <c r="AB148" s="71"/>
    </row>
    <row r="149" spans="2:28" x14ac:dyDescent="0.35">
      <c r="B149" s="6" cm="1">
        <f t="array" ref="B149">+_xlfn.IFS(C149="Tracking",2,C149="WIP",1,C149="Aborted",3)</f>
        <v>3</v>
      </c>
      <c r="C149" s="67" t="str">
        <f t="shared" si="12"/>
        <v>Aborted</v>
      </c>
      <c r="D149" s="47" t="s">
        <v>1490</v>
      </c>
      <c r="E149" s="28" t="s">
        <v>1624</v>
      </c>
      <c r="F149" s="28" t="s">
        <v>1497</v>
      </c>
      <c r="G149" s="47" t="s">
        <v>679</v>
      </c>
      <c r="H149" s="47" t="s">
        <v>1493</v>
      </c>
      <c r="J149" s="48" t="s">
        <v>1010</v>
      </c>
      <c r="K149" s="28" t="s">
        <v>1625</v>
      </c>
      <c r="L149" s="28"/>
      <c r="N149" s="50" t="s">
        <v>78</v>
      </c>
      <c r="O149" s="50" t="s">
        <v>62</v>
      </c>
      <c r="P149" s="50"/>
      <c r="Q149" s="51"/>
      <c r="S149" s="55">
        <f t="shared" ca="1" si="13"/>
        <v>707</v>
      </c>
      <c r="T149" s="55">
        <f t="shared" ca="1" si="14"/>
        <v>707</v>
      </c>
      <c r="U149" s="56"/>
      <c r="V149" s="124">
        <v>44957</v>
      </c>
      <c r="W149" s="124">
        <v>44957</v>
      </c>
      <c r="X149" s="124">
        <v>44957</v>
      </c>
      <c r="Y149" s="62" t="s">
        <v>52</v>
      </c>
      <c r="AA149" s="54" t="s">
        <v>7</v>
      </c>
    </row>
    <row r="150" spans="2:28" x14ac:dyDescent="0.35">
      <c r="B150" s="6" cm="1">
        <f t="array" ref="B150">+_xlfn.IFS(C150="Tracking",2,C150="WIP",1,C150="Aborted",3)</f>
        <v>3</v>
      </c>
      <c r="C150" s="67" t="str">
        <f t="shared" si="12"/>
        <v>Aborted</v>
      </c>
      <c r="D150" s="47" t="s">
        <v>1490</v>
      </c>
      <c r="E150" s="28" t="s">
        <v>1626</v>
      </c>
      <c r="F150" s="28" t="s">
        <v>1525</v>
      </c>
      <c r="G150" s="47" t="s">
        <v>1483</v>
      </c>
      <c r="H150" s="47" t="s">
        <v>1484</v>
      </c>
      <c r="J150" s="48" t="s">
        <v>1456</v>
      </c>
      <c r="K150" s="28" t="s">
        <v>1627</v>
      </c>
      <c r="L150" s="28"/>
      <c r="N150" s="50" t="s">
        <v>78</v>
      </c>
      <c r="O150" s="50" t="s">
        <v>62</v>
      </c>
      <c r="P150" s="272"/>
      <c r="Q150" s="51"/>
      <c r="S150" s="55">
        <f t="shared" ca="1" si="13"/>
        <v>706</v>
      </c>
      <c r="T150" s="55">
        <f t="shared" ca="1" si="14"/>
        <v>706</v>
      </c>
      <c r="U150" s="56"/>
      <c r="V150" s="124">
        <v>44958</v>
      </c>
      <c r="W150" s="124">
        <v>44958</v>
      </c>
      <c r="X150" s="124">
        <v>44958</v>
      </c>
      <c r="Y150" s="62" t="s">
        <v>52</v>
      </c>
      <c r="AA150" s="54" t="s">
        <v>7</v>
      </c>
      <c r="AB150" s="71"/>
    </row>
    <row r="151" spans="2:28" x14ac:dyDescent="0.35">
      <c r="B151" s="6" cm="1">
        <f t="array" ref="B151">+_xlfn.IFS(C151="Tracking",2,C151="WIP",1,C151="Aborted",3)</f>
        <v>3</v>
      </c>
      <c r="C151" s="67" t="str">
        <f t="shared" si="12"/>
        <v>Aborted</v>
      </c>
      <c r="D151" s="47" t="s">
        <v>1490</v>
      </c>
      <c r="E151" s="28" t="s">
        <v>1628</v>
      </c>
      <c r="F151" s="28" t="s">
        <v>1563</v>
      </c>
      <c r="G151" s="47" t="s">
        <v>712</v>
      </c>
      <c r="H151" s="47" t="s">
        <v>1484</v>
      </c>
      <c r="J151" s="48" t="s">
        <v>1629</v>
      </c>
      <c r="K151" s="28" t="s">
        <v>1630</v>
      </c>
      <c r="L151" s="28" t="s">
        <v>1631</v>
      </c>
      <c r="N151" s="120"/>
      <c r="O151" s="120"/>
      <c r="P151" s="50"/>
      <c r="Q151" s="51"/>
      <c r="S151" s="55">
        <f t="shared" ca="1" si="13"/>
        <v>855</v>
      </c>
      <c r="T151" s="55">
        <f t="shared" ca="1" si="14"/>
        <v>844</v>
      </c>
      <c r="U151" s="56"/>
      <c r="V151" s="124">
        <v>44809</v>
      </c>
      <c r="W151" s="124">
        <v>44809</v>
      </c>
      <c r="X151" s="124">
        <v>44820</v>
      </c>
      <c r="Y151" s="62" t="s">
        <v>52</v>
      </c>
      <c r="AA151" s="54" t="s">
        <v>7</v>
      </c>
      <c r="AB151" s="71"/>
    </row>
    <row r="152" spans="2:28" x14ac:dyDescent="0.35">
      <c r="B152" s="6" cm="1">
        <f t="array" ref="B152">+_xlfn.IFS(C152="Tracking",2,C152="WIP",1,C152="Aborted",3)</f>
        <v>3</v>
      </c>
      <c r="C152" s="67" t="str">
        <f t="shared" si="12"/>
        <v>Aborted</v>
      </c>
      <c r="D152" s="47" t="s">
        <v>1490</v>
      </c>
      <c r="E152" s="28" t="s">
        <v>1632</v>
      </c>
      <c r="F152" s="28" t="s">
        <v>1525</v>
      </c>
      <c r="G152" s="47" t="s">
        <v>1526</v>
      </c>
      <c r="H152" s="47" t="s">
        <v>1484</v>
      </c>
      <c r="J152" s="48" t="s">
        <v>294</v>
      </c>
      <c r="K152" s="28" t="s">
        <v>1633</v>
      </c>
      <c r="L152" s="28" t="s">
        <v>1634</v>
      </c>
      <c r="N152" s="120"/>
      <c r="O152" s="120"/>
      <c r="P152" s="50"/>
      <c r="Q152" s="51"/>
      <c r="S152" s="55">
        <f t="shared" ca="1" si="13"/>
        <v>915</v>
      </c>
      <c r="T152" s="55">
        <f t="shared" ca="1" si="14"/>
        <v>845</v>
      </c>
      <c r="U152" s="56"/>
      <c r="V152" s="124">
        <v>44749</v>
      </c>
      <c r="W152" s="124">
        <v>44749</v>
      </c>
      <c r="X152" s="124">
        <v>44819</v>
      </c>
      <c r="Y152" s="62" t="s">
        <v>52</v>
      </c>
      <c r="AA152" s="54" t="s">
        <v>7</v>
      </c>
      <c r="AB152" s="71"/>
    </row>
    <row r="153" spans="2:28" x14ac:dyDescent="0.35">
      <c r="B153" s="6" cm="1">
        <f t="array" ref="B153">+_xlfn.IFS(C153="Tracking",2,C153="WIP",1,C153="Aborted",3)</f>
        <v>3</v>
      </c>
      <c r="C153" s="67" t="str">
        <f t="shared" si="12"/>
        <v>Aborted</v>
      </c>
      <c r="D153" s="47" t="s">
        <v>1490</v>
      </c>
      <c r="E153" s="28" t="s">
        <v>1635</v>
      </c>
      <c r="F153" s="28" t="s">
        <v>1636</v>
      </c>
      <c r="G153" s="47" t="s">
        <v>1637</v>
      </c>
      <c r="H153" s="47" t="s">
        <v>1484</v>
      </c>
      <c r="J153" s="48" t="s">
        <v>294</v>
      </c>
      <c r="K153" s="28" t="s">
        <v>1638</v>
      </c>
      <c r="L153" s="28" t="s">
        <v>1639</v>
      </c>
      <c r="N153" s="50" t="s">
        <v>62</v>
      </c>
      <c r="O153" s="50" t="s">
        <v>86</v>
      </c>
      <c r="P153" s="50"/>
      <c r="Q153" s="51"/>
      <c r="S153" s="55">
        <f t="shared" ca="1" si="13"/>
        <v>854</v>
      </c>
      <c r="T153" s="55">
        <f t="shared" ca="1" si="14"/>
        <v>854</v>
      </c>
      <c r="U153" s="56"/>
      <c r="V153" s="124">
        <v>44810</v>
      </c>
      <c r="W153" s="124">
        <v>44810</v>
      </c>
      <c r="X153" s="124">
        <v>44810</v>
      </c>
      <c r="Y153" s="62" t="s">
        <v>52</v>
      </c>
      <c r="AA153" s="54" t="s">
        <v>7</v>
      </c>
    </row>
    <row r="154" spans="2:28" x14ac:dyDescent="0.35">
      <c r="B154" s="6" cm="1">
        <f t="array" ref="B154">+_xlfn.IFS(C154="Tracking",2,C154="WIP",1,C154="Aborted",3)</f>
        <v>3</v>
      </c>
      <c r="C154" s="67" t="str">
        <f t="shared" si="12"/>
        <v>Aborted</v>
      </c>
      <c r="D154" s="47" t="s">
        <v>1490</v>
      </c>
      <c r="E154" s="28" t="s">
        <v>1640</v>
      </c>
      <c r="F154" s="28" t="s">
        <v>1594</v>
      </c>
      <c r="G154" s="47" t="s">
        <v>1511</v>
      </c>
      <c r="H154" s="47" t="s">
        <v>1484</v>
      </c>
      <c r="J154" s="48" t="s">
        <v>132</v>
      </c>
      <c r="K154" s="28" t="s">
        <v>1641</v>
      </c>
      <c r="L154" s="28" t="s">
        <v>1642</v>
      </c>
      <c r="N154" s="50" t="s">
        <v>562</v>
      </c>
      <c r="O154" s="50" t="s">
        <v>562</v>
      </c>
      <c r="P154" s="50"/>
      <c r="Q154" s="51"/>
      <c r="S154" s="55">
        <f t="shared" ca="1" si="13"/>
        <v>965</v>
      </c>
      <c r="T154" s="55">
        <f t="shared" ca="1" si="14"/>
        <v>848</v>
      </c>
      <c r="U154" s="56"/>
      <c r="V154" s="124">
        <v>44699</v>
      </c>
      <c r="W154" s="124" t="s">
        <v>65</v>
      </c>
      <c r="X154" s="124">
        <v>44816</v>
      </c>
      <c r="Y154" s="62" t="s">
        <v>52</v>
      </c>
      <c r="AA154" s="54" t="s">
        <v>7</v>
      </c>
    </row>
    <row r="155" spans="2:28" x14ac:dyDescent="0.35">
      <c r="B155" s="6" cm="1">
        <f t="array" ref="B155">+_xlfn.IFS(C155="Tracking",2,C155="WIP",1,C155="Aborted",3)</f>
        <v>3</v>
      </c>
      <c r="C155" s="67" t="str">
        <f t="shared" si="12"/>
        <v>Aborted</v>
      </c>
      <c r="D155" s="47" t="s">
        <v>1490</v>
      </c>
      <c r="E155" s="28" t="s">
        <v>1643</v>
      </c>
      <c r="F155" s="28" t="s">
        <v>1491</v>
      </c>
      <c r="G155" s="47" t="s">
        <v>1483</v>
      </c>
      <c r="H155" s="47" t="s">
        <v>1484</v>
      </c>
      <c r="J155" s="48" t="s">
        <v>1644</v>
      </c>
      <c r="K155" s="28" t="s">
        <v>1645</v>
      </c>
      <c r="L155" s="28"/>
      <c r="N155" s="50" t="s">
        <v>78</v>
      </c>
      <c r="O155" s="120"/>
      <c r="P155" s="50"/>
      <c r="Q155" s="51"/>
      <c r="S155" s="52">
        <f t="shared" ca="1" si="13"/>
        <v>971</v>
      </c>
      <c r="T155" s="55">
        <f t="shared" ca="1" si="14"/>
        <v>952</v>
      </c>
      <c r="U155" s="56"/>
      <c r="V155" s="124">
        <v>44693</v>
      </c>
      <c r="W155" s="124">
        <v>44694</v>
      </c>
      <c r="X155" s="124">
        <v>44712</v>
      </c>
      <c r="Y155" s="62" t="s">
        <v>52</v>
      </c>
      <c r="AA155" s="54" t="s">
        <v>7</v>
      </c>
      <c r="AB155" s="71"/>
    </row>
    <row r="156" spans="2:28" x14ac:dyDescent="0.35">
      <c r="B156" s="6" cm="1">
        <f t="array" ref="B156">+_xlfn.IFS(C156="Tracking",2,C156="WIP",1,C156="Aborted",3)</f>
        <v>3</v>
      </c>
      <c r="C156" s="67" t="str">
        <f t="shared" si="12"/>
        <v>Aborted</v>
      </c>
      <c r="D156" s="47" t="s">
        <v>1490</v>
      </c>
      <c r="E156" s="28" t="s">
        <v>1553</v>
      </c>
      <c r="F156" s="28" t="s">
        <v>1554</v>
      </c>
      <c r="G156" s="47" t="s">
        <v>1555</v>
      </c>
      <c r="H156" s="47" t="s">
        <v>1493</v>
      </c>
      <c r="J156" s="48" t="s">
        <v>294</v>
      </c>
      <c r="K156" s="28" t="s">
        <v>1556</v>
      </c>
      <c r="L156" s="28"/>
      <c r="N156" s="50" t="s">
        <v>78</v>
      </c>
      <c r="O156" s="50" t="s">
        <v>562</v>
      </c>
      <c r="P156" s="50"/>
      <c r="Q156" s="51"/>
      <c r="S156" s="55">
        <f t="shared" ca="1" si="13"/>
        <v>945</v>
      </c>
      <c r="T156" s="55">
        <f t="shared" ca="1" si="14"/>
        <v>847</v>
      </c>
      <c r="U156" s="56"/>
      <c r="V156" s="124">
        <v>44719</v>
      </c>
      <c r="W156" s="124">
        <v>44719</v>
      </c>
      <c r="X156" s="124">
        <v>44817</v>
      </c>
      <c r="Y156" s="62" t="s">
        <v>52</v>
      </c>
      <c r="AA156" s="54" t="s">
        <v>7</v>
      </c>
      <c r="AB156" s="71"/>
    </row>
    <row r="157" spans="2:28" x14ac:dyDescent="0.35">
      <c r="B157" s="6" cm="1">
        <f t="array" ref="B157">+_xlfn.IFS(C157="Tracking",2,C157="WIP",1,C157="Aborted",3)</f>
        <v>3</v>
      </c>
      <c r="C157" s="67" t="str">
        <f t="shared" si="12"/>
        <v>Aborted</v>
      </c>
      <c r="D157" s="47" t="s">
        <v>1490</v>
      </c>
      <c r="E157" s="28" t="s">
        <v>1557</v>
      </c>
      <c r="F157" s="28" t="s">
        <v>1558</v>
      </c>
      <c r="G157" s="47" t="s">
        <v>1559</v>
      </c>
      <c r="H157" s="47" t="s">
        <v>1484</v>
      </c>
      <c r="J157" s="48" t="s">
        <v>111</v>
      </c>
      <c r="K157" s="28" t="s">
        <v>1560</v>
      </c>
      <c r="L157" s="28" t="s">
        <v>1561</v>
      </c>
      <c r="N157" s="50" t="s">
        <v>78</v>
      </c>
      <c r="O157" s="50" t="s">
        <v>562</v>
      </c>
      <c r="P157" s="50"/>
      <c r="Q157" s="51"/>
      <c r="S157" s="52">
        <f t="shared" ca="1" si="13"/>
        <v>1201</v>
      </c>
      <c r="T157" s="55">
        <f t="shared" ca="1" si="14"/>
        <v>847</v>
      </c>
      <c r="U157" s="56"/>
      <c r="V157" s="124">
        <v>44463</v>
      </c>
      <c r="W157" s="124">
        <v>44463</v>
      </c>
      <c r="X157" s="124">
        <v>44817</v>
      </c>
      <c r="Y157" s="62" t="s">
        <v>52</v>
      </c>
      <c r="AA157" s="54" t="s">
        <v>7</v>
      </c>
      <c r="AB157" s="71"/>
    </row>
    <row r="158" spans="2:28" x14ac:dyDescent="0.35">
      <c r="B158" s="6" cm="1">
        <f t="array" ref="B158">+_xlfn.IFS(C158="Tracking",2,C158="WIP",1,C158="Aborted",3)</f>
        <v>3</v>
      </c>
      <c r="C158" s="67" t="str">
        <f t="shared" si="12"/>
        <v>Aborted</v>
      </c>
      <c r="D158" s="47" t="s">
        <v>1490</v>
      </c>
      <c r="E158" s="28" t="s">
        <v>1643</v>
      </c>
      <c r="F158" s="28" t="s">
        <v>1491</v>
      </c>
      <c r="G158" s="47" t="s">
        <v>1483</v>
      </c>
      <c r="H158" s="47" t="s">
        <v>1484</v>
      </c>
      <c r="J158" s="48" t="s">
        <v>1644</v>
      </c>
      <c r="K158" s="28" t="s">
        <v>1645</v>
      </c>
      <c r="L158" s="28"/>
      <c r="N158" s="50" t="s">
        <v>78</v>
      </c>
      <c r="O158" s="120"/>
      <c r="P158" s="50"/>
      <c r="Q158" s="51"/>
      <c r="S158" s="52">
        <f t="shared" ca="1" si="13"/>
        <v>971</v>
      </c>
      <c r="T158" s="55">
        <f t="shared" ca="1" si="14"/>
        <v>847</v>
      </c>
      <c r="U158" s="56"/>
      <c r="V158" s="124">
        <v>44693</v>
      </c>
      <c r="W158" s="124">
        <v>44694</v>
      </c>
      <c r="X158" s="124">
        <v>44817</v>
      </c>
      <c r="Y158" s="62" t="s">
        <v>52</v>
      </c>
      <c r="AA158" s="54" t="s">
        <v>7</v>
      </c>
      <c r="AB158" s="71"/>
    </row>
    <row r="159" spans="2:28" x14ac:dyDescent="0.35">
      <c r="B159" s="6" cm="1">
        <f t="array" ref="B159">+_xlfn.IFS(C159="Tracking",2,C159="WIP",1,C159="Aborted",3)</f>
        <v>3</v>
      </c>
      <c r="C159" s="67" t="str">
        <f t="shared" si="12"/>
        <v>Aborted</v>
      </c>
      <c r="D159" s="47" t="s">
        <v>1490</v>
      </c>
      <c r="E159" s="28" t="s">
        <v>1646</v>
      </c>
      <c r="F159" s="28" t="s">
        <v>1647</v>
      </c>
      <c r="G159" s="47" t="s">
        <v>1648</v>
      </c>
      <c r="H159" s="47" t="s">
        <v>1484</v>
      </c>
      <c r="J159" s="48" t="s">
        <v>1649</v>
      </c>
      <c r="K159" s="28" t="s">
        <v>1650</v>
      </c>
      <c r="L159" s="28" t="s">
        <v>1651</v>
      </c>
      <c r="N159" s="50" t="s">
        <v>86</v>
      </c>
      <c r="O159" s="50"/>
      <c r="P159" s="50"/>
      <c r="Q159" s="51"/>
      <c r="S159" s="55">
        <f t="shared" ca="1" si="13"/>
        <v>965</v>
      </c>
      <c r="T159" s="55">
        <f t="shared" ca="1" si="14"/>
        <v>847</v>
      </c>
      <c r="U159" s="56"/>
      <c r="V159" s="124">
        <v>44699</v>
      </c>
      <c r="W159" s="124">
        <v>44767</v>
      </c>
      <c r="X159" s="124">
        <v>44817</v>
      </c>
      <c r="Y159" s="62" t="s">
        <v>52</v>
      </c>
      <c r="AA159" s="54" t="s">
        <v>7</v>
      </c>
      <c r="AB159" s="71"/>
    </row>
    <row r="160" spans="2:28" x14ac:dyDescent="0.35">
      <c r="B160" s="6" cm="1">
        <f t="array" ref="B160">+_xlfn.IFS(C160="Tracking",2,C160="WIP",1,C160="Aborted",3)</f>
        <v>3</v>
      </c>
      <c r="C160" s="67" t="str">
        <f t="shared" si="12"/>
        <v>Aborted</v>
      </c>
      <c r="D160" s="47" t="s">
        <v>1490</v>
      </c>
      <c r="E160" s="28" t="s">
        <v>1652</v>
      </c>
      <c r="F160" s="28" t="s">
        <v>1491</v>
      </c>
      <c r="G160" s="47" t="s">
        <v>1483</v>
      </c>
      <c r="H160" s="47" t="s">
        <v>1493</v>
      </c>
      <c r="J160" s="48" t="s">
        <v>111</v>
      </c>
      <c r="K160" s="28" t="s">
        <v>1653</v>
      </c>
      <c r="L160" s="28" t="s">
        <v>1654</v>
      </c>
      <c r="N160" s="50" t="s">
        <v>78</v>
      </c>
      <c r="O160" s="50"/>
      <c r="P160" s="50"/>
      <c r="Q160" s="51"/>
      <c r="S160" s="52">
        <f t="shared" ca="1" si="13"/>
        <v>1209</v>
      </c>
      <c r="T160" s="55">
        <f t="shared" ca="1" si="14"/>
        <v>851</v>
      </c>
      <c r="U160" s="65"/>
      <c r="V160" s="124">
        <v>44455</v>
      </c>
      <c r="W160" s="124">
        <v>44455</v>
      </c>
      <c r="X160" s="124">
        <v>44813</v>
      </c>
      <c r="Y160" s="49" t="s">
        <v>52</v>
      </c>
      <c r="AA160" s="54" t="s">
        <v>7</v>
      </c>
    </row>
    <row r="161" spans="2:27" x14ac:dyDescent="0.35">
      <c r="B161" s="6" cm="1">
        <f t="array" ref="B161">+_xlfn.IFS(C161="Tracking",2,C161="WIP",1,C161="Aborted",3)</f>
        <v>3</v>
      </c>
      <c r="C161" s="67" t="str">
        <f t="shared" si="12"/>
        <v>Aborted</v>
      </c>
      <c r="D161" s="47" t="s">
        <v>1490</v>
      </c>
      <c r="E161" s="28" t="s">
        <v>1655</v>
      </c>
      <c r="F161" s="28" t="s">
        <v>1491</v>
      </c>
      <c r="G161" s="47" t="s">
        <v>1483</v>
      </c>
      <c r="H161" s="47" t="s">
        <v>1656</v>
      </c>
      <c r="J161" s="48" t="s">
        <v>69</v>
      </c>
      <c r="K161" s="28" t="s">
        <v>1657</v>
      </c>
      <c r="L161" s="28"/>
      <c r="N161" s="50" t="s">
        <v>78</v>
      </c>
      <c r="O161" s="50" t="s">
        <v>562</v>
      </c>
      <c r="P161" s="50"/>
      <c r="Q161" s="51"/>
      <c r="S161" s="55">
        <f t="shared" ca="1" si="13"/>
        <v>1009</v>
      </c>
      <c r="T161" s="55">
        <f t="shared" ca="1" si="14"/>
        <v>952</v>
      </c>
      <c r="U161" s="56"/>
      <c r="V161" s="124">
        <v>44655</v>
      </c>
      <c r="W161" s="124">
        <v>44732</v>
      </c>
      <c r="X161" s="124">
        <v>44712</v>
      </c>
      <c r="Y161" s="62" t="s">
        <v>52</v>
      </c>
      <c r="AA161" s="54" t="s">
        <v>7</v>
      </c>
    </row>
    <row r="162" spans="2:27" x14ac:dyDescent="0.35">
      <c r="B162" s="6" cm="1">
        <f t="array" ref="B162">+_xlfn.IFS(C162="Tracking",2,C162="WIP",1,C162="Aborted",3)</f>
        <v>3</v>
      </c>
      <c r="C162" s="67" t="str">
        <f t="shared" si="12"/>
        <v>Aborted</v>
      </c>
      <c r="D162" s="47" t="s">
        <v>1490</v>
      </c>
      <c r="E162" s="28" t="s">
        <v>1658</v>
      </c>
      <c r="F162" s="28" t="s">
        <v>1529</v>
      </c>
      <c r="G162" s="47" t="s">
        <v>1603</v>
      </c>
      <c r="H162" s="47" t="s">
        <v>1484</v>
      </c>
      <c r="J162" s="48" t="s">
        <v>1659</v>
      </c>
      <c r="K162" s="28" t="s">
        <v>1660</v>
      </c>
      <c r="L162" s="28" t="s">
        <v>1661</v>
      </c>
      <c r="N162" s="50" t="s">
        <v>86</v>
      </c>
      <c r="O162" s="50"/>
      <c r="P162" s="50"/>
      <c r="Q162" s="51"/>
      <c r="S162" s="55">
        <f t="shared" ca="1" si="13"/>
        <v>965</v>
      </c>
      <c r="T162" s="55">
        <f t="shared" ca="1" si="14"/>
        <v>965</v>
      </c>
      <c r="U162" s="56"/>
      <c r="V162" s="124">
        <v>44699</v>
      </c>
      <c r="W162" s="124" t="s">
        <v>65</v>
      </c>
      <c r="X162" s="124">
        <v>44699</v>
      </c>
      <c r="Y162" s="62" t="s">
        <v>52</v>
      </c>
      <c r="AA162" s="54" t="s">
        <v>7</v>
      </c>
    </row>
    <row r="163" spans="2:27" x14ac:dyDescent="0.35">
      <c r="B163" s="6" cm="1">
        <f t="array" ref="B163">+_xlfn.IFS(C163="Tracking",2,C163="WIP",1,C163="Aborted",3)</f>
        <v>3</v>
      </c>
      <c r="C163" s="67" t="str">
        <f t="shared" si="12"/>
        <v>Aborted</v>
      </c>
      <c r="D163" s="47" t="s">
        <v>1490</v>
      </c>
      <c r="E163" s="28" t="s">
        <v>1662</v>
      </c>
      <c r="F163" s="28" t="s">
        <v>1647</v>
      </c>
      <c r="G163" s="47" t="s">
        <v>1648</v>
      </c>
      <c r="H163" s="47" t="s">
        <v>1484</v>
      </c>
      <c r="J163" s="48" t="s">
        <v>1177</v>
      </c>
      <c r="K163" s="28" t="s">
        <v>1663</v>
      </c>
      <c r="L163" s="28" t="s">
        <v>1664</v>
      </c>
      <c r="N163" s="50" t="s">
        <v>61</v>
      </c>
      <c r="O163" s="120"/>
      <c r="P163" s="50"/>
      <c r="Q163" s="51"/>
      <c r="S163" s="55">
        <f t="shared" ca="1" si="13"/>
        <v>965</v>
      </c>
      <c r="T163" s="55">
        <f t="shared" ca="1" si="14"/>
        <v>965</v>
      </c>
      <c r="U163" s="56"/>
      <c r="V163" s="124">
        <v>44699</v>
      </c>
      <c r="W163" s="124" t="s">
        <v>65</v>
      </c>
      <c r="X163" s="124">
        <v>44699</v>
      </c>
      <c r="Y163" s="62" t="s">
        <v>52</v>
      </c>
      <c r="AA163" s="54" t="s">
        <v>7</v>
      </c>
    </row>
    <row r="164" spans="2:27" x14ac:dyDescent="0.35">
      <c r="B164" s="6" cm="1">
        <f t="array" ref="B164">+_xlfn.IFS(C164="Tracking",2,C164="WIP",1,C164="Aborted",3)</f>
        <v>3</v>
      </c>
      <c r="C164" s="67" t="str">
        <f t="shared" si="12"/>
        <v>Aborted</v>
      </c>
      <c r="D164" s="47" t="s">
        <v>1490</v>
      </c>
      <c r="E164" s="28" t="s">
        <v>1665</v>
      </c>
      <c r="F164" s="28" t="s">
        <v>1636</v>
      </c>
      <c r="G164" s="47" t="s">
        <v>1637</v>
      </c>
      <c r="H164" s="47" t="s">
        <v>1484</v>
      </c>
      <c r="J164" s="48" t="s">
        <v>294</v>
      </c>
      <c r="K164" s="28" t="s">
        <v>1666</v>
      </c>
      <c r="L164" s="28" t="s">
        <v>1667</v>
      </c>
      <c r="N164" s="50" t="s">
        <v>86</v>
      </c>
      <c r="O164" s="50"/>
      <c r="P164" s="50"/>
      <c r="Q164" s="51"/>
      <c r="S164" s="55">
        <f t="shared" ca="1" si="13"/>
        <v>965</v>
      </c>
      <c r="T164" s="55">
        <f t="shared" ca="1" si="14"/>
        <v>965</v>
      </c>
      <c r="U164" s="56"/>
      <c r="V164" s="124">
        <v>44699</v>
      </c>
      <c r="W164" s="124" t="s">
        <v>65</v>
      </c>
      <c r="X164" s="124">
        <v>44699</v>
      </c>
      <c r="Y164" s="62" t="s">
        <v>52</v>
      </c>
      <c r="AA164" s="54" t="s">
        <v>7</v>
      </c>
    </row>
    <row r="165" spans="2:27" x14ac:dyDescent="0.35">
      <c r="B165" s="6" cm="1">
        <f t="array" ref="B165">+_xlfn.IFS(C165="Tracking",2,C165="WIP",1,C165="Aborted",3)</f>
        <v>3</v>
      </c>
      <c r="C165" s="67" t="str">
        <f t="shared" ref="C165:C197" si="15">+Y165</f>
        <v>Aborted</v>
      </c>
      <c r="D165" s="47" t="s">
        <v>1490</v>
      </c>
      <c r="E165" s="28" t="s">
        <v>1668</v>
      </c>
      <c r="F165" s="28" t="s">
        <v>1529</v>
      </c>
      <c r="G165" s="47" t="s">
        <v>1603</v>
      </c>
      <c r="H165" s="47" t="s">
        <v>1493</v>
      </c>
      <c r="J165" s="48" t="s">
        <v>1669</v>
      </c>
      <c r="K165" s="28" t="s">
        <v>1670</v>
      </c>
      <c r="L165" s="28" t="s">
        <v>1671</v>
      </c>
      <c r="N165" s="50" t="s">
        <v>86</v>
      </c>
      <c r="O165" s="50"/>
      <c r="P165" s="50"/>
      <c r="Q165" s="51"/>
      <c r="S165" s="55">
        <f t="shared" ca="1" si="13"/>
        <v>965</v>
      </c>
      <c r="T165" s="55">
        <f t="shared" ca="1" si="14"/>
        <v>965</v>
      </c>
      <c r="U165" s="56"/>
      <c r="V165" s="124">
        <v>44699</v>
      </c>
      <c r="W165" s="124" t="s">
        <v>65</v>
      </c>
      <c r="X165" s="124">
        <v>44699</v>
      </c>
      <c r="Y165" s="62" t="s">
        <v>52</v>
      </c>
      <c r="AA165" s="54" t="s">
        <v>7</v>
      </c>
    </row>
    <row r="166" spans="2:27" x14ac:dyDescent="0.35">
      <c r="B166" s="6" cm="1">
        <f t="array" ref="B166">+_xlfn.IFS(C166="Tracking",2,C166="WIP",1,C166="Aborted",3)</f>
        <v>3</v>
      </c>
      <c r="C166" s="67" t="str">
        <f t="shared" si="15"/>
        <v>Aborted</v>
      </c>
      <c r="D166" s="47" t="s">
        <v>1490</v>
      </c>
      <c r="E166" s="28" t="s">
        <v>1672</v>
      </c>
      <c r="F166" s="28" t="s">
        <v>1529</v>
      </c>
      <c r="G166" s="47" t="s">
        <v>1603</v>
      </c>
      <c r="H166" s="47" t="s">
        <v>1484</v>
      </c>
      <c r="J166" s="48" t="s">
        <v>202</v>
      </c>
      <c r="K166" s="28" t="s">
        <v>1673</v>
      </c>
      <c r="L166" s="28" t="s">
        <v>1674</v>
      </c>
      <c r="N166" s="50" t="s">
        <v>86</v>
      </c>
      <c r="O166" s="50"/>
      <c r="P166" s="50"/>
      <c r="Q166" s="51"/>
      <c r="S166" s="55">
        <f t="shared" ca="1" si="13"/>
        <v>965</v>
      </c>
      <c r="T166" s="55">
        <f t="shared" ca="1" si="14"/>
        <v>965</v>
      </c>
      <c r="U166" s="56"/>
      <c r="V166" s="124">
        <v>44699</v>
      </c>
      <c r="W166" s="124" t="s">
        <v>65</v>
      </c>
      <c r="X166" s="124">
        <v>44699</v>
      </c>
      <c r="Y166" s="62" t="s">
        <v>52</v>
      </c>
      <c r="AA166" s="54" t="s">
        <v>7</v>
      </c>
    </row>
    <row r="167" spans="2:27" x14ac:dyDescent="0.35">
      <c r="B167" s="6" cm="1">
        <f t="array" ref="B167">+_xlfn.IFS(C167="Tracking",2,C167="WIP",1,C167="Aborted",3)</f>
        <v>3</v>
      </c>
      <c r="C167" s="67" t="str">
        <f t="shared" si="15"/>
        <v>Aborted</v>
      </c>
      <c r="D167" s="47" t="s">
        <v>1490</v>
      </c>
      <c r="E167" s="28" t="s">
        <v>1675</v>
      </c>
      <c r="F167" s="28" t="s">
        <v>1529</v>
      </c>
      <c r="G167" s="47" t="s">
        <v>1603</v>
      </c>
      <c r="H167" s="47" t="s">
        <v>1484</v>
      </c>
      <c r="J167" s="48" t="s">
        <v>658</v>
      </c>
      <c r="K167" s="28" t="s">
        <v>1676</v>
      </c>
      <c r="L167" s="28" t="s">
        <v>1677</v>
      </c>
      <c r="N167" s="50" t="s">
        <v>86</v>
      </c>
      <c r="O167" s="50"/>
      <c r="P167" s="50"/>
      <c r="Q167" s="51"/>
      <c r="S167" s="55">
        <f t="shared" ca="1" si="13"/>
        <v>965</v>
      </c>
      <c r="T167" s="55">
        <f t="shared" ca="1" si="14"/>
        <v>965</v>
      </c>
      <c r="U167" s="56"/>
      <c r="V167" s="124">
        <v>44699</v>
      </c>
      <c r="W167" s="124" t="s">
        <v>65</v>
      </c>
      <c r="X167" s="124">
        <v>44699</v>
      </c>
      <c r="Y167" s="62" t="s">
        <v>52</v>
      </c>
      <c r="AA167" s="54" t="s">
        <v>7</v>
      </c>
    </row>
    <row r="168" spans="2:27" x14ac:dyDescent="0.35">
      <c r="B168" s="6" cm="1">
        <f t="array" ref="B168">+_xlfn.IFS(C168="Tracking",2,C168="WIP",1,C168="Aborted",3)</f>
        <v>3</v>
      </c>
      <c r="C168" s="67" t="str">
        <f t="shared" si="15"/>
        <v>Aborted</v>
      </c>
      <c r="D168" s="47" t="s">
        <v>1490</v>
      </c>
      <c r="E168" s="28" t="s">
        <v>1678</v>
      </c>
      <c r="F168" s="28" t="s">
        <v>1679</v>
      </c>
      <c r="G168" s="47" t="s">
        <v>1038</v>
      </c>
      <c r="H168" s="47" t="s">
        <v>1484</v>
      </c>
      <c r="J168" s="48" t="s">
        <v>69</v>
      </c>
      <c r="K168" s="28" t="s">
        <v>1680</v>
      </c>
      <c r="L168" s="28" t="s">
        <v>1681</v>
      </c>
      <c r="N168" s="50" t="s">
        <v>86</v>
      </c>
      <c r="O168" s="50"/>
      <c r="P168" s="50"/>
      <c r="Q168" s="51"/>
      <c r="S168" s="55">
        <f t="shared" ca="1" si="13"/>
        <v>965</v>
      </c>
      <c r="T168" s="55">
        <f t="shared" ca="1" si="14"/>
        <v>965</v>
      </c>
      <c r="U168" s="56"/>
      <c r="V168" s="124">
        <v>44699</v>
      </c>
      <c r="W168" s="124" t="s">
        <v>65</v>
      </c>
      <c r="X168" s="124">
        <v>44699</v>
      </c>
      <c r="Y168" s="62" t="s">
        <v>52</v>
      </c>
      <c r="AA168" s="54" t="s">
        <v>7</v>
      </c>
    </row>
    <row r="169" spans="2:27" x14ac:dyDescent="0.35">
      <c r="B169" s="6" cm="1">
        <f t="array" ref="B169">+_xlfn.IFS(C169="Tracking",2,C169="WIP",1,C169="Aborted",3)</f>
        <v>3</v>
      </c>
      <c r="C169" s="67" t="str">
        <f t="shared" si="15"/>
        <v>Aborted</v>
      </c>
      <c r="D169" s="47" t="s">
        <v>1490</v>
      </c>
      <c r="E169" s="28" t="s">
        <v>1682</v>
      </c>
      <c r="F169" s="28" t="s">
        <v>1491</v>
      </c>
      <c r="G169" s="47" t="s">
        <v>1492</v>
      </c>
      <c r="H169" s="47" t="s">
        <v>1493</v>
      </c>
      <c r="J169" s="48" t="s">
        <v>1649</v>
      </c>
      <c r="K169" s="28" t="s">
        <v>1683</v>
      </c>
      <c r="L169" s="28"/>
      <c r="N169" s="50" t="s">
        <v>86</v>
      </c>
      <c r="O169" s="50"/>
      <c r="P169" s="50"/>
      <c r="Q169" s="51"/>
      <c r="S169" s="55">
        <f t="shared" ca="1" si="13"/>
        <v>965</v>
      </c>
      <c r="T169" s="55">
        <f t="shared" ca="1" si="14"/>
        <v>965</v>
      </c>
      <c r="U169" s="56"/>
      <c r="V169" s="124">
        <v>44699</v>
      </c>
      <c r="W169" s="124" t="s">
        <v>65</v>
      </c>
      <c r="X169" s="124">
        <v>44699</v>
      </c>
      <c r="Y169" s="62" t="s">
        <v>52</v>
      </c>
      <c r="AA169" s="54" t="s">
        <v>7</v>
      </c>
    </row>
    <row r="170" spans="2:27" x14ac:dyDescent="0.35">
      <c r="B170" s="6" cm="1">
        <f t="array" ref="B170">+_xlfn.IFS(C170="Tracking",2,C170="WIP",1,C170="Aborted",3)</f>
        <v>3</v>
      </c>
      <c r="C170" s="67" t="str">
        <f t="shared" si="15"/>
        <v>Aborted</v>
      </c>
      <c r="D170" s="47" t="s">
        <v>1490</v>
      </c>
      <c r="E170" s="28" t="s">
        <v>1684</v>
      </c>
      <c r="F170" s="28" t="s">
        <v>1491</v>
      </c>
      <c r="G170" s="47" t="s">
        <v>712</v>
      </c>
      <c r="H170" s="47" t="s">
        <v>1493</v>
      </c>
      <c r="J170" s="48" t="s">
        <v>1649</v>
      </c>
      <c r="K170" s="28" t="s">
        <v>1685</v>
      </c>
      <c r="L170" s="28"/>
      <c r="N170" s="50" t="s">
        <v>86</v>
      </c>
      <c r="O170" s="50"/>
      <c r="P170" s="50"/>
      <c r="Q170" s="51"/>
      <c r="S170" s="55">
        <f t="shared" ref="S170:S196" ca="1" si="16">+TODAY()-V170</f>
        <v>965</v>
      </c>
      <c r="T170" s="55">
        <f t="shared" ref="T170:T196" ca="1" si="17">+TODAY()-X170</f>
        <v>965</v>
      </c>
      <c r="U170" s="56"/>
      <c r="V170" s="124">
        <v>44699</v>
      </c>
      <c r="W170" s="124" t="s">
        <v>65</v>
      </c>
      <c r="X170" s="124">
        <v>44699</v>
      </c>
      <c r="Y170" s="62" t="s">
        <v>52</v>
      </c>
      <c r="AA170" s="54" t="s">
        <v>7</v>
      </c>
    </row>
    <row r="171" spans="2:27" x14ac:dyDescent="0.35">
      <c r="B171" s="6" cm="1">
        <f t="array" ref="B171">+_xlfn.IFS(C171="Tracking",2,C171="WIP",1,C171="Aborted",3)</f>
        <v>3</v>
      </c>
      <c r="C171" s="67" t="str">
        <f t="shared" si="15"/>
        <v>Aborted</v>
      </c>
      <c r="D171" s="47" t="s">
        <v>1490</v>
      </c>
      <c r="E171" s="28" t="s">
        <v>1686</v>
      </c>
      <c r="F171" s="28" t="s">
        <v>1554</v>
      </c>
      <c r="G171" s="47" t="s">
        <v>1555</v>
      </c>
      <c r="H171" s="47" t="s">
        <v>1493</v>
      </c>
      <c r="J171" s="48" t="s">
        <v>202</v>
      </c>
      <c r="K171" s="28" t="s">
        <v>1687</v>
      </c>
      <c r="L171" s="28"/>
      <c r="N171" s="50" t="s">
        <v>86</v>
      </c>
      <c r="O171" s="50"/>
      <c r="P171" s="50"/>
      <c r="Q171" s="51"/>
      <c r="S171" s="55">
        <f t="shared" ca="1" si="16"/>
        <v>965</v>
      </c>
      <c r="T171" s="55">
        <f t="shared" ca="1" si="17"/>
        <v>965</v>
      </c>
      <c r="U171" s="56"/>
      <c r="V171" s="124">
        <v>44699</v>
      </c>
      <c r="W171" s="124" t="s">
        <v>65</v>
      </c>
      <c r="X171" s="124">
        <v>44699</v>
      </c>
      <c r="Y171" s="62" t="s">
        <v>52</v>
      </c>
      <c r="AA171" s="54" t="s">
        <v>7</v>
      </c>
    </row>
    <row r="172" spans="2:27" x14ac:dyDescent="0.35">
      <c r="B172" s="6" cm="1">
        <f t="array" ref="B172">+_xlfn.IFS(C172="Tracking",2,C172="WIP",1,C172="Aborted",3)</f>
        <v>3</v>
      </c>
      <c r="C172" s="67" t="str">
        <f t="shared" si="15"/>
        <v>Aborted</v>
      </c>
      <c r="D172" s="47" t="s">
        <v>1490</v>
      </c>
      <c r="E172" s="28" t="s">
        <v>1688</v>
      </c>
      <c r="F172" s="28" t="s">
        <v>1689</v>
      </c>
      <c r="G172" s="47" t="s">
        <v>1690</v>
      </c>
      <c r="H172" s="47" t="s">
        <v>1493</v>
      </c>
      <c r="J172" s="48" t="s">
        <v>1659</v>
      </c>
      <c r="K172" s="28" t="s">
        <v>1691</v>
      </c>
      <c r="L172" s="28" t="s">
        <v>1692</v>
      </c>
      <c r="N172" s="50" t="s">
        <v>86</v>
      </c>
      <c r="O172" s="50"/>
      <c r="P172" s="50"/>
      <c r="Q172" s="51"/>
      <c r="S172" s="55">
        <f t="shared" ca="1" si="16"/>
        <v>965</v>
      </c>
      <c r="T172" s="55">
        <f t="shared" ca="1" si="17"/>
        <v>965</v>
      </c>
      <c r="U172" s="56"/>
      <c r="V172" s="124">
        <v>44699</v>
      </c>
      <c r="W172" s="124" t="s">
        <v>65</v>
      </c>
      <c r="X172" s="124">
        <v>44699</v>
      </c>
      <c r="Y172" s="62" t="s">
        <v>52</v>
      </c>
      <c r="AA172" s="54" t="s">
        <v>7</v>
      </c>
    </row>
    <row r="173" spans="2:27" x14ac:dyDescent="0.35">
      <c r="B173" s="6" cm="1">
        <f t="array" ref="B173">+_xlfn.IFS(C173="Tracking",2,C173="WIP",1,C173="Aborted",3)</f>
        <v>3</v>
      </c>
      <c r="C173" s="67" t="str">
        <f t="shared" si="15"/>
        <v>Aborted</v>
      </c>
      <c r="D173" s="47" t="s">
        <v>1490</v>
      </c>
      <c r="E173" s="28" t="s">
        <v>1693</v>
      </c>
      <c r="F173" s="28" t="s">
        <v>1679</v>
      </c>
      <c r="G173" s="47" t="s">
        <v>1038</v>
      </c>
      <c r="H173" s="47" t="s">
        <v>1484</v>
      </c>
      <c r="J173" s="48" t="s">
        <v>111</v>
      </c>
      <c r="K173" s="28" t="s">
        <v>1694</v>
      </c>
      <c r="L173" s="28" t="s">
        <v>1695</v>
      </c>
      <c r="N173" s="50" t="s">
        <v>86</v>
      </c>
      <c r="O173" s="50"/>
      <c r="P173" s="50"/>
      <c r="Q173" s="51"/>
      <c r="S173" s="55">
        <f t="shared" ca="1" si="16"/>
        <v>965</v>
      </c>
      <c r="T173" s="55">
        <f t="shared" ca="1" si="17"/>
        <v>965</v>
      </c>
      <c r="U173" s="56"/>
      <c r="V173" s="124">
        <v>44699</v>
      </c>
      <c r="W173" s="124" t="s">
        <v>65</v>
      </c>
      <c r="X173" s="124">
        <v>44699</v>
      </c>
      <c r="Y173" s="62" t="s">
        <v>52</v>
      </c>
      <c r="AA173" s="54" t="s">
        <v>7</v>
      </c>
    </row>
    <row r="174" spans="2:27" x14ac:dyDescent="0.35">
      <c r="B174" s="6" cm="1">
        <f t="array" ref="B174">+_xlfn.IFS(C174="Tracking",2,C174="WIP",1,C174="Aborted",3)</f>
        <v>3</v>
      </c>
      <c r="C174" s="67" t="str">
        <f t="shared" si="15"/>
        <v>Aborted</v>
      </c>
      <c r="D174" s="47" t="s">
        <v>1490</v>
      </c>
      <c r="E174" s="28" t="s">
        <v>1696</v>
      </c>
      <c r="F174" s="28" t="s">
        <v>1679</v>
      </c>
      <c r="G174" s="47" t="s">
        <v>1038</v>
      </c>
      <c r="H174" s="47" t="s">
        <v>1484</v>
      </c>
      <c r="J174" s="48" t="s">
        <v>111</v>
      </c>
      <c r="K174" s="28" t="s">
        <v>1697</v>
      </c>
      <c r="L174" s="28" t="s">
        <v>1698</v>
      </c>
      <c r="N174" s="50" t="s">
        <v>86</v>
      </c>
      <c r="O174" s="50"/>
      <c r="P174" s="50"/>
      <c r="Q174" s="51"/>
      <c r="S174" s="55">
        <f t="shared" ca="1" si="16"/>
        <v>965</v>
      </c>
      <c r="T174" s="55">
        <f t="shared" ca="1" si="17"/>
        <v>965</v>
      </c>
      <c r="U174" s="56"/>
      <c r="V174" s="124">
        <v>44699</v>
      </c>
      <c r="W174" s="124" t="s">
        <v>65</v>
      </c>
      <c r="X174" s="124">
        <v>44699</v>
      </c>
      <c r="Y174" s="62" t="s">
        <v>52</v>
      </c>
      <c r="AA174" s="54" t="s">
        <v>7</v>
      </c>
    </row>
    <row r="175" spans="2:27" x14ac:dyDescent="0.35">
      <c r="B175" s="6" cm="1">
        <f t="array" ref="B175">+_xlfn.IFS(C175="Tracking",2,C175="WIP",1,C175="Aborted",3)</f>
        <v>3</v>
      </c>
      <c r="C175" s="67" t="str">
        <f t="shared" si="15"/>
        <v>Aborted</v>
      </c>
      <c r="D175" s="47" t="s">
        <v>1490</v>
      </c>
      <c r="E175" s="28" t="s">
        <v>1699</v>
      </c>
      <c r="F175" s="28" t="s">
        <v>1491</v>
      </c>
      <c r="G175" s="47" t="s">
        <v>1700</v>
      </c>
      <c r="H175" s="47" t="s">
        <v>1484</v>
      </c>
      <c r="J175" s="48" t="s">
        <v>658</v>
      </c>
      <c r="K175" s="28" t="s">
        <v>1701</v>
      </c>
      <c r="L175" s="28"/>
      <c r="N175" s="50" t="s">
        <v>86</v>
      </c>
      <c r="O175" s="50"/>
      <c r="P175" s="50"/>
      <c r="Q175" s="51"/>
      <c r="S175" s="55">
        <f t="shared" ca="1" si="16"/>
        <v>965</v>
      </c>
      <c r="T175" s="55">
        <f t="shared" ca="1" si="17"/>
        <v>965</v>
      </c>
      <c r="U175" s="56"/>
      <c r="V175" s="124">
        <v>44699</v>
      </c>
      <c r="W175" s="124" t="s">
        <v>65</v>
      </c>
      <c r="X175" s="124">
        <v>44699</v>
      </c>
      <c r="Y175" s="62" t="s">
        <v>52</v>
      </c>
      <c r="AA175" s="54" t="s">
        <v>7</v>
      </c>
    </row>
    <row r="176" spans="2:27" x14ac:dyDescent="0.35">
      <c r="B176" s="6" cm="1">
        <f t="array" ref="B176">+_xlfn.IFS(C176="Tracking",2,C176="WIP",1,C176="Aborted",3)</f>
        <v>3</v>
      </c>
      <c r="C176" s="67" t="str">
        <f t="shared" si="15"/>
        <v>Aborted</v>
      </c>
      <c r="D176" s="47" t="s">
        <v>1490</v>
      </c>
      <c r="E176" s="28" t="s">
        <v>1702</v>
      </c>
      <c r="F176" s="28" t="s">
        <v>1491</v>
      </c>
      <c r="G176" s="47" t="s">
        <v>1492</v>
      </c>
      <c r="H176" s="47" t="s">
        <v>796</v>
      </c>
      <c r="J176" s="48" t="s">
        <v>1649</v>
      </c>
      <c r="K176" s="28" t="s">
        <v>1703</v>
      </c>
      <c r="L176" s="28" t="s">
        <v>1704</v>
      </c>
      <c r="N176" s="50" t="s">
        <v>86</v>
      </c>
      <c r="O176" s="50"/>
      <c r="P176" s="50"/>
      <c r="Q176" s="51"/>
      <c r="S176" s="55">
        <f t="shared" ca="1" si="16"/>
        <v>965</v>
      </c>
      <c r="T176" s="55">
        <f t="shared" ca="1" si="17"/>
        <v>965</v>
      </c>
      <c r="U176" s="56"/>
      <c r="V176" s="124">
        <v>44699</v>
      </c>
      <c r="W176" s="124" t="s">
        <v>65</v>
      </c>
      <c r="X176" s="124">
        <v>44699</v>
      </c>
      <c r="Y176" s="62" t="s">
        <v>52</v>
      </c>
      <c r="AA176" s="54" t="s">
        <v>7</v>
      </c>
    </row>
    <row r="177" spans="2:27" x14ac:dyDescent="0.35">
      <c r="B177" s="6" cm="1">
        <f t="array" ref="B177">+_xlfn.IFS(C177="Tracking",2,C177="WIP",1,C177="Aborted",3)</f>
        <v>3</v>
      </c>
      <c r="C177" s="67" t="str">
        <f t="shared" si="15"/>
        <v>Aborted</v>
      </c>
      <c r="D177" s="47" t="s">
        <v>1490</v>
      </c>
      <c r="E177" s="28" t="s">
        <v>1705</v>
      </c>
      <c r="F177" s="28" t="s">
        <v>1491</v>
      </c>
      <c r="G177" s="47" t="s">
        <v>1706</v>
      </c>
      <c r="H177" s="47" t="s">
        <v>796</v>
      </c>
      <c r="J177" s="48" t="s">
        <v>1707</v>
      </c>
      <c r="K177" s="28" t="s">
        <v>1708</v>
      </c>
      <c r="L177" s="28" t="s">
        <v>1709</v>
      </c>
      <c r="N177" s="50" t="s">
        <v>86</v>
      </c>
      <c r="O177" s="50"/>
      <c r="P177" s="50"/>
      <c r="Q177" s="51"/>
      <c r="S177" s="55">
        <f t="shared" ca="1" si="16"/>
        <v>965</v>
      </c>
      <c r="T177" s="55">
        <f t="shared" ca="1" si="17"/>
        <v>965</v>
      </c>
      <c r="U177" s="56"/>
      <c r="V177" s="124">
        <v>44699</v>
      </c>
      <c r="W177" s="124" t="s">
        <v>65</v>
      </c>
      <c r="X177" s="124">
        <v>44699</v>
      </c>
      <c r="Y177" s="62" t="s">
        <v>52</v>
      </c>
      <c r="AA177" s="54" t="s">
        <v>7</v>
      </c>
    </row>
    <row r="178" spans="2:27" x14ac:dyDescent="0.35">
      <c r="B178" s="6" cm="1">
        <f t="array" ref="B178">+_xlfn.IFS(C178="Tracking",2,C178="WIP",1,C178="Aborted",3)</f>
        <v>3</v>
      </c>
      <c r="C178" s="67" t="str">
        <f t="shared" si="15"/>
        <v>Aborted</v>
      </c>
      <c r="D178" s="47" t="s">
        <v>1490</v>
      </c>
      <c r="E178" s="28" t="s">
        <v>1710</v>
      </c>
      <c r="F178" s="28" t="s">
        <v>1491</v>
      </c>
      <c r="G178" s="47" t="s">
        <v>1711</v>
      </c>
      <c r="H178" s="47" t="s">
        <v>796</v>
      </c>
      <c r="J178" s="48" t="s">
        <v>1712</v>
      </c>
      <c r="K178" s="28" t="s">
        <v>1713</v>
      </c>
      <c r="L178" s="28" t="s">
        <v>1714</v>
      </c>
      <c r="N178" s="50" t="s">
        <v>86</v>
      </c>
      <c r="O178" s="50"/>
      <c r="P178" s="50"/>
      <c r="Q178" s="51"/>
      <c r="S178" s="55">
        <f t="shared" ca="1" si="16"/>
        <v>965</v>
      </c>
      <c r="T178" s="55">
        <f t="shared" ca="1" si="17"/>
        <v>965</v>
      </c>
      <c r="U178" s="56"/>
      <c r="V178" s="124">
        <v>44699</v>
      </c>
      <c r="W178" s="124" t="s">
        <v>65</v>
      </c>
      <c r="X178" s="124">
        <v>44699</v>
      </c>
      <c r="Y178" s="62" t="s">
        <v>52</v>
      </c>
      <c r="AA178" s="54" t="s">
        <v>7</v>
      </c>
    </row>
    <row r="179" spans="2:27" x14ac:dyDescent="0.35">
      <c r="B179" s="6" cm="1">
        <f t="array" ref="B179">+_xlfn.IFS(C179="Tracking",2,C179="WIP",1,C179="Aborted",3)</f>
        <v>3</v>
      </c>
      <c r="C179" s="67" t="str">
        <f t="shared" si="15"/>
        <v>Aborted</v>
      </c>
      <c r="D179" s="47" t="s">
        <v>1490</v>
      </c>
      <c r="E179" s="28" t="s">
        <v>1715</v>
      </c>
      <c r="F179" s="28" t="s">
        <v>1491</v>
      </c>
      <c r="G179" s="47" t="s">
        <v>65</v>
      </c>
      <c r="H179" s="47" t="s">
        <v>796</v>
      </c>
      <c r="J179" s="48" t="s">
        <v>1649</v>
      </c>
      <c r="K179" s="28" t="s">
        <v>1716</v>
      </c>
      <c r="L179" s="28" t="s">
        <v>1717</v>
      </c>
      <c r="N179" s="50" t="s">
        <v>86</v>
      </c>
      <c r="O179" s="50"/>
      <c r="P179" s="50"/>
      <c r="Q179" s="51"/>
      <c r="S179" s="55">
        <f t="shared" ca="1" si="16"/>
        <v>965</v>
      </c>
      <c r="T179" s="55">
        <f t="shared" ca="1" si="17"/>
        <v>965</v>
      </c>
      <c r="U179" s="56"/>
      <c r="V179" s="124">
        <v>44699</v>
      </c>
      <c r="W179" s="124" t="s">
        <v>65</v>
      </c>
      <c r="X179" s="124">
        <v>44699</v>
      </c>
      <c r="Y179" s="62" t="s">
        <v>52</v>
      </c>
      <c r="AA179" s="54" t="s">
        <v>7</v>
      </c>
    </row>
    <row r="180" spans="2:27" x14ac:dyDescent="0.35">
      <c r="B180" s="6" cm="1">
        <f t="array" ref="B180">+_xlfn.IFS(C180="Tracking",2,C180="WIP",1,C180="Aborted",3)</f>
        <v>3</v>
      </c>
      <c r="C180" s="67" t="str">
        <f t="shared" si="15"/>
        <v>Aborted</v>
      </c>
      <c r="D180" s="47" t="s">
        <v>1490</v>
      </c>
      <c r="E180" s="28" t="s">
        <v>1718</v>
      </c>
      <c r="F180" s="28" t="s">
        <v>1491</v>
      </c>
      <c r="G180" s="47" t="s">
        <v>1706</v>
      </c>
      <c r="H180" s="47" t="s">
        <v>796</v>
      </c>
      <c r="J180" s="48" t="s">
        <v>83</v>
      </c>
      <c r="K180" s="28" t="s">
        <v>1719</v>
      </c>
      <c r="L180" s="28" t="s">
        <v>544</v>
      </c>
      <c r="N180" s="50" t="s">
        <v>86</v>
      </c>
      <c r="O180" s="50"/>
      <c r="P180" s="50"/>
      <c r="Q180" s="51"/>
      <c r="S180" s="55">
        <f t="shared" ca="1" si="16"/>
        <v>965</v>
      </c>
      <c r="T180" s="55">
        <f t="shared" ca="1" si="17"/>
        <v>965</v>
      </c>
      <c r="U180" s="56"/>
      <c r="V180" s="124">
        <v>44699</v>
      </c>
      <c r="W180" s="124" t="s">
        <v>65</v>
      </c>
      <c r="X180" s="124">
        <v>44699</v>
      </c>
      <c r="Y180" s="62" t="s">
        <v>52</v>
      </c>
      <c r="AA180" s="54" t="s">
        <v>7</v>
      </c>
    </row>
    <row r="181" spans="2:27" x14ac:dyDescent="0.35">
      <c r="B181" s="6" cm="1">
        <f t="array" ref="B181">+_xlfn.IFS(C181="Tracking",2,C181="WIP",1,C181="Aborted",3)</f>
        <v>3</v>
      </c>
      <c r="C181" s="67" t="str">
        <f t="shared" si="15"/>
        <v>Aborted</v>
      </c>
      <c r="D181" s="47" t="s">
        <v>1490</v>
      </c>
      <c r="E181" s="28" t="s">
        <v>1720</v>
      </c>
      <c r="F181" s="28" t="s">
        <v>1491</v>
      </c>
      <c r="G181" s="47" t="s">
        <v>1492</v>
      </c>
      <c r="H181" s="47" t="s">
        <v>1493</v>
      </c>
      <c r="J181" s="48" t="s">
        <v>111</v>
      </c>
      <c r="K181" s="28" t="s">
        <v>1721</v>
      </c>
      <c r="L181" s="28"/>
      <c r="N181" s="50" t="s">
        <v>86</v>
      </c>
      <c r="O181" s="50"/>
      <c r="P181" s="50"/>
      <c r="Q181" s="51"/>
      <c r="S181" s="55">
        <f t="shared" ca="1" si="16"/>
        <v>965</v>
      </c>
      <c r="T181" s="55">
        <f t="shared" ca="1" si="17"/>
        <v>965</v>
      </c>
      <c r="U181" s="56"/>
      <c r="V181" s="124">
        <v>44699</v>
      </c>
      <c r="W181" s="124" t="s">
        <v>65</v>
      </c>
      <c r="X181" s="124">
        <v>44699</v>
      </c>
      <c r="Y181" s="62" t="s">
        <v>52</v>
      </c>
      <c r="AA181" s="54" t="s">
        <v>7</v>
      </c>
    </row>
    <row r="182" spans="2:27" x14ac:dyDescent="0.35">
      <c r="B182" s="6" cm="1">
        <f t="array" ref="B182">+_xlfn.IFS(C182="Tracking",2,C182="WIP",1,C182="Aborted",3)</f>
        <v>3</v>
      </c>
      <c r="C182" s="67" t="str">
        <f t="shared" si="15"/>
        <v>Aborted</v>
      </c>
      <c r="D182" s="47" t="s">
        <v>1490</v>
      </c>
      <c r="E182" s="28" t="s">
        <v>1722</v>
      </c>
      <c r="F182" s="28" t="s">
        <v>1491</v>
      </c>
      <c r="G182" s="47" t="s">
        <v>1492</v>
      </c>
      <c r="H182" s="47" t="s">
        <v>1493</v>
      </c>
      <c r="J182" s="48" t="s">
        <v>658</v>
      </c>
      <c r="K182" s="28" t="s">
        <v>1723</v>
      </c>
      <c r="L182" s="28" t="s">
        <v>1724</v>
      </c>
      <c r="N182" s="50" t="s">
        <v>86</v>
      </c>
      <c r="O182" s="50"/>
      <c r="P182" s="50"/>
      <c r="Q182" s="51"/>
      <c r="S182" s="55">
        <f t="shared" ca="1" si="16"/>
        <v>965</v>
      </c>
      <c r="T182" s="55">
        <f t="shared" ca="1" si="17"/>
        <v>965</v>
      </c>
      <c r="U182" s="56"/>
      <c r="V182" s="124">
        <v>44699</v>
      </c>
      <c r="W182" s="124" t="s">
        <v>65</v>
      </c>
      <c r="X182" s="124">
        <v>44699</v>
      </c>
      <c r="Y182" s="62" t="s">
        <v>52</v>
      </c>
      <c r="AA182" s="54" t="s">
        <v>7</v>
      </c>
    </row>
    <row r="183" spans="2:27" x14ac:dyDescent="0.35">
      <c r="B183" s="6" cm="1">
        <f t="array" ref="B183">+_xlfn.IFS(C183="Tracking",2,C183="WIP",1,C183="Aborted",3)</f>
        <v>3</v>
      </c>
      <c r="C183" s="67" t="str">
        <f t="shared" si="15"/>
        <v>Aborted</v>
      </c>
      <c r="D183" s="47" t="s">
        <v>1490</v>
      </c>
      <c r="E183" s="28" t="s">
        <v>1725</v>
      </c>
      <c r="F183" s="28" t="s">
        <v>1647</v>
      </c>
      <c r="G183" s="47" t="s">
        <v>1648</v>
      </c>
      <c r="H183" s="47" t="s">
        <v>796</v>
      </c>
      <c r="J183" s="48" t="s">
        <v>1649</v>
      </c>
      <c r="K183" s="28" t="s">
        <v>1726</v>
      </c>
      <c r="L183" s="28" t="s">
        <v>1727</v>
      </c>
      <c r="N183" s="50" t="s">
        <v>86</v>
      </c>
      <c r="O183" s="50"/>
      <c r="P183" s="50"/>
      <c r="Q183" s="51"/>
      <c r="S183" s="55">
        <f t="shared" ca="1" si="16"/>
        <v>965</v>
      </c>
      <c r="T183" s="55">
        <f t="shared" ca="1" si="17"/>
        <v>965</v>
      </c>
      <c r="U183" s="56"/>
      <c r="V183" s="124">
        <v>44699</v>
      </c>
      <c r="W183" s="124" t="s">
        <v>65</v>
      </c>
      <c r="X183" s="124">
        <v>44699</v>
      </c>
      <c r="Y183" s="62" t="s">
        <v>52</v>
      </c>
      <c r="AA183" s="54" t="s">
        <v>7</v>
      </c>
    </row>
    <row r="184" spans="2:27" x14ac:dyDescent="0.35">
      <c r="B184" s="6" cm="1">
        <f t="array" ref="B184">+_xlfn.IFS(C184="Tracking",2,C184="WIP",1,C184="Aborted",3)</f>
        <v>3</v>
      </c>
      <c r="C184" s="67" t="str">
        <f t="shared" si="15"/>
        <v>Aborted</v>
      </c>
      <c r="D184" s="47" t="s">
        <v>1490</v>
      </c>
      <c r="E184" s="28" t="s">
        <v>1728</v>
      </c>
      <c r="F184" s="28" t="s">
        <v>1647</v>
      </c>
      <c r="G184" s="47" t="s">
        <v>1648</v>
      </c>
      <c r="H184" s="47" t="s">
        <v>1484</v>
      </c>
      <c r="J184" s="48" t="s">
        <v>1659</v>
      </c>
      <c r="K184" s="28" t="s">
        <v>1729</v>
      </c>
      <c r="L184" s="28" t="s">
        <v>1730</v>
      </c>
      <c r="N184" s="50" t="s">
        <v>86</v>
      </c>
      <c r="O184" s="50"/>
      <c r="P184" s="50"/>
      <c r="Q184" s="51"/>
      <c r="S184" s="55">
        <f t="shared" ca="1" si="16"/>
        <v>965</v>
      </c>
      <c r="T184" s="55">
        <f t="shared" ca="1" si="17"/>
        <v>965</v>
      </c>
      <c r="U184" s="56"/>
      <c r="V184" s="124">
        <v>44699</v>
      </c>
      <c r="W184" s="124" t="s">
        <v>65</v>
      </c>
      <c r="X184" s="124">
        <v>44699</v>
      </c>
      <c r="Y184" s="62" t="s">
        <v>52</v>
      </c>
      <c r="AA184" s="54" t="s">
        <v>7</v>
      </c>
    </row>
    <row r="185" spans="2:27" x14ac:dyDescent="0.35">
      <c r="B185" s="6" cm="1">
        <f t="array" ref="B185">+_xlfn.IFS(C185="Tracking",2,C185="WIP",1,C185="Aborted",3)</f>
        <v>3</v>
      </c>
      <c r="C185" s="67" t="str">
        <f t="shared" si="15"/>
        <v>Aborted</v>
      </c>
      <c r="D185" s="47" t="s">
        <v>1490</v>
      </c>
      <c r="E185" s="28" t="s">
        <v>1731</v>
      </c>
      <c r="F185" s="28" t="s">
        <v>1689</v>
      </c>
      <c r="G185" s="47" t="s">
        <v>1690</v>
      </c>
      <c r="H185" s="47" t="s">
        <v>1484</v>
      </c>
      <c r="J185" s="48" t="s">
        <v>83</v>
      </c>
      <c r="K185" s="28" t="s">
        <v>1732</v>
      </c>
      <c r="L185" s="28" t="s">
        <v>1733</v>
      </c>
      <c r="N185" s="50" t="s">
        <v>86</v>
      </c>
      <c r="O185" s="50"/>
      <c r="P185" s="50"/>
      <c r="Q185" s="51"/>
      <c r="S185" s="55">
        <f t="shared" ca="1" si="16"/>
        <v>965</v>
      </c>
      <c r="T185" s="55">
        <f t="shared" ca="1" si="17"/>
        <v>965</v>
      </c>
      <c r="U185" s="56"/>
      <c r="V185" s="124">
        <v>44699</v>
      </c>
      <c r="W185" s="124" t="s">
        <v>65</v>
      </c>
      <c r="X185" s="124">
        <v>44699</v>
      </c>
      <c r="Y185" s="62" t="s">
        <v>52</v>
      </c>
      <c r="AA185" s="54" t="s">
        <v>7</v>
      </c>
    </row>
    <row r="186" spans="2:27" x14ac:dyDescent="0.35">
      <c r="B186" s="6" cm="1">
        <f t="array" ref="B186">+_xlfn.IFS(C186="Tracking",2,C186="WIP",1,C186="Aborted",3)</f>
        <v>3</v>
      </c>
      <c r="C186" s="67" t="str">
        <f t="shared" si="15"/>
        <v>Aborted</v>
      </c>
      <c r="D186" s="47" t="s">
        <v>1490</v>
      </c>
      <c r="E186" s="28" t="s">
        <v>1734</v>
      </c>
      <c r="F186" s="28" t="s">
        <v>1689</v>
      </c>
      <c r="G186" s="47" t="s">
        <v>1690</v>
      </c>
      <c r="H186" s="47" t="s">
        <v>1484</v>
      </c>
      <c r="J186" s="48" t="s">
        <v>681</v>
      </c>
      <c r="K186" s="28" t="s">
        <v>1735</v>
      </c>
      <c r="L186" s="28" t="s">
        <v>1736</v>
      </c>
      <c r="N186" s="50" t="s">
        <v>86</v>
      </c>
      <c r="O186" s="50"/>
      <c r="P186" s="50"/>
      <c r="Q186" s="51"/>
      <c r="S186" s="55">
        <f t="shared" ca="1" si="16"/>
        <v>965</v>
      </c>
      <c r="T186" s="55">
        <f t="shared" ca="1" si="17"/>
        <v>965</v>
      </c>
      <c r="U186" s="56"/>
      <c r="V186" s="124">
        <v>44699</v>
      </c>
      <c r="W186" s="124" t="s">
        <v>65</v>
      </c>
      <c r="X186" s="124">
        <v>44699</v>
      </c>
      <c r="Y186" s="62" t="s">
        <v>52</v>
      </c>
      <c r="AA186" s="54" t="s">
        <v>7</v>
      </c>
    </row>
    <row r="187" spans="2:27" x14ac:dyDescent="0.35">
      <c r="B187" s="6" cm="1">
        <f t="array" ref="B187">+_xlfn.IFS(C187="Tracking",2,C187="WIP",1,C187="Aborted",3)</f>
        <v>3</v>
      </c>
      <c r="C187" s="67" t="str">
        <f t="shared" si="15"/>
        <v>Aborted</v>
      </c>
      <c r="D187" s="47" t="s">
        <v>1490</v>
      </c>
      <c r="E187" s="28" t="s">
        <v>1737</v>
      </c>
      <c r="F187" s="28" t="s">
        <v>1594</v>
      </c>
      <c r="G187" s="47" t="s">
        <v>1511</v>
      </c>
      <c r="H187" s="47" t="s">
        <v>1484</v>
      </c>
      <c r="J187" s="48" t="s">
        <v>1738</v>
      </c>
      <c r="K187" s="28" t="s">
        <v>1739</v>
      </c>
      <c r="L187" s="28" t="s">
        <v>1740</v>
      </c>
      <c r="N187" s="50" t="s">
        <v>86</v>
      </c>
      <c r="O187" s="50"/>
      <c r="P187" s="50"/>
      <c r="Q187" s="51"/>
      <c r="S187" s="55">
        <f t="shared" ca="1" si="16"/>
        <v>965</v>
      </c>
      <c r="T187" s="55">
        <f t="shared" ca="1" si="17"/>
        <v>965</v>
      </c>
      <c r="U187" s="56"/>
      <c r="V187" s="124">
        <v>44699</v>
      </c>
      <c r="W187" s="124" t="s">
        <v>65</v>
      </c>
      <c r="X187" s="124">
        <v>44699</v>
      </c>
      <c r="Y187" s="62" t="s">
        <v>52</v>
      </c>
      <c r="AA187" s="54" t="s">
        <v>7</v>
      </c>
    </row>
    <row r="188" spans="2:27" x14ac:dyDescent="0.35">
      <c r="B188" s="6" cm="1">
        <f t="array" ref="B188">+_xlfn.IFS(C188="Tracking",2,C188="WIP",1,C188="Aborted",3)</f>
        <v>3</v>
      </c>
      <c r="C188" s="67" t="str">
        <f t="shared" si="15"/>
        <v>Aborted</v>
      </c>
      <c r="D188" s="47" t="s">
        <v>1490</v>
      </c>
      <c r="E188" s="28" t="s">
        <v>1741</v>
      </c>
      <c r="F188" s="28" t="s">
        <v>1742</v>
      </c>
      <c r="G188" s="47" t="s">
        <v>91</v>
      </c>
      <c r="H188" s="47" t="s">
        <v>1484</v>
      </c>
      <c r="J188" s="48" t="s">
        <v>1629</v>
      </c>
      <c r="K188" s="48" t="s">
        <v>1743</v>
      </c>
      <c r="L188" s="48"/>
      <c r="N188" s="50" t="s">
        <v>61</v>
      </c>
      <c r="O188" s="50"/>
      <c r="P188" s="50"/>
      <c r="Q188" s="51"/>
      <c r="S188" s="55">
        <f t="shared" ca="1" si="16"/>
        <v>1210</v>
      </c>
      <c r="T188" s="55">
        <f t="shared" ca="1" si="17"/>
        <v>1210</v>
      </c>
      <c r="U188" s="36"/>
      <c r="V188" s="124">
        <v>44454</v>
      </c>
      <c r="W188" s="124">
        <v>44454</v>
      </c>
      <c r="X188" s="124">
        <v>44454</v>
      </c>
      <c r="Y188" s="49" t="s">
        <v>52</v>
      </c>
      <c r="AA188" s="54" t="s">
        <v>7</v>
      </c>
    </row>
    <row r="189" spans="2:27" x14ac:dyDescent="0.35">
      <c r="B189" s="6" cm="1">
        <f t="array" ref="B189">+_xlfn.IFS(C189="Tracking",2,C189="WIP",1,C189="Aborted",3)</f>
        <v>3</v>
      </c>
      <c r="C189" s="67" t="str">
        <f t="shared" si="15"/>
        <v>Aborted</v>
      </c>
      <c r="D189" s="47" t="s">
        <v>1490</v>
      </c>
      <c r="E189" s="46" t="s">
        <v>1744</v>
      </c>
      <c r="F189" s="28" t="s">
        <v>1491</v>
      </c>
      <c r="G189" s="47" t="s">
        <v>91</v>
      </c>
      <c r="H189" s="47" t="s">
        <v>1493</v>
      </c>
      <c r="J189" s="48" t="s">
        <v>1010</v>
      </c>
      <c r="K189" s="48" t="s">
        <v>1745</v>
      </c>
      <c r="L189" s="48" t="s">
        <v>1746</v>
      </c>
      <c r="N189" s="50" t="s">
        <v>78</v>
      </c>
      <c r="O189" s="50"/>
      <c r="P189" s="50"/>
      <c r="Q189" s="51"/>
      <c r="S189" s="52">
        <f t="shared" ca="1" si="16"/>
        <v>1271</v>
      </c>
      <c r="T189" s="55">
        <f t="shared" ca="1" si="17"/>
        <v>1271</v>
      </c>
      <c r="U189" s="36"/>
      <c r="V189" s="124">
        <v>44393</v>
      </c>
      <c r="W189" s="124">
        <v>44393</v>
      </c>
      <c r="X189" s="124">
        <v>44393</v>
      </c>
      <c r="Y189" s="49" t="s">
        <v>52</v>
      </c>
      <c r="AA189" s="54" t="s">
        <v>7</v>
      </c>
    </row>
    <row r="190" spans="2:27" x14ac:dyDescent="0.35">
      <c r="B190" s="6" cm="1">
        <f t="array" ref="B190">+_xlfn.IFS(C190="Tracking",2,C190="WIP",1,C190="Aborted",3)</f>
        <v>3</v>
      </c>
      <c r="C190" s="67" t="str">
        <f t="shared" si="15"/>
        <v>Aborted</v>
      </c>
      <c r="D190" s="47" t="s">
        <v>1490</v>
      </c>
      <c r="E190" s="28" t="s">
        <v>1747</v>
      </c>
      <c r="F190" s="28" t="s">
        <v>1525</v>
      </c>
      <c r="G190" s="47" t="s">
        <v>634</v>
      </c>
      <c r="H190" s="47" t="s">
        <v>1493</v>
      </c>
      <c r="J190" s="48" t="s">
        <v>1010</v>
      </c>
      <c r="K190" s="28" t="s">
        <v>1748</v>
      </c>
      <c r="L190" s="28"/>
      <c r="N190" s="50" t="s">
        <v>78</v>
      </c>
      <c r="O190" s="50" t="s">
        <v>562</v>
      </c>
      <c r="P190" s="50"/>
      <c r="Q190" s="51"/>
      <c r="S190" s="52">
        <f t="shared" ca="1" si="16"/>
        <v>1054</v>
      </c>
      <c r="T190" s="55">
        <f t="shared" ca="1" si="17"/>
        <v>1054</v>
      </c>
      <c r="U190" s="66"/>
      <c r="V190" s="124">
        <v>44610</v>
      </c>
      <c r="W190" s="124">
        <v>44610</v>
      </c>
      <c r="X190" s="124">
        <v>44610</v>
      </c>
      <c r="Y190" s="49" t="s">
        <v>52</v>
      </c>
      <c r="AA190" s="54" t="s">
        <v>7</v>
      </c>
    </row>
    <row r="191" spans="2:27" x14ac:dyDescent="0.35">
      <c r="B191" s="6" cm="1">
        <f t="array" ref="B191">+_xlfn.IFS(C191="Tracking",2,C191="WIP",1,C191="Aborted",3)</f>
        <v>3</v>
      </c>
      <c r="C191" s="67" t="str">
        <f t="shared" si="15"/>
        <v>Aborted</v>
      </c>
      <c r="D191" s="47" t="s">
        <v>1490</v>
      </c>
      <c r="E191" s="46" t="s">
        <v>1749</v>
      </c>
      <c r="F191" s="28" t="s">
        <v>1491</v>
      </c>
      <c r="G191" s="47" t="s">
        <v>91</v>
      </c>
      <c r="H191" s="47" t="s">
        <v>1493</v>
      </c>
      <c r="J191" s="48" t="s">
        <v>69</v>
      </c>
      <c r="K191" s="48"/>
      <c r="L191" s="48" t="s">
        <v>1750</v>
      </c>
      <c r="N191" s="50" t="s">
        <v>78</v>
      </c>
      <c r="O191" s="50"/>
      <c r="P191" s="50"/>
      <c r="Q191" s="51"/>
      <c r="S191" s="52">
        <f t="shared" ca="1" si="16"/>
        <v>1218</v>
      </c>
      <c r="T191" s="55">
        <f t="shared" ca="1" si="17"/>
        <v>1184</v>
      </c>
      <c r="U191" s="36"/>
      <c r="V191" s="124">
        <v>44446</v>
      </c>
      <c r="W191" s="124"/>
      <c r="X191" s="124">
        <v>44480</v>
      </c>
      <c r="Y191" s="49" t="s">
        <v>52</v>
      </c>
      <c r="AA191" s="54" t="s">
        <v>7</v>
      </c>
    </row>
    <row r="192" spans="2:27" x14ac:dyDescent="0.35">
      <c r="B192" s="6" cm="1">
        <f t="array" ref="B192">+_xlfn.IFS(C192="Tracking",2,C192="WIP",1,C192="Aborted",3)</f>
        <v>3</v>
      </c>
      <c r="C192" s="67" t="str">
        <f t="shared" si="15"/>
        <v>Aborted</v>
      </c>
      <c r="D192" s="47" t="s">
        <v>1490</v>
      </c>
      <c r="E192" s="28" t="s">
        <v>1751</v>
      </c>
      <c r="F192" s="28" t="s">
        <v>1491</v>
      </c>
      <c r="G192" s="47" t="s">
        <v>91</v>
      </c>
      <c r="H192" s="47" t="s">
        <v>1484</v>
      </c>
      <c r="J192" s="48" t="s">
        <v>1539</v>
      </c>
      <c r="K192" s="48"/>
      <c r="L192" s="48"/>
      <c r="N192" s="50" t="s">
        <v>78</v>
      </c>
      <c r="O192" s="50"/>
      <c r="P192" s="50"/>
      <c r="Q192" s="51"/>
      <c r="S192" s="52">
        <f t="shared" ca="1" si="16"/>
        <v>1272</v>
      </c>
      <c r="T192" s="55">
        <f t="shared" ca="1" si="17"/>
        <v>1180</v>
      </c>
      <c r="U192" s="36"/>
      <c r="V192" s="124">
        <v>44392</v>
      </c>
      <c r="W192" s="124">
        <v>44392</v>
      </c>
      <c r="X192" s="124">
        <v>44484</v>
      </c>
      <c r="Y192" s="49" t="s">
        <v>52</v>
      </c>
      <c r="AA192" s="54" t="s">
        <v>7</v>
      </c>
    </row>
    <row r="193" spans="1:27" x14ac:dyDescent="0.35">
      <c r="B193" s="6" cm="1">
        <f t="array" ref="B193">+_xlfn.IFS(C193="Tracking",2,C193="WIP",1,C193="Aborted",3)</f>
        <v>3</v>
      </c>
      <c r="C193" s="67" t="str">
        <f t="shared" si="15"/>
        <v>Aborted</v>
      </c>
      <c r="D193" s="47" t="s">
        <v>1490</v>
      </c>
      <c r="E193" s="46" t="s">
        <v>1752</v>
      </c>
      <c r="F193" s="46" t="s">
        <v>1753</v>
      </c>
      <c r="G193" s="47" t="s">
        <v>1040</v>
      </c>
      <c r="H193" s="47" t="s">
        <v>1484</v>
      </c>
      <c r="J193" s="48" t="s">
        <v>111</v>
      </c>
      <c r="K193" s="48" t="s">
        <v>1754</v>
      </c>
      <c r="L193" s="48"/>
      <c r="N193" s="50" t="s">
        <v>78</v>
      </c>
      <c r="O193" s="50"/>
      <c r="P193" s="50"/>
      <c r="Q193" s="51"/>
      <c r="S193" s="52">
        <f t="shared" ca="1" si="16"/>
        <v>1181</v>
      </c>
      <c r="T193" s="55">
        <f t="shared" ca="1" si="17"/>
        <v>1153</v>
      </c>
      <c r="U193" s="65"/>
      <c r="V193" s="124">
        <v>44483</v>
      </c>
      <c r="W193" s="124">
        <v>44483</v>
      </c>
      <c r="X193" s="124">
        <v>44511</v>
      </c>
      <c r="Y193" s="49" t="s">
        <v>52</v>
      </c>
      <c r="AA193" s="54" t="s">
        <v>7</v>
      </c>
    </row>
    <row r="194" spans="1:27" x14ac:dyDescent="0.35">
      <c r="B194" s="6" cm="1">
        <f t="array" ref="B194">+_xlfn.IFS(C194="Tracking",2,C194="WIP",1,C194="Aborted",3)</f>
        <v>3</v>
      </c>
      <c r="C194" s="67" t="str">
        <f t="shared" si="15"/>
        <v>Aborted</v>
      </c>
      <c r="D194" s="47" t="s">
        <v>1490</v>
      </c>
      <c r="E194" s="28" t="s">
        <v>1755</v>
      </c>
      <c r="F194" s="28" t="s">
        <v>1491</v>
      </c>
      <c r="G194" s="47" t="s">
        <v>91</v>
      </c>
      <c r="H194" s="47" t="s">
        <v>1484</v>
      </c>
      <c r="J194" s="48" t="s">
        <v>57</v>
      </c>
      <c r="K194" s="48" t="s">
        <v>1756</v>
      </c>
      <c r="L194" s="48"/>
      <c r="N194" s="50" t="s">
        <v>61</v>
      </c>
      <c r="O194" s="50"/>
      <c r="P194" s="50"/>
      <c r="Q194" s="51"/>
      <c r="S194" s="52">
        <f t="shared" ca="1" si="16"/>
        <v>1191</v>
      </c>
      <c r="T194" s="55">
        <f t="shared" ca="1" si="17"/>
        <v>1191</v>
      </c>
      <c r="U194" s="36"/>
      <c r="V194" s="124">
        <v>44473</v>
      </c>
      <c r="W194" s="124">
        <v>44473</v>
      </c>
      <c r="X194" s="124">
        <v>44473</v>
      </c>
      <c r="Y194" s="49" t="s">
        <v>52</v>
      </c>
      <c r="AA194" s="54" t="s">
        <v>7</v>
      </c>
    </row>
    <row r="195" spans="1:27" x14ac:dyDescent="0.35">
      <c r="B195" s="6" cm="1">
        <f t="array" ref="B195">+_xlfn.IFS(C195="Tracking",2,C195="WIP",1,C195="Aborted",3)</f>
        <v>3</v>
      </c>
      <c r="C195" s="67" t="str">
        <f t="shared" si="15"/>
        <v>Aborted</v>
      </c>
      <c r="D195" s="47" t="s">
        <v>1490</v>
      </c>
      <c r="E195" s="28" t="s">
        <v>1757</v>
      </c>
      <c r="F195" s="28" t="s">
        <v>1491</v>
      </c>
      <c r="G195" s="47" t="s">
        <v>91</v>
      </c>
      <c r="H195" s="47" t="s">
        <v>1484</v>
      </c>
      <c r="J195" s="48" t="s">
        <v>1539</v>
      </c>
      <c r="K195" s="48"/>
      <c r="L195" s="48"/>
      <c r="N195" s="50" t="s">
        <v>78</v>
      </c>
      <c r="O195" s="50"/>
      <c r="P195" s="50"/>
      <c r="Q195" s="51"/>
      <c r="S195" s="52">
        <f t="shared" ca="1" si="16"/>
        <v>1272</v>
      </c>
      <c r="T195" s="55">
        <f t="shared" ca="1" si="17"/>
        <v>1180</v>
      </c>
      <c r="U195" s="36"/>
      <c r="V195" s="124">
        <v>44392</v>
      </c>
      <c r="W195" s="124">
        <v>44392</v>
      </c>
      <c r="X195" s="124">
        <v>44484</v>
      </c>
      <c r="Y195" s="49" t="s">
        <v>52</v>
      </c>
      <c r="AA195" s="54" t="s">
        <v>7</v>
      </c>
    </row>
    <row r="196" spans="1:27" x14ac:dyDescent="0.35">
      <c r="B196" s="6" cm="1">
        <f t="array" ref="B196">+_xlfn.IFS(C196="Tracking",2,C196="WIP",1,C196="Aborted",3)</f>
        <v>3</v>
      </c>
      <c r="C196" s="67" t="str">
        <f t="shared" si="15"/>
        <v>Aborted</v>
      </c>
      <c r="D196" s="47" t="s">
        <v>1490</v>
      </c>
      <c r="E196" s="28" t="s">
        <v>1758</v>
      </c>
      <c r="F196" s="28" t="s">
        <v>1491</v>
      </c>
      <c r="G196" s="47" t="s">
        <v>91</v>
      </c>
      <c r="H196" s="47" t="s">
        <v>1484</v>
      </c>
      <c r="J196" s="48" t="s">
        <v>1539</v>
      </c>
      <c r="K196" s="48"/>
      <c r="L196" s="48"/>
      <c r="N196" s="50" t="s">
        <v>78</v>
      </c>
      <c r="O196" s="50"/>
      <c r="P196" s="50"/>
      <c r="Q196" s="51"/>
      <c r="S196" s="52">
        <f t="shared" ca="1" si="16"/>
        <v>1272</v>
      </c>
      <c r="T196" s="55">
        <f t="shared" ca="1" si="17"/>
        <v>1180</v>
      </c>
      <c r="U196" s="36"/>
      <c r="V196" s="124">
        <v>44392</v>
      </c>
      <c r="W196" s="124">
        <v>44392</v>
      </c>
      <c r="X196" s="124">
        <v>44484</v>
      </c>
      <c r="Y196" s="49" t="s">
        <v>52</v>
      </c>
      <c r="AA196" s="54" t="s">
        <v>7</v>
      </c>
    </row>
    <row r="197" spans="1:27" x14ac:dyDescent="0.35">
      <c r="C197" s="67">
        <f t="shared" si="15"/>
        <v>0</v>
      </c>
      <c r="D197" s="67"/>
      <c r="E197" s="28"/>
      <c r="F197" s="28"/>
      <c r="G197" s="47"/>
      <c r="H197" s="47"/>
      <c r="J197" s="48"/>
      <c r="K197" s="48"/>
      <c r="L197" s="48"/>
      <c r="N197" s="50"/>
      <c r="O197" s="50"/>
      <c r="P197" s="50"/>
      <c r="Q197" s="51"/>
      <c r="S197" s="52"/>
      <c r="T197" s="55"/>
      <c r="U197" s="53"/>
      <c r="V197" s="49"/>
      <c r="W197" s="49"/>
      <c r="X197" s="49"/>
      <c r="Y197" s="49"/>
      <c r="AA197" s="54" t="s">
        <v>7</v>
      </c>
    </row>
    <row r="198" spans="1:27" x14ac:dyDescent="0.35">
      <c r="A198" s="28"/>
      <c r="B198" s="16"/>
      <c r="C198" s="12"/>
      <c r="D198" s="12"/>
      <c r="E198" s="46"/>
      <c r="F198" s="12"/>
      <c r="G198" s="13"/>
      <c r="H198" s="13"/>
      <c r="I198" s="16"/>
      <c r="J198" s="21"/>
      <c r="K198" s="21"/>
      <c r="L198" s="21"/>
      <c r="M198" s="16"/>
      <c r="N198" s="21"/>
      <c r="O198" s="17"/>
      <c r="P198" s="17"/>
      <c r="Q198" s="15"/>
      <c r="R198" s="16"/>
      <c r="S198" s="19"/>
      <c r="T198" s="42"/>
      <c r="U198" s="18"/>
      <c r="V198" s="40"/>
      <c r="W198" s="40"/>
      <c r="X198" s="40"/>
      <c r="Y198" s="40"/>
      <c r="Z198" s="16"/>
      <c r="AA198" s="54" t="s">
        <v>7</v>
      </c>
    </row>
    <row r="199" spans="1:27" x14ac:dyDescent="0.35">
      <c r="B199" s="16"/>
      <c r="C199" s="16"/>
      <c r="D199" s="16"/>
      <c r="F199" s="16"/>
      <c r="G199" s="23"/>
      <c r="H199" s="23"/>
      <c r="I199" s="16"/>
      <c r="J199" s="16"/>
      <c r="K199" s="16"/>
      <c r="L199" s="16"/>
      <c r="M199" s="16"/>
      <c r="N199" s="23"/>
      <c r="O199" s="23"/>
      <c r="P199" s="23"/>
      <c r="Q199" s="24"/>
      <c r="R199" s="16"/>
      <c r="S199" s="23"/>
      <c r="T199" s="23"/>
      <c r="V199" s="26"/>
      <c r="W199" s="26"/>
      <c r="X199" s="40"/>
      <c r="Y199" s="26"/>
      <c r="Z199" s="16"/>
      <c r="AA199" s="54" t="s">
        <v>7</v>
      </c>
    </row>
    <row r="200" spans="1:27" x14ac:dyDescent="0.35">
      <c r="B200" s="16"/>
      <c r="C200" s="11" t="s">
        <v>240</v>
      </c>
      <c r="D200" s="11"/>
      <c r="E200" s="54" t="s">
        <v>240</v>
      </c>
      <c r="F200" s="11"/>
      <c r="G200" s="11" t="s">
        <v>240</v>
      </c>
      <c r="H200" s="11" t="s">
        <v>240</v>
      </c>
      <c r="I200" s="11" t="s">
        <v>240</v>
      </c>
      <c r="J200" s="11"/>
      <c r="K200" s="11"/>
      <c r="L200" s="11"/>
      <c r="M200" s="11"/>
      <c r="N200" s="11" t="s">
        <v>240</v>
      </c>
      <c r="O200" s="11" t="s">
        <v>240</v>
      </c>
      <c r="P200" s="11"/>
      <c r="Q200" s="11" t="s">
        <v>240</v>
      </c>
      <c r="R200" s="11" t="s">
        <v>240</v>
      </c>
      <c r="S200" s="11" t="s">
        <v>240</v>
      </c>
      <c r="T200" s="11" t="s">
        <v>240</v>
      </c>
      <c r="V200" s="11" t="s">
        <v>240</v>
      </c>
      <c r="W200" s="11" t="s">
        <v>240</v>
      </c>
      <c r="X200" s="11" t="s">
        <v>240</v>
      </c>
      <c r="Y200" s="11" t="s">
        <v>240</v>
      </c>
      <c r="Z200" s="11" t="s">
        <v>240</v>
      </c>
      <c r="AA200" s="54" t="s">
        <v>7</v>
      </c>
    </row>
    <row r="201" spans="1:27" x14ac:dyDescent="0.35">
      <c r="B201" s="16"/>
      <c r="C201" s="16"/>
      <c r="D201" s="16"/>
      <c r="F201" s="16"/>
      <c r="G201" s="23"/>
      <c r="H201" s="23"/>
      <c r="I201" s="16"/>
      <c r="J201" s="16"/>
      <c r="K201" s="16"/>
      <c r="L201" s="16"/>
      <c r="M201" s="16"/>
      <c r="N201" s="23"/>
      <c r="O201" s="23"/>
      <c r="P201" s="23"/>
      <c r="Q201" s="24"/>
      <c r="R201" s="16"/>
      <c r="S201" s="23"/>
      <c r="T201" s="23"/>
      <c r="V201" s="26"/>
      <c r="W201" s="26"/>
      <c r="X201" s="26"/>
      <c r="Y201" s="26"/>
      <c r="Z201" s="16"/>
      <c r="AA201" s="16"/>
    </row>
    <row r="202" spans="1:27" x14ac:dyDescent="0.35">
      <c r="A202" s="30" t="s">
        <v>2</v>
      </c>
      <c r="U202" s="56"/>
    </row>
    <row r="203" spans="1:27" x14ac:dyDescent="0.35">
      <c r="A203" s="31" t="s">
        <v>3</v>
      </c>
      <c r="U203" s="56"/>
    </row>
    <row r="204" spans="1:27" x14ac:dyDescent="0.35">
      <c r="A204" s="29" t="s">
        <v>1</v>
      </c>
      <c r="T204" s="7" t="s">
        <v>1759</v>
      </c>
      <c r="U204" s="56"/>
    </row>
    <row r="205" spans="1:27" x14ac:dyDescent="0.35">
      <c r="A205" s="32" t="s">
        <v>4</v>
      </c>
      <c r="U205" s="56"/>
    </row>
    <row r="206" spans="1:27" x14ac:dyDescent="0.35">
      <c r="A206" s="33" t="s">
        <v>5</v>
      </c>
      <c r="U206" s="56"/>
    </row>
    <row r="207" spans="1:27" x14ac:dyDescent="0.35">
      <c r="A207" s="34" t="s">
        <v>6</v>
      </c>
      <c r="U207" s="56"/>
    </row>
  </sheetData>
  <autoFilter ref="A4:AA198" xr:uid="{9D03DBE1-916D-42E5-A64B-588CEA821AD1}">
    <sortState xmlns:xlrd2="http://schemas.microsoft.com/office/spreadsheetml/2017/richdata2" ref="A5:AA198">
      <sortCondition ref="B4:B198"/>
    </sortState>
  </autoFilter>
  <sortState xmlns:xlrd2="http://schemas.microsoft.com/office/spreadsheetml/2017/richdata2" ref="A66:AC198">
    <sortCondition ref="B66:B198"/>
  </sortState>
  <conditionalFormatting sqref="C1:D2 C3 C4:D129 C130:C131 C132:D135 C136:C142 C138:D138 C141:D144 C144:C196 C148:D149 C197:D1048576">
    <cfRule type="containsText" dxfId="104" priority="14" operator="containsText" text="Tracking">
      <formula>NOT(ISERROR(SEARCH("Tracking",C1)))</formula>
    </cfRule>
    <cfRule type="containsText" dxfId="103" priority="15" operator="containsText" text="WIP">
      <formula>NOT(ISERROR(SEARCH("WIP",C1)))</formula>
    </cfRule>
    <cfRule type="containsText" dxfId="102" priority="17" operator="containsText" text="Aborted">
      <formula>NOT(ISERROR(SEARCH("Aborted",C1)))</formula>
    </cfRule>
  </conditionalFormatting>
  <conditionalFormatting sqref="S1:S1048576">
    <cfRule type="colorScale" priority="3">
      <colorScale>
        <cfvo type="min"/>
        <cfvo type="max"/>
        <color rgb="FFFCFCFF"/>
        <color rgb="FFF8696B"/>
      </colorScale>
    </cfRule>
  </conditionalFormatting>
  <conditionalFormatting sqref="T1:T1048576">
    <cfRule type="colorScale" priority="31">
      <colorScale>
        <cfvo type="min"/>
        <cfvo type="max"/>
        <color rgb="FFFCFCFF"/>
        <color rgb="FFF8696B"/>
      </colorScale>
    </cfRule>
  </conditionalFormatting>
  <conditionalFormatting sqref="U1">
    <cfRule type="dataBar" priority="1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{92AE6AA5-2CDF-4125-A8BE-A495617B8850}</x14:id>
        </ext>
      </extLst>
    </cfRule>
    <cfRule type="cellIs" dxfId="101" priority="20" operator="equal">
      <formula>"Negative"</formula>
    </cfRule>
    <cfRule type="containsText" dxfId="100" priority="21" operator="containsText" text="No Answer">
      <formula>NOT(ISERROR(SEARCH("No Answer",U1)))</formula>
    </cfRule>
    <cfRule type="containsText" dxfId="99" priority="22" operator="containsText" text="In Touch">
      <formula>NOT(ISERROR(SEARCH("In Touch",U1)))</formula>
    </cfRule>
    <cfRule type="containsText" dxfId="98" priority="23" operator="containsText" text="Ongoing">
      <formula>NOT(ISERROR(SEARCH("Ongoing",U1)))</formula>
    </cfRule>
  </conditionalFormatting>
  <conditionalFormatting sqref="U148 U151">
    <cfRule type="dataBar" priority="4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{F03AFF9B-377E-446F-AB0C-DA2956AF83EC}</x14:id>
        </ext>
      </extLst>
    </cfRule>
  </conditionalFormatting>
  <conditionalFormatting sqref="U149:U150 U152 U155:U1048576 U2:U147">
    <cfRule type="dataBar" priority="2175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{5365C523-28CF-4816-8BE1-B91C1B420857}</x14:id>
        </ext>
      </extLst>
    </cfRule>
  </conditionalFormatting>
  <conditionalFormatting sqref="U153:U154">
    <cfRule type="dataBar" priority="12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{49121A35-0CA1-4C8F-BC4F-A365BED1188B}</x14:id>
        </ext>
      </extLst>
    </cfRule>
  </conditionalFormatting>
  <conditionalFormatting sqref="V1">
    <cfRule type="colorScale" priority="30">
      <colorScale>
        <cfvo type="min"/>
        <cfvo type="max"/>
        <color rgb="FFFCFCFF"/>
        <color rgb="FFF8696B"/>
      </colorScale>
    </cfRule>
  </conditionalFormatting>
  <conditionalFormatting sqref="Y1">
    <cfRule type="cellIs" dxfId="97" priority="24" operator="equal">
      <formula>"RIP"</formula>
    </cfRule>
    <cfRule type="containsText" dxfId="96" priority="25" operator="containsText" text="abt">
      <formula>NOT(ISERROR(SEARCH("abt",Y1)))</formula>
    </cfRule>
    <cfRule type="containsText" dxfId="95" priority="26" operator="containsText" text="sgn">
      <formula>NOT(ISERROR(SEARCH("sgn",Y1)))</formula>
    </cfRule>
    <cfRule type="containsText" dxfId="94" priority="27" operator="containsText" text="wip">
      <formula>NOT(ISERROR(SEARCH("wip",Y1)))</formula>
    </cfRule>
    <cfRule type="containsText" dxfId="93" priority="28" operator="containsText" text="hld">
      <formula>NOT(ISERROR(SEARCH("hld",Y1)))</formula>
    </cfRule>
    <cfRule type="cellIs" dxfId="92" priority="29" operator="equal">
      <formula>"cls"</formula>
    </cfRule>
  </conditionalFormatting>
  <conditionalFormatting sqref="AB1">
    <cfRule type="containsText" dxfId="91" priority="5" operator="containsText" text="Tracking">
      <formula>NOT(ISERROR(SEARCH("Tracking",AB1)))</formula>
    </cfRule>
    <cfRule type="containsText" dxfId="90" priority="6" operator="containsText" text="WIP">
      <formula>NOT(ISERROR(SEARCH("WIP",AB1)))</formula>
    </cfRule>
    <cfRule type="containsText" dxfId="89" priority="7" operator="containsText" text="Aborted">
      <formula>NOT(ISERROR(SEARCH("Aborted",AB1)))</formula>
    </cfRule>
  </conditionalFormatting>
  <dataValidations count="2">
    <dataValidation type="list" allowBlank="1" showInputMessage="1" showErrorMessage="1" sqref="Y197:Y198" xr:uid="{0D2FFD65-316E-4262-B0FF-62989C72409C}">
      <formula1>"Active - GTB,Active - Ongoing,Aborted,"</formula1>
    </dataValidation>
    <dataValidation type="list" errorStyle="information" allowBlank="1" showInputMessage="1" showErrorMessage="1" error="ERRORE" sqref="Y5:Y196" xr:uid="{87497191-E645-46B2-B9A6-1ABD069E56BB}">
      <formula1>"Tracking,WIP,Aborted"</formula1>
    </dataValidation>
  </dataValidations>
  <printOptions horizontalCentered="1"/>
  <pageMargins left="0.31496062992125984" right="0.31496062992125984" top="0.74803149606299213" bottom="0.35433070866141736" header="0.31496062992125984" footer="0.31496062992125984"/>
  <pageSetup paperSize="8" scale="11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AE6AA5-2CDF-4125-A8BE-A495617B885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U1</xm:sqref>
        </x14:conditionalFormatting>
        <x14:conditionalFormatting xmlns:xm="http://schemas.microsoft.com/office/excel/2006/main">
          <x14:cfRule type="dataBar" id="{F03AFF9B-377E-446F-AB0C-DA2956AF83EC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U148 U151</xm:sqref>
        </x14:conditionalFormatting>
        <x14:conditionalFormatting xmlns:xm="http://schemas.microsoft.com/office/excel/2006/main">
          <x14:cfRule type="dataBar" id="{5365C523-28CF-4816-8BE1-B91C1B420857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U149:U150 U152 U155:U1048576 U2:U147</xm:sqref>
        </x14:conditionalFormatting>
        <x14:conditionalFormatting xmlns:xm="http://schemas.microsoft.com/office/excel/2006/main">
          <x14:cfRule type="dataBar" id="{49121A35-0CA1-4C8F-BC4F-A365BED1188B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U153:U154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7A10-3A70-4FDD-B2CB-100AEDC239B5}">
  <sheetPr codeName="Sheet1" filterMode="1"/>
  <dimension ref="A1:BY145"/>
  <sheetViews>
    <sheetView showGridLines="0" zoomScaleNormal="100" zoomScaleSheetLayoutView="85" workbookViewId="0">
      <pane xSplit="3" ySplit="2" topLeftCell="D6" activePane="bottomRight" state="frozen"/>
      <selection pane="topRight" activeCell="N20" sqref="N20"/>
      <selection pane="bottomLeft" activeCell="N20" sqref="N20"/>
      <selection pane="bottomRight" activeCell="C60" sqref="C60"/>
    </sheetView>
  </sheetViews>
  <sheetFormatPr defaultColWidth="8.5625" defaultRowHeight="11.65" outlineLevelRow="1" outlineLevelCol="1" x14ac:dyDescent="0.35"/>
  <cols>
    <col min="1" max="1" width="3" style="324" bestFit="1" customWidth="1"/>
    <col min="2" max="2" width="3" style="325" bestFit="1" customWidth="1"/>
    <col min="3" max="3" width="27.5" style="326" customWidth="1"/>
    <col min="4" max="4" width="12" style="327" customWidth="1" outlineLevel="1"/>
    <col min="5" max="5" width="8.5625" style="327" customWidth="1" outlineLevel="1"/>
    <col min="6" max="6" width="12" style="327" customWidth="1" outlineLevel="1"/>
    <col min="7" max="10" width="6.5" style="327" customWidth="1" outlineLevel="1"/>
    <col min="11" max="12" width="13" style="327" customWidth="1" outlineLevel="1"/>
    <col min="13" max="13" width="3" style="328" customWidth="1"/>
    <col min="14" max="14" width="5.5" style="327" customWidth="1"/>
    <col min="15" max="16" width="5.5" style="327" customWidth="1" outlineLevel="1"/>
    <col min="17" max="17" width="20.5" style="329" customWidth="1" outlineLevel="1"/>
    <col min="18" max="18" width="3" style="330" customWidth="1"/>
    <col min="19" max="19" width="5" style="331" customWidth="1"/>
    <col min="20" max="20" width="6" style="331" customWidth="1"/>
    <col min="21" max="21" width="5" style="327" customWidth="1"/>
    <col min="22" max="22" width="3" style="330" customWidth="1"/>
    <col min="23" max="35" width="5.5" style="321" customWidth="1" outlineLevel="1"/>
    <col min="36" max="41" width="5.5" style="321" customWidth="1"/>
    <col min="42" max="75" width="5.5" style="635" customWidth="1"/>
    <col min="76" max="76" width="11.5625" style="635" customWidth="1"/>
    <col min="77" max="77" width="8.5625" style="634"/>
    <col min="78" max="16384" width="8.5625" style="330"/>
  </cols>
  <sheetData>
    <row r="1" spans="1:77" s="314" customFormat="1" x14ac:dyDescent="0.35">
      <c r="A1" s="309"/>
      <c r="B1" s="310"/>
      <c r="C1" s="311">
        <f>+COUNTA(C3:C121)-1</f>
        <v>117</v>
      </c>
      <c r="D1" s="312"/>
      <c r="E1" s="312"/>
      <c r="F1" s="312"/>
      <c r="G1" s="312"/>
      <c r="H1" s="312"/>
      <c r="I1" s="312"/>
      <c r="J1" s="312"/>
      <c r="K1" s="312"/>
      <c r="L1" s="312"/>
      <c r="M1" s="313" t="s">
        <v>731</v>
      </c>
      <c r="N1" s="312"/>
      <c r="O1" s="312"/>
      <c r="P1" s="312"/>
      <c r="Q1" s="312"/>
      <c r="R1" s="312"/>
      <c r="S1" s="312"/>
      <c r="T1" s="312"/>
      <c r="U1" s="312"/>
      <c r="V1" s="312"/>
      <c r="W1" s="872">
        <f t="shared" ref="W1:BB1" si="0">+COUNTA(W3:W121)-1</f>
        <v>5</v>
      </c>
      <c r="X1" s="872">
        <f t="shared" si="0"/>
        <v>5</v>
      </c>
      <c r="Y1" s="872">
        <f t="shared" si="0"/>
        <v>12</v>
      </c>
      <c r="Z1" s="872">
        <f t="shared" si="0"/>
        <v>11</v>
      </c>
      <c r="AA1" s="872">
        <f t="shared" si="0"/>
        <v>6</v>
      </c>
      <c r="AB1" s="872">
        <f t="shared" si="0"/>
        <v>4</v>
      </c>
      <c r="AC1" s="872">
        <f t="shared" si="0"/>
        <v>2</v>
      </c>
      <c r="AD1" s="872">
        <f t="shared" si="0"/>
        <v>3</v>
      </c>
      <c r="AE1" s="872">
        <f t="shared" si="0"/>
        <v>2</v>
      </c>
      <c r="AF1" s="872">
        <f t="shared" si="0"/>
        <v>1</v>
      </c>
      <c r="AG1" s="872">
        <f t="shared" si="0"/>
        <v>0</v>
      </c>
      <c r="AH1" s="872">
        <f t="shared" si="0"/>
        <v>0</v>
      </c>
      <c r="AI1" s="872">
        <f t="shared" si="0"/>
        <v>5</v>
      </c>
      <c r="AJ1" s="872">
        <f t="shared" si="0"/>
        <v>6</v>
      </c>
      <c r="AK1" s="872">
        <f t="shared" si="0"/>
        <v>3</v>
      </c>
      <c r="AL1" s="872">
        <f t="shared" si="0"/>
        <v>6</v>
      </c>
      <c r="AM1" s="872">
        <f t="shared" si="0"/>
        <v>3</v>
      </c>
      <c r="AN1" s="872">
        <f t="shared" si="0"/>
        <v>17</v>
      </c>
      <c r="AO1" s="872">
        <f t="shared" si="0"/>
        <v>3</v>
      </c>
      <c r="AP1" s="872">
        <f t="shared" si="0"/>
        <v>4</v>
      </c>
      <c r="AQ1" s="872">
        <f t="shared" si="0"/>
        <v>5</v>
      </c>
      <c r="AR1" s="872">
        <f t="shared" si="0"/>
        <v>5</v>
      </c>
      <c r="AS1" s="872">
        <f t="shared" si="0"/>
        <v>3</v>
      </c>
      <c r="AT1" s="872">
        <f t="shared" si="0"/>
        <v>5</v>
      </c>
      <c r="AU1" s="872">
        <f t="shared" si="0"/>
        <v>5</v>
      </c>
      <c r="AV1" s="872">
        <f t="shared" si="0"/>
        <v>2</v>
      </c>
      <c r="AW1" s="872">
        <f t="shared" si="0"/>
        <v>1</v>
      </c>
      <c r="AX1" s="872">
        <f t="shared" si="0"/>
        <v>3</v>
      </c>
      <c r="AY1" s="872">
        <f t="shared" si="0"/>
        <v>0</v>
      </c>
      <c r="AZ1" s="872">
        <f t="shared" si="0"/>
        <v>0</v>
      </c>
      <c r="BA1" s="872">
        <f t="shared" si="0"/>
        <v>0</v>
      </c>
      <c r="BB1" s="872">
        <f t="shared" si="0"/>
        <v>1</v>
      </c>
      <c r="BC1" s="872">
        <f t="shared" ref="BC1:BT1" si="1">+COUNTA(BC3:BC121)-1</f>
        <v>3</v>
      </c>
      <c r="BD1" s="872">
        <f t="shared" si="1"/>
        <v>12</v>
      </c>
      <c r="BE1" s="872">
        <f t="shared" si="1"/>
        <v>9</v>
      </c>
      <c r="BF1" s="872">
        <f t="shared" si="1"/>
        <v>11</v>
      </c>
      <c r="BG1" s="872">
        <f t="shared" si="1"/>
        <v>6</v>
      </c>
      <c r="BH1" s="872">
        <f t="shared" si="1"/>
        <v>2</v>
      </c>
      <c r="BI1" s="872">
        <f t="shared" si="1"/>
        <v>8</v>
      </c>
      <c r="BJ1" s="872">
        <f t="shared" si="1"/>
        <v>19</v>
      </c>
      <c r="BK1" s="872">
        <f t="shared" si="1"/>
        <v>7</v>
      </c>
      <c r="BL1" s="872">
        <f t="shared" si="1"/>
        <v>1</v>
      </c>
      <c r="BM1" s="872">
        <f t="shared" si="1"/>
        <v>7</v>
      </c>
      <c r="BN1" s="1229">
        <f t="shared" si="1"/>
        <v>8</v>
      </c>
      <c r="BO1" s="1229">
        <f t="shared" si="1"/>
        <v>2</v>
      </c>
      <c r="BP1" s="1229">
        <f t="shared" si="1"/>
        <v>7</v>
      </c>
      <c r="BQ1" s="1229">
        <f t="shared" si="1"/>
        <v>6</v>
      </c>
      <c r="BR1" s="1229">
        <f t="shared" si="1"/>
        <v>3</v>
      </c>
      <c r="BS1" s="1229">
        <f t="shared" si="1"/>
        <v>0</v>
      </c>
      <c r="BT1" s="1229">
        <f t="shared" si="1"/>
        <v>0</v>
      </c>
      <c r="BU1" s="1229"/>
      <c r="BV1" s="1229"/>
      <c r="BW1" s="1229"/>
      <c r="BX1" s="636"/>
      <c r="BY1" s="633" t="s">
        <v>7</v>
      </c>
    </row>
    <row r="2" spans="1:77" s="321" customFormat="1" ht="41.25" customHeight="1" x14ac:dyDescent="0.35">
      <c r="A2" s="315"/>
      <c r="B2" s="316" t="s">
        <v>3042</v>
      </c>
      <c r="C2" s="316" t="s">
        <v>3043</v>
      </c>
      <c r="D2" s="317" t="s">
        <v>3044</v>
      </c>
      <c r="E2" s="318" t="s">
        <v>3045</v>
      </c>
      <c r="F2" s="318" t="s">
        <v>3046</v>
      </c>
      <c r="G2" s="317" t="s">
        <v>3047</v>
      </c>
      <c r="H2" s="317" t="s">
        <v>3048</v>
      </c>
      <c r="I2" s="318" t="s">
        <v>3049</v>
      </c>
      <c r="J2" s="318" t="s">
        <v>3050</v>
      </c>
      <c r="K2" s="318" t="s">
        <v>3051</v>
      </c>
      <c r="L2" s="318" t="s">
        <v>3052</v>
      </c>
      <c r="M2" s="319" t="s">
        <v>731</v>
      </c>
      <c r="N2" s="320" t="s">
        <v>33</v>
      </c>
      <c r="O2" s="320" t="s">
        <v>35</v>
      </c>
      <c r="P2" s="320" t="s">
        <v>36</v>
      </c>
      <c r="Q2" s="320" t="s">
        <v>37</v>
      </c>
      <c r="S2" s="322" t="s">
        <v>3053</v>
      </c>
      <c r="T2" s="322" t="s">
        <v>3054</v>
      </c>
      <c r="U2" s="318" t="s">
        <v>3055</v>
      </c>
      <c r="W2" s="323">
        <v>45313</v>
      </c>
      <c r="X2" s="323">
        <f>+W2+7</f>
        <v>45320</v>
      </c>
      <c r="Y2" s="323">
        <f t="shared" ref="Y2:AL2" si="2">+X2+7</f>
        <v>45327</v>
      </c>
      <c r="Z2" s="323">
        <f t="shared" si="2"/>
        <v>45334</v>
      </c>
      <c r="AA2" s="323">
        <f t="shared" si="2"/>
        <v>45341</v>
      </c>
      <c r="AB2" s="323">
        <f t="shared" si="2"/>
        <v>45348</v>
      </c>
      <c r="AC2" s="323">
        <f t="shared" si="2"/>
        <v>45355</v>
      </c>
      <c r="AD2" s="323">
        <f t="shared" si="2"/>
        <v>45362</v>
      </c>
      <c r="AE2" s="323">
        <f t="shared" si="2"/>
        <v>45369</v>
      </c>
      <c r="AF2" s="323">
        <f t="shared" si="2"/>
        <v>45376</v>
      </c>
      <c r="AG2" s="323">
        <f t="shared" si="2"/>
        <v>45383</v>
      </c>
      <c r="AH2" s="554">
        <f t="shared" si="2"/>
        <v>45390</v>
      </c>
      <c r="AI2" s="554">
        <f t="shared" si="2"/>
        <v>45397</v>
      </c>
      <c r="AJ2" s="554">
        <f t="shared" si="2"/>
        <v>45404</v>
      </c>
      <c r="AK2" s="554">
        <f t="shared" si="2"/>
        <v>45411</v>
      </c>
      <c r="AL2" s="554">
        <f t="shared" si="2"/>
        <v>45418</v>
      </c>
      <c r="AM2" s="619">
        <f t="shared" ref="AM2:AX2" si="3">+AL2+7</f>
        <v>45425</v>
      </c>
      <c r="AN2" s="619">
        <f t="shared" si="3"/>
        <v>45432</v>
      </c>
      <c r="AO2" s="323">
        <f t="shared" si="3"/>
        <v>45439</v>
      </c>
      <c r="AP2" s="637">
        <f t="shared" si="3"/>
        <v>45446</v>
      </c>
      <c r="AQ2" s="637">
        <f t="shared" si="3"/>
        <v>45453</v>
      </c>
      <c r="AR2" s="637">
        <f t="shared" si="3"/>
        <v>45460</v>
      </c>
      <c r="AS2" s="637">
        <f t="shared" si="3"/>
        <v>45467</v>
      </c>
      <c r="AT2" s="637">
        <f t="shared" si="3"/>
        <v>45474</v>
      </c>
      <c r="AU2" s="637">
        <f t="shared" si="3"/>
        <v>45481</v>
      </c>
      <c r="AV2" s="637">
        <f t="shared" si="3"/>
        <v>45488</v>
      </c>
      <c r="AW2" s="637">
        <f t="shared" si="3"/>
        <v>45495</v>
      </c>
      <c r="AX2" s="637">
        <f t="shared" si="3"/>
        <v>45502</v>
      </c>
      <c r="AY2" s="637">
        <f t="shared" ref="AY2:BH2" si="4">+AX2+7</f>
        <v>45509</v>
      </c>
      <c r="AZ2" s="814">
        <f t="shared" si="4"/>
        <v>45516</v>
      </c>
      <c r="BA2" s="814">
        <f t="shared" si="4"/>
        <v>45523</v>
      </c>
      <c r="BB2" s="814">
        <f t="shared" si="4"/>
        <v>45530</v>
      </c>
      <c r="BC2" s="814">
        <f t="shared" si="4"/>
        <v>45537</v>
      </c>
      <c r="BD2" s="814">
        <f t="shared" si="4"/>
        <v>45544</v>
      </c>
      <c r="BE2" s="814">
        <f t="shared" si="4"/>
        <v>45551</v>
      </c>
      <c r="BF2" s="814">
        <f t="shared" si="4"/>
        <v>45558</v>
      </c>
      <c r="BG2" s="814">
        <f t="shared" si="4"/>
        <v>45565</v>
      </c>
      <c r="BH2" s="814">
        <f t="shared" si="4"/>
        <v>45572</v>
      </c>
      <c r="BI2" s="814">
        <f t="shared" ref="BI2" si="5">+BH2+7</f>
        <v>45579</v>
      </c>
      <c r="BJ2" s="814">
        <f t="shared" ref="BJ2" si="6">+BI2+7</f>
        <v>45586</v>
      </c>
      <c r="BK2" s="814">
        <f t="shared" ref="BK2" si="7">+BJ2+7</f>
        <v>45593</v>
      </c>
      <c r="BL2" s="814">
        <f t="shared" ref="BL2:BM2" si="8">+BK2+7</f>
        <v>45600</v>
      </c>
      <c r="BM2" s="814">
        <f t="shared" si="8"/>
        <v>45607</v>
      </c>
      <c r="BN2" s="1230">
        <f t="shared" ref="BN2:BT2" si="9">+BM2+7</f>
        <v>45614</v>
      </c>
      <c r="BO2" s="1230">
        <f t="shared" si="9"/>
        <v>45621</v>
      </c>
      <c r="BP2" s="1230">
        <f t="shared" si="9"/>
        <v>45628</v>
      </c>
      <c r="BQ2" s="1230">
        <f t="shared" si="9"/>
        <v>45635</v>
      </c>
      <c r="BR2" s="1230">
        <f t="shared" si="9"/>
        <v>45642</v>
      </c>
      <c r="BS2" s="1230">
        <f t="shared" si="9"/>
        <v>45649</v>
      </c>
      <c r="BT2" s="1230">
        <f t="shared" si="9"/>
        <v>45656</v>
      </c>
      <c r="BU2" s="1230">
        <f>+BT2+7</f>
        <v>45663</v>
      </c>
      <c r="BV2" s="1230">
        <f>+BU2+7</f>
        <v>45670</v>
      </c>
      <c r="BW2" s="1230">
        <f>+BV2+7</f>
        <v>45677</v>
      </c>
      <c r="BX2" s="643" t="s">
        <v>3976</v>
      </c>
      <c r="BY2" s="633" t="s">
        <v>7</v>
      </c>
    </row>
    <row r="3" spans="1:77" ht="19.5" hidden="1" customHeight="1" x14ac:dyDescent="0.35">
      <c r="B3" s="641"/>
      <c r="C3" s="332" t="s">
        <v>3091</v>
      </c>
      <c r="D3" s="333"/>
      <c r="E3" s="333" t="s">
        <v>3058</v>
      </c>
      <c r="F3" s="333"/>
      <c r="G3" s="334">
        <v>320</v>
      </c>
      <c r="H3" s="333">
        <v>2023</v>
      </c>
      <c r="I3" s="333" t="s">
        <v>3162</v>
      </c>
      <c r="J3" s="333"/>
      <c r="K3" s="333" t="s">
        <v>2724</v>
      </c>
      <c r="L3" s="333" t="s">
        <v>3092</v>
      </c>
      <c r="N3" s="335" t="s">
        <v>78</v>
      </c>
      <c r="O3" s="336"/>
      <c r="P3" s="336"/>
      <c r="Q3" s="337" t="s">
        <v>4367</v>
      </c>
      <c r="S3" s="338">
        <f t="shared" ref="S3:S37" si="10">+COUNTA(W3:BX3)</f>
        <v>6</v>
      </c>
      <c r="T3" s="951">
        <v>45540</v>
      </c>
      <c r="U3" s="339">
        <f t="shared" ref="U3:U37" ca="1" si="11">IF(T3&gt;0,IF(TODAY()&gt;T3,TODAY()-T3,""),"")</f>
        <v>124</v>
      </c>
      <c r="W3" s="373"/>
      <c r="X3" s="373"/>
      <c r="Y3" s="373" t="s">
        <v>3076</v>
      </c>
      <c r="Z3" s="373" t="s">
        <v>3077</v>
      </c>
      <c r="AA3" s="373"/>
      <c r="AB3" s="373"/>
      <c r="AC3" s="373"/>
      <c r="AD3" s="373"/>
      <c r="AE3" s="373"/>
      <c r="AF3" s="373"/>
      <c r="AG3" s="373"/>
      <c r="AH3" s="553"/>
      <c r="AI3" s="553"/>
      <c r="AJ3" s="553"/>
      <c r="AK3" s="553"/>
      <c r="AL3" s="553"/>
      <c r="AM3" s="621" t="s">
        <v>3958</v>
      </c>
      <c r="AN3" s="621"/>
      <c r="AO3" s="557"/>
      <c r="AP3" s="638"/>
      <c r="AQ3" s="638"/>
      <c r="AR3" s="638"/>
      <c r="AS3" s="638"/>
      <c r="AT3" s="638"/>
      <c r="AU3" s="638"/>
      <c r="AV3" s="638"/>
      <c r="AW3" s="638"/>
      <c r="AX3" s="638"/>
      <c r="AY3" s="638"/>
      <c r="AZ3" s="815"/>
      <c r="BA3" s="815"/>
      <c r="BB3" s="815"/>
      <c r="BC3" s="815" t="s">
        <v>3312</v>
      </c>
      <c r="BD3" s="815"/>
      <c r="BE3" s="815"/>
      <c r="BF3" s="557"/>
      <c r="BG3" s="557" t="s">
        <v>4670</v>
      </c>
      <c r="BH3" s="815"/>
      <c r="BI3" s="815"/>
      <c r="BJ3" s="1130" t="s">
        <v>3066</v>
      </c>
      <c r="BK3" s="815"/>
      <c r="BL3" s="815"/>
      <c r="BM3" s="815"/>
      <c r="BN3" s="1224"/>
      <c r="BO3" s="1224"/>
      <c r="BP3" s="1224"/>
      <c r="BQ3" s="1224"/>
      <c r="BR3" s="1224"/>
      <c r="BS3" s="1224"/>
      <c r="BT3" s="1224"/>
      <c r="BU3" s="1224"/>
      <c r="BV3" s="1224"/>
      <c r="BW3" s="1224"/>
      <c r="BX3" s="644"/>
      <c r="BY3" s="633" t="s">
        <v>7</v>
      </c>
    </row>
    <row r="4" spans="1:77" ht="19.5" hidden="1" customHeight="1" x14ac:dyDescent="0.35">
      <c r="B4" s="641"/>
      <c r="C4" s="332" t="s">
        <v>5436</v>
      </c>
      <c r="D4" s="333"/>
      <c r="E4" s="333" t="s">
        <v>3058</v>
      </c>
      <c r="F4" s="333"/>
      <c r="G4" s="334">
        <v>150</v>
      </c>
      <c r="H4" s="333">
        <v>2024</v>
      </c>
      <c r="I4" s="333" t="s">
        <v>3070</v>
      </c>
      <c r="J4" s="333"/>
      <c r="K4" s="333" t="s">
        <v>1010</v>
      </c>
      <c r="L4" s="333" t="s">
        <v>5437</v>
      </c>
      <c r="N4" s="335" t="s">
        <v>78</v>
      </c>
      <c r="O4" s="336" t="s">
        <v>79</v>
      </c>
      <c r="P4" s="336"/>
      <c r="Q4" s="337"/>
      <c r="S4" s="338">
        <f t="shared" ref="S4" si="12">+COUNTA(W4:BX4)</f>
        <v>7</v>
      </c>
      <c r="T4" s="951">
        <v>45630</v>
      </c>
      <c r="U4" s="339">
        <f t="shared" ref="U4" ca="1" si="13">IF(T4&gt;0,IF(TODAY()&gt;T4,TODAY()-T4,""),"")</f>
        <v>34</v>
      </c>
      <c r="W4" s="373"/>
      <c r="X4" s="373"/>
      <c r="Y4" s="373" t="s">
        <v>3076</v>
      </c>
      <c r="Z4" s="373" t="s">
        <v>3077</v>
      </c>
      <c r="AA4" s="373"/>
      <c r="AB4" s="373"/>
      <c r="AC4" s="373"/>
      <c r="AD4" s="373"/>
      <c r="AE4" s="373"/>
      <c r="AF4" s="373"/>
      <c r="AG4" s="373"/>
      <c r="AH4" s="553"/>
      <c r="AI4" s="553"/>
      <c r="AJ4" s="553"/>
      <c r="AK4" s="553"/>
      <c r="AL4" s="553"/>
      <c r="AM4" s="621" t="s">
        <v>3958</v>
      </c>
      <c r="AN4" s="621"/>
      <c r="AO4" s="557"/>
      <c r="AP4" s="638"/>
      <c r="AQ4" s="638"/>
      <c r="AR4" s="638"/>
      <c r="AS4" s="638"/>
      <c r="AT4" s="638"/>
      <c r="AU4" s="638"/>
      <c r="AV4" s="638"/>
      <c r="AW4" s="638"/>
      <c r="AX4" s="638"/>
      <c r="AY4" s="638"/>
      <c r="AZ4" s="815"/>
      <c r="BA4" s="815"/>
      <c r="BB4" s="815"/>
      <c r="BC4" s="815" t="s">
        <v>3312</v>
      </c>
      <c r="BD4" s="815"/>
      <c r="BE4" s="815"/>
      <c r="BF4" s="557"/>
      <c r="BG4" s="557" t="s">
        <v>4670</v>
      </c>
      <c r="BH4" s="815"/>
      <c r="BI4" s="815"/>
      <c r="BJ4" s="1130" t="s">
        <v>3066</v>
      </c>
      <c r="BK4" s="815"/>
      <c r="BL4" s="815"/>
      <c r="BM4" s="815"/>
      <c r="BN4" s="1224"/>
      <c r="BO4" s="1224"/>
      <c r="BP4" s="1224" t="s">
        <v>5438</v>
      </c>
      <c r="BQ4" s="1224"/>
      <c r="BR4" s="1224"/>
      <c r="BS4" s="1224"/>
      <c r="BT4" s="1224"/>
      <c r="BU4" s="1224"/>
      <c r="BV4" s="1224"/>
      <c r="BW4" s="1224"/>
      <c r="BX4" s="644"/>
      <c r="BY4" s="633" t="s">
        <v>7</v>
      </c>
    </row>
    <row r="5" spans="1:77" ht="19.5" hidden="1" customHeight="1" x14ac:dyDescent="0.35">
      <c r="B5" s="641"/>
      <c r="C5" s="332" t="s">
        <v>5644</v>
      </c>
      <c r="D5" s="333"/>
      <c r="E5" s="333" t="s">
        <v>3157</v>
      </c>
      <c r="F5" s="333"/>
      <c r="G5" s="334"/>
      <c r="H5" s="333"/>
      <c r="I5" s="333"/>
      <c r="J5" s="333"/>
      <c r="K5" s="333"/>
      <c r="L5" s="333" t="s">
        <v>5645</v>
      </c>
      <c r="N5" s="335" t="s">
        <v>78</v>
      </c>
      <c r="O5" s="336" t="s">
        <v>86</v>
      </c>
      <c r="P5" s="336"/>
      <c r="Q5" s="337" t="s">
        <v>5646</v>
      </c>
      <c r="S5" s="338">
        <f>+COUNTA(W5:BX5)</f>
        <v>1</v>
      </c>
      <c r="T5" s="951">
        <v>45643</v>
      </c>
      <c r="U5" s="339">
        <f ca="1">IF(T5&gt;0,IF(TODAY()&gt;T5,TODAY()-T5,""),"")</f>
        <v>21</v>
      </c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553"/>
      <c r="AI5" s="553"/>
      <c r="AJ5" s="553"/>
      <c r="AK5" s="553"/>
      <c r="AL5" s="553"/>
      <c r="AM5" s="621"/>
      <c r="AN5" s="621"/>
      <c r="AO5" s="557"/>
      <c r="AP5" s="638"/>
      <c r="AQ5" s="638"/>
      <c r="AR5" s="638"/>
      <c r="AS5" s="638"/>
      <c r="AT5" s="638"/>
      <c r="AU5" s="638"/>
      <c r="AV5" s="638"/>
      <c r="AW5" s="638"/>
      <c r="AX5" s="638"/>
      <c r="AY5" s="638"/>
      <c r="AZ5" s="815"/>
      <c r="BA5" s="815"/>
      <c r="BB5" s="815"/>
      <c r="BC5" s="815"/>
      <c r="BD5" s="815"/>
      <c r="BE5" s="815"/>
      <c r="BF5" s="557"/>
      <c r="BG5" s="557"/>
      <c r="BH5" s="815"/>
      <c r="BI5" s="815"/>
      <c r="BJ5" s="1130"/>
      <c r="BK5" s="815"/>
      <c r="BL5" s="815"/>
      <c r="BM5" s="815"/>
      <c r="BN5" s="1224"/>
      <c r="BO5" s="1224"/>
      <c r="BP5" s="1224"/>
      <c r="BQ5" s="1224"/>
      <c r="BR5" s="1224"/>
      <c r="BS5" s="1224"/>
      <c r="BT5" s="1224"/>
      <c r="BU5" s="1224"/>
      <c r="BV5" s="1429" t="s">
        <v>3312</v>
      </c>
      <c r="BW5" s="1224"/>
      <c r="BX5" s="644"/>
      <c r="BY5" s="633" t="s">
        <v>7</v>
      </c>
    </row>
    <row r="6" spans="1:77" ht="19.5" customHeight="1" x14ac:dyDescent="0.35">
      <c r="A6" s="950" t="s">
        <v>4473</v>
      </c>
      <c r="B6" s="332"/>
      <c r="C6" s="332" t="s">
        <v>5384</v>
      </c>
      <c r="D6" s="333"/>
      <c r="E6" s="333" t="s">
        <v>3157</v>
      </c>
      <c r="F6" s="333"/>
      <c r="G6" s="334"/>
      <c r="H6" s="333"/>
      <c r="I6" s="333"/>
      <c r="J6" s="333"/>
      <c r="K6" s="333"/>
      <c r="L6" s="333" t="s">
        <v>5385</v>
      </c>
      <c r="N6" s="335" t="s">
        <v>153</v>
      </c>
      <c r="O6" s="336" t="s">
        <v>273</v>
      </c>
      <c r="P6" s="336"/>
      <c r="Q6" s="337"/>
      <c r="S6" s="338">
        <f t="shared" si="10"/>
        <v>1</v>
      </c>
      <c r="T6" s="951">
        <v>45502</v>
      </c>
      <c r="U6" s="339">
        <f t="shared" ca="1" si="11"/>
        <v>162</v>
      </c>
      <c r="W6" s="557"/>
      <c r="X6" s="557"/>
      <c r="Y6" s="557"/>
      <c r="Z6" s="557"/>
      <c r="AA6" s="557"/>
      <c r="AB6" s="557"/>
      <c r="AC6" s="557"/>
      <c r="AD6" s="557"/>
      <c r="AE6" s="557"/>
      <c r="AF6" s="557"/>
      <c r="AG6" s="557"/>
      <c r="AH6" s="557"/>
      <c r="AI6" s="557"/>
      <c r="AJ6" s="557"/>
      <c r="AK6" s="557"/>
      <c r="AL6" s="557"/>
      <c r="AM6" s="557"/>
      <c r="AN6" s="557"/>
      <c r="AO6" s="557"/>
      <c r="AP6" s="638"/>
      <c r="AQ6" s="638"/>
      <c r="AR6" s="638"/>
      <c r="AS6" s="638"/>
      <c r="AT6" s="638"/>
      <c r="AU6" s="638"/>
      <c r="AV6" s="638"/>
      <c r="AW6" s="638"/>
      <c r="AX6" s="638" t="s">
        <v>5373</v>
      </c>
      <c r="AY6" s="638"/>
      <c r="AZ6" s="815"/>
      <c r="BA6" s="815"/>
      <c r="BB6" s="815"/>
      <c r="BC6" s="815"/>
      <c r="BD6" s="815"/>
      <c r="BE6" s="815"/>
      <c r="BF6" s="557"/>
      <c r="BG6" s="557"/>
      <c r="BH6" s="815"/>
      <c r="BI6" s="815"/>
      <c r="BJ6" s="557"/>
      <c r="BK6" s="557"/>
      <c r="BL6" s="815"/>
      <c r="BM6" s="815"/>
      <c r="BN6" s="1224"/>
      <c r="BO6" s="1224"/>
      <c r="BP6" s="1224"/>
      <c r="BQ6" s="1224"/>
      <c r="BR6" s="1224"/>
      <c r="BS6" s="1224"/>
      <c r="BT6" s="1224"/>
      <c r="BU6" s="1224"/>
      <c r="BV6" s="1224"/>
      <c r="BW6" s="1224"/>
      <c r="BX6" s="644"/>
      <c r="BY6" s="633" t="s">
        <v>7</v>
      </c>
    </row>
    <row r="7" spans="1:77" ht="19.5" customHeight="1" x14ac:dyDescent="0.35">
      <c r="B7" s="641"/>
      <c r="C7" s="332" t="s">
        <v>3127</v>
      </c>
      <c r="D7" s="333"/>
      <c r="E7" s="333" t="s">
        <v>3093</v>
      </c>
      <c r="F7" s="333"/>
      <c r="G7" s="334"/>
      <c r="H7" s="333"/>
      <c r="I7" s="333"/>
      <c r="J7" s="333"/>
      <c r="K7" s="333"/>
      <c r="L7" s="333" t="s">
        <v>3128</v>
      </c>
      <c r="N7" s="335" t="s">
        <v>153</v>
      </c>
      <c r="O7" s="336"/>
      <c r="P7" s="336"/>
      <c r="Q7" s="337"/>
      <c r="S7" s="338">
        <f t="shared" si="10"/>
        <v>0</v>
      </c>
      <c r="T7" s="951"/>
      <c r="U7" s="339" t="str">
        <f t="shared" ca="1" si="11"/>
        <v/>
      </c>
      <c r="W7" s="373"/>
      <c r="X7" s="373"/>
      <c r="Y7" s="373"/>
      <c r="Z7" s="373"/>
      <c r="AA7" s="373"/>
      <c r="AB7" s="373"/>
      <c r="AC7" s="373"/>
      <c r="AD7" s="373"/>
      <c r="AE7" s="373"/>
      <c r="AF7" s="373"/>
      <c r="AG7" s="373"/>
      <c r="AH7" s="553"/>
      <c r="AI7" s="553"/>
      <c r="AJ7" s="553"/>
      <c r="AK7" s="553"/>
      <c r="AL7" s="553"/>
      <c r="AM7" s="621"/>
      <c r="AN7" s="621"/>
      <c r="AO7" s="557"/>
      <c r="AP7" s="638"/>
      <c r="AQ7" s="638"/>
      <c r="AR7" s="638"/>
      <c r="AS7" s="638"/>
      <c r="AT7" s="638"/>
      <c r="AU7" s="638"/>
      <c r="AV7" s="638"/>
      <c r="AW7" s="638"/>
      <c r="AX7" s="638"/>
      <c r="AY7" s="638"/>
      <c r="AZ7" s="815"/>
      <c r="BA7" s="815"/>
      <c r="BB7" s="815"/>
      <c r="BC7" s="815"/>
      <c r="BD7" s="815"/>
      <c r="BE7" s="815"/>
      <c r="BF7" s="815"/>
      <c r="BG7" s="815"/>
      <c r="BH7" s="815"/>
      <c r="BI7" s="815"/>
      <c r="BJ7" s="815"/>
      <c r="BK7" s="815"/>
      <c r="BL7" s="815"/>
      <c r="BM7" s="815"/>
      <c r="BN7" s="1224"/>
      <c r="BO7" s="1224"/>
      <c r="BP7" s="1224"/>
      <c r="BQ7" s="1224"/>
      <c r="BR7" s="1224"/>
      <c r="BS7" s="1224"/>
      <c r="BT7" s="1224"/>
      <c r="BU7" s="1224"/>
      <c r="BV7" s="1224"/>
      <c r="BW7" s="1224"/>
      <c r="BX7" s="644"/>
      <c r="BY7" s="633" t="s">
        <v>7</v>
      </c>
    </row>
    <row r="8" spans="1:77" ht="19.5" hidden="1" customHeight="1" x14ac:dyDescent="0.35">
      <c r="B8" s="641"/>
      <c r="C8" s="332" t="s">
        <v>3141</v>
      </c>
      <c r="D8" s="333" t="s">
        <v>3142</v>
      </c>
      <c r="E8" s="333" t="s">
        <v>3058</v>
      </c>
      <c r="F8" s="333" t="s">
        <v>3143</v>
      </c>
      <c r="G8" s="334">
        <v>275</v>
      </c>
      <c r="H8" s="333">
        <v>2022</v>
      </c>
      <c r="I8" s="333" t="s">
        <v>3085</v>
      </c>
      <c r="J8" s="333"/>
      <c r="K8" s="333" t="s">
        <v>2724</v>
      </c>
      <c r="L8" s="333" t="s">
        <v>3144</v>
      </c>
      <c r="M8" s="328" t="s">
        <v>731</v>
      </c>
      <c r="N8" s="335" t="s">
        <v>78</v>
      </c>
      <c r="O8" s="336" t="s">
        <v>79</v>
      </c>
      <c r="P8" s="336"/>
      <c r="Q8" s="337"/>
      <c r="S8" s="338">
        <f t="shared" si="10"/>
        <v>1</v>
      </c>
      <c r="T8" s="951">
        <v>45432</v>
      </c>
      <c r="U8" s="339">
        <f t="shared" ca="1" si="11"/>
        <v>232</v>
      </c>
      <c r="W8" s="373"/>
      <c r="X8" s="373"/>
      <c r="Y8" s="373"/>
      <c r="Z8" s="373"/>
      <c r="AA8" s="373"/>
      <c r="AB8" s="373"/>
      <c r="AC8" s="373"/>
      <c r="AD8" s="373"/>
      <c r="AE8" s="373"/>
      <c r="AF8" s="373"/>
      <c r="AG8" s="373"/>
      <c r="AH8" s="553"/>
      <c r="AI8" s="553"/>
      <c r="AJ8" s="553"/>
      <c r="AK8" s="553"/>
      <c r="AL8" s="553"/>
      <c r="AM8" s="621"/>
      <c r="AN8" s="621" t="s">
        <v>3687</v>
      </c>
      <c r="AO8" s="639"/>
      <c r="AP8" s="640"/>
      <c r="AQ8" s="640"/>
      <c r="AR8" s="640"/>
      <c r="AS8" s="640"/>
      <c r="AT8" s="640"/>
      <c r="AU8" s="640"/>
      <c r="AV8" s="640"/>
      <c r="AW8" s="640"/>
      <c r="AX8" s="640"/>
      <c r="AY8" s="640"/>
      <c r="AZ8" s="816"/>
      <c r="BA8" s="816"/>
      <c r="BB8" s="816"/>
      <c r="BC8" s="816"/>
      <c r="BD8" s="816"/>
      <c r="BE8" s="816"/>
      <c r="BF8" s="816"/>
      <c r="BG8" s="816"/>
      <c r="BH8" s="816"/>
      <c r="BI8" s="816"/>
      <c r="BJ8" s="816"/>
      <c r="BK8" s="816"/>
      <c r="BL8" s="816"/>
      <c r="BM8" s="816"/>
      <c r="BN8" s="1231"/>
      <c r="BO8" s="1231"/>
      <c r="BP8" s="1231"/>
      <c r="BQ8" s="1231"/>
      <c r="BR8" s="1231"/>
      <c r="BS8" s="1231"/>
      <c r="BT8" s="1231"/>
      <c r="BU8" s="1231"/>
      <c r="BV8" s="1231"/>
      <c r="BW8" s="1231"/>
      <c r="BX8" s="645"/>
      <c r="BY8" s="633" t="s">
        <v>7</v>
      </c>
    </row>
    <row r="9" spans="1:77" ht="19.5" hidden="1" customHeight="1" x14ac:dyDescent="0.35">
      <c r="B9" s="332"/>
      <c r="C9" s="332" t="s">
        <v>2694</v>
      </c>
      <c r="D9" s="333"/>
      <c r="E9" s="333" t="s">
        <v>3058</v>
      </c>
      <c r="F9" s="333"/>
      <c r="G9" s="334"/>
      <c r="H9" s="333"/>
      <c r="I9" s="333"/>
      <c r="J9" s="333"/>
      <c r="K9" s="333" t="s">
        <v>2724</v>
      </c>
      <c r="L9" s="333" t="s">
        <v>3915</v>
      </c>
      <c r="N9" s="335" t="s">
        <v>78</v>
      </c>
      <c r="O9" s="336" t="s">
        <v>86</v>
      </c>
      <c r="P9" s="336"/>
      <c r="Q9" s="337" t="s">
        <v>4894</v>
      </c>
      <c r="S9" s="338">
        <f t="shared" si="10"/>
        <v>4</v>
      </c>
      <c r="T9" s="951">
        <v>45436</v>
      </c>
      <c r="U9" s="339">
        <f t="shared" ca="1" si="11"/>
        <v>228</v>
      </c>
      <c r="W9" s="557"/>
      <c r="X9" s="557"/>
      <c r="Y9" s="557"/>
      <c r="Z9" s="557"/>
      <c r="AA9" s="557"/>
      <c r="AB9" s="557" t="s">
        <v>200</v>
      </c>
      <c r="AC9" s="557"/>
      <c r="AD9" s="557"/>
      <c r="AE9" s="557"/>
      <c r="AF9" s="557"/>
      <c r="AG9" s="557"/>
      <c r="AH9" s="557"/>
      <c r="AI9" s="557"/>
      <c r="AJ9" s="557"/>
      <c r="AK9" s="557"/>
      <c r="AL9" s="557"/>
      <c r="AM9" s="557"/>
      <c r="AN9" s="557" t="s">
        <v>3916</v>
      </c>
      <c r="AO9" s="557"/>
      <c r="AP9" s="638"/>
      <c r="AQ9" s="638"/>
      <c r="AR9" s="638"/>
      <c r="AS9" s="638"/>
      <c r="AT9" s="638"/>
      <c r="AU9" s="638"/>
      <c r="AV9" s="638"/>
      <c r="AW9" s="638"/>
      <c r="AX9" s="638"/>
      <c r="AY9" s="638"/>
      <c r="AZ9" s="815"/>
      <c r="BA9" s="815"/>
      <c r="BB9" s="815"/>
      <c r="BC9" s="815"/>
      <c r="BD9" s="815"/>
      <c r="BE9" s="815"/>
      <c r="BF9" s="557" t="s">
        <v>4277</v>
      </c>
      <c r="BG9" s="1336"/>
      <c r="BH9" s="815"/>
      <c r="BI9" s="815"/>
      <c r="BJ9" s="557"/>
      <c r="BK9" s="557" t="s">
        <v>3066</v>
      </c>
      <c r="BL9" s="815"/>
      <c r="BM9" s="815"/>
      <c r="BN9" s="1224"/>
      <c r="BO9" s="1224"/>
      <c r="BP9" s="1224"/>
      <c r="BQ9" s="1224"/>
      <c r="BR9" s="1224"/>
      <c r="BS9" s="1224"/>
      <c r="BT9" s="1224"/>
      <c r="BU9" s="1224"/>
      <c r="BV9" s="1224"/>
      <c r="BW9" s="1224"/>
      <c r="BX9" s="644"/>
      <c r="BY9" s="633" t="s">
        <v>7</v>
      </c>
    </row>
    <row r="10" spans="1:77" ht="19.5" hidden="1" customHeight="1" x14ac:dyDescent="0.35">
      <c r="B10" s="641"/>
      <c r="C10" s="332" t="s">
        <v>3084</v>
      </c>
      <c r="D10" s="333"/>
      <c r="E10" s="333" t="s">
        <v>3058</v>
      </c>
      <c r="F10" s="333"/>
      <c r="G10" s="334"/>
      <c r="H10" s="334"/>
      <c r="I10" s="333" t="s">
        <v>3085</v>
      </c>
      <c r="J10" s="333"/>
      <c r="K10" s="333"/>
      <c r="L10" s="333" t="s">
        <v>3086</v>
      </c>
      <c r="M10" s="328" t="s">
        <v>731</v>
      </c>
      <c r="N10" s="335" t="s">
        <v>78</v>
      </c>
      <c r="O10" s="336"/>
      <c r="P10" s="336"/>
      <c r="Q10" s="337"/>
      <c r="S10" s="338">
        <f t="shared" si="10"/>
        <v>3</v>
      </c>
      <c r="T10" s="951">
        <v>45327</v>
      </c>
      <c r="U10" s="339">
        <f t="shared" ca="1" si="11"/>
        <v>337</v>
      </c>
      <c r="W10" s="373"/>
      <c r="X10" s="373"/>
      <c r="Y10" s="373" t="s">
        <v>3076</v>
      </c>
      <c r="Z10" s="373" t="s">
        <v>3077</v>
      </c>
      <c r="AA10" s="373"/>
      <c r="AB10" s="373"/>
      <c r="AC10" s="373"/>
      <c r="AD10" s="373"/>
      <c r="AE10" s="373"/>
      <c r="AF10" s="373"/>
      <c r="AG10" s="373"/>
      <c r="AH10" s="553"/>
      <c r="AI10" s="553"/>
      <c r="AJ10" s="553"/>
      <c r="AK10" s="553"/>
      <c r="AL10" s="553"/>
      <c r="AM10" s="621"/>
      <c r="AN10" s="621"/>
      <c r="AO10" s="557"/>
      <c r="AP10" s="638"/>
      <c r="AQ10" s="638"/>
      <c r="AR10" s="638"/>
      <c r="AS10" s="638"/>
      <c r="AT10" s="638"/>
      <c r="AU10" s="638"/>
      <c r="AV10" s="638"/>
      <c r="AW10" s="638"/>
      <c r="AX10" s="638"/>
      <c r="AY10" s="638"/>
      <c r="AZ10" s="815"/>
      <c r="BA10" s="815"/>
      <c r="BB10" s="815"/>
      <c r="BC10" s="815"/>
      <c r="BD10" s="815"/>
      <c r="BE10" s="815"/>
      <c r="BF10" s="557" t="s">
        <v>4277</v>
      </c>
      <c r="BH10" s="815"/>
      <c r="BI10" s="815"/>
      <c r="BJ10" s="815"/>
      <c r="BK10" s="815"/>
      <c r="BL10" s="815"/>
      <c r="BM10" s="815"/>
      <c r="BN10" s="1224"/>
      <c r="BO10" s="1224"/>
      <c r="BP10" s="1224"/>
      <c r="BQ10" s="1224"/>
      <c r="BR10" s="1224"/>
      <c r="BS10" s="1224"/>
      <c r="BT10" s="1224"/>
      <c r="BU10" s="1224"/>
      <c r="BV10" s="1224"/>
      <c r="BW10" s="1224"/>
      <c r="BX10" s="644"/>
      <c r="BY10" s="633" t="s">
        <v>7</v>
      </c>
    </row>
    <row r="11" spans="1:77" ht="19.5" hidden="1" customHeight="1" x14ac:dyDescent="0.35">
      <c r="B11" s="1278"/>
      <c r="C11" s="1278" t="s">
        <v>5309</v>
      </c>
      <c r="D11" s="1279"/>
      <c r="E11" s="1279" t="s">
        <v>433</v>
      </c>
      <c r="F11" s="1279"/>
      <c r="G11" s="1280"/>
      <c r="H11" s="1279"/>
      <c r="I11" s="1279"/>
      <c r="J11" s="1279"/>
      <c r="K11" s="1279" t="s">
        <v>2724</v>
      </c>
      <c r="L11" s="1310" t="s">
        <v>5310</v>
      </c>
      <c r="M11" s="1281"/>
      <c r="N11" s="1282" t="s">
        <v>78</v>
      </c>
      <c r="O11" s="1283" t="s">
        <v>4423</v>
      </c>
      <c r="P11" s="1283" t="s">
        <v>128</v>
      </c>
      <c r="Q11" s="1284"/>
      <c r="R11" s="1285"/>
      <c r="S11" s="1286">
        <f t="shared" si="10"/>
        <v>1</v>
      </c>
      <c r="T11" s="1287">
        <v>45614</v>
      </c>
      <c r="U11" s="1288">
        <f t="shared" ca="1" si="11"/>
        <v>50</v>
      </c>
      <c r="V11" s="1285"/>
      <c r="W11" s="1289"/>
      <c r="X11" s="1289"/>
      <c r="Y11" s="1289"/>
      <c r="Z11" s="1289"/>
      <c r="AA11" s="1289"/>
      <c r="AB11" s="1289"/>
      <c r="AC11" s="1289"/>
      <c r="AD11" s="1289"/>
      <c r="AE11" s="1289"/>
      <c r="AF11" s="1289"/>
      <c r="AG11" s="1289"/>
      <c r="AH11" s="1289"/>
      <c r="AI11" s="1289"/>
      <c r="AJ11" s="1289"/>
      <c r="AK11" s="1289"/>
      <c r="AL11" s="1289"/>
      <c r="AM11" s="1289"/>
      <c r="AN11" s="1289"/>
      <c r="AO11" s="1289"/>
      <c r="AP11" s="1289"/>
      <c r="AQ11" s="1289"/>
      <c r="AR11" s="1289"/>
      <c r="AS11" s="1289"/>
      <c r="AT11" s="1289"/>
      <c r="AU11" s="1289"/>
      <c r="AV11" s="1289"/>
      <c r="AW11" s="1289"/>
      <c r="AX11" s="1289"/>
      <c r="AY11" s="1289"/>
      <c r="AZ11" s="1289"/>
      <c r="BA11" s="1289"/>
      <c r="BB11" s="1289"/>
      <c r="BC11" s="1289"/>
      <c r="BD11" s="1289"/>
      <c r="BE11" s="1289"/>
      <c r="BF11" s="1289"/>
      <c r="BG11" s="1289"/>
      <c r="BH11" s="1289"/>
      <c r="BI11" s="1289"/>
      <c r="BJ11" s="1289"/>
      <c r="BK11" s="1289"/>
      <c r="BL11" s="1289"/>
      <c r="BM11" s="1289"/>
      <c r="BN11" s="1289" t="s">
        <v>3066</v>
      </c>
      <c r="BO11" s="1289"/>
      <c r="BP11" s="1289"/>
      <c r="BQ11" s="1289"/>
      <c r="BR11" s="1289"/>
      <c r="BS11" s="1289"/>
      <c r="BT11" s="1289"/>
      <c r="BU11" s="1289"/>
      <c r="BV11" s="1289"/>
      <c r="BW11" s="1289"/>
      <c r="BX11" s="1290"/>
      <c r="BY11" s="312" t="s">
        <v>7</v>
      </c>
    </row>
    <row r="12" spans="1:77" ht="19.5" hidden="1" customHeight="1" x14ac:dyDescent="0.35">
      <c r="A12" s="1296"/>
      <c r="B12" s="641"/>
      <c r="C12" s="332" t="s">
        <v>3100</v>
      </c>
      <c r="D12" s="333"/>
      <c r="E12" s="333" t="s">
        <v>3058</v>
      </c>
      <c r="F12" s="333"/>
      <c r="G12" s="334">
        <v>270</v>
      </c>
      <c r="H12" s="333">
        <v>2023</v>
      </c>
      <c r="I12" s="333" t="s">
        <v>3162</v>
      </c>
      <c r="J12" s="333"/>
      <c r="K12" s="333" t="s">
        <v>2724</v>
      </c>
      <c r="L12" s="333" t="s">
        <v>3101</v>
      </c>
      <c r="N12" s="335" t="s">
        <v>61</v>
      </c>
      <c r="O12" s="336"/>
      <c r="P12" s="336"/>
      <c r="Q12" s="337"/>
      <c r="S12" s="338">
        <f t="shared" si="10"/>
        <v>7</v>
      </c>
      <c r="T12" s="951">
        <v>45432</v>
      </c>
      <c r="U12" s="339">
        <f t="shared" ca="1" si="11"/>
        <v>232</v>
      </c>
      <c r="W12" s="373" t="s">
        <v>3977</v>
      </c>
      <c r="X12" s="373"/>
      <c r="Y12" s="373"/>
      <c r="Z12" s="373"/>
      <c r="AA12" s="373"/>
      <c r="AB12" s="373"/>
      <c r="AC12" s="373"/>
      <c r="AD12" s="373"/>
      <c r="AE12" s="373"/>
      <c r="AF12" s="373"/>
      <c r="AG12" s="373"/>
      <c r="AH12" s="553"/>
      <c r="AI12" s="553"/>
      <c r="AJ12" s="553"/>
      <c r="AK12" s="553"/>
      <c r="AL12" s="557" t="s">
        <v>200</v>
      </c>
      <c r="AM12" s="621"/>
      <c r="AN12" s="621" t="s">
        <v>3687</v>
      </c>
      <c r="AO12" s="557"/>
      <c r="AP12" s="638"/>
      <c r="AQ12" s="638"/>
      <c r="AR12" s="750" t="s">
        <v>4280</v>
      </c>
      <c r="AS12" s="638" t="s">
        <v>4260</v>
      </c>
      <c r="AT12" s="638"/>
      <c r="AU12" s="638"/>
      <c r="AV12" s="638"/>
      <c r="AW12" s="638"/>
      <c r="AX12" s="638"/>
      <c r="AY12" s="638"/>
      <c r="AZ12" s="815"/>
      <c r="BA12" s="815"/>
      <c r="BB12" s="815"/>
      <c r="BC12" s="815" t="s">
        <v>3312</v>
      </c>
      <c r="BD12" s="815"/>
      <c r="BE12" s="815"/>
      <c r="BF12" s="815"/>
      <c r="BG12" s="815"/>
      <c r="BH12" s="815"/>
      <c r="BI12" s="815"/>
      <c r="BJ12" s="815"/>
      <c r="BK12" s="1191" t="s">
        <v>5189</v>
      </c>
      <c r="BL12" s="815"/>
      <c r="BM12" s="815"/>
      <c r="BN12" s="1224"/>
      <c r="BO12" s="1224"/>
      <c r="BP12" s="1224"/>
      <c r="BQ12" s="1224"/>
      <c r="BR12" s="1224"/>
      <c r="BS12" s="1224"/>
      <c r="BT12" s="1224"/>
      <c r="BU12" s="1224"/>
      <c r="BV12" s="1224"/>
      <c r="BW12" s="1224"/>
      <c r="BX12" s="644"/>
      <c r="BY12" s="633" t="s">
        <v>7</v>
      </c>
    </row>
    <row r="13" spans="1:77" ht="19.5" hidden="1" customHeight="1" x14ac:dyDescent="0.35">
      <c r="B13" s="641"/>
      <c r="C13" s="332" t="s">
        <v>3131</v>
      </c>
      <c r="D13" s="333" t="s">
        <v>3132</v>
      </c>
      <c r="E13" s="333" t="s">
        <v>3058</v>
      </c>
      <c r="F13" s="333" t="s">
        <v>3133</v>
      </c>
      <c r="G13" s="334">
        <v>1550</v>
      </c>
      <c r="H13" s="333">
        <v>2022</v>
      </c>
      <c r="I13" s="333" t="s">
        <v>3085</v>
      </c>
      <c r="J13" s="333"/>
      <c r="K13" s="333" t="s">
        <v>3134</v>
      </c>
      <c r="L13" s="340" t="s">
        <v>3135</v>
      </c>
      <c r="M13" s="328" t="s">
        <v>731</v>
      </c>
      <c r="N13" s="335" t="s">
        <v>78</v>
      </c>
      <c r="O13" s="336"/>
      <c r="P13" s="336"/>
      <c r="Q13" s="337"/>
      <c r="S13" s="338">
        <f t="shared" si="10"/>
        <v>2</v>
      </c>
      <c r="T13" s="951">
        <v>45544</v>
      </c>
      <c r="U13" s="339">
        <f t="shared" ca="1" si="11"/>
        <v>120</v>
      </c>
      <c r="W13" s="373"/>
      <c r="X13" s="373"/>
      <c r="Y13" s="373"/>
      <c r="Z13" s="373"/>
      <c r="AA13" s="373"/>
      <c r="AB13" s="373"/>
      <c r="AC13" s="373"/>
      <c r="AD13" s="373" t="s">
        <v>4419</v>
      </c>
      <c r="AE13" s="373"/>
      <c r="AF13" s="373"/>
      <c r="AG13" s="373"/>
      <c r="AH13" s="553"/>
      <c r="AI13" s="553"/>
      <c r="AJ13" s="553"/>
      <c r="AK13" s="553"/>
      <c r="AL13" s="553"/>
      <c r="AM13" s="621"/>
      <c r="AN13" s="621"/>
      <c r="AO13" s="639"/>
      <c r="AP13" s="640"/>
      <c r="AQ13" s="640"/>
      <c r="AR13" s="640"/>
      <c r="AS13" s="640"/>
      <c r="AT13" s="640"/>
      <c r="AU13" s="640"/>
      <c r="AV13" s="640"/>
      <c r="AW13" s="640"/>
      <c r="AX13" s="640"/>
      <c r="AY13" s="640"/>
      <c r="AZ13" s="816"/>
      <c r="BA13" s="816"/>
      <c r="BB13" s="816"/>
      <c r="BC13" s="816"/>
      <c r="BD13" s="860" t="s">
        <v>3810</v>
      </c>
      <c r="BE13" s="816"/>
      <c r="BF13" s="816"/>
      <c r="BG13" s="816"/>
      <c r="BH13" s="816"/>
      <c r="BI13" s="816"/>
      <c r="BJ13" s="816"/>
      <c r="BK13" s="816"/>
      <c r="BL13" s="816"/>
      <c r="BM13" s="816"/>
      <c r="BN13" s="1231"/>
      <c r="BO13" s="1231"/>
      <c r="BP13" s="1231"/>
      <c r="BQ13" s="1231"/>
      <c r="BR13" s="1231"/>
      <c r="BS13" s="1231"/>
      <c r="BT13" s="1231"/>
      <c r="BU13" s="1231"/>
      <c r="BV13" s="1231"/>
      <c r="BW13" s="1231"/>
      <c r="BX13" s="645"/>
      <c r="BY13" s="633" t="s">
        <v>7</v>
      </c>
    </row>
    <row r="14" spans="1:77" ht="19.5" hidden="1" customHeight="1" x14ac:dyDescent="0.35">
      <c r="B14" s="641"/>
      <c r="C14" s="332" t="s">
        <v>3973</v>
      </c>
      <c r="D14" s="333"/>
      <c r="E14" s="333" t="s">
        <v>3058</v>
      </c>
      <c r="F14" s="333"/>
      <c r="G14" s="334">
        <v>100</v>
      </c>
      <c r="H14" s="333">
        <v>2023</v>
      </c>
      <c r="I14" s="333" t="s">
        <v>3139</v>
      </c>
      <c r="J14" s="333"/>
      <c r="K14" s="546" t="s">
        <v>2724</v>
      </c>
      <c r="L14" s="340" t="s">
        <v>3975</v>
      </c>
      <c r="M14" s="328" t="s">
        <v>731</v>
      </c>
      <c r="N14" s="335" t="s">
        <v>78</v>
      </c>
      <c r="O14" s="336"/>
      <c r="P14" s="336"/>
      <c r="Q14" s="337" t="s">
        <v>3974</v>
      </c>
      <c r="S14" s="338">
        <f t="shared" si="10"/>
        <v>5</v>
      </c>
      <c r="T14" s="951">
        <v>45449</v>
      </c>
      <c r="U14" s="339">
        <f t="shared" ca="1" si="11"/>
        <v>215</v>
      </c>
      <c r="W14" s="373"/>
      <c r="X14" s="373"/>
      <c r="Y14" s="373"/>
      <c r="Z14" s="373"/>
      <c r="AA14" s="373"/>
      <c r="AB14" s="373"/>
      <c r="AC14" s="373"/>
      <c r="AD14" s="373"/>
      <c r="AE14" s="373"/>
      <c r="AF14" s="373"/>
      <c r="AG14" s="373"/>
      <c r="AH14" s="553"/>
      <c r="AI14" s="553"/>
      <c r="AJ14" s="553"/>
      <c r="AK14" s="553"/>
      <c r="AL14" s="553"/>
      <c r="AM14" s="621"/>
      <c r="AN14" s="621"/>
      <c r="AO14" s="639" t="s">
        <v>200</v>
      </c>
      <c r="AP14" s="640" t="s">
        <v>3329</v>
      </c>
      <c r="AQ14" s="640"/>
      <c r="AR14" s="640"/>
      <c r="AS14" s="640"/>
      <c r="AT14" s="640"/>
      <c r="AU14" s="640"/>
      <c r="AV14" s="640"/>
      <c r="AW14" s="640"/>
      <c r="AX14" s="640"/>
      <c r="AY14" s="640"/>
      <c r="AZ14" s="816"/>
      <c r="BA14" s="816"/>
      <c r="BB14" s="816"/>
      <c r="BC14" s="816"/>
      <c r="BD14" s="816" t="s">
        <v>4260</v>
      </c>
      <c r="BE14" s="816"/>
      <c r="BF14" s="816"/>
      <c r="BG14" s="816"/>
      <c r="BH14" s="816"/>
      <c r="BI14" s="1139" t="s">
        <v>4277</v>
      </c>
      <c r="BJ14" s="1139"/>
      <c r="BK14" s="816"/>
      <c r="BL14" s="639"/>
      <c r="BM14" s="639" t="s">
        <v>3312</v>
      </c>
      <c r="BN14" s="1231"/>
      <c r="BO14" s="1231"/>
      <c r="BP14" s="1231"/>
      <c r="BQ14" s="1231"/>
      <c r="BR14" s="1231"/>
      <c r="BS14" s="1231"/>
      <c r="BT14" s="1231"/>
      <c r="BU14" s="1231"/>
      <c r="BV14" s="1231"/>
      <c r="BW14" s="1231"/>
      <c r="BX14" s="645"/>
      <c r="BY14" s="633" t="s">
        <v>7</v>
      </c>
    </row>
    <row r="15" spans="1:77" ht="19.5" hidden="1" customHeight="1" x14ac:dyDescent="0.35">
      <c r="B15" s="641"/>
      <c r="C15" s="558" t="s">
        <v>4677</v>
      </c>
      <c r="D15" s="546"/>
      <c r="E15" s="559" t="s">
        <v>3058</v>
      </c>
      <c r="F15" s="1054" t="s">
        <v>4678</v>
      </c>
      <c r="G15" s="547">
        <v>650</v>
      </c>
      <c r="H15" s="546"/>
      <c r="I15" s="546" t="s">
        <v>3162</v>
      </c>
      <c r="J15" s="546"/>
      <c r="K15" s="546" t="s">
        <v>2724</v>
      </c>
      <c r="L15" s="559" t="s">
        <v>4679</v>
      </c>
      <c r="M15" s="548"/>
      <c r="N15" s="549" t="s">
        <v>78</v>
      </c>
      <c r="O15" s="550"/>
      <c r="P15" s="550"/>
      <c r="Q15" s="551" t="s">
        <v>4680</v>
      </c>
      <c r="R15" s="552"/>
      <c r="S15" s="338">
        <f t="shared" si="10"/>
        <v>1</v>
      </c>
      <c r="T15" s="951">
        <v>45588</v>
      </c>
      <c r="U15" s="339">
        <f t="shared" ca="1" si="11"/>
        <v>76</v>
      </c>
      <c r="V15" s="552"/>
      <c r="W15" s="553"/>
      <c r="X15" s="553"/>
      <c r="Y15" s="553"/>
      <c r="Z15" s="553"/>
      <c r="AA15" s="553"/>
      <c r="AB15" s="553"/>
      <c r="AC15" s="553"/>
      <c r="AD15" s="553"/>
      <c r="AE15" s="553"/>
      <c r="AF15" s="553"/>
      <c r="AG15" s="553"/>
      <c r="AH15" s="553"/>
      <c r="AI15" s="553"/>
      <c r="AJ15" s="561"/>
      <c r="AK15" s="553"/>
      <c r="AL15" s="553"/>
      <c r="AM15" s="621"/>
      <c r="AN15" s="621"/>
      <c r="AO15" s="557"/>
      <c r="AP15" s="638"/>
      <c r="AQ15" s="638"/>
      <c r="AR15" s="638"/>
      <c r="AS15" s="638"/>
      <c r="AT15" s="638"/>
      <c r="AU15" s="638"/>
      <c r="AV15" s="638"/>
      <c r="AW15" s="638"/>
      <c r="AX15" s="638"/>
      <c r="AY15" s="638"/>
      <c r="AZ15" s="815"/>
      <c r="BA15" s="815"/>
      <c r="BB15" s="815"/>
      <c r="BC15" s="815"/>
      <c r="BD15" s="815"/>
      <c r="BE15" s="815"/>
      <c r="BF15" s="815"/>
      <c r="BG15" s="815"/>
      <c r="BH15" s="815"/>
      <c r="BI15" s="815"/>
      <c r="BJ15" s="815" t="s">
        <v>4893</v>
      </c>
      <c r="BK15" s="815"/>
      <c r="BL15" s="815"/>
      <c r="BM15" s="815"/>
      <c r="BN15" s="1224"/>
      <c r="BO15" s="1224"/>
      <c r="BP15" s="1224"/>
      <c r="BQ15" s="1224"/>
      <c r="BR15" s="1224"/>
      <c r="BS15" s="1224"/>
      <c r="BT15" s="1224"/>
      <c r="BU15" s="1224"/>
      <c r="BV15" s="1224"/>
      <c r="BW15" s="1224"/>
      <c r="BX15" s="644"/>
      <c r="BY15" s="633" t="s">
        <v>7</v>
      </c>
    </row>
    <row r="16" spans="1:77" ht="19.5" hidden="1" customHeight="1" x14ac:dyDescent="0.35">
      <c r="B16" s="641"/>
      <c r="C16" s="1128" t="s">
        <v>4856</v>
      </c>
      <c r="D16" s="546" t="s">
        <v>4855</v>
      </c>
      <c r="E16" s="559" t="s">
        <v>3058</v>
      </c>
      <c r="F16" s="1054"/>
      <c r="G16" s="547"/>
      <c r="H16" s="546"/>
      <c r="I16" s="546"/>
      <c r="J16" s="546"/>
      <c r="K16" s="546" t="s">
        <v>2724</v>
      </c>
      <c r="L16" s="1129" t="s">
        <v>3969</v>
      </c>
      <c r="M16" s="548"/>
      <c r="N16" s="549" t="s">
        <v>78</v>
      </c>
      <c r="O16" s="550" t="s">
        <v>4423</v>
      </c>
      <c r="P16" s="550"/>
      <c r="Q16" s="551"/>
      <c r="R16" s="552"/>
      <c r="S16" s="338">
        <f t="shared" si="10"/>
        <v>1</v>
      </c>
      <c r="T16" s="951">
        <v>45590</v>
      </c>
      <c r="U16" s="339">
        <f t="shared" ca="1" si="11"/>
        <v>74</v>
      </c>
      <c r="V16" s="552"/>
      <c r="W16" s="553"/>
      <c r="X16" s="553"/>
      <c r="Y16" s="553"/>
      <c r="Z16" s="553"/>
      <c r="AA16" s="553"/>
      <c r="AB16" s="553"/>
      <c r="AC16" s="553"/>
      <c r="AD16" s="553"/>
      <c r="AE16" s="553"/>
      <c r="AF16" s="553"/>
      <c r="AG16" s="553"/>
      <c r="AH16" s="553"/>
      <c r="AI16" s="553"/>
      <c r="AJ16" s="561"/>
      <c r="AK16" s="553"/>
      <c r="AL16" s="553"/>
      <c r="AM16" s="621"/>
      <c r="AN16" s="621"/>
      <c r="AO16" s="557"/>
      <c r="AP16" s="638"/>
      <c r="AQ16" s="638"/>
      <c r="AR16" s="638"/>
      <c r="AS16" s="638"/>
      <c r="AT16" s="638"/>
      <c r="AU16" s="638"/>
      <c r="AV16" s="638"/>
      <c r="AW16" s="638"/>
      <c r="AX16" s="638"/>
      <c r="AY16" s="638"/>
      <c r="AZ16" s="815"/>
      <c r="BA16" s="815"/>
      <c r="BB16" s="815"/>
      <c r="BC16" s="815"/>
      <c r="BD16" s="815"/>
      <c r="BE16" s="815"/>
      <c r="BF16" s="815"/>
      <c r="BG16" s="815"/>
      <c r="BH16" s="815"/>
      <c r="BI16" s="815"/>
      <c r="BJ16" s="1130" t="s">
        <v>4857</v>
      </c>
      <c r="BK16" s="1130"/>
      <c r="BL16" s="815"/>
      <c r="BM16" s="815"/>
      <c r="BN16" s="1224"/>
      <c r="BO16" s="1224"/>
      <c r="BP16" s="1224"/>
      <c r="BQ16" s="1224"/>
      <c r="BR16" s="1224"/>
      <c r="BS16" s="1224"/>
      <c r="BT16" s="1224"/>
      <c r="BU16" s="1224"/>
      <c r="BV16" s="1224"/>
      <c r="BW16" s="1224"/>
      <c r="BX16" s="644"/>
      <c r="BY16" s="633" t="s">
        <v>7</v>
      </c>
    </row>
    <row r="17" spans="1:77" ht="19.5" hidden="1" customHeight="1" x14ac:dyDescent="0.35">
      <c r="B17" s="641"/>
      <c r="C17" s="558" t="s">
        <v>3633</v>
      </c>
      <c r="D17" s="546"/>
      <c r="E17" s="559" t="s">
        <v>3335</v>
      </c>
      <c r="F17" s="546"/>
      <c r="G17" s="547"/>
      <c r="H17" s="546"/>
      <c r="I17" s="546"/>
      <c r="J17" s="546"/>
      <c r="K17" s="546" t="s">
        <v>2724</v>
      </c>
      <c r="L17" s="559" t="s">
        <v>3636</v>
      </c>
      <c r="M17" s="548"/>
      <c r="N17" s="549"/>
      <c r="O17" s="550" t="s">
        <v>86</v>
      </c>
      <c r="P17" s="550"/>
      <c r="Q17" s="551"/>
      <c r="R17" s="552"/>
      <c r="S17" s="338">
        <f t="shared" si="10"/>
        <v>1</v>
      </c>
      <c r="T17" s="951">
        <v>45356</v>
      </c>
      <c r="U17" s="339">
        <f t="shared" ca="1" si="11"/>
        <v>308</v>
      </c>
      <c r="V17" s="552"/>
      <c r="W17" s="553"/>
      <c r="X17" s="553"/>
      <c r="Y17" s="553"/>
      <c r="Z17" s="553"/>
      <c r="AA17" s="553"/>
      <c r="AB17" s="553"/>
      <c r="AC17" s="553"/>
      <c r="AD17" s="553"/>
      <c r="AE17" s="553"/>
      <c r="AF17" s="553"/>
      <c r="AG17" s="553"/>
      <c r="AH17" s="553"/>
      <c r="AI17" s="553"/>
      <c r="AJ17" s="561" t="s">
        <v>3637</v>
      </c>
      <c r="AK17" s="553"/>
      <c r="AL17" s="553"/>
      <c r="AM17" s="621"/>
      <c r="AN17" s="621"/>
      <c r="AO17" s="557"/>
      <c r="AP17" s="638"/>
      <c r="AQ17" s="638"/>
      <c r="AR17" s="638"/>
      <c r="AS17" s="638"/>
      <c r="AT17" s="638"/>
      <c r="AU17" s="638"/>
      <c r="AV17" s="638"/>
      <c r="AW17" s="638"/>
      <c r="AX17" s="638"/>
      <c r="AY17" s="638"/>
      <c r="AZ17" s="815"/>
      <c r="BA17" s="815"/>
      <c r="BB17" s="815"/>
      <c r="BC17" s="815"/>
      <c r="BD17" s="815"/>
      <c r="BE17" s="815"/>
      <c r="BF17" s="815"/>
      <c r="BG17" s="815"/>
      <c r="BH17" s="815"/>
      <c r="BI17" s="815"/>
      <c r="BJ17" s="815"/>
      <c r="BK17" s="815"/>
      <c r="BL17" s="815"/>
      <c r="BM17" s="815"/>
      <c r="BN17" s="1224"/>
      <c r="BO17" s="1224"/>
      <c r="BP17" s="1224"/>
      <c r="BQ17" s="1224"/>
      <c r="BR17" s="1224"/>
      <c r="BS17" s="1224"/>
      <c r="BT17" s="1224"/>
      <c r="BU17" s="1224"/>
      <c r="BV17" s="1224"/>
      <c r="BW17" s="1224"/>
      <c r="BX17" s="644"/>
      <c r="BY17" s="633" t="s">
        <v>7</v>
      </c>
    </row>
    <row r="18" spans="1:77" ht="19.5" hidden="1" customHeight="1" x14ac:dyDescent="0.35">
      <c r="A18" s="937"/>
      <c r="B18" s="938"/>
      <c r="C18" s="938" t="s">
        <v>4469</v>
      </c>
      <c r="D18" s="939"/>
      <c r="E18" s="939" t="s">
        <v>3058</v>
      </c>
      <c r="F18" s="939"/>
      <c r="G18" s="940" t="s">
        <v>4470</v>
      </c>
      <c r="H18" s="939">
        <v>2024</v>
      </c>
      <c r="I18" s="939" t="s">
        <v>3160</v>
      </c>
      <c r="J18" s="939" t="s">
        <v>3094</v>
      </c>
      <c r="K18" s="939" t="s">
        <v>2724</v>
      </c>
      <c r="L18" s="939" t="s">
        <v>4471</v>
      </c>
      <c r="M18" s="941"/>
      <c r="N18" s="942" t="s">
        <v>78</v>
      </c>
      <c r="O18" s="943"/>
      <c r="P18" s="943"/>
      <c r="Q18" s="944"/>
      <c r="R18" s="945"/>
      <c r="S18" s="946">
        <f t="shared" si="10"/>
        <v>2</v>
      </c>
      <c r="T18" s="951">
        <v>45562</v>
      </c>
      <c r="U18" s="339">
        <f t="shared" ca="1" si="11"/>
        <v>102</v>
      </c>
      <c r="V18" s="945"/>
      <c r="W18" s="947"/>
      <c r="X18" s="947"/>
      <c r="Y18" s="947"/>
      <c r="Z18" s="947"/>
      <c r="AA18" s="947"/>
      <c r="AB18" s="947"/>
      <c r="AC18" s="947"/>
      <c r="AD18" s="947"/>
      <c r="AE18" s="947"/>
      <c r="AF18" s="947"/>
      <c r="AG18" s="947"/>
      <c r="AH18" s="947"/>
      <c r="AI18" s="947"/>
      <c r="AJ18" s="947"/>
      <c r="AK18" s="947"/>
      <c r="AL18" s="947"/>
      <c r="AM18" s="947"/>
      <c r="AN18" s="947"/>
      <c r="AO18" s="947"/>
      <c r="AP18" s="947"/>
      <c r="AQ18" s="947"/>
      <c r="AR18" s="947"/>
      <c r="AS18" s="947"/>
      <c r="AT18" s="947"/>
      <c r="AU18" s="947" t="s">
        <v>3066</v>
      </c>
      <c r="AV18" s="947"/>
      <c r="AW18" s="947"/>
      <c r="AX18" s="947"/>
      <c r="AY18" s="947"/>
      <c r="AZ18" s="947"/>
      <c r="BA18" s="947"/>
      <c r="BB18" s="947"/>
      <c r="BC18" s="947"/>
      <c r="BD18" s="947"/>
      <c r="BE18" s="947" t="s">
        <v>3329</v>
      </c>
      <c r="BF18" s="947"/>
      <c r="BG18" s="947"/>
      <c r="BH18" s="947"/>
      <c r="BI18" s="947"/>
      <c r="BJ18" s="557"/>
      <c r="BK18" s="947"/>
      <c r="BL18" s="947"/>
      <c r="BM18" s="947"/>
      <c r="BN18" s="1224"/>
      <c r="BO18" s="1224"/>
      <c r="BP18" s="1224"/>
      <c r="BQ18" s="1224"/>
      <c r="BR18" s="1224"/>
      <c r="BS18" s="1224"/>
      <c r="BT18" s="1224"/>
      <c r="BU18" s="1224"/>
      <c r="BV18" s="1224"/>
      <c r="BW18" s="1224"/>
      <c r="BX18" s="948"/>
      <c r="BY18" s="312" t="s">
        <v>7</v>
      </c>
    </row>
    <row r="19" spans="1:77" ht="19.5" customHeight="1" x14ac:dyDescent="0.35">
      <c r="B19" s="641"/>
      <c r="C19" s="332" t="s">
        <v>3037</v>
      </c>
      <c r="D19" s="333"/>
      <c r="E19" s="333" t="s">
        <v>3058</v>
      </c>
      <c r="F19" s="333" t="s">
        <v>1010</v>
      </c>
      <c r="G19" s="334"/>
      <c r="H19" s="333"/>
      <c r="I19" s="333"/>
      <c r="J19" s="333"/>
      <c r="K19" s="333"/>
      <c r="L19" s="333" t="s">
        <v>3038</v>
      </c>
      <c r="N19" s="335" t="s">
        <v>153</v>
      </c>
      <c r="O19" s="336"/>
      <c r="P19" s="336"/>
      <c r="Q19" s="337"/>
      <c r="S19" s="338">
        <f t="shared" si="10"/>
        <v>2</v>
      </c>
      <c r="T19" s="951">
        <v>45369</v>
      </c>
      <c r="U19" s="339">
        <f t="shared" ca="1" si="11"/>
        <v>295</v>
      </c>
      <c r="W19" s="373"/>
      <c r="X19" s="373"/>
      <c r="Y19" s="373"/>
      <c r="Z19" s="373"/>
      <c r="AA19" s="373" t="s">
        <v>3312</v>
      </c>
      <c r="AB19" s="373"/>
      <c r="AC19" s="373"/>
      <c r="AD19" s="373"/>
      <c r="AE19" s="373" t="s">
        <v>3590</v>
      </c>
      <c r="AF19" s="373"/>
      <c r="AG19" s="373"/>
      <c r="AH19" s="553"/>
      <c r="AI19" s="553"/>
      <c r="AJ19" s="553"/>
      <c r="AK19" s="553"/>
      <c r="AL19" s="553"/>
      <c r="AM19" s="621"/>
      <c r="AN19" s="621"/>
      <c r="AO19" s="557"/>
      <c r="AP19" s="638"/>
      <c r="AQ19" s="638"/>
      <c r="AR19" s="638"/>
      <c r="AS19" s="638"/>
      <c r="AT19" s="638"/>
      <c r="AU19" s="638"/>
      <c r="AV19" s="638"/>
      <c r="AW19" s="638"/>
      <c r="AX19" s="638"/>
      <c r="AY19" s="638"/>
      <c r="AZ19" s="815"/>
      <c r="BA19" s="815"/>
      <c r="BB19" s="815"/>
      <c r="BC19" s="815"/>
      <c r="BD19" s="815"/>
      <c r="BE19" s="815"/>
      <c r="BF19" s="815"/>
      <c r="BG19" s="815"/>
      <c r="BH19" s="815"/>
      <c r="BI19" s="815"/>
      <c r="BJ19" s="815"/>
      <c r="BK19" s="815"/>
      <c r="BL19" s="815"/>
      <c r="BM19" s="815"/>
      <c r="BN19" s="1224"/>
      <c r="BO19" s="1224"/>
      <c r="BP19" s="1224"/>
      <c r="BQ19" s="1224"/>
      <c r="BR19" s="1224"/>
      <c r="BS19" s="1224"/>
      <c r="BT19" s="1224"/>
      <c r="BU19" s="1224"/>
      <c r="BV19" s="1224"/>
      <c r="BW19" s="1224"/>
      <c r="BX19" s="644"/>
      <c r="BY19" s="633" t="s">
        <v>7</v>
      </c>
    </row>
    <row r="20" spans="1:77" ht="19.5" hidden="1" customHeight="1" x14ac:dyDescent="0.35">
      <c r="B20" s="641"/>
      <c r="C20" s="332" t="s">
        <v>4295</v>
      </c>
      <c r="D20" s="333" t="s">
        <v>3072</v>
      </c>
      <c r="E20" s="333" t="s">
        <v>3058</v>
      </c>
      <c r="F20" s="333" t="s">
        <v>3073</v>
      </c>
      <c r="G20" s="334">
        <v>650</v>
      </c>
      <c r="H20" s="333">
        <v>2021</v>
      </c>
      <c r="I20" s="333"/>
      <c r="J20" s="333"/>
      <c r="K20" s="333" t="s">
        <v>2724</v>
      </c>
      <c r="L20" s="333" t="s">
        <v>3074</v>
      </c>
      <c r="M20" s="328" t="s">
        <v>3075</v>
      </c>
      <c r="N20" s="335" t="s">
        <v>78</v>
      </c>
      <c r="O20" s="336" t="s">
        <v>86</v>
      </c>
      <c r="P20" s="336" t="s">
        <v>128</v>
      </c>
      <c r="Q20" s="337"/>
      <c r="S20" s="338">
        <f t="shared" si="10"/>
        <v>4</v>
      </c>
      <c r="T20" s="951">
        <v>45478</v>
      </c>
      <c r="U20" s="339">
        <f t="shared" ca="1" si="11"/>
        <v>186</v>
      </c>
      <c r="W20" s="373"/>
      <c r="X20" s="373" t="s">
        <v>213</v>
      </c>
      <c r="Y20" s="373" t="s">
        <v>3076</v>
      </c>
      <c r="Z20" s="373" t="s">
        <v>3077</v>
      </c>
      <c r="AA20" s="373"/>
      <c r="AB20" s="373"/>
      <c r="AC20" s="373"/>
      <c r="AD20" s="373"/>
      <c r="AE20" s="373"/>
      <c r="AF20" s="373"/>
      <c r="AG20" s="373"/>
      <c r="AH20" s="553"/>
      <c r="AI20" s="553"/>
      <c r="AJ20" s="553"/>
      <c r="AK20" s="553"/>
      <c r="AL20" s="553"/>
      <c r="AM20" s="621"/>
      <c r="AN20" s="621"/>
      <c r="AO20" s="557"/>
      <c r="AP20" s="638"/>
      <c r="AQ20" s="638"/>
      <c r="AR20" s="638"/>
      <c r="AS20" s="638"/>
      <c r="AT20" s="638"/>
      <c r="AU20" s="638" t="s">
        <v>3312</v>
      </c>
      <c r="AV20" s="638"/>
      <c r="AW20" s="638"/>
      <c r="AX20" s="638"/>
      <c r="AY20" s="638"/>
      <c r="AZ20" s="815"/>
      <c r="BA20" s="815"/>
      <c r="BB20" s="815"/>
      <c r="BC20" s="815"/>
      <c r="BD20" s="815"/>
      <c r="BE20" s="815"/>
      <c r="BF20" s="815"/>
      <c r="BG20" s="815"/>
      <c r="BH20" s="557"/>
      <c r="BI20" s="815"/>
      <c r="BJ20" s="815"/>
      <c r="BK20" s="815"/>
      <c r="BL20" s="815"/>
      <c r="BM20" s="815"/>
      <c r="BN20" s="1224"/>
      <c r="BO20" s="1224"/>
      <c r="BP20" s="1224"/>
      <c r="BQ20" s="1224"/>
      <c r="BR20" s="1224"/>
      <c r="BS20" s="1224"/>
      <c r="BT20" s="1224"/>
      <c r="BU20" s="1224"/>
      <c r="BV20" s="1224"/>
      <c r="BW20" s="1224"/>
      <c r="BX20" s="644"/>
      <c r="BY20" s="633" t="s">
        <v>7</v>
      </c>
    </row>
    <row r="21" spans="1:77" ht="19.5" customHeight="1" x14ac:dyDescent="0.35">
      <c r="B21" s="641"/>
      <c r="C21" s="332" t="s">
        <v>3500</v>
      </c>
      <c r="D21" s="333" t="s">
        <v>3503</v>
      </c>
      <c r="E21" s="333" t="s">
        <v>3062</v>
      </c>
      <c r="F21" s="333"/>
      <c r="G21" s="334"/>
      <c r="H21" s="333"/>
      <c r="I21" s="333" t="s">
        <v>3163</v>
      </c>
      <c r="J21" s="333"/>
      <c r="K21" s="333" t="s">
        <v>3502</v>
      </c>
      <c r="L21" s="333" t="s">
        <v>3501</v>
      </c>
      <c r="N21" s="335" t="s">
        <v>153</v>
      </c>
      <c r="O21" s="336"/>
      <c r="P21" s="336"/>
      <c r="Q21" s="337"/>
      <c r="S21" s="338">
        <f t="shared" si="10"/>
        <v>6</v>
      </c>
      <c r="T21" s="951">
        <v>45404</v>
      </c>
      <c r="U21" s="339">
        <f t="shared" ca="1" si="11"/>
        <v>260</v>
      </c>
      <c r="W21" s="373"/>
      <c r="X21" s="373"/>
      <c r="Y21" s="373"/>
      <c r="Z21" s="373"/>
      <c r="AA21" s="373"/>
      <c r="AB21" s="373"/>
      <c r="AC21" s="373"/>
      <c r="AD21" s="373" t="s">
        <v>3312</v>
      </c>
      <c r="AE21" s="373"/>
      <c r="AF21" s="373"/>
      <c r="AG21" s="373"/>
      <c r="AH21" s="553"/>
      <c r="AI21" s="553" t="s">
        <v>3312</v>
      </c>
      <c r="AJ21" s="553" t="s">
        <v>3312</v>
      </c>
      <c r="AK21" s="553"/>
      <c r="AL21" s="553"/>
      <c r="AM21" s="621"/>
      <c r="AN21" s="621"/>
      <c r="AO21" s="557"/>
      <c r="AP21" s="638"/>
      <c r="AQ21" s="642" t="s">
        <v>4059</v>
      </c>
      <c r="AR21" s="638"/>
      <c r="AS21" s="638"/>
      <c r="AT21" s="638" t="s">
        <v>4059</v>
      </c>
      <c r="AU21" s="638"/>
      <c r="AV21" s="638"/>
      <c r="AW21" s="638"/>
      <c r="AX21" s="638"/>
      <c r="AY21" s="638"/>
      <c r="AZ21" s="815"/>
      <c r="BA21" s="815"/>
      <c r="BB21" s="815"/>
      <c r="BC21" s="815"/>
      <c r="BD21" s="557" t="s">
        <v>4366</v>
      </c>
      <c r="BE21" s="815"/>
      <c r="BF21" s="815"/>
      <c r="BG21" s="815"/>
      <c r="BH21" s="557"/>
      <c r="BI21" s="815"/>
      <c r="BJ21" s="815"/>
      <c r="BK21" s="815"/>
      <c r="BL21" s="815"/>
      <c r="BM21" s="815"/>
      <c r="BN21" s="1224"/>
      <c r="BO21" s="1224"/>
      <c r="BP21" s="1224"/>
      <c r="BQ21" s="1224"/>
      <c r="BR21" s="1224"/>
      <c r="BS21" s="1224"/>
      <c r="BT21" s="1224"/>
      <c r="BU21" s="1224"/>
      <c r="BV21" s="1224"/>
      <c r="BW21" s="1224"/>
      <c r="BX21" s="644"/>
      <c r="BY21" s="633" t="s">
        <v>7</v>
      </c>
    </row>
    <row r="22" spans="1:77" ht="19.5" hidden="1" customHeight="1" x14ac:dyDescent="0.35">
      <c r="B22" s="641"/>
      <c r="C22" s="332" t="s">
        <v>3573</v>
      </c>
      <c r="D22" s="333"/>
      <c r="E22" s="333" t="s">
        <v>433</v>
      </c>
      <c r="F22" s="333"/>
      <c r="G22" s="334"/>
      <c r="H22" s="333"/>
      <c r="I22" s="333"/>
      <c r="J22" s="333"/>
      <c r="K22" s="333"/>
      <c r="L22" s="333" t="s">
        <v>3574</v>
      </c>
      <c r="N22" s="335" t="s">
        <v>78</v>
      </c>
      <c r="O22" s="336" t="s">
        <v>79</v>
      </c>
      <c r="P22" s="336"/>
      <c r="Q22" s="337"/>
      <c r="S22" s="338">
        <f t="shared" si="10"/>
        <v>2</v>
      </c>
      <c r="T22" s="951">
        <v>45405</v>
      </c>
      <c r="U22" s="339">
        <f t="shared" ca="1" si="11"/>
        <v>259</v>
      </c>
      <c r="W22" s="373"/>
      <c r="X22" s="373"/>
      <c r="Y22" s="373"/>
      <c r="Z22" s="373"/>
      <c r="AA22" s="373"/>
      <c r="AB22" s="373"/>
      <c r="AC22" s="373"/>
      <c r="AD22" s="373"/>
      <c r="AE22" s="373"/>
      <c r="AF22" s="373"/>
      <c r="AG22" s="373"/>
      <c r="AH22" s="553"/>
      <c r="AI22" s="553"/>
      <c r="AJ22" s="553"/>
      <c r="AK22" s="553"/>
      <c r="AL22" s="553"/>
      <c r="AM22" s="621"/>
      <c r="AN22" s="621"/>
      <c r="AO22" s="557"/>
      <c r="AP22" s="638"/>
      <c r="AQ22" s="642"/>
      <c r="AR22" s="638"/>
      <c r="AS22" s="638"/>
      <c r="AT22" s="638"/>
      <c r="AU22" s="638"/>
      <c r="AV22" s="638"/>
      <c r="AW22" s="638"/>
      <c r="AX22" s="638"/>
      <c r="AY22" s="638"/>
      <c r="AZ22" s="815"/>
      <c r="BA22" s="815"/>
      <c r="BB22" s="815"/>
      <c r="BC22" s="815"/>
      <c r="BD22" s="557"/>
      <c r="BE22" s="815"/>
      <c r="BF22" s="815"/>
      <c r="BG22" s="815"/>
      <c r="BH22" s="557" t="s">
        <v>4570</v>
      </c>
      <c r="BI22" s="815"/>
      <c r="BJ22" s="557" t="s">
        <v>4633</v>
      </c>
      <c r="BK22" s="557"/>
      <c r="BL22" s="815"/>
      <c r="BM22" s="815"/>
      <c r="BN22" s="1224"/>
      <c r="BO22" s="1224"/>
      <c r="BP22" s="1224"/>
      <c r="BQ22" s="1224"/>
      <c r="BR22" s="1224"/>
      <c r="BS22" s="1224"/>
      <c r="BT22" s="1224"/>
      <c r="BU22" s="1224"/>
      <c r="BV22" s="1224"/>
      <c r="BW22" s="1224"/>
      <c r="BX22" s="644"/>
      <c r="BY22" s="633" t="s">
        <v>7</v>
      </c>
    </row>
    <row r="23" spans="1:77" ht="19.5" customHeight="1" x14ac:dyDescent="0.35">
      <c r="B23" s="641"/>
      <c r="C23" s="332" t="s">
        <v>3126</v>
      </c>
      <c r="D23" s="333"/>
      <c r="E23" s="333" t="s">
        <v>3058</v>
      </c>
      <c r="F23" s="333"/>
      <c r="G23" s="334"/>
      <c r="H23" s="333"/>
      <c r="I23" s="333"/>
      <c r="J23" s="333"/>
      <c r="K23" s="333"/>
      <c r="L23" s="333" t="s">
        <v>2693</v>
      </c>
      <c r="N23" s="335" t="s">
        <v>153</v>
      </c>
      <c r="O23" s="336"/>
      <c r="P23" s="336"/>
      <c r="Q23" s="337"/>
      <c r="S23" s="338">
        <f t="shared" si="10"/>
        <v>3</v>
      </c>
      <c r="T23" s="951">
        <v>45406</v>
      </c>
      <c r="U23" s="339">
        <f t="shared" ca="1" si="11"/>
        <v>258</v>
      </c>
      <c r="W23" s="373"/>
      <c r="X23" s="373"/>
      <c r="Y23" s="373" t="s">
        <v>3185</v>
      </c>
      <c r="Z23" s="373" t="s">
        <v>3076</v>
      </c>
      <c r="AA23" s="373"/>
      <c r="AB23" s="373"/>
      <c r="AC23" s="373"/>
      <c r="AD23" s="373"/>
      <c r="AE23" s="373"/>
      <c r="AF23" s="373"/>
      <c r="AG23" s="373"/>
      <c r="AH23" s="553"/>
      <c r="AI23" s="553"/>
      <c r="AJ23" s="553"/>
      <c r="AK23" s="553"/>
      <c r="AL23" s="553"/>
      <c r="AM23" s="621"/>
      <c r="AN23" s="621"/>
      <c r="AO23" s="557"/>
      <c r="AP23" s="638"/>
      <c r="AQ23" s="638"/>
      <c r="AR23" s="638"/>
      <c r="AS23" s="638"/>
      <c r="AT23" s="638"/>
      <c r="AU23" s="638"/>
      <c r="AV23" s="638"/>
      <c r="AW23" s="638"/>
      <c r="AX23" s="638"/>
      <c r="AY23" s="638"/>
      <c r="AZ23" s="815"/>
      <c r="BA23" s="815"/>
      <c r="BB23" s="815"/>
      <c r="BC23" s="815"/>
      <c r="BD23" s="815"/>
      <c r="BE23" s="815"/>
      <c r="BF23" s="815" t="s">
        <v>4581</v>
      </c>
      <c r="BG23" s="815"/>
      <c r="BH23" s="557"/>
      <c r="BI23" s="815"/>
      <c r="BJ23" s="815"/>
      <c r="BK23" s="815"/>
      <c r="BL23" s="815"/>
      <c r="BM23" s="815"/>
      <c r="BN23" s="1224"/>
      <c r="BO23" s="1224"/>
      <c r="BP23" s="1224"/>
      <c r="BQ23" s="1224"/>
      <c r="BR23" s="1224"/>
      <c r="BS23" s="1224"/>
      <c r="BT23" s="1224"/>
      <c r="BU23" s="1224"/>
      <c r="BV23" s="1224"/>
      <c r="BW23" s="1224"/>
      <c r="BX23" s="644"/>
      <c r="BY23" s="633" t="s">
        <v>7</v>
      </c>
    </row>
    <row r="24" spans="1:77" ht="19.5" hidden="1" customHeight="1" x14ac:dyDescent="0.35">
      <c r="B24" s="641"/>
      <c r="C24" s="332" t="s">
        <v>3061</v>
      </c>
      <c r="D24" s="333"/>
      <c r="E24" s="333" t="s">
        <v>3062</v>
      </c>
      <c r="F24" s="333"/>
      <c r="G24" s="334"/>
      <c r="H24" s="333"/>
      <c r="I24" s="333" t="s">
        <v>3162</v>
      </c>
      <c r="J24" s="333"/>
      <c r="K24" s="333" t="s">
        <v>2724</v>
      </c>
      <c r="L24" s="333" t="s">
        <v>3064</v>
      </c>
      <c r="M24" s="328" t="s">
        <v>731</v>
      </c>
      <c r="N24" s="335" t="s">
        <v>78</v>
      </c>
      <c r="O24" s="336"/>
      <c r="P24" s="336"/>
      <c r="Q24" s="337" t="s">
        <v>3065</v>
      </c>
      <c r="S24" s="338">
        <f t="shared" si="10"/>
        <v>2</v>
      </c>
      <c r="T24" s="951">
        <v>45434</v>
      </c>
      <c r="U24" s="339">
        <f t="shared" ca="1" si="11"/>
        <v>230</v>
      </c>
      <c r="W24" s="373" t="s">
        <v>3066</v>
      </c>
      <c r="X24" s="373"/>
      <c r="Y24" s="373"/>
      <c r="Z24" s="373"/>
      <c r="AA24" s="373"/>
      <c r="AB24" s="373"/>
      <c r="AC24" s="373"/>
      <c r="AD24" s="373"/>
      <c r="AE24" s="373"/>
      <c r="AF24" s="373"/>
      <c r="AG24" s="373"/>
      <c r="AH24" s="553"/>
      <c r="AI24" s="553"/>
      <c r="AJ24" s="553"/>
      <c r="AK24" s="553"/>
      <c r="AL24" s="553"/>
      <c r="AM24" s="621"/>
      <c r="AN24" s="557" t="s">
        <v>3687</v>
      </c>
      <c r="AO24" s="557"/>
      <c r="AP24" s="638"/>
      <c r="AQ24" s="638"/>
      <c r="AR24" s="638"/>
      <c r="AS24" s="638"/>
      <c r="AT24" s="638"/>
      <c r="AU24" s="638"/>
      <c r="AV24" s="638"/>
      <c r="AW24" s="638"/>
      <c r="AX24" s="638"/>
      <c r="AY24" s="638"/>
      <c r="AZ24" s="815"/>
      <c r="BA24" s="815"/>
      <c r="BB24" s="815"/>
      <c r="BC24" s="815"/>
      <c r="BD24" s="815"/>
      <c r="BE24" s="815"/>
      <c r="BF24" s="815"/>
      <c r="BG24" s="815"/>
      <c r="BH24" s="815"/>
      <c r="BI24" s="815"/>
      <c r="BJ24" s="815"/>
      <c r="BK24" s="815"/>
      <c r="BL24" s="815"/>
      <c r="BM24" s="815"/>
      <c r="BN24" s="1224"/>
      <c r="BO24" s="1224"/>
      <c r="BP24" s="1224"/>
      <c r="BQ24" s="1224"/>
      <c r="BR24" s="1224"/>
      <c r="BS24" s="1224"/>
      <c r="BT24" s="1224"/>
      <c r="BU24" s="1224"/>
      <c r="BV24" s="1224"/>
      <c r="BW24" s="1224"/>
      <c r="BX24" s="644"/>
      <c r="BY24" s="633" t="s">
        <v>7</v>
      </c>
    </row>
    <row r="25" spans="1:77" ht="19.5" customHeight="1" x14ac:dyDescent="0.35">
      <c r="B25" s="641"/>
      <c r="C25" s="332" t="s">
        <v>3565</v>
      </c>
      <c r="D25" s="333" t="s">
        <v>3566</v>
      </c>
      <c r="E25" s="333" t="s">
        <v>3062</v>
      </c>
      <c r="F25" s="333"/>
      <c r="G25" s="334" t="s">
        <v>3568</v>
      </c>
      <c r="H25" s="333"/>
      <c r="I25" s="333" t="s">
        <v>3163</v>
      </c>
      <c r="J25" s="333" t="s">
        <v>3138</v>
      </c>
      <c r="K25" s="333" t="s">
        <v>111</v>
      </c>
      <c r="L25" s="333" t="s">
        <v>3567</v>
      </c>
      <c r="N25" s="335" t="s">
        <v>153</v>
      </c>
      <c r="O25" s="336"/>
      <c r="P25" s="336"/>
      <c r="Q25" s="337" t="s">
        <v>3569</v>
      </c>
      <c r="S25" s="338">
        <f t="shared" si="10"/>
        <v>3</v>
      </c>
      <c r="T25" s="951">
        <v>45418</v>
      </c>
      <c r="U25" s="339">
        <f t="shared" ca="1" si="11"/>
        <v>246</v>
      </c>
      <c r="W25" s="373"/>
      <c r="X25" s="373"/>
      <c r="Y25" s="373"/>
      <c r="Z25" s="373"/>
      <c r="AA25" s="373"/>
      <c r="AB25" s="373"/>
      <c r="AC25" s="373"/>
      <c r="AD25" s="373"/>
      <c r="AE25" s="373"/>
      <c r="AF25" s="373"/>
      <c r="AG25" s="373"/>
      <c r="AH25" s="553"/>
      <c r="AI25" s="553"/>
      <c r="AJ25" s="553"/>
      <c r="AK25" s="557" t="s">
        <v>3066</v>
      </c>
      <c r="AL25" s="553" t="s">
        <v>3646</v>
      </c>
      <c r="AM25" s="621"/>
      <c r="AN25" s="621"/>
      <c r="AO25" s="557"/>
      <c r="AP25" s="642" t="s">
        <v>3066</v>
      </c>
      <c r="AQ25" s="638"/>
      <c r="AR25" s="638"/>
      <c r="AS25" s="638"/>
      <c r="AT25" s="638"/>
      <c r="AU25" s="638"/>
      <c r="AV25" s="638"/>
      <c r="AW25" s="638"/>
      <c r="AX25" s="638"/>
      <c r="AY25" s="638"/>
      <c r="AZ25" s="815"/>
      <c r="BA25" s="815"/>
      <c r="BB25" s="815"/>
      <c r="BC25" s="815"/>
      <c r="BD25" s="815"/>
      <c r="BE25" s="815"/>
      <c r="BF25" s="815"/>
      <c r="BG25" s="815"/>
      <c r="BH25" s="557"/>
      <c r="BI25" s="815"/>
      <c r="BJ25" s="815"/>
      <c r="BK25" s="815"/>
      <c r="BL25" s="815"/>
      <c r="BM25" s="815"/>
      <c r="BN25" s="1224"/>
      <c r="BO25" s="1224"/>
      <c r="BP25" s="1224"/>
      <c r="BQ25" s="1224"/>
      <c r="BR25" s="1224"/>
      <c r="BS25" s="1224"/>
      <c r="BT25" s="1224"/>
      <c r="BU25" s="1224"/>
      <c r="BV25" s="1224"/>
      <c r="BW25" s="1224"/>
      <c r="BX25" s="644"/>
      <c r="BY25" s="633" t="s">
        <v>7</v>
      </c>
    </row>
    <row r="26" spans="1:77" ht="19.5" hidden="1" customHeight="1" x14ac:dyDescent="0.35">
      <c r="B26" s="761"/>
      <c r="C26" s="332" t="s">
        <v>3639</v>
      </c>
      <c r="D26" s="333"/>
      <c r="E26" s="333" t="s">
        <v>3058</v>
      </c>
      <c r="F26" s="333"/>
      <c r="G26" s="334"/>
      <c r="H26" s="333"/>
      <c r="I26" s="333"/>
      <c r="J26" s="333"/>
      <c r="K26" s="333"/>
      <c r="L26" s="333"/>
      <c r="N26" s="335" t="s">
        <v>86</v>
      </c>
      <c r="O26" s="336"/>
      <c r="P26" s="336"/>
      <c r="Q26" s="337"/>
      <c r="S26" s="763">
        <f t="shared" si="10"/>
        <v>2</v>
      </c>
      <c r="T26" s="951">
        <v>45414</v>
      </c>
      <c r="U26" s="339">
        <f t="shared" ca="1" si="11"/>
        <v>250</v>
      </c>
      <c r="W26" s="557"/>
      <c r="X26" s="557"/>
      <c r="Y26" s="557"/>
      <c r="Z26" s="557"/>
      <c r="AA26" s="557"/>
      <c r="AB26" s="557"/>
      <c r="AC26" s="557"/>
      <c r="AD26" s="557"/>
      <c r="AE26" s="557"/>
      <c r="AF26" s="557"/>
      <c r="AG26" s="557"/>
      <c r="AH26" s="557"/>
      <c r="AI26" s="557"/>
      <c r="AJ26" s="557"/>
      <c r="AK26" s="557" t="s">
        <v>200</v>
      </c>
      <c r="AL26" s="557"/>
      <c r="AM26" s="557"/>
      <c r="AN26" s="557"/>
      <c r="AO26" s="557"/>
      <c r="AP26" s="557"/>
      <c r="AQ26" s="557"/>
      <c r="AR26" s="557"/>
      <c r="AS26" s="557"/>
      <c r="AT26" s="557" t="s">
        <v>200</v>
      </c>
      <c r="AU26" s="557"/>
      <c r="AV26" s="557"/>
      <c r="AW26" s="557"/>
      <c r="AX26" s="557"/>
      <c r="AY26" s="557"/>
      <c r="AZ26" s="815"/>
      <c r="BA26" s="815"/>
      <c r="BB26" s="815"/>
      <c r="BC26" s="815"/>
      <c r="BD26" s="815"/>
      <c r="BE26" s="815"/>
      <c r="BF26" s="815"/>
      <c r="BG26" s="815"/>
      <c r="BH26" s="815"/>
      <c r="BI26" s="815"/>
      <c r="BJ26" s="815"/>
      <c r="BK26" s="815"/>
      <c r="BL26" s="815"/>
      <c r="BM26" s="815"/>
      <c r="BN26" s="1224"/>
      <c r="BO26" s="1224"/>
      <c r="BP26" s="1224"/>
      <c r="BQ26" s="1224"/>
      <c r="BR26" s="1224"/>
      <c r="BS26" s="1224"/>
      <c r="BT26" s="1224"/>
      <c r="BU26" s="1224"/>
      <c r="BV26" s="1224"/>
      <c r="BW26" s="1224"/>
      <c r="BX26" s="710"/>
      <c r="BY26" s="633" t="s">
        <v>7</v>
      </c>
    </row>
    <row r="27" spans="1:77" ht="19.5" customHeight="1" x14ac:dyDescent="0.35">
      <c r="A27" s="950" t="s">
        <v>4474</v>
      </c>
      <c r="B27" s="641"/>
      <c r="C27" s="332" t="s">
        <v>4681</v>
      </c>
      <c r="D27" s="333"/>
      <c r="E27" s="333" t="s">
        <v>3062</v>
      </c>
      <c r="F27" s="333"/>
      <c r="G27" s="334"/>
      <c r="H27" s="333"/>
      <c r="I27" s="333"/>
      <c r="J27" s="333"/>
      <c r="K27" s="333"/>
      <c r="L27" s="333" t="s">
        <v>3121</v>
      </c>
      <c r="N27" s="335" t="s">
        <v>153</v>
      </c>
      <c r="O27" s="336"/>
      <c r="P27" s="336"/>
      <c r="Q27" s="337"/>
      <c r="S27" s="338">
        <f t="shared" si="10"/>
        <v>2</v>
      </c>
      <c r="T27" s="951">
        <v>45439</v>
      </c>
      <c r="U27" s="339">
        <f t="shared" ca="1" si="11"/>
        <v>225</v>
      </c>
      <c r="W27" s="373"/>
      <c r="X27" s="373"/>
      <c r="Y27" s="373"/>
      <c r="Z27" s="373"/>
      <c r="AA27" s="373"/>
      <c r="AB27" s="373"/>
      <c r="AC27" s="373"/>
      <c r="AD27" s="373"/>
      <c r="AE27" s="373"/>
      <c r="AF27" s="373"/>
      <c r="AG27" s="373"/>
      <c r="AH27" s="553"/>
      <c r="AI27" s="553"/>
      <c r="AJ27" s="553"/>
      <c r="AK27" s="553"/>
      <c r="AL27" s="553"/>
      <c r="AM27" s="621"/>
      <c r="AN27" s="621"/>
      <c r="AO27" s="557" t="s">
        <v>3833</v>
      </c>
      <c r="AP27" s="621"/>
      <c r="AQ27" s="621"/>
      <c r="AR27" s="621"/>
      <c r="AS27" s="621"/>
      <c r="AT27" s="621"/>
      <c r="AU27" s="621"/>
      <c r="AV27" s="621"/>
      <c r="AW27" s="621"/>
      <c r="AX27" s="621"/>
      <c r="AY27" s="621"/>
      <c r="AZ27" s="815"/>
      <c r="BA27" s="815"/>
      <c r="BB27" s="815"/>
      <c r="BC27" s="815"/>
      <c r="BD27" s="815"/>
      <c r="BE27" s="815"/>
      <c r="BF27" s="815" t="s">
        <v>4277</v>
      </c>
      <c r="BG27" s="815"/>
      <c r="BH27" s="815"/>
      <c r="BI27" s="815"/>
      <c r="BJ27" s="815"/>
      <c r="BK27" s="815"/>
      <c r="BL27" s="815"/>
      <c r="BM27" s="815"/>
      <c r="BN27" s="1224"/>
      <c r="BO27" s="1224"/>
      <c r="BP27" s="1224"/>
      <c r="BQ27" s="1224"/>
      <c r="BR27" s="1224"/>
      <c r="BS27" s="1224"/>
      <c r="BT27" s="1224"/>
      <c r="BU27" s="1224"/>
      <c r="BV27" s="1224"/>
      <c r="BW27" s="1224"/>
      <c r="BX27" s="646"/>
      <c r="BY27" s="633" t="s">
        <v>7</v>
      </c>
    </row>
    <row r="28" spans="1:77" ht="19.5" hidden="1" customHeight="1" x14ac:dyDescent="0.35">
      <c r="B28" s="761"/>
      <c r="C28" s="332" t="s">
        <v>4299</v>
      </c>
      <c r="D28" s="333"/>
      <c r="E28" s="333" t="s">
        <v>3058</v>
      </c>
      <c r="F28" s="333"/>
      <c r="G28" s="334"/>
      <c r="H28" s="333"/>
      <c r="I28" s="333"/>
      <c r="J28" s="333"/>
      <c r="K28" s="333"/>
      <c r="L28" s="333"/>
      <c r="N28" s="335" t="s">
        <v>78</v>
      </c>
      <c r="O28" s="336"/>
      <c r="P28" s="336"/>
      <c r="Q28" s="337"/>
      <c r="S28" s="763">
        <f t="shared" si="10"/>
        <v>1</v>
      </c>
      <c r="T28" s="951">
        <v>45474</v>
      </c>
      <c r="U28" s="339">
        <f t="shared" ca="1" si="11"/>
        <v>190</v>
      </c>
      <c r="W28" s="557"/>
      <c r="X28" s="557"/>
      <c r="Y28" s="557"/>
      <c r="Z28" s="557"/>
      <c r="AA28" s="557"/>
      <c r="AB28" s="557"/>
      <c r="AC28" s="557"/>
      <c r="AD28" s="557"/>
      <c r="AE28" s="557"/>
      <c r="AF28" s="557"/>
      <c r="AG28" s="557"/>
      <c r="AH28" s="557"/>
      <c r="AI28" s="557"/>
      <c r="AJ28" s="557"/>
      <c r="AK28" s="557"/>
      <c r="AL28" s="557"/>
      <c r="AM28" s="557"/>
      <c r="AN28" s="557"/>
      <c r="AO28" s="557"/>
      <c r="AP28" s="557"/>
      <c r="AQ28" s="557"/>
      <c r="AR28" s="557"/>
      <c r="AS28" s="557"/>
      <c r="AT28" s="557" t="s">
        <v>200</v>
      </c>
      <c r="AU28" s="557"/>
      <c r="AV28" s="557"/>
      <c r="AW28" s="557"/>
      <c r="AX28" s="557"/>
      <c r="AY28" s="557"/>
      <c r="AZ28" s="815"/>
      <c r="BA28" s="815"/>
      <c r="BB28" s="815"/>
      <c r="BC28" s="815"/>
      <c r="BD28" s="815"/>
      <c r="BE28" s="815"/>
      <c r="BF28" s="815"/>
      <c r="BG28" s="815"/>
      <c r="BH28" s="815"/>
      <c r="BI28" s="815"/>
      <c r="BJ28" s="815"/>
      <c r="BK28" s="815"/>
      <c r="BL28" s="815"/>
      <c r="BM28" s="815"/>
      <c r="BN28" s="1224"/>
      <c r="BO28" s="1224"/>
      <c r="BP28" s="1224"/>
      <c r="BQ28" s="1224"/>
      <c r="BR28" s="1224"/>
      <c r="BS28" s="1224"/>
      <c r="BT28" s="1224"/>
      <c r="BU28" s="1224"/>
      <c r="BV28" s="1224"/>
      <c r="BW28" s="1224"/>
      <c r="BX28" s="710"/>
      <c r="BY28" s="633" t="s">
        <v>7</v>
      </c>
    </row>
    <row r="29" spans="1:77" ht="19.5" hidden="1" customHeight="1" x14ac:dyDescent="0.35">
      <c r="B29" s="761"/>
      <c r="C29" s="332" t="s">
        <v>4604</v>
      </c>
      <c r="D29" s="333"/>
      <c r="E29" s="333" t="s">
        <v>3058</v>
      </c>
      <c r="F29" s="333"/>
      <c r="G29" s="334"/>
      <c r="H29" s="333"/>
      <c r="I29" s="333"/>
      <c r="J29" s="333"/>
      <c r="K29" s="333"/>
      <c r="L29" s="333" t="s">
        <v>4605</v>
      </c>
      <c r="N29" s="335" t="s">
        <v>86</v>
      </c>
      <c r="O29" s="336"/>
      <c r="P29" s="336"/>
      <c r="Q29" s="337"/>
      <c r="S29" s="763">
        <f t="shared" si="10"/>
        <v>1</v>
      </c>
      <c r="T29" s="951">
        <v>45560</v>
      </c>
      <c r="U29" s="339">
        <f t="shared" ca="1" si="11"/>
        <v>104</v>
      </c>
      <c r="W29" s="557"/>
      <c r="X29" s="557"/>
      <c r="Y29" s="557"/>
      <c r="Z29" s="557"/>
      <c r="AA29" s="557"/>
      <c r="AB29" s="557"/>
      <c r="AC29" s="557"/>
      <c r="AD29" s="557"/>
      <c r="AE29" s="557"/>
      <c r="AF29" s="557"/>
      <c r="AG29" s="557"/>
      <c r="AH29" s="557"/>
      <c r="AI29" s="557"/>
      <c r="AJ29" s="557"/>
      <c r="AK29" s="557"/>
      <c r="AL29" s="557"/>
      <c r="AM29" s="557"/>
      <c r="AN29" s="557"/>
      <c r="AO29" s="557"/>
      <c r="AP29" s="557"/>
      <c r="AQ29" s="557"/>
      <c r="AR29" s="557"/>
      <c r="AS29" s="557"/>
      <c r="AT29" s="557"/>
      <c r="AU29" s="557"/>
      <c r="AV29" s="557"/>
      <c r="AW29" s="557"/>
      <c r="AX29" s="557"/>
      <c r="AY29" s="557"/>
      <c r="AZ29" s="815"/>
      <c r="BA29" s="815"/>
      <c r="BB29" s="815"/>
      <c r="BC29" s="815"/>
      <c r="BD29" s="815"/>
      <c r="BE29" s="815"/>
      <c r="BF29" s="557" t="s">
        <v>3312</v>
      </c>
      <c r="BG29" s="815"/>
      <c r="BH29" s="815"/>
      <c r="BI29" s="815"/>
      <c r="BJ29" s="815"/>
      <c r="BK29" s="815"/>
      <c r="BL29" s="815"/>
      <c r="BM29" s="815"/>
      <c r="BN29" s="1224"/>
      <c r="BO29" s="1224"/>
      <c r="BP29" s="1224"/>
      <c r="BQ29" s="1224"/>
      <c r="BR29" s="1224"/>
      <c r="BS29" s="1224"/>
      <c r="BT29" s="1224"/>
      <c r="BU29" s="1224"/>
      <c r="BV29" s="1224"/>
      <c r="BW29" s="1224"/>
      <c r="BX29" s="710"/>
      <c r="BY29" s="633" t="s">
        <v>7</v>
      </c>
    </row>
    <row r="30" spans="1:77" ht="19.5" hidden="1" customHeight="1" x14ac:dyDescent="0.35">
      <c r="B30" s="641"/>
      <c r="C30" s="332" t="s">
        <v>3968</v>
      </c>
      <c r="D30" s="333"/>
      <c r="E30" s="333" t="s">
        <v>3058</v>
      </c>
      <c r="F30" s="333"/>
      <c r="G30" s="334"/>
      <c r="H30" s="333"/>
      <c r="I30" s="333"/>
      <c r="J30" s="333"/>
      <c r="K30" s="333"/>
      <c r="L30" s="333" t="s">
        <v>3971</v>
      </c>
      <c r="N30" s="335" t="s">
        <v>61</v>
      </c>
      <c r="O30" s="336" t="s">
        <v>62</v>
      </c>
      <c r="P30" s="336" t="s">
        <v>128</v>
      </c>
      <c r="Q30" s="337"/>
      <c r="S30" s="338">
        <f t="shared" si="10"/>
        <v>1</v>
      </c>
      <c r="T30" s="951">
        <v>45442</v>
      </c>
      <c r="U30" s="339">
        <f t="shared" ca="1" si="11"/>
        <v>222</v>
      </c>
      <c r="W30" s="373"/>
      <c r="X30" s="373"/>
      <c r="Y30" s="373"/>
      <c r="Z30" s="373"/>
      <c r="AA30" s="373"/>
      <c r="AB30" s="373"/>
      <c r="AC30" s="373"/>
      <c r="AD30" s="373"/>
      <c r="AE30" s="373"/>
      <c r="AF30" s="373"/>
      <c r="AG30" s="373"/>
      <c r="AH30" s="553"/>
      <c r="AI30" s="553"/>
      <c r="AJ30" s="553"/>
      <c r="AK30" s="553"/>
      <c r="AL30" s="553"/>
      <c r="AM30" s="621"/>
      <c r="AN30" s="557" t="s">
        <v>3687</v>
      </c>
      <c r="AO30" s="557"/>
      <c r="AP30" s="638"/>
      <c r="AQ30" s="638"/>
      <c r="AR30" s="638"/>
      <c r="AS30" s="638"/>
      <c r="AT30" s="638"/>
      <c r="AU30" s="638"/>
      <c r="AV30" s="638"/>
      <c r="AW30" s="638"/>
      <c r="AX30" s="638"/>
      <c r="AY30" s="638"/>
      <c r="AZ30" s="815"/>
      <c r="BA30" s="815"/>
      <c r="BB30" s="815"/>
      <c r="BC30" s="815"/>
      <c r="BD30" s="815"/>
      <c r="BE30" s="815"/>
      <c r="BF30" s="815"/>
      <c r="BG30" s="815"/>
      <c r="BH30" s="815"/>
      <c r="BI30" s="815"/>
      <c r="BJ30" s="815"/>
      <c r="BK30" s="815"/>
      <c r="BL30" s="815"/>
      <c r="BM30" s="815"/>
      <c r="BN30" s="1224"/>
      <c r="BO30" s="1224"/>
      <c r="BP30" s="1224"/>
      <c r="BQ30" s="1224"/>
      <c r="BR30" s="1224"/>
      <c r="BS30" s="1224"/>
      <c r="BT30" s="1224"/>
      <c r="BU30" s="1224"/>
      <c r="BV30" s="1224"/>
      <c r="BW30" s="1224"/>
      <c r="BX30" s="644"/>
      <c r="BY30" s="633" t="s">
        <v>7</v>
      </c>
    </row>
    <row r="31" spans="1:77" ht="19.5" hidden="1" customHeight="1" x14ac:dyDescent="0.35">
      <c r="B31" s="641"/>
      <c r="C31" s="332" t="s">
        <v>4261</v>
      </c>
      <c r="D31" s="333"/>
      <c r="E31" s="333"/>
      <c r="F31" s="333"/>
      <c r="G31" s="334"/>
      <c r="H31" s="333"/>
      <c r="I31" s="333"/>
      <c r="J31" s="333"/>
      <c r="K31" s="333"/>
      <c r="L31" s="333"/>
      <c r="N31" s="335" t="s">
        <v>3598</v>
      </c>
      <c r="O31" s="336"/>
      <c r="P31" s="336"/>
      <c r="Q31" s="337"/>
      <c r="S31" s="338">
        <f t="shared" si="10"/>
        <v>1</v>
      </c>
      <c r="T31" s="951">
        <v>45467</v>
      </c>
      <c r="U31" s="339">
        <f t="shared" ca="1" si="11"/>
        <v>197</v>
      </c>
      <c r="W31" s="373"/>
      <c r="X31" s="373"/>
      <c r="Y31" s="373"/>
      <c r="Z31" s="373"/>
      <c r="AA31" s="373"/>
      <c r="AB31" s="373"/>
      <c r="AC31" s="373"/>
      <c r="AD31" s="373"/>
      <c r="AE31" s="373"/>
      <c r="AF31" s="373"/>
      <c r="AG31" s="373"/>
      <c r="AH31" s="553"/>
      <c r="AI31" s="553"/>
      <c r="AJ31" s="553"/>
      <c r="AK31" s="553"/>
      <c r="AL31" s="553"/>
      <c r="AM31" s="621"/>
      <c r="AN31" s="557"/>
      <c r="AO31" s="557"/>
      <c r="AP31" s="638"/>
      <c r="AQ31" s="638"/>
      <c r="AR31" s="638"/>
      <c r="AS31" s="638" t="s">
        <v>3312</v>
      </c>
      <c r="AT31" s="638"/>
      <c r="AU31" s="638"/>
      <c r="AV31" s="638"/>
      <c r="AW31" s="638"/>
      <c r="AX31" s="638"/>
      <c r="AY31" s="638"/>
      <c r="AZ31" s="815"/>
      <c r="BA31" s="815"/>
      <c r="BB31" s="815"/>
      <c r="BC31" s="815"/>
      <c r="BD31" s="815"/>
      <c r="BE31" s="815"/>
      <c r="BF31" s="815"/>
      <c r="BG31" s="815"/>
      <c r="BH31" s="815"/>
      <c r="BI31" s="815"/>
      <c r="BJ31" s="815"/>
      <c r="BK31" s="815"/>
      <c r="BL31" s="815"/>
      <c r="BM31" s="815"/>
      <c r="BN31" s="1224"/>
      <c r="BO31" s="1224"/>
      <c r="BP31" s="1224"/>
      <c r="BQ31" s="1224"/>
      <c r="BR31" s="1224"/>
      <c r="BS31" s="1224"/>
      <c r="BT31" s="1224"/>
      <c r="BU31" s="1224"/>
      <c r="BV31" s="1224"/>
      <c r="BW31" s="1224"/>
      <c r="BX31" s="644"/>
      <c r="BY31" s="633" t="s">
        <v>7</v>
      </c>
    </row>
    <row r="32" spans="1:77" ht="19.5" customHeight="1" x14ac:dyDescent="0.35">
      <c r="A32" s="950" t="s">
        <v>4475</v>
      </c>
      <c r="B32" s="641"/>
      <c r="C32" s="332" t="s">
        <v>3581</v>
      </c>
      <c r="D32" s="333"/>
      <c r="E32" s="333" t="s">
        <v>3154</v>
      </c>
      <c r="F32" s="333"/>
      <c r="G32" s="334"/>
      <c r="H32" s="333"/>
      <c r="I32" s="333"/>
      <c r="J32" s="333"/>
      <c r="K32" s="333"/>
      <c r="L32" s="333"/>
      <c r="N32" s="335" t="s">
        <v>153</v>
      </c>
      <c r="O32" s="336"/>
      <c r="P32" s="336"/>
      <c r="Q32" s="337"/>
      <c r="S32" s="338">
        <f t="shared" si="10"/>
        <v>1</v>
      </c>
      <c r="T32" s="951">
        <v>45455</v>
      </c>
      <c r="U32" s="339">
        <f t="shared" ca="1" si="11"/>
        <v>209</v>
      </c>
      <c r="W32" s="373"/>
      <c r="X32" s="373"/>
      <c r="Y32" s="373"/>
      <c r="Z32" s="373" t="s">
        <v>3591</v>
      </c>
      <c r="AA32" s="373"/>
      <c r="AB32" s="373"/>
      <c r="AC32" s="373"/>
      <c r="AD32" s="373"/>
      <c r="AE32" s="373"/>
      <c r="AF32" s="373"/>
      <c r="AG32" s="373"/>
      <c r="AH32" s="553"/>
      <c r="AI32" s="553"/>
      <c r="AJ32" s="553"/>
      <c r="AK32" s="553"/>
      <c r="AL32" s="553"/>
      <c r="AM32" s="621"/>
      <c r="AN32" s="621"/>
      <c r="AO32" s="557"/>
      <c r="AP32" s="638"/>
      <c r="AQ32" s="638"/>
      <c r="AR32" s="638"/>
      <c r="AS32" s="638"/>
      <c r="AT32" s="638"/>
      <c r="AU32" s="638"/>
      <c r="AV32" s="638"/>
      <c r="AW32" s="638"/>
      <c r="AX32" s="638"/>
      <c r="AY32" s="638"/>
      <c r="AZ32" s="815"/>
      <c r="BA32" s="815"/>
      <c r="BB32" s="815"/>
      <c r="BC32" s="815"/>
      <c r="BD32" s="815"/>
      <c r="BE32" s="815"/>
      <c r="BF32" s="815"/>
      <c r="BG32" s="815"/>
      <c r="BH32" s="815"/>
      <c r="BI32" s="815"/>
      <c r="BJ32" s="815"/>
      <c r="BK32" s="815"/>
      <c r="BL32" s="815"/>
      <c r="BM32" s="815"/>
      <c r="BN32" s="1224"/>
      <c r="BO32" s="1224"/>
      <c r="BP32" s="1224"/>
      <c r="BQ32" s="1224"/>
      <c r="BR32" s="1224"/>
      <c r="BS32" s="1224"/>
      <c r="BT32" s="1224"/>
      <c r="BU32" s="1224"/>
      <c r="BV32" s="1224"/>
      <c r="BW32" s="1224"/>
      <c r="BX32" s="644"/>
      <c r="BY32" s="633" t="s">
        <v>7</v>
      </c>
    </row>
    <row r="33" spans="1:77" ht="19.5" hidden="1" customHeight="1" x14ac:dyDescent="0.35">
      <c r="B33" s="332"/>
      <c r="C33" s="332" t="s">
        <v>5070</v>
      </c>
      <c r="D33" s="333"/>
      <c r="E33" s="333" t="s">
        <v>3058</v>
      </c>
      <c r="F33" s="333"/>
      <c r="G33" s="334"/>
      <c r="H33" s="333"/>
      <c r="I33" s="333"/>
      <c r="J33" s="333"/>
      <c r="K33" s="333"/>
      <c r="L33" s="333" t="s">
        <v>5071</v>
      </c>
      <c r="N33" s="335" t="s">
        <v>61</v>
      </c>
      <c r="O33" s="336" t="s">
        <v>62</v>
      </c>
      <c r="P33" s="336"/>
      <c r="Q33" s="337"/>
      <c r="S33" s="338">
        <f t="shared" si="10"/>
        <v>1</v>
      </c>
      <c r="T33" s="951"/>
      <c r="U33" s="339" t="str">
        <f t="shared" ca="1" si="11"/>
        <v/>
      </c>
      <c r="W33" s="373"/>
      <c r="X33" s="373"/>
      <c r="Y33" s="373"/>
      <c r="Z33" s="373"/>
      <c r="AA33" s="373"/>
      <c r="AB33" s="373"/>
      <c r="AC33" s="373"/>
      <c r="AD33" s="373"/>
      <c r="AE33" s="373"/>
      <c r="AF33" s="373"/>
      <c r="AG33" s="373"/>
      <c r="AH33" s="553"/>
      <c r="AI33" s="553"/>
      <c r="AJ33" s="553"/>
      <c r="AK33" s="553"/>
      <c r="AL33" s="553"/>
      <c r="AM33" s="621"/>
      <c r="AN33" s="621"/>
      <c r="AO33" s="557"/>
      <c r="AP33" s="638"/>
      <c r="AQ33" s="638"/>
      <c r="AR33" s="638"/>
      <c r="AS33" s="638"/>
      <c r="AT33" s="638"/>
      <c r="AU33" s="638"/>
      <c r="AV33" s="638"/>
      <c r="AW33" s="638"/>
      <c r="AX33" s="638"/>
      <c r="AY33" s="638"/>
      <c r="AZ33" s="815"/>
      <c r="BA33" s="815"/>
      <c r="BB33" s="815"/>
      <c r="BC33" s="815"/>
      <c r="BD33" s="815"/>
      <c r="BE33" s="815"/>
      <c r="BF33" s="815"/>
      <c r="BG33" s="815"/>
      <c r="BH33" s="815"/>
      <c r="BI33" s="815"/>
      <c r="BJ33" s="557" t="s">
        <v>4633</v>
      </c>
      <c r="BK33" s="815"/>
      <c r="BL33" s="815"/>
      <c r="BM33" s="815"/>
      <c r="BN33" s="1224"/>
      <c r="BO33" s="1224"/>
      <c r="BP33" s="1224"/>
      <c r="BQ33" s="1224"/>
      <c r="BR33" s="1224"/>
      <c r="BS33" s="1224"/>
      <c r="BT33" s="1224"/>
      <c r="BU33" s="1224"/>
      <c r="BV33" s="1224"/>
      <c r="BW33" s="1224"/>
      <c r="BX33" s="644"/>
      <c r="BY33" s="633" t="s">
        <v>7</v>
      </c>
    </row>
    <row r="34" spans="1:77" ht="19.5" hidden="1" customHeight="1" x14ac:dyDescent="0.35">
      <c r="B34" s="332"/>
      <c r="C34" s="332" t="s">
        <v>3563</v>
      </c>
      <c r="D34" s="333"/>
      <c r="E34" s="333" t="s">
        <v>3058</v>
      </c>
      <c r="F34" s="333"/>
      <c r="G34" s="334"/>
      <c r="H34" s="333"/>
      <c r="I34" s="333"/>
      <c r="J34" s="333"/>
      <c r="K34" s="333" t="s">
        <v>2724</v>
      </c>
      <c r="L34" s="333" t="s">
        <v>3184</v>
      </c>
      <c r="N34" s="335" t="s">
        <v>78</v>
      </c>
      <c r="O34" s="336" t="s">
        <v>86</v>
      </c>
      <c r="P34" s="336" t="s">
        <v>79</v>
      </c>
      <c r="Q34" s="337"/>
      <c r="S34" s="338">
        <f t="shared" si="10"/>
        <v>2</v>
      </c>
      <c r="T34" s="951">
        <v>45376</v>
      </c>
      <c r="U34" s="339">
        <f t="shared" ca="1" si="11"/>
        <v>288</v>
      </c>
      <c r="W34" s="373"/>
      <c r="X34" s="373"/>
      <c r="Y34" s="373" t="s">
        <v>3545</v>
      </c>
      <c r="Z34" s="373"/>
      <c r="AA34" s="373"/>
      <c r="AB34" s="373"/>
      <c r="AC34" s="373"/>
      <c r="AD34" s="373"/>
      <c r="AE34" s="373"/>
      <c r="AF34" s="373" t="s">
        <v>200</v>
      </c>
      <c r="AG34" s="373"/>
      <c r="AH34" s="553"/>
      <c r="AI34" s="553"/>
      <c r="AJ34" s="553"/>
      <c r="AK34" s="553"/>
      <c r="AL34" s="553"/>
      <c r="AM34" s="621"/>
      <c r="AN34" s="621"/>
      <c r="AO34" s="557"/>
      <c r="AP34" s="638"/>
      <c r="AQ34" s="638"/>
      <c r="AR34" s="638"/>
      <c r="AS34" s="638"/>
      <c r="AT34" s="638"/>
      <c r="AU34" s="638"/>
      <c r="AV34" s="638"/>
      <c r="AW34" s="638"/>
      <c r="AX34" s="638"/>
      <c r="AY34" s="638"/>
      <c r="AZ34" s="815"/>
      <c r="BA34" s="815"/>
      <c r="BB34" s="815"/>
      <c r="BC34" s="815"/>
      <c r="BD34" s="815"/>
      <c r="BE34" s="815"/>
      <c r="BF34" s="815"/>
      <c r="BG34" s="815"/>
      <c r="BH34" s="815"/>
      <c r="BI34" s="815"/>
      <c r="BJ34" s="815"/>
      <c r="BK34" s="815"/>
      <c r="BL34" s="815"/>
      <c r="BM34" s="815"/>
      <c r="BN34" s="1224"/>
      <c r="BO34" s="1224"/>
      <c r="BP34" s="1224"/>
      <c r="BQ34" s="1224"/>
      <c r="BR34" s="1224"/>
      <c r="BS34" s="1224"/>
      <c r="BT34" s="1224"/>
      <c r="BU34" s="1224"/>
      <c r="BV34" s="1224"/>
      <c r="BW34" s="1224"/>
      <c r="BX34" s="644"/>
      <c r="BY34" s="633" t="s">
        <v>7</v>
      </c>
    </row>
    <row r="35" spans="1:77" ht="19.5" customHeight="1" x14ac:dyDescent="0.35">
      <c r="B35" s="332"/>
      <c r="C35" s="332" t="s">
        <v>5425</v>
      </c>
      <c r="D35" s="333"/>
      <c r="E35" s="333" t="s">
        <v>3062</v>
      </c>
      <c r="F35" s="333"/>
      <c r="G35" s="334"/>
      <c r="H35" s="333"/>
      <c r="I35" s="333" t="s">
        <v>3085</v>
      </c>
      <c r="J35" s="333"/>
      <c r="K35" s="333" t="s">
        <v>3518</v>
      </c>
      <c r="L35" s="340" t="s">
        <v>5424</v>
      </c>
      <c r="N35" s="335" t="s">
        <v>153</v>
      </c>
      <c r="O35" s="336"/>
      <c r="P35" s="336"/>
      <c r="Q35" s="337"/>
      <c r="S35" s="338">
        <f t="shared" si="10"/>
        <v>1</v>
      </c>
      <c r="T35" s="951">
        <v>45630</v>
      </c>
      <c r="U35" s="339">
        <f t="shared" ca="1" si="11"/>
        <v>34</v>
      </c>
      <c r="W35" s="373"/>
      <c r="X35" s="373"/>
      <c r="Y35" s="373"/>
      <c r="Z35" s="373"/>
      <c r="AA35" s="373"/>
      <c r="AB35" s="373"/>
      <c r="AC35" s="373"/>
      <c r="AD35" s="373"/>
      <c r="AE35" s="373"/>
      <c r="AF35" s="373"/>
      <c r="AG35" s="373"/>
      <c r="AH35" s="553"/>
      <c r="AI35" s="553"/>
      <c r="AJ35" s="553"/>
      <c r="AK35" s="553"/>
      <c r="AL35" s="553"/>
      <c r="AM35" s="621"/>
      <c r="AN35" s="621"/>
      <c r="AO35" s="557"/>
      <c r="AP35" s="638"/>
      <c r="AQ35" s="638"/>
      <c r="AR35" s="638"/>
      <c r="AS35" s="638"/>
      <c r="AT35" s="638"/>
      <c r="AU35" s="638"/>
      <c r="AV35" s="638"/>
      <c r="AW35" s="638"/>
      <c r="AX35" s="638"/>
      <c r="AY35" s="638"/>
      <c r="AZ35" s="815"/>
      <c r="BA35" s="815"/>
      <c r="BB35" s="815"/>
      <c r="BC35" s="815"/>
      <c r="BD35" s="815"/>
      <c r="BE35" s="815"/>
      <c r="BF35" s="815"/>
      <c r="BG35" s="815"/>
      <c r="BH35" s="815"/>
      <c r="BI35" s="815"/>
      <c r="BJ35" s="815"/>
      <c r="BK35" s="815"/>
      <c r="BL35" s="815"/>
      <c r="BM35" s="815"/>
      <c r="BN35" s="1224"/>
      <c r="BO35" s="1224"/>
      <c r="BP35" s="1224"/>
      <c r="BQ35" s="557" t="s">
        <v>3066</v>
      </c>
      <c r="BR35" s="1224"/>
      <c r="BS35" s="1224"/>
      <c r="BT35" s="1224"/>
      <c r="BU35" s="1224"/>
      <c r="BV35" s="1224"/>
      <c r="BW35" s="1224"/>
      <c r="BX35" s="644"/>
      <c r="BY35" s="633"/>
    </row>
    <row r="36" spans="1:77" ht="19.5" hidden="1" customHeight="1" x14ac:dyDescent="0.35">
      <c r="B36" s="641"/>
      <c r="C36" s="332" t="s">
        <v>2980</v>
      </c>
      <c r="D36" s="333"/>
      <c r="E36" s="333" t="s">
        <v>3058</v>
      </c>
      <c r="F36" s="333"/>
      <c r="G36" s="334"/>
      <c r="H36" s="333"/>
      <c r="I36" s="333" t="s">
        <v>3085</v>
      </c>
      <c r="J36" s="333"/>
      <c r="K36" s="333" t="s">
        <v>2724</v>
      </c>
      <c r="L36" s="333" t="s">
        <v>2981</v>
      </c>
      <c r="N36" s="335" t="s">
        <v>78</v>
      </c>
      <c r="O36" s="336"/>
      <c r="P36" s="336"/>
      <c r="Q36" s="337"/>
      <c r="S36" s="338">
        <f t="shared" si="10"/>
        <v>1</v>
      </c>
      <c r="T36" s="951">
        <v>45322</v>
      </c>
      <c r="U36" s="339">
        <f t="shared" ca="1" si="11"/>
        <v>342</v>
      </c>
      <c r="W36" s="373"/>
      <c r="X36" s="373"/>
      <c r="Y36" s="373" t="s">
        <v>3077</v>
      </c>
      <c r="Z36" s="373"/>
      <c r="AA36" s="373"/>
      <c r="AB36" s="373"/>
      <c r="AC36" s="373"/>
      <c r="AD36" s="373"/>
      <c r="AE36" s="373"/>
      <c r="AF36" s="373"/>
      <c r="AG36" s="373"/>
      <c r="AH36" s="553"/>
      <c r="AI36" s="553"/>
      <c r="AJ36" s="553"/>
      <c r="AK36" s="553"/>
      <c r="AL36" s="553"/>
      <c r="AM36" s="621"/>
      <c r="AN36" s="621"/>
      <c r="AO36" s="557"/>
      <c r="AP36" s="638"/>
      <c r="AQ36" s="638"/>
      <c r="AR36" s="638"/>
      <c r="AS36" s="638"/>
      <c r="AT36" s="638"/>
      <c r="AU36" s="638"/>
      <c r="AV36" s="638"/>
      <c r="AW36" s="638"/>
      <c r="AX36" s="638"/>
      <c r="AY36" s="638"/>
      <c r="AZ36" s="815"/>
      <c r="BA36" s="815"/>
      <c r="BB36" s="815"/>
      <c r="BC36" s="815"/>
      <c r="BD36" s="815"/>
      <c r="BE36" s="815"/>
      <c r="BF36" s="815"/>
      <c r="BG36" s="557"/>
      <c r="BH36" s="815"/>
      <c r="BI36" s="815"/>
      <c r="BJ36" s="815"/>
      <c r="BK36" s="815"/>
      <c r="BL36" s="815"/>
      <c r="BM36" s="815"/>
      <c r="BN36" s="1224"/>
      <c r="BO36" s="1224"/>
      <c r="BP36" s="1224"/>
      <c r="BQ36" s="1224"/>
      <c r="BR36" s="1224"/>
      <c r="BS36" s="1224"/>
      <c r="BT36" s="1224"/>
      <c r="BU36" s="1224"/>
      <c r="BV36" s="1224"/>
      <c r="BW36" s="1224"/>
      <c r="BX36" s="644"/>
      <c r="BY36" s="633" t="s">
        <v>7</v>
      </c>
    </row>
    <row r="37" spans="1:77" ht="19.5" customHeight="1" x14ac:dyDescent="0.35">
      <c r="B37" s="641"/>
      <c r="C37" s="332" t="s">
        <v>3122</v>
      </c>
      <c r="D37" s="333"/>
      <c r="E37" s="333" t="s">
        <v>3058</v>
      </c>
      <c r="F37" s="333"/>
      <c r="G37" s="334"/>
      <c r="H37" s="333"/>
      <c r="I37" s="333"/>
      <c r="J37" s="333"/>
      <c r="K37" s="333"/>
      <c r="L37" s="333" t="s">
        <v>3123</v>
      </c>
      <c r="N37" s="335" t="s">
        <v>153</v>
      </c>
      <c r="O37" s="336"/>
      <c r="P37" s="336"/>
      <c r="Q37" s="337" t="s">
        <v>4629</v>
      </c>
      <c r="S37" s="338">
        <f t="shared" si="10"/>
        <v>4</v>
      </c>
      <c r="T37" s="951">
        <v>45432</v>
      </c>
      <c r="U37" s="339">
        <f t="shared" ca="1" si="11"/>
        <v>232</v>
      </c>
      <c r="W37" s="373"/>
      <c r="X37" s="373"/>
      <c r="Y37" s="373"/>
      <c r="Z37" s="373"/>
      <c r="AA37" s="373"/>
      <c r="AB37" s="373"/>
      <c r="AC37" s="373"/>
      <c r="AD37" s="373"/>
      <c r="AE37" s="373"/>
      <c r="AF37" s="373"/>
      <c r="AG37" s="373"/>
      <c r="AH37" s="553"/>
      <c r="AI37" s="557" t="s">
        <v>4300</v>
      </c>
      <c r="AJ37" s="553"/>
      <c r="AK37" s="553"/>
      <c r="AL37" s="553"/>
      <c r="AM37" s="621"/>
      <c r="AN37" s="621"/>
      <c r="AO37" s="557"/>
      <c r="AP37" s="638"/>
      <c r="AQ37" s="638"/>
      <c r="AR37" s="638"/>
      <c r="AS37" s="638"/>
      <c r="AT37" s="638" t="s">
        <v>3066</v>
      </c>
      <c r="AU37" s="638"/>
      <c r="AV37" s="638"/>
      <c r="AW37" s="638"/>
      <c r="AX37" s="638"/>
      <c r="AY37" s="638"/>
      <c r="AZ37" s="815"/>
      <c r="BA37" s="815"/>
      <c r="BB37" s="815"/>
      <c r="BC37" s="815"/>
      <c r="BD37" s="815"/>
      <c r="BE37" s="815" t="s">
        <v>3066</v>
      </c>
      <c r="BF37" s="815"/>
      <c r="BG37" s="1040" t="s">
        <v>4277</v>
      </c>
      <c r="BH37" s="815"/>
      <c r="BI37" s="815"/>
      <c r="BJ37" s="815"/>
      <c r="BK37" s="815"/>
      <c r="BL37" s="815"/>
      <c r="BM37" s="815"/>
      <c r="BN37" s="1224"/>
      <c r="BO37" s="1224"/>
      <c r="BP37" s="1224"/>
      <c r="BQ37" s="1224"/>
      <c r="BR37" s="1224"/>
      <c r="BS37" s="1224"/>
      <c r="BT37" s="1224"/>
      <c r="BU37" s="1224"/>
      <c r="BV37" s="1224"/>
      <c r="BW37" s="1224"/>
      <c r="BX37" s="644"/>
      <c r="BY37" s="633" t="s">
        <v>7</v>
      </c>
    </row>
    <row r="38" spans="1:77" ht="19.5" hidden="1" customHeight="1" x14ac:dyDescent="0.35">
      <c r="B38" s="641"/>
      <c r="C38" s="332" t="s">
        <v>3119</v>
      </c>
      <c r="D38" s="333"/>
      <c r="E38" s="333" t="s">
        <v>3058</v>
      </c>
      <c r="F38" s="333"/>
      <c r="G38" s="334"/>
      <c r="H38" s="333"/>
      <c r="I38" s="333"/>
      <c r="J38" s="333"/>
      <c r="K38" s="333"/>
      <c r="L38" s="333" t="s">
        <v>3120</v>
      </c>
      <c r="N38" s="335"/>
      <c r="O38" s="336"/>
      <c r="P38" s="336"/>
      <c r="Q38" s="337"/>
      <c r="S38" s="338">
        <f t="shared" ref="S38:S71" si="14">+COUNTA(W38:BX38)</f>
        <v>2</v>
      </c>
      <c r="T38" s="951">
        <v>45443</v>
      </c>
      <c r="U38" s="339">
        <f t="shared" ref="U38:U71" ca="1" si="15">IF(T38&gt;0,IF(TODAY()&gt;T38,TODAY()-T38,""),"")</f>
        <v>221</v>
      </c>
      <c r="W38" s="373"/>
      <c r="X38" s="373"/>
      <c r="Y38" s="373"/>
      <c r="Z38" s="373"/>
      <c r="AA38" s="373"/>
      <c r="AB38" s="373"/>
      <c r="AC38" s="373"/>
      <c r="AD38" s="373"/>
      <c r="AE38" s="373"/>
      <c r="AF38" s="373"/>
      <c r="AG38" s="373"/>
      <c r="AH38" s="553"/>
      <c r="AI38" s="553"/>
      <c r="AJ38" s="553"/>
      <c r="AK38" s="553"/>
      <c r="AL38" s="553"/>
      <c r="AM38" s="621"/>
      <c r="AN38" s="621"/>
      <c r="AO38" s="557" t="s">
        <v>3978</v>
      </c>
      <c r="AP38" s="638"/>
      <c r="AQ38" s="638"/>
      <c r="AR38" s="638"/>
      <c r="AS38" s="638"/>
      <c r="AT38" s="638"/>
      <c r="AU38" s="638"/>
      <c r="AV38" s="638"/>
      <c r="AW38" s="638"/>
      <c r="AX38" s="638"/>
      <c r="AY38" s="638"/>
      <c r="AZ38" s="815"/>
      <c r="BA38" s="815"/>
      <c r="BB38" s="815"/>
      <c r="BC38" s="815"/>
      <c r="BD38" s="815"/>
      <c r="BE38" s="815"/>
      <c r="BF38" s="815"/>
      <c r="BG38" s="815"/>
      <c r="BH38" s="815"/>
      <c r="BI38" s="1092" t="s">
        <v>3312</v>
      </c>
      <c r="BJ38" s="815"/>
      <c r="BK38" s="815"/>
      <c r="BL38" s="815"/>
      <c r="BM38" s="815"/>
      <c r="BN38" s="1224"/>
      <c r="BO38" s="1224"/>
      <c r="BP38" s="1224"/>
      <c r="BQ38" s="1224"/>
      <c r="BR38" s="1224"/>
      <c r="BS38" s="1224"/>
      <c r="BT38" s="1224"/>
      <c r="BU38" s="1224"/>
      <c r="BV38" s="1224"/>
      <c r="BW38" s="1224"/>
      <c r="BX38" s="644"/>
      <c r="BY38" s="633" t="s">
        <v>7</v>
      </c>
    </row>
    <row r="39" spans="1:77" ht="19.5" hidden="1" customHeight="1" x14ac:dyDescent="0.35">
      <c r="B39" s="641"/>
      <c r="C39" s="332" t="s">
        <v>4284</v>
      </c>
      <c r="D39" s="333"/>
      <c r="E39" s="333" t="s">
        <v>3058</v>
      </c>
      <c r="F39" s="333" t="s">
        <v>4285</v>
      </c>
      <c r="G39" s="334"/>
      <c r="H39" s="333"/>
      <c r="I39" s="333" t="s">
        <v>3160</v>
      </c>
      <c r="J39" s="333"/>
      <c r="K39" s="333" t="s">
        <v>2724</v>
      </c>
      <c r="L39" s="333" t="s">
        <v>4192</v>
      </c>
      <c r="N39" s="335" t="s">
        <v>78</v>
      </c>
      <c r="O39" s="336" t="s">
        <v>79</v>
      </c>
      <c r="P39" s="336"/>
      <c r="Q39" s="337" t="s">
        <v>3974</v>
      </c>
      <c r="S39" s="338">
        <f t="shared" si="14"/>
        <v>3</v>
      </c>
      <c r="T39" s="951">
        <v>45635</v>
      </c>
      <c r="U39" s="339">
        <f t="shared" ca="1" si="15"/>
        <v>29</v>
      </c>
      <c r="W39" s="373"/>
      <c r="X39" s="373"/>
      <c r="Y39" s="373"/>
      <c r="Z39" s="373"/>
      <c r="AA39" s="373"/>
      <c r="AB39" s="373"/>
      <c r="AC39" s="373"/>
      <c r="AD39" s="373"/>
      <c r="AE39" s="373"/>
      <c r="AF39" s="373"/>
      <c r="AG39" s="373"/>
      <c r="AH39" s="553"/>
      <c r="AI39" s="553"/>
      <c r="AJ39" s="553"/>
      <c r="AK39" s="553"/>
      <c r="AL39" s="553"/>
      <c r="AM39" s="621"/>
      <c r="AN39" s="621"/>
      <c r="AO39" s="557"/>
      <c r="AP39" s="638"/>
      <c r="AQ39" s="638"/>
      <c r="AR39" s="638"/>
      <c r="AS39" s="638"/>
      <c r="AT39" s="638"/>
      <c r="AU39" s="638" t="s">
        <v>3312</v>
      </c>
      <c r="AV39" s="638"/>
      <c r="AW39" s="638"/>
      <c r="AX39" s="638"/>
      <c r="AY39" s="638"/>
      <c r="AZ39" s="815"/>
      <c r="BA39" s="815"/>
      <c r="BB39" s="815"/>
      <c r="BC39" s="815"/>
      <c r="BD39" s="815"/>
      <c r="BE39" s="815"/>
      <c r="BF39" s="815"/>
      <c r="BG39" s="815"/>
      <c r="BH39" s="815"/>
      <c r="BI39" s="815" t="s">
        <v>3312</v>
      </c>
      <c r="BJ39" s="815"/>
      <c r="BK39" s="815"/>
      <c r="BL39" s="815"/>
      <c r="BM39" s="815"/>
      <c r="BN39" s="1224"/>
      <c r="BO39" s="1224"/>
      <c r="BP39" s="1224"/>
      <c r="BQ39" s="557" t="s">
        <v>5467</v>
      </c>
      <c r="BR39" s="1224"/>
      <c r="BS39" s="1224"/>
      <c r="BT39" s="1224"/>
      <c r="BU39" s="1224"/>
      <c r="BV39" s="1224"/>
      <c r="BW39" s="1224"/>
      <c r="BX39" s="644"/>
      <c r="BY39" s="633" t="s">
        <v>7</v>
      </c>
    </row>
    <row r="40" spans="1:77" ht="19.5" hidden="1" customHeight="1" x14ac:dyDescent="0.35">
      <c r="B40" s="641"/>
      <c r="C40" s="332" t="s">
        <v>5445</v>
      </c>
      <c r="D40" s="333"/>
      <c r="E40" s="333" t="s">
        <v>3058</v>
      </c>
      <c r="F40" s="333"/>
      <c r="G40" s="334"/>
      <c r="H40" s="333"/>
      <c r="I40" s="333"/>
      <c r="J40" s="333"/>
      <c r="K40" s="333" t="s">
        <v>2724</v>
      </c>
      <c r="L40" s="333"/>
      <c r="N40" s="335" t="s">
        <v>78</v>
      </c>
      <c r="O40" s="336"/>
      <c r="P40" s="336"/>
      <c r="Q40" s="337"/>
      <c r="S40" s="338">
        <f t="shared" ref="S40" si="16">+COUNTA(W40:BX40)</f>
        <v>1</v>
      </c>
      <c r="T40" s="951">
        <v>45635</v>
      </c>
      <c r="U40" s="339">
        <f t="shared" ref="U40" ca="1" si="17">IF(T40&gt;0,IF(TODAY()&gt;T40,TODAY()-T40,""),"")</f>
        <v>29</v>
      </c>
      <c r="W40" s="373"/>
      <c r="X40" s="373"/>
      <c r="Y40" s="373"/>
      <c r="Z40" s="373"/>
      <c r="AA40" s="373"/>
      <c r="AB40" s="373"/>
      <c r="AC40" s="373"/>
      <c r="AD40" s="373"/>
      <c r="AE40" s="373"/>
      <c r="AF40" s="373"/>
      <c r="AG40" s="373"/>
      <c r="AH40" s="553"/>
      <c r="AI40" s="553"/>
      <c r="AJ40" s="553"/>
      <c r="AK40" s="553"/>
      <c r="AL40" s="553"/>
      <c r="AM40" s="621"/>
      <c r="AN40" s="621"/>
      <c r="AO40" s="557"/>
      <c r="AP40" s="638"/>
      <c r="AQ40" s="638"/>
      <c r="AR40" s="638"/>
      <c r="AS40" s="638"/>
      <c r="AT40" s="638"/>
      <c r="AU40" s="638"/>
      <c r="AV40" s="638"/>
      <c r="AW40" s="638"/>
      <c r="AX40" s="638"/>
      <c r="AY40" s="638"/>
      <c r="AZ40" s="815"/>
      <c r="BA40" s="815"/>
      <c r="BB40" s="815"/>
      <c r="BC40" s="815"/>
      <c r="BD40" s="815"/>
      <c r="BE40" s="815"/>
      <c r="BF40" s="815"/>
      <c r="BG40" s="815"/>
      <c r="BH40" s="815"/>
      <c r="BI40" s="815"/>
      <c r="BJ40" s="815"/>
      <c r="BK40" s="815"/>
      <c r="BL40" s="815"/>
      <c r="BM40" s="815"/>
      <c r="BN40" s="1224"/>
      <c r="BO40" s="1224"/>
      <c r="BP40" s="1224"/>
      <c r="BQ40" s="557" t="s">
        <v>5580</v>
      </c>
      <c r="BR40" s="1224"/>
      <c r="BS40" s="1224"/>
      <c r="BT40" s="1224"/>
      <c r="BU40" s="1224"/>
      <c r="BV40" s="1224"/>
      <c r="BW40" s="1224"/>
      <c r="BX40" s="644"/>
      <c r="BY40" s="633" t="s">
        <v>7</v>
      </c>
    </row>
    <row r="41" spans="1:77" ht="19.5" hidden="1" customHeight="1" x14ac:dyDescent="0.35">
      <c r="A41" s="950" t="s">
        <v>4476</v>
      </c>
      <c r="B41" s="641"/>
      <c r="C41" s="332" t="s">
        <v>3297</v>
      </c>
      <c r="D41" s="333"/>
      <c r="E41" s="333" t="s">
        <v>3058</v>
      </c>
      <c r="F41" s="333"/>
      <c r="G41" s="334"/>
      <c r="H41" s="333"/>
      <c r="I41" s="333"/>
      <c r="J41" s="333"/>
      <c r="K41" s="333" t="s">
        <v>2724</v>
      </c>
      <c r="L41" s="340"/>
      <c r="N41" s="335" t="s">
        <v>78</v>
      </c>
      <c r="O41" s="336" t="s">
        <v>86</v>
      </c>
      <c r="P41" s="336" t="s">
        <v>79</v>
      </c>
      <c r="Q41" s="337"/>
      <c r="S41" s="338">
        <f t="shared" si="14"/>
        <v>2</v>
      </c>
      <c r="T41" s="951">
        <v>45362</v>
      </c>
      <c r="U41" s="339">
        <f t="shared" ca="1" si="15"/>
        <v>302</v>
      </c>
      <c r="W41" s="373"/>
      <c r="X41" s="373"/>
      <c r="Y41" s="373"/>
      <c r="Z41" s="373"/>
      <c r="AA41" s="373" t="s">
        <v>3076</v>
      </c>
      <c r="AB41" s="373"/>
      <c r="AC41" s="373"/>
      <c r="AD41" s="373" t="s">
        <v>2968</v>
      </c>
      <c r="AE41" s="373"/>
      <c r="AF41" s="373"/>
      <c r="AG41" s="373"/>
      <c r="AH41" s="553"/>
      <c r="AI41" s="553"/>
      <c r="AJ41" s="553"/>
      <c r="AK41" s="553"/>
      <c r="AL41" s="553"/>
      <c r="AM41" s="621"/>
      <c r="AN41" s="621"/>
      <c r="AO41" s="557"/>
      <c r="AP41" s="638"/>
      <c r="AQ41" s="638"/>
      <c r="AR41" s="638"/>
      <c r="AS41" s="638"/>
      <c r="AT41" s="638"/>
      <c r="AU41" s="638"/>
      <c r="AV41" s="638"/>
      <c r="AW41" s="638"/>
      <c r="AX41" s="638"/>
      <c r="AY41" s="638"/>
      <c r="AZ41" s="815"/>
      <c r="BA41" s="815"/>
      <c r="BB41" s="815"/>
      <c r="BC41" s="815"/>
      <c r="BD41" s="815"/>
      <c r="BE41" s="815"/>
      <c r="BF41" s="815"/>
      <c r="BG41" s="815"/>
      <c r="BH41" s="815"/>
      <c r="BI41" s="815"/>
      <c r="BJ41" s="815"/>
      <c r="BK41" s="815"/>
      <c r="BL41" s="815"/>
      <c r="BM41" s="815"/>
      <c r="BN41" s="1224"/>
      <c r="BO41" s="1224"/>
      <c r="BP41" s="1224"/>
      <c r="BQ41" s="1224"/>
      <c r="BR41" s="1224"/>
      <c r="BS41" s="1224"/>
      <c r="BT41" s="1224"/>
      <c r="BU41" s="1224"/>
      <c r="BV41" s="1224"/>
      <c r="BW41" s="1224"/>
      <c r="BX41" s="644"/>
      <c r="BY41" s="633" t="s">
        <v>7</v>
      </c>
    </row>
    <row r="42" spans="1:77" ht="19.5" customHeight="1" x14ac:dyDescent="0.35">
      <c r="B42" s="641"/>
      <c r="C42" s="332" t="s">
        <v>3109</v>
      </c>
      <c r="D42" s="333"/>
      <c r="E42" s="333" t="s">
        <v>3058</v>
      </c>
      <c r="F42" s="333"/>
      <c r="G42" s="334"/>
      <c r="H42" s="333"/>
      <c r="I42" s="333"/>
      <c r="J42" s="333"/>
      <c r="K42" s="333"/>
      <c r="L42" s="333" t="s">
        <v>3110</v>
      </c>
      <c r="N42" s="335" t="s">
        <v>153</v>
      </c>
      <c r="O42" s="336"/>
      <c r="P42" s="336"/>
      <c r="Q42" s="337"/>
      <c r="S42" s="338">
        <f t="shared" si="14"/>
        <v>1</v>
      </c>
      <c r="T42" s="951"/>
      <c r="U42" s="339" t="str">
        <f t="shared" ca="1" si="15"/>
        <v/>
      </c>
      <c r="W42" s="373"/>
      <c r="X42" s="373"/>
      <c r="Y42" s="373"/>
      <c r="Z42" s="373"/>
      <c r="AA42" s="373"/>
      <c r="AB42" s="373"/>
      <c r="AC42" s="373"/>
      <c r="AD42" s="373"/>
      <c r="AE42" s="373"/>
      <c r="AF42" s="373"/>
      <c r="AG42" s="373"/>
      <c r="AH42" s="553"/>
      <c r="AI42" s="553"/>
      <c r="AJ42" s="553"/>
      <c r="AK42" s="553"/>
      <c r="AL42" s="553"/>
      <c r="AM42" s="621"/>
      <c r="AN42" s="621" t="s">
        <v>3687</v>
      </c>
      <c r="AO42" s="557"/>
      <c r="AP42" s="638"/>
      <c r="AQ42" s="638"/>
      <c r="AR42" s="638"/>
      <c r="AS42" s="638"/>
      <c r="AT42" s="638"/>
      <c r="AU42" s="638"/>
      <c r="AV42" s="638"/>
      <c r="AW42" s="638"/>
      <c r="AX42" s="638"/>
      <c r="AY42" s="638"/>
      <c r="AZ42" s="815"/>
      <c r="BA42" s="815"/>
      <c r="BB42" s="815"/>
      <c r="BC42" s="815"/>
      <c r="BD42" s="815"/>
      <c r="BE42" s="815"/>
      <c r="BF42" s="815"/>
      <c r="BG42" s="815"/>
      <c r="BH42" s="815"/>
      <c r="BI42" s="815"/>
      <c r="BJ42" s="815"/>
      <c r="BK42" s="815"/>
      <c r="BL42" s="815"/>
      <c r="BM42" s="815"/>
      <c r="BN42" s="1224"/>
      <c r="BO42" s="1224"/>
      <c r="BP42" s="1224"/>
      <c r="BQ42" s="1224"/>
      <c r="BR42" s="1224"/>
      <c r="BS42" s="1224"/>
      <c r="BT42" s="1224"/>
      <c r="BU42" s="1224"/>
      <c r="BV42" s="1224"/>
      <c r="BW42" s="1224"/>
      <c r="BX42" s="644"/>
      <c r="BY42" s="633" t="s">
        <v>7</v>
      </c>
    </row>
    <row r="43" spans="1:77" ht="19.5" hidden="1" customHeight="1" x14ac:dyDescent="0.35">
      <c r="B43" s="641"/>
      <c r="C43" s="332" t="s">
        <v>3111</v>
      </c>
      <c r="D43" s="333"/>
      <c r="E43" s="333" t="s">
        <v>3058</v>
      </c>
      <c r="F43" s="333" t="s">
        <v>3112</v>
      </c>
      <c r="G43" s="334"/>
      <c r="H43" s="333"/>
      <c r="I43" s="333"/>
      <c r="J43" s="333"/>
      <c r="K43" s="333"/>
      <c r="L43" s="333" t="s">
        <v>3113</v>
      </c>
      <c r="N43" s="335" t="s">
        <v>78</v>
      </c>
      <c r="O43" s="336"/>
      <c r="P43" s="336"/>
      <c r="Q43" s="337"/>
      <c r="S43" s="338">
        <f t="shared" si="14"/>
        <v>3</v>
      </c>
      <c r="T43" s="951"/>
      <c r="U43" s="339" t="str">
        <f t="shared" ca="1" si="15"/>
        <v/>
      </c>
      <c r="W43" s="373"/>
      <c r="X43" s="373"/>
      <c r="Y43" s="373"/>
      <c r="Z43" s="373"/>
      <c r="AA43" s="373"/>
      <c r="AB43" s="373"/>
      <c r="AC43" s="373"/>
      <c r="AD43" s="373"/>
      <c r="AE43" s="373"/>
      <c r="AF43" s="373"/>
      <c r="AG43" s="373"/>
      <c r="AH43" s="553"/>
      <c r="AI43" s="553"/>
      <c r="AJ43" s="561" t="s">
        <v>200</v>
      </c>
      <c r="AK43" s="553"/>
      <c r="AL43" s="553"/>
      <c r="AM43" s="621"/>
      <c r="AN43" s="621"/>
      <c r="AO43" s="557"/>
      <c r="AP43" s="638"/>
      <c r="AQ43" s="638"/>
      <c r="AR43" s="638"/>
      <c r="AS43" s="638"/>
      <c r="AT43" s="638"/>
      <c r="AU43" s="638"/>
      <c r="AV43" s="638"/>
      <c r="AW43" s="638"/>
      <c r="AX43" s="638"/>
      <c r="AY43" s="638"/>
      <c r="AZ43" s="815"/>
      <c r="BA43" s="815"/>
      <c r="BB43" s="815"/>
      <c r="BC43" s="815"/>
      <c r="BD43" s="815"/>
      <c r="BE43" s="815"/>
      <c r="BF43" s="815"/>
      <c r="BG43" s="815"/>
      <c r="BH43" s="815"/>
      <c r="BI43" s="1130" t="s">
        <v>4277</v>
      </c>
      <c r="BJ43" s="815"/>
      <c r="BK43" s="815" t="s">
        <v>4857</v>
      </c>
      <c r="BL43" s="815"/>
      <c r="BM43" s="815"/>
      <c r="BN43" s="1224"/>
      <c r="BO43" s="1224"/>
      <c r="BP43" s="1224"/>
      <c r="BQ43" s="1224"/>
      <c r="BR43" s="1224"/>
      <c r="BS43" s="1224"/>
      <c r="BT43" s="1224"/>
      <c r="BU43" s="1224"/>
      <c r="BV43" s="1224"/>
      <c r="BW43" s="1224"/>
      <c r="BX43" s="644"/>
      <c r="BY43" s="633" t="s">
        <v>7</v>
      </c>
    </row>
    <row r="44" spans="1:77" ht="19.5" hidden="1" customHeight="1" x14ac:dyDescent="0.35">
      <c r="B44" s="332"/>
      <c r="C44" s="332" t="s">
        <v>2972</v>
      </c>
      <c r="D44" s="333"/>
      <c r="E44" s="333" t="s">
        <v>3058</v>
      </c>
      <c r="F44" s="333"/>
      <c r="G44" s="334"/>
      <c r="H44" s="333"/>
      <c r="I44" s="333"/>
      <c r="J44" s="333"/>
      <c r="K44" s="333" t="s">
        <v>3518</v>
      </c>
      <c r="L44" s="333" t="s">
        <v>3519</v>
      </c>
      <c r="N44" s="335" t="s">
        <v>78</v>
      </c>
      <c r="O44" s="336" t="s">
        <v>86</v>
      </c>
      <c r="P44" s="336" t="s">
        <v>79</v>
      </c>
      <c r="Q44" s="337"/>
      <c r="S44" s="338">
        <f t="shared" si="14"/>
        <v>1</v>
      </c>
      <c r="T44" s="951">
        <v>45356</v>
      </c>
      <c r="U44" s="339">
        <f t="shared" ca="1" si="15"/>
        <v>308</v>
      </c>
      <c r="W44" s="373"/>
      <c r="X44" s="373"/>
      <c r="Y44" s="373"/>
      <c r="Z44" s="373"/>
      <c r="AA44" s="373" t="s">
        <v>3457</v>
      </c>
      <c r="AB44" s="373"/>
      <c r="AC44" s="373"/>
      <c r="AD44" s="373"/>
      <c r="AE44" s="373"/>
      <c r="AF44" s="373"/>
      <c r="AG44" s="373"/>
      <c r="AH44" s="553"/>
      <c r="AI44" s="553"/>
      <c r="AJ44" s="553"/>
      <c r="AK44" s="553"/>
      <c r="AL44" s="553"/>
      <c r="AM44" s="621"/>
      <c r="AN44" s="621"/>
      <c r="AO44" s="557"/>
      <c r="AP44" s="638"/>
      <c r="AQ44" s="638"/>
      <c r="AR44" s="638"/>
      <c r="AS44" s="638"/>
      <c r="AT44" s="638"/>
      <c r="AU44" s="638"/>
      <c r="AV44" s="638"/>
      <c r="AW44" s="638"/>
      <c r="AX44" s="638"/>
      <c r="AY44" s="638"/>
      <c r="AZ44" s="815"/>
      <c r="BA44" s="815"/>
      <c r="BB44" s="815"/>
      <c r="BC44" s="815"/>
      <c r="BD44" s="815"/>
      <c r="BE44" s="815"/>
      <c r="BF44" s="815"/>
      <c r="BG44" s="815"/>
      <c r="BH44" s="815"/>
      <c r="BI44" s="815"/>
      <c r="BJ44" s="815"/>
      <c r="BK44" s="815"/>
      <c r="BL44" s="815"/>
      <c r="BM44" s="815"/>
      <c r="BN44" s="1224"/>
      <c r="BO44" s="1224"/>
      <c r="BP44" s="1224"/>
      <c r="BQ44" s="1224"/>
      <c r="BR44" s="1224"/>
      <c r="BS44" s="1224"/>
      <c r="BT44" s="1224"/>
      <c r="BU44" s="1224"/>
      <c r="BV44" s="1224"/>
      <c r="BW44" s="1224"/>
      <c r="BX44" s="644"/>
      <c r="BY44" s="633" t="s">
        <v>7</v>
      </c>
    </row>
    <row r="45" spans="1:77" ht="19.5" hidden="1" customHeight="1" x14ac:dyDescent="0.35">
      <c r="A45" s="950" t="s">
        <v>4477</v>
      </c>
      <c r="B45" s="641"/>
      <c r="C45" s="332" t="s">
        <v>2723</v>
      </c>
      <c r="D45" s="333"/>
      <c r="E45" s="333" t="s">
        <v>3058</v>
      </c>
      <c r="F45" s="333"/>
      <c r="G45" s="334"/>
      <c r="H45" s="333"/>
      <c r="I45" s="333"/>
      <c r="J45" s="333"/>
      <c r="K45" s="333"/>
      <c r="L45" s="333"/>
      <c r="N45" s="335" t="s">
        <v>61</v>
      </c>
      <c r="O45" s="336" t="s">
        <v>79</v>
      </c>
      <c r="P45" s="336"/>
      <c r="Q45" s="337"/>
      <c r="S45" s="338">
        <f t="shared" si="14"/>
        <v>2</v>
      </c>
      <c r="T45" s="951"/>
      <c r="U45" s="339" t="str">
        <f t="shared" ca="1" si="15"/>
        <v/>
      </c>
      <c r="W45" s="373" t="s">
        <v>3186</v>
      </c>
      <c r="X45" s="373"/>
      <c r="Y45" s="373"/>
      <c r="Z45" s="373"/>
      <c r="AA45" s="373"/>
      <c r="AB45" s="373"/>
      <c r="AC45" s="373"/>
      <c r="AD45" s="373"/>
      <c r="AE45" s="373"/>
      <c r="AF45" s="373"/>
      <c r="AG45" s="373"/>
      <c r="AH45" s="553"/>
      <c r="AI45" s="553"/>
      <c r="AJ45" s="553"/>
      <c r="AK45" s="553"/>
      <c r="AL45" s="553"/>
      <c r="AM45" s="621"/>
      <c r="AN45" s="621"/>
      <c r="AO45" s="557"/>
      <c r="AP45" s="638"/>
      <c r="AQ45" s="638"/>
      <c r="AR45" s="638"/>
      <c r="AS45" s="638"/>
      <c r="AT45" s="638"/>
      <c r="AU45" s="638"/>
      <c r="AV45" s="638"/>
      <c r="AW45" s="638"/>
      <c r="AX45" s="638"/>
      <c r="AY45" s="638"/>
      <c r="AZ45" s="815"/>
      <c r="BA45" s="815"/>
      <c r="BB45" s="815"/>
      <c r="BC45" s="815"/>
      <c r="BD45" s="815" t="s">
        <v>4419</v>
      </c>
      <c r="BE45" s="815"/>
      <c r="BF45" s="815"/>
      <c r="BG45" s="815"/>
      <c r="BH45" s="815"/>
      <c r="BI45" s="815"/>
      <c r="BJ45" s="815"/>
      <c r="BK45" s="815"/>
      <c r="BL45" s="815"/>
      <c r="BM45" s="815"/>
      <c r="BN45" s="1224"/>
      <c r="BO45" s="1224"/>
      <c r="BP45" s="1224"/>
      <c r="BQ45" s="1224"/>
      <c r="BR45" s="1224"/>
      <c r="BS45" s="1224"/>
      <c r="BT45" s="1224"/>
      <c r="BU45" s="1224"/>
      <c r="BV45" s="1224"/>
      <c r="BW45" s="1224"/>
      <c r="BX45" s="644"/>
      <c r="BY45" s="633" t="s">
        <v>7</v>
      </c>
    </row>
    <row r="46" spans="1:77" ht="19.5" hidden="1" customHeight="1" x14ac:dyDescent="0.35">
      <c r="A46" s="1277"/>
      <c r="B46" s="641"/>
      <c r="C46" s="332" t="s">
        <v>5326</v>
      </c>
      <c r="D46" s="333"/>
      <c r="E46" s="333" t="s">
        <v>433</v>
      </c>
      <c r="F46" s="333"/>
      <c r="G46" s="334"/>
      <c r="H46" s="333"/>
      <c r="I46" s="333"/>
      <c r="J46" s="333"/>
      <c r="K46" s="333"/>
      <c r="L46" s="333" t="s">
        <v>5327</v>
      </c>
      <c r="N46" s="335" t="s">
        <v>79</v>
      </c>
      <c r="O46" s="336"/>
      <c r="P46" s="336"/>
      <c r="Q46" s="337"/>
      <c r="S46" s="338">
        <f t="shared" si="14"/>
        <v>1</v>
      </c>
      <c r="T46" s="951">
        <v>45618</v>
      </c>
      <c r="U46" s="339">
        <f t="shared" ca="1" si="15"/>
        <v>46</v>
      </c>
      <c r="W46" s="373"/>
      <c r="X46" s="373"/>
      <c r="Y46" s="373"/>
      <c r="Z46" s="373"/>
      <c r="AA46" s="373"/>
      <c r="AB46" s="373"/>
      <c r="AC46" s="373"/>
      <c r="AD46" s="373"/>
      <c r="AE46" s="373"/>
      <c r="AF46" s="373"/>
      <c r="AG46" s="373"/>
      <c r="AH46" s="553"/>
      <c r="AI46" s="553"/>
      <c r="AJ46" s="553"/>
      <c r="AK46" s="553"/>
      <c r="AL46" s="553"/>
      <c r="AM46" s="621"/>
      <c r="AN46" s="621"/>
      <c r="AO46" s="557"/>
      <c r="AP46" s="638"/>
      <c r="AQ46" s="638"/>
      <c r="AR46" s="638"/>
      <c r="AS46" s="638"/>
      <c r="AT46" s="638"/>
      <c r="AU46" s="638"/>
      <c r="AV46" s="638"/>
      <c r="AW46" s="638"/>
      <c r="AX46" s="638"/>
      <c r="AY46" s="638"/>
      <c r="AZ46" s="815"/>
      <c r="BA46" s="815"/>
      <c r="BB46" s="815"/>
      <c r="BC46" s="815"/>
      <c r="BD46" s="815"/>
      <c r="BE46" s="815"/>
      <c r="BF46" s="815"/>
      <c r="BG46" s="815"/>
      <c r="BH46" s="815"/>
      <c r="BI46" s="815"/>
      <c r="BJ46" s="815"/>
      <c r="BK46" s="815"/>
      <c r="BL46" s="815"/>
      <c r="BM46" s="815"/>
      <c r="BN46" s="1224"/>
      <c r="BO46" s="1224" t="s">
        <v>5328</v>
      </c>
      <c r="BP46" s="1224"/>
      <c r="BQ46" s="1224"/>
      <c r="BR46" s="1224"/>
      <c r="BS46" s="1224"/>
      <c r="BT46" s="1224"/>
      <c r="BU46" s="1224"/>
      <c r="BV46" s="1224"/>
      <c r="BW46" s="1224"/>
      <c r="BX46" s="644"/>
      <c r="BY46" s="633" t="s">
        <v>7</v>
      </c>
    </row>
    <row r="47" spans="1:77" ht="19.5" hidden="1" customHeight="1" x14ac:dyDescent="0.35">
      <c r="B47" s="641"/>
      <c r="C47" s="332" t="s">
        <v>3136</v>
      </c>
      <c r="D47" s="333" t="s">
        <v>3137</v>
      </c>
      <c r="E47" s="333" t="s">
        <v>3062</v>
      </c>
      <c r="F47" s="333"/>
      <c r="G47" s="334">
        <v>80</v>
      </c>
      <c r="H47" s="333" t="s">
        <v>3138</v>
      </c>
      <c r="I47" s="333" t="s">
        <v>3139</v>
      </c>
      <c r="J47" s="333"/>
      <c r="K47" s="333" t="s">
        <v>2724</v>
      </c>
      <c r="L47" s="333" t="s">
        <v>3140</v>
      </c>
      <c r="M47" s="328" t="s">
        <v>731</v>
      </c>
      <c r="N47" s="335" t="s">
        <v>78</v>
      </c>
      <c r="O47" s="336" t="s">
        <v>79</v>
      </c>
      <c r="P47" s="336"/>
      <c r="Q47" s="337"/>
      <c r="S47" s="338">
        <f t="shared" si="14"/>
        <v>2</v>
      </c>
      <c r="T47" s="951">
        <v>45334</v>
      </c>
      <c r="U47" s="339">
        <f t="shared" ca="1" si="15"/>
        <v>330</v>
      </c>
      <c r="W47" s="373"/>
      <c r="X47" s="373"/>
      <c r="Y47" s="373"/>
      <c r="Z47" s="373" t="s">
        <v>3165</v>
      </c>
      <c r="AA47" s="373"/>
      <c r="AB47" s="373"/>
      <c r="AC47" s="373"/>
      <c r="AD47" s="373"/>
      <c r="AE47" s="373"/>
      <c r="AF47" s="373"/>
      <c r="AG47" s="373"/>
      <c r="AH47" s="553"/>
      <c r="AI47" s="553"/>
      <c r="AJ47" s="553"/>
      <c r="AK47" s="553"/>
      <c r="AL47" s="553"/>
      <c r="AM47" s="621"/>
      <c r="AN47" s="621"/>
      <c r="AO47" s="557"/>
      <c r="AP47" s="638"/>
      <c r="AQ47" s="638"/>
      <c r="AR47" s="638"/>
      <c r="AS47" s="638"/>
      <c r="AT47" s="638"/>
      <c r="AU47" s="638"/>
      <c r="AV47" s="638"/>
      <c r="AW47" s="638"/>
      <c r="AX47" s="638"/>
      <c r="AY47" s="638"/>
      <c r="AZ47" s="815"/>
      <c r="BA47" s="815"/>
      <c r="BB47" s="815"/>
      <c r="BC47" s="815"/>
      <c r="BD47" s="860" t="s">
        <v>4420</v>
      </c>
      <c r="BE47" s="815"/>
      <c r="BF47" s="815"/>
      <c r="BG47" s="815"/>
      <c r="BH47" s="815"/>
      <c r="BI47" s="815"/>
      <c r="BJ47" s="815"/>
      <c r="BK47" s="815"/>
      <c r="BL47" s="815"/>
      <c r="BM47" s="815"/>
      <c r="BN47" s="1224"/>
      <c r="BO47" s="1224"/>
      <c r="BP47" s="1224"/>
      <c r="BQ47" s="1224"/>
      <c r="BR47" s="1224"/>
      <c r="BS47" s="1224"/>
      <c r="BT47" s="1224"/>
      <c r="BU47" s="1224"/>
      <c r="BV47" s="1224"/>
      <c r="BW47" s="1224"/>
      <c r="BX47" s="644"/>
      <c r="BY47" s="633" t="s">
        <v>7</v>
      </c>
    </row>
    <row r="48" spans="1:77" ht="19.5" hidden="1" customHeight="1" x14ac:dyDescent="0.35">
      <c r="B48" s="641"/>
      <c r="C48" s="332" t="s">
        <v>3967</v>
      </c>
      <c r="D48" s="333"/>
      <c r="E48" s="333" t="s">
        <v>3058</v>
      </c>
      <c r="F48" s="333"/>
      <c r="G48" s="334"/>
      <c r="H48" s="333"/>
      <c r="I48" s="333"/>
      <c r="J48" s="333"/>
      <c r="K48" s="333"/>
      <c r="L48" s="333" t="s">
        <v>3972</v>
      </c>
      <c r="N48" s="335" t="s">
        <v>61</v>
      </c>
      <c r="O48" s="336" t="s">
        <v>62</v>
      </c>
      <c r="P48" s="336"/>
      <c r="Q48" s="337"/>
      <c r="S48" s="338">
        <f t="shared" si="14"/>
        <v>1</v>
      </c>
      <c r="T48" s="951">
        <v>45435</v>
      </c>
      <c r="U48" s="339">
        <f t="shared" ca="1" si="15"/>
        <v>229</v>
      </c>
      <c r="W48" s="373"/>
      <c r="X48" s="373"/>
      <c r="Y48" s="373"/>
      <c r="Z48" s="373"/>
      <c r="AA48" s="373"/>
      <c r="AB48" s="373"/>
      <c r="AC48" s="373"/>
      <c r="AD48" s="373"/>
      <c r="AE48" s="373"/>
      <c r="AF48" s="373"/>
      <c r="AG48" s="373"/>
      <c r="AH48" s="553"/>
      <c r="AI48" s="553"/>
      <c r="AJ48" s="553"/>
      <c r="AK48" s="553"/>
      <c r="AL48" s="553"/>
      <c r="AM48" s="621"/>
      <c r="AN48" s="557" t="s">
        <v>3687</v>
      </c>
      <c r="AO48" s="557"/>
      <c r="AP48" s="638"/>
      <c r="AQ48" s="638"/>
      <c r="AR48" s="638"/>
      <c r="AS48" s="638"/>
      <c r="AT48" s="638"/>
      <c r="AU48" s="638"/>
      <c r="AV48" s="638"/>
      <c r="AW48" s="638"/>
      <c r="AX48" s="638"/>
      <c r="AY48" s="638"/>
      <c r="AZ48" s="638"/>
      <c r="BA48" s="638"/>
      <c r="BB48" s="638"/>
      <c r="BC48" s="638"/>
      <c r="BD48" s="638"/>
      <c r="BE48" s="638"/>
      <c r="BF48" s="638"/>
      <c r="BG48" s="638"/>
      <c r="BH48" s="815"/>
      <c r="BI48" s="815"/>
      <c r="BJ48" s="815"/>
      <c r="BK48" s="815"/>
      <c r="BL48" s="815"/>
      <c r="BM48" s="815"/>
      <c r="BN48" s="1224"/>
      <c r="BO48" s="1224"/>
      <c r="BP48" s="1224"/>
      <c r="BQ48" s="1224"/>
      <c r="BR48" s="1224"/>
      <c r="BS48" s="1224"/>
      <c r="BT48" s="1224"/>
      <c r="BU48" s="1224"/>
      <c r="BV48" s="1224"/>
      <c r="BW48" s="1224"/>
      <c r="BX48" s="644"/>
      <c r="BY48" s="633" t="s">
        <v>7</v>
      </c>
    </row>
    <row r="49" spans="1:77" ht="19.5" hidden="1" customHeight="1" x14ac:dyDescent="0.35">
      <c r="B49" s="641"/>
      <c r="C49" s="332" t="s">
        <v>4613</v>
      </c>
      <c r="D49" s="333"/>
      <c r="E49" s="333" t="s">
        <v>3058</v>
      </c>
      <c r="F49" s="333"/>
      <c r="G49" s="334"/>
      <c r="H49" s="333"/>
      <c r="I49" s="333"/>
      <c r="J49" s="333"/>
      <c r="K49" s="333"/>
      <c r="L49" s="333" t="s">
        <v>4614</v>
      </c>
      <c r="N49" s="335" t="s">
        <v>78</v>
      </c>
      <c r="O49" s="336"/>
      <c r="P49" s="336"/>
      <c r="Q49" s="337"/>
      <c r="S49" s="338">
        <f t="shared" si="14"/>
        <v>2</v>
      </c>
      <c r="T49" s="951">
        <v>45559</v>
      </c>
      <c r="U49" s="339">
        <f t="shared" ca="1" si="15"/>
        <v>105</v>
      </c>
      <c r="W49" s="373"/>
      <c r="X49" s="373"/>
      <c r="Y49" s="373"/>
      <c r="Z49" s="373"/>
      <c r="AA49" s="373"/>
      <c r="AB49" s="373"/>
      <c r="AC49" s="373"/>
      <c r="AD49" s="373"/>
      <c r="AE49" s="373"/>
      <c r="AF49" s="373"/>
      <c r="AG49" s="373"/>
      <c r="AH49" s="553"/>
      <c r="AI49" s="553"/>
      <c r="AJ49" s="553"/>
      <c r="AK49" s="553"/>
      <c r="AL49" s="553"/>
      <c r="AM49" s="621"/>
      <c r="AN49" s="557"/>
      <c r="AO49" s="557"/>
      <c r="AP49" s="638"/>
      <c r="AQ49" s="638"/>
      <c r="AR49" s="638"/>
      <c r="AS49" s="638"/>
      <c r="AT49" s="638"/>
      <c r="AU49" s="638"/>
      <c r="AV49" s="638"/>
      <c r="AW49" s="638"/>
      <c r="AX49" s="638"/>
      <c r="AY49" s="638"/>
      <c r="AZ49" s="638"/>
      <c r="BA49" s="638"/>
      <c r="BB49" s="638"/>
      <c r="BC49" s="638"/>
      <c r="BD49" s="638"/>
      <c r="BE49" s="638"/>
      <c r="BF49" s="638" t="s">
        <v>3066</v>
      </c>
      <c r="BG49" s="638"/>
      <c r="BH49" s="815"/>
      <c r="BI49" s="815"/>
      <c r="BJ49" s="815" t="s">
        <v>4893</v>
      </c>
      <c r="BK49" s="815"/>
      <c r="BL49" s="815"/>
      <c r="BM49" s="815"/>
      <c r="BN49" s="1224"/>
      <c r="BO49" s="1224"/>
      <c r="BP49" s="1224"/>
      <c r="BQ49" s="1224"/>
      <c r="BR49" s="1224"/>
      <c r="BS49" s="1224"/>
      <c r="BT49" s="1224"/>
      <c r="BU49" s="1224"/>
      <c r="BV49" s="1224"/>
      <c r="BW49" s="1224"/>
      <c r="BX49" s="644"/>
      <c r="BY49" s="633" t="s">
        <v>7</v>
      </c>
    </row>
    <row r="50" spans="1:77" ht="19.5" hidden="1" customHeight="1" x14ac:dyDescent="0.35">
      <c r="A50" s="1081"/>
      <c r="B50" s="1082"/>
      <c r="C50" s="1082" t="s">
        <v>4840</v>
      </c>
      <c r="D50" s="1083"/>
      <c r="E50" s="1083" t="s">
        <v>3058</v>
      </c>
      <c r="F50" s="1083"/>
      <c r="G50" s="1084"/>
      <c r="H50" s="1083"/>
      <c r="I50" s="1083"/>
      <c r="J50" s="1083"/>
      <c r="K50" s="1083"/>
      <c r="L50" s="1083"/>
      <c r="M50" s="1085"/>
      <c r="N50" s="1086" t="s">
        <v>61</v>
      </c>
      <c r="O50" s="1087"/>
      <c r="P50" s="1087"/>
      <c r="Q50" s="1088"/>
      <c r="R50" s="1089"/>
      <c r="S50" s="1090">
        <f t="shared" si="14"/>
        <v>1</v>
      </c>
      <c r="T50" s="1091">
        <v>45323</v>
      </c>
      <c r="U50" s="339">
        <f t="shared" ca="1" si="15"/>
        <v>341</v>
      </c>
      <c r="V50" s="1089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2"/>
      <c r="AG50" s="1092"/>
      <c r="AH50" s="1092"/>
      <c r="AI50" s="1092"/>
      <c r="AJ50" s="1092"/>
      <c r="AK50" s="1092"/>
      <c r="AL50" s="1092"/>
      <c r="AM50" s="1092"/>
      <c r="AN50" s="1092"/>
      <c r="AO50" s="1092"/>
      <c r="AP50" s="1092"/>
      <c r="AQ50" s="1092"/>
      <c r="AR50" s="1092"/>
      <c r="AS50" s="1092"/>
      <c r="AT50" s="1092"/>
      <c r="AU50" s="1092"/>
      <c r="AV50" s="1092"/>
      <c r="AW50" s="1092"/>
      <c r="AX50" s="1092"/>
      <c r="AY50" s="1092"/>
      <c r="AZ50" s="1092"/>
      <c r="BA50" s="1092"/>
      <c r="BB50" s="1092"/>
      <c r="BC50" s="1092"/>
      <c r="BD50" s="1092"/>
      <c r="BE50" s="1092"/>
      <c r="BF50" s="1092"/>
      <c r="BG50" s="1092"/>
      <c r="BH50" s="1092"/>
      <c r="BI50" s="1092" t="s">
        <v>4841</v>
      </c>
      <c r="BJ50" s="1092"/>
      <c r="BK50" s="1092"/>
      <c r="BL50" s="1092"/>
      <c r="BM50" s="1092"/>
      <c r="BN50" s="1224"/>
      <c r="BO50" s="1224"/>
      <c r="BP50" s="1224"/>
      <c r="BQ50" s="1224"/>
      <c r="BR50" s="1224"/>
      <c r="BS50" s="1224"/>
      <c r="BT50" s="1224"/>
      <c r="BU50" s="1224"/>
      <c r="BV50" s="1224"/>
      <c r="BW50" s="1224"/>
      <c r="BX50" s="1093"/>
      <c r="BY50" s="312" t="s">
        <v>7</v>
      </c>
    </row>
    <row r="51" spans="1:77" ht="19.5" hidden="1" customHeight="1" x14ac:dyDescent="0.35">
      <c r="B51" s="641"/>
      <c r="C51" s="332" t="s">
        <v>3039</v>
      </c>
      <c r="D51" s="333"/>
      <c r="E51" s="333" t="s">
        <v>3093</v>
      </c>
      <c r="F51" s="333"/>
      <c r="G51" s="334"/>
      <c r="H51" s="333"/>
      <c r="I51" s="333"/>
      <c r="J51" s="333" t="s">
        <v>3094</v>
      </c>
      <c r="K51" s="333" t="s">
        <v>2724</v>
      </c>
      <c r="L51" s="333" t="s">
        <v>3095</v>
      </c>
      <c r="N51" s="335" t="s">
        <v>78</v>
      </c>
      <c r="O51" s="336"/>
      <c r="P51" s="336"/>
      <c r="Q51" s="337"/>
      <c r="S51" s="338">
        <f t="shared" si="14"/>
        <v>2</v>
      </c>
      <c r="T51" s="951">
        <v>45323</v>
      </c>
      <c r="U51" s="339">
        <f t="shared" ca="1" si="15"/>
        <v>341</v>
      </c>
      <c r="W51" s="373"/>
      <c r="X51" s="373" t="s">
        <v>741</v>
      </c>
      <c r="Y51" s="373" t="s">
        <v>3096</v>
      </c>
      <c r="Z51" s="373"/>
      <c r="AA51" s="373"/>
      <c r="AB51" s="373"/>
      <c r="AC51" s="373"/>
      <c r="AD51" s="373"/>
      <c r="AE51" s="373"/>
      <c r="AF51" s="373"/>
      <c r="AG51" s="373"/>
      <c r="AH51" s="553"/>
      <c r="AI51" s="553"/>
      <c r="AJ51" s="553"/>
      <c r="AK51" s="553"/>
      <c r="AL51" s="553"/>
      <c r="AM51" s="621"/>
      <c r="AN51" s="621"/>
      <c r="AO51" s="557"/>
      <c r="AP51" s="638"/>
      <c r="AQ51" s="638"/>
      <c r="AR51" s="638"/>
      <c r="AS51" s="638"/>
      <c r="AT51" s="638"/>
      <c r="AU51" s="638"/>
      <c r="AV51" s="638"/>
      <c r="AW51" s="638"/>
      <c r="AX51" s="638"/>
      <c r="AY51" s="638"/>
      <c r="AZ51" s="815"/>
      <c r="BA51" s="815"/>
      <c r="BB51" s="815"/>
      <c r="BC51" s="815"/>
      <c r="BD51" s="815"/>
      <c r="BE51" s="815"/>
      <c r="BF51" s="815"/>
      <c r="BG51" s="815"/>
      <c r="BH51" s="815"/>
      <c r="BI51" s="815"/>
      <c r="BJ51" s="815"/>
      <c r="BK51" s="815"/>
      <c r="BL51" s="815"/>
      <c r="BM51" s="815"/>
      <c r="BN51" s="1224"/>
      <c r="BO51" s="1224"/>
      <c r="BP51" s="1224"/>
      <c r="BQ51" s="1224"/>
      <c r="BR51" s="1224"/>
      <c r="BS51" s="1224"/>
      <c r="BT51" s="1224"/>
      <c r="BU51" s="1224"/>
      <c r="BV51" s="1224"/>
      <c r="BW51" s="1224"/>
      <c r="BX51" s="644"/>
      <c r="BY51" s="633" t="s">
        <v>7</v>
      </c>
    </row>
    <row r="52" spans="1:77" ht="19.5" hidden="1" customHeight="1" x14ac:dyDescent="0.35">
      <c r="B52" s="641"/>
      <c r="C52" s="332" t="s">
        <v>3970</v>
      </c>
      <c r="D52" s="333"/>
      <c r="E52" s="333" t="s">
        <v>3062</v>
      </c>
      <c r="F52" s="333"/>
      <c r="G52" s="334"/>
      <c r="H52" s="333"/>
      <c r="I52" s="333"/>
      <c r="J52" s="333"/>
      <c r="K52" s="333"/>
      <c r="L52" s="333"/>
      <c r="N52" s="335" t="s">
        <v>61</v>
      </c>
      <c r="O52" s="336" t="s">
        <v>62</v>
      </c>
      <c r="P52" s="336"/>
      <c r="Q52" s="337"/>
      <c r="S52" s="338">
        <f t="shared" si="14"/>
        <v>1</v>
      </c>
      <c r="T52" s="951">
        <v>45434</v>
      </c>
      <c r="U52" s="339">
        <f t="shared" ca="1" si="15"/>
        <v>230</v>
      </c>
      <c r="W52" s="373"/>
      <c r="X52" s="373"/>
      <c r="Y52" s="373"/>
      <c r="Z52" s="373"/>
      <c r="AA52" s="373"/>
      <c r="AB52" s="373"/>
      <c r="AC52" s="373"/>
      <c r="AD52" s="373"/>
      <c r="AE52" s="373"/>
      <c r="AF52" s="373"/>
      <c r="AG52" s="373"/>
      <c r="AH52" s="553"/>
      <c r="AI52" s="553"/>
      <c r="AJ52" s="553"/>
      <c r="AK52" s="553"/>
      <c r="AL52" s="553"/>
      <c r="AM52" s="621"/>
      <c r="AN52" s="557" t="s">
        <v>3687</v>
      </c>
      <c r="AO52" s="557"/>
      <c r="AP52" s="638"/>
      <c r="AQ52" s="638"/>
      <c r="AR52" s="638"/>
      <c r="AS52" s="638"/>
      <c r="AT52" s="638"/>
      <c r="AU52" s="638"/>
      <c r="AV52" s="638"/>
      <c r="AW52" s="638"/>
      <c r="AX52" s="638"/>
      <c r="AY52" s="638"/>
      <c r="AZ52" s="815"/>
      <c r="BA52" s="815"/>
      <c r="BB52" s="815"/>
      <c r="BC52" s="640"/>
      <c r="BD52" s="640"/>
      <c r="BE52" s="815"/>
      <c r="BF52" s="815"/>
      <c r="BG52" s="815"/>
      <c r="BH52" s="815"/>
      <c r="BI52" s="815"/>
      <c r="BJ52" s="815"/>
      <c r="BK52" s="815"/>
      <c r="BL52" s="815"/>
      <c r="BM52" s="815"/>
      <c r="BN52" s="1224"/>
      <c r="BO52" s="1224"/>
      <c r="BP52" s="1224"/>
      <c r="BQ52" s="1224"/>
      <c r="BR52" s="1224"/>
      <c r="BS52" s="1224"/>
      <c r="BT52" s="1224"/>
      <c r="BU52" s="1224"/>
      <c r="BV52" s="1224"/>
      <c r="BW52" s="1224"/>
      <c r="BX52" s="644"/>
      <c r="BY52" s="633" t="s">
        <v>7</v>
      </c>
    </row>
    <row r="53" spans="1:77" ht="19.5" hidden="1" customHeight="1" x14ac:dyDescent="0.35">
      <c r="A53" s="950" t="s">
        <v>4478</v>
      </c>
      <c r="B53" s="641"/>
      <c r="C53" s="332" t="s">
        <v>4330</v>
      </c>
      <c r="D53" s="333"/>
      <c r="E53" s="333" t="s">
        <v>3058</v>
      </c>
      <c r="F53" s="333"/>
      <c r="G53" s="334"/>
      <c r="H53" s="333"/>
      <c r="I53" s="333"/>
      <c r="J53" s="333"/>
      <c r="K53" s="333" t="s">
        <v>2724</v>
      </c>
      <c r="L53" s="333" t="s">
        <v>4685</v>
      </c>
      <c r="N53" s="335" t="s">
        <v>78</v>
      </c>
      <c r="O53" s="336" t="s">
        <v>86</v>
      </c>
      <c r="P53" s="336"/>
      <c r="Q53" s="337"/>
      <c r="S53" s="338">
        <f t="shared" si="14"/>
        <v>1</v>
      </c>
      <c r="T53" s="951">
        <v>45444</v>
      </c>
      <c r="U53" s="339">
        <f t="shared" ca="1" si="15"/>
        <v>220</v>
      </c>
      <c r="W53" s="373"/>
      <c r="X53" s="373"/>
      <c r="Y53" s="373"/>
      <c r="Z53" s="373"/>
      <c r="AA53" s="373"/>
      <c r="AB53" s="373"/>
      <c r="AC53" s="373"/>
      <c r="AD53" s="373"/>
      <c r="AE53" s="373"/>
      <c r="AF53" s="373"/>
      <c r="AG53" s="373"/>
      <c r="AH53" s="553"/>
      <c r="AI53" s="553"/>
      <c r="AJ53" s="553"/>
      <c r="AK53" s="553"/>
      <c r="AL53" s="779" t="s">
        <v>200</v>
      </c>
      <c r="AM53" s="621"/>
      <c r="AN53" s="621"/>
      <c r="AO53" s="557"/>
      <c r="AP53" s="779"/>
      <c r="AQ53" s="638"/>
      <c r="AR53" s="638"/>
      <c r="AS53" s="638"/>
      <c r="AT53" s="638"/>
      <c r="AU53" s="638"/>
      <c r="AV53" s="638"/>
      <c r="AW53" s="638"/>
      <c r="AX53" s="638"/>
      <c r="AY53" s="638"/>
      <c r="AZ53" s="815"/>
      <c r="BA53" s="815"/>
      <c r="BB53" s="815"/>
      <c r="BC53" s="815"/>
      <c r="BD53" s="815"/>
      <c r="BE53" s="815"/>
      <c r="BF53" s="815"/>
      <c r="BG53" s="815"/>
      <c r="BH53" s="815"/>
      <c r="BI53" s="815"/>
      <c r="BJ53" s="815"/>
      <c r="BK53" s="815"/>
      <c r="BL53" s="815"/>
      <c r="BM53" s="815"/>
      <c r="BN53" s="1224"/>
      <c r="BO53" s="1224"/>
      <c r="BP53" s="1224"/>
      <c r="BQ53" s="1224"/>
      <c r="BR53" s="1224"/>
      <c r="BS53" s="1224"/>
      <c r="BT53" s="1224"/>
      <c r="BU53" s="1224"/>
      <c r="BV53" s="1224"/>
      <c r="BW53" s="1224"/>
      <c r="BX53" s="644"/>
      <c r="BY53" s="633" t="s">
        <v>7</v>
      </c>
    </row>
    <row r="54" spans="1:77" ht="19.5" hidden="1" customHeight="1" x14ac:dyDescent="0.35">
      <c r="A54" s="861"/>
      <c r="B54" s="641"/>
      <c r="C54" s="332" t="s">
        <v>5191</v>
      </c>
      <c r="D54" s="333"/>
      <c r="E54" s="333" t="s">
        <v>3058</v>
      </c>
      <c r="F54" s="333"/>
      <c r="G54" s="334">
        <v>150</v>
      </c>
      <c r="H54" s="333">
        <v>2024</v>
      </c>
      <c r="I54" s="333"/>
      <c r="J54" s="333"/>
      <c r="K54" s="333"/>
      <c r="L54" s="333" t="s">
        <v>5192</v>
      </c>
      <c r="N54" s="335" t="s">
        <v>78</v>
      </c>
      <c r="O54" s="336" t="s">
        <v>86</v>
      </c>
      <c r="P54" s="336" t="s">
        <v>79</v>
      </c>
      <c r="Q54" s="337"/>
      <c r="S54" s="338">
        <f t="shared" si="14"/>
        <v>1</v>
      </c>
      <c r="T54" s="951">
        <v>45601</v>
      </c>
      <c r="U54" s="339">
        <f t="shared" ca="1" si="15"/>
        <v>63</v>
      </c>
      <c r="W54" s="373"/>
      <c r="X54" s="373"/>
      <c r="Y54" s="373"/>
      <c r="Z54" s="373"/>
      <c r="AA54" s="373"/>
      <c r="AB54" s="373"/>
      <c r="AC54" s="373"/>
      <c r="AD54" s="373"/>
      <c r="AE54" s="373"/>
      <c r="AF54" s="373"/>
      <c r="AG54" s="373"/>
      <c r="AH54" s="553"/>
      <c r="AI54" s="553"/>
      <c r="AJ54" s="553"/>
      <c r="AK54" s="553"/>
      <c r="AL54" s="553"/>
      <c r="AM54" s="621"/>
      <c r="AN54" s="621"/>
      <c r="AO54" s="557"/>
      <c r="AP54" s="638"/>
      <c r="AQ54" s="638"/>
      <c r="AR54" s="638"/>
      <c r="AS54" s="638"/>
      <c r="AT54" s="638"/>
      <c r="AU54" s="638"/>
      <c r="AV54" s="638"/>
      <c r="AW54" s="638"/>
      <c r="AX54" s="638"/>
      <c r="AY54" s="638"/>
      <c r="AZ54" s="815"/>
      <c r="BA54" s="815"/>
      <c r="BB54" s="815"/>
      <c r="BC54" s="815"/>
      <c r="BD54" s="815"/>
      <c r="BE54" s="815"/>
      <c r="BF54" s="815"/>
      <c r="BG54" s="815"/>
      <c r="BH54" s="815"/>
      <c r="BI54" s="815"/>
      <c r="BJ54" s="815"/>
      <c r="BK54" s="815"/>
      <c r="BL54" s="815"/>
      <c r="BM54" s="815" t="s">
        <v>3066</v>
      </c>
      <c r="BN54" s="1224"/>
      <c r="BO54" s="1224"/>
      <c r="BP54" s="1224"/>
      <c r="BQ54" s="1224"/>
      <c r="BR54" s="1224"/>
      <c r="BS54" s="1224"/>
      <c r="BT54" s="1224"/>
      <c r="BU54" s="1224"/>
      <c r="BV54" s="1224"/>
      <c r="BW54" s="1224"/>
      <c r="BX54" s="644"/>
      <c r="BY54" s="633" t="s">
        <v>7</v>
      </c>
    </row>
    <row r="55" spans="1:77" ht="19.5" hidden="1" customHeight="1" x14ac:dyDescent="0.35">
      <c r="A55" s="861"/>
      <c r="B55" s="641"/>
      <c r="C55" s="332" t="s">
        <v>4411</v>
      </c>
      <c r="D55" s="333"/>
      <c r="E55" s="333" t="s">
        <v>3058</v>
      </c>
      <c r="F55" s="333"/>
      <c r="G55" s="334">
        <v>200</v>
      </c>
      <c r="H55" s="333">
        <v>2024</v>
      </c>
      <c r="I55" s="333"/>
      <c r="J55" s="333"/>
      <c r="K55" s="333" t="s">
        <v>1054</v>
      </c>
      <c r="L55" s="333" t="s">
        <v>4410</v>
      </c>
      <c r="N55" s="335" t="s">
        <v>78</v>
      </c>
      <c r="O55" s="336" t="s">
        <v>79</v>
      </c>
      <c r="P55" s="336"/>
      <c r="Q55" s="337"/>
      <c r="S55" s="338">
        <f t="shared" si="14"/>
        <v>2</v>
      </c>
      <c r="T55" s="951">
        <v>45544</v>
      </c>
      <c r="U55" s="339">
        <f t="shared" ca="1" si="15"/>
        <v>120</v>
      </c>
      <c r="W55" s="373"/>
      <c r="X55" s="373"/>
      <c r="Y55" s="373"/>
      <c r="Z55" s="373"/>
      <c r="AA55" s="373"/>
      <c r="AB55" s="373"/>
      <c r="AC55" s="373"/>
      <c r="AD55" s="373"/>
      <c r="AE55" s="373"/>
      <c r="AF55" s="373"/>
      <c r="AG55" s="373"/>
      <c r="AH55" s="553"/>
      <c r="AI55" s="553"/>
      <c r="AJ55" s="553"/>
      <c r="AK55" s="553"/>
      <c r="AL55" s="553"/>
      <c r="AM55" s="621"/>
      <c r="AN55" s="621"/>
      <c r="AO55" s="557"/>
      <c r="AP55" s="638"/>
      <c r="AQ55" s="638"/>
      <c r="AR55" s="638"/>
      <c r="AS55" s="638"/>
      <c r="AT55" s="638"/>
      <c r="AU55" s="638"/>
      <c r="AV55" s="638"/>
      <c r="AW55" s="638"/>
      <c r="AX55" s="638"/>
      <c r="AY55" s="638"/>
      <c r="AZ55" s="815"/>
      <c r="BA55" s="815"/>
      <c r="BB55" s="815"/>
      <c r="BC55" s="815"/>
      <c r="BD55" s="815" t="s">
        <v>4260</v>
      </c>
      <c r="BE55" s="815" t="s">
        <v>4425</v>
      </c>
      <c r="BF55" s="815"/>
      <c r="BG55" s="815"/>
      <c r="BH55" s="815"/>
      <c r="BI55" s="815"/>
      <c r="BJ55" s="815"/>
      <c r="BK55" s="815"/>
      <c r="BL55" s="815"/>
      <c r="BM55" s="815"/>
      <c r="BN55" s="1224"/>
      <c r="BO55" s="1224"/>
      <c r="BP55" s="1224"/>
      <c r="BQ55" s="1224"/>
      <c r="BR55" s="1224"/>
      <c r="BS55" s="1224"/>
      <c r="BT55" s="1224"/>
      <c r="BU55" s="1224"/>
      <c r="BV55" s="1224"/>
      <c r="BW55" s="1224"/>
      <c r="BX55" s="644"/>
      <c r="BY55" s="633" t="s">
        <v>7</v>
      </c>
    </row>
    <row r="56" spans="1:77" ht="19.5" hidden="1" customHeight="1" x14ac:dyDescent="0.35">
      <c r="B56" s="862"/>
      <c r="C56" s="862" t="s">
        <v>4417</v>
      </c>
      <c r="D56" s="863"/>
      <c r="E56" s="863" t="s">
        <v>3058</v>
      </c>
      <c r="F56" s="863"/>
      <c r="G56" s="864"/>
      <c r="H56" s="863"/>
      <c r="I56" s="863"/>
      <c r="J56" s="863"/>
      <c r="K56" s="863" t="s">
        <v>4418</v>
      </c>
      <c r="L56" s="863"/>
      <c r="M56" s="865"/>
      <c r="N56" s="866" t="s">
        <v>3598</v>
      </c>
      <c r="O56" s="867" t="s">
        <v>79</v>
      </c>
      <c r="P56" s="867"/>
      <c r="Q56" s="868"/>
      <c r="R56" s="869"/>
      <c r="S56" s="870">
        <f t="shared" si="14"/>
        <v>2</v>
      </c>
      <c r="T56" s="951"/>
      <c r="U56" s="339" t="str">
        <f t="shared" ca="1" si="15"/>
        <v/>
      </c>
      <c r="V56" s="869"/>
      <c r="W56" s="860"/>
      <c r="X56" s="860"/>
      <c r="Y56" s="860"/>
      <c r="Z56" s="860"/>
      <c r="AA56" s="860"/>
      <c r="AB56" s="860"/>
      <c r="AC56" s="860"/>
      <c r="AD56" s="860"/>
      <c r="AE56" s="860"/>
      <c r="AF56" s="860"/>
      <c r="AG56" s="860"/>
      <c r="AH56" s="860"/>
      <c r="AI56" s="860"/>
      <c r="AJ56" s="860"/>
      <c r="AK56" s="860"/>
      <c r="AL56" s="860" t="s">
        <v>200</v>
      </c>
      <c r="AM56" s="860"/>
      <c r="AN56" s="860"/>
      <c r="AO56" s="860"/>
      <c r="AP56" s="860"/>
      <c r="AQ56" s="860"/>
      <c r="AR56" s="860"/>
      <c r="AS56" s="860"/>
      <c r="AT56" s="860"/>
      <c r="AU56" s="860"/>
      <c r="AV56" s="860"/>
      <c r="AW56" s="860"/>
      <c r="AX56" s="860"/>
      <c r="AY56" s="860"/>
      <c r="AZ56" s="860"/>
      <c r="BA56" s="860"/>
      <c r="BB56" s="860"/>
      <c r="BC56" s="860"/>
      <c r="BD56" s="860" t="s">
        <v>3810</v>
      </c>
      <c r="BE56" s="860"/>
      <c r="BF56" s="860"/>
      <c r="BG56" s="860"/>
      <c r="BH56" s="860"/>
      <c r="BI56" s="860"/>
      <c r="BJ56" s="860"/>
      <c r="BK56" s="860"/>
      <c r="BL56" s="860"/>
      <c r="BM56" s="860"/>
      <c r="BN56" s="1224"/>
      <c r="BO56" s="1224"/>
      <c r="BP56" s="1224"/>
      <c r="BQ56" s="1224"/>
      <c r="BR56" s="1224"/>
      <c r="BS56" s="1224"/>
      <c r="BT56" s="1224"/>
      <c r="BU56" s="1224"/>
      <c r="BV56" s="1224"/>
      <c r="BW56" s="1224"/>
      <c r="BX56" s="871"/>
      <c r="BY56" s="633" t="s">
        <v>7</v>
      </c>
    </row>
    <row r="57" spans="1:77" ht="19.5" hidden="1" customHeight="1" x14ac:dyDescent="0.35">
      <c r="B57" s="641"/>
      <c r="C57" s="332" t="s">
        <v>3089</v>
      </c>
      <c r="D57" s="333"/>
      <c r="E57" s="333" t="s">
        <v>3058</v>
      </c>
      <c r="F57" s="333"/>
      <c r="G57" s="334">
        <v>400</v>
      </c>
      <c r="H57" s="333">
        <v>2020</v>
      </c>
      <c r="I57" s="333" t="s">
        <v>3162</v>
      </c>
      <c r="J57" s="333" t="s">
        <v>3085</v>
      </c>
      <c r="K57" s="333" t="s">
        <v>2724</v>
      </c>
      <c r="L57" s="333" t="s">
        <v>3090</v>
      </c>
      <c r="N57" s="335" t="s">
        <v>78</v>
      </c>
      <c r="O57" s="336" t="s">
        <v>86</v>
      </c>
      <c r="P57" s="336"/>
      <c r="Q57" s="337" t="s">
        <v>5322</v>
      </c>
      <c r="S57" s="338">
        <f t="shared" si="14"/>
        <v>3</v>
      </c>
      <c r="T57" s="951">
        <v>45327</v>
      </c>
      <c r="U57" s="339">
        <f t="shared" ca="1" si="15"/>
        <v>337</v>
      </c>
      <c r="W57" s="373"/>
      <c r="X57" s="373"/>
      <c r="Y57" s="373" t="s">
        <v>3076</v>
      </c>
      <c r="Z57" s="373" t="s">
        <v>3077</v>
      </c>
      <c r="AA57" s="373"/>
      <c r="AB57" s="373"/>
      <c r="AC57" s="373"/>
      <c r="AD57" s="373"/>
      <c r="AE57" s="373"/>
      <c r="AF57" s="373"/>
      <c r="AG57" s="373"/>
      <c r="AH57" s="553"/>
      <c r="AI57" s="553"/>
      <c r="AJ57" s="553"/>
      <c r="AK57" s="553"/>
      <c r="AL57" s="553"/>
      <c r="AM57" s="621"/>
      <c r="AN57" s="621"/>
      <c r="AO57" s="557"/>
      <c r="AP57" s="638"/>
      <c r="AQ57" s="638"/>
      <c r="AR57" s="638"/>
      <c r="AS57" s="638"/>
      <c r="AT57" s="638"/>
      <c r="AU57" s="638"/>
      <c r="AV57" s="638"/>
      <c r="AW57" s="638"/>
      <c r="AX57" s="638"/>
      <c r="AY57" s="638"/>
      <c r="AZ57" s="815"/>
      <c r="BA57" s="815"/>
      <c r="BB57" s="815"/>
      <c r="BC57" s="815"/>
      <c r="BD57" s="815"/>
      <c r="BE57" s="815"/>
      <c r="BF57" s="815"/>
      <c r="BG57" s="815"/>
      <c r="BH57" s="815"/>
      <c r="BI57" s="815"/>
      <c r="BJ57" s="815"/>
      <c r="BK57" s="815"/>
      <c r="BL57" s="815"/>
      <c r="BM57" s="815"/>
      <c r="BN57" s="1224" t="s">
        <v>3066</v>
      </c>
      <c r="BO57" s="1224"/>
      <c r="BP57" s="1224"/>
      <c r="BQ57" s="1224"/>
      <c r="BR57" s="1224"/>
      <c r="BS57" s="1224"/>
      <c r="BT57" s="1224"/>
      <c r="BU57" s="1224"/>
      <c r="BV57" s="1224"/>
      <c r="BW57" s="1224"/>
      <c r="BX57" s="644"/>
      <c r="BY57" s="633" t="s">
        <v>7</v>
      </c>
    </row>
    <row r="58" spans="1:77" ht="19.5" hidden="1" customHeight="1" x14ac:dyDescent="0.35">
      <c r="B58" s="641"/>
      <c r="C58" s="332" t="s">
        <v>4849</v>
      </c>
      <c r="D58" s="333"/>
      <c r="E58" s="333" t="s">
        <v>3058</v>
      </c>
      <c r="F58" s="333"/>
      <c r="G58" s="334">
        <v>250</v>
      </c>
      <c r="H58" s="333">
        <v>2020</v>
      </c>
      <c r="I58" s="333" t="s">
        <v>3085</v>
      </c>
      <c r="J58" s="333"/>
      <c r="K58" s="333" t="s">
        <v>3649</v>
      </c>
      <c r="L58" s="333" t="s">
        <v>4850</v>
      </c>
      <c r="N58" s="335" t="s">
        <v>4423</v>
      </c>
      <c r="O58" s="336" t="s">
        <v>79</v>
      </c>
      <c r="P58" s="336"/>
      <c r="Q58" s="337"/>
      <c r="S58" s="338">
        <f t="shared" si="14"/>
        <v>1</v>
      </c>
      <c r="T58" s="951">
        <v>45583</v>
      </c>
      <c r="U58" s="339">
        <f t="shared" ca="1" si="15"/>
        <v>81</v>
      </c>
      <c r="W58" s="373"/>
      <c r="X58" s="373"/>
      <c r="Y58" s="373"/>
      <c r="Z58" s="373"/>
      <c r="AA58" s="373"/>
      <c r="AB58" s="373"/>
      <c r="AC58" s="373"/>
      <c r="AD58" s="373"/>
      <c r="AE58" s="373"/>
      <c r="AF58" s="373"/>
      <c r="AG58" s="373"/>
      <c r="AH58" s="553"/>
      <c r="AI58" s="553"/>
      <c r="AJ58" s="553"/>
      <c r="AK58" s="553"/>
      <c r="AL58" s="553"/>
      <c r="AM58" s="621"/>
      <c r="AN58" s="621"/>
      <c r="AO58" s="557"/>
      <c r="AP58" s="638"/>
      <c r="AQ58" s="638"/>
      <c r="AR58" s="638"/>
      <c r="AS58" s="638"/>
      <c r="AT58" s="638"/>
      <c r="AU58" s="638"/>
      <c r="AV58" s="638"/>
      <c r="AW58" s="638"/>
      <c r="AX58" s="638"/>
      <c r="AY58" s="638"/>
      <c r="AZ58" s="815"/>
      <c r="BA58" s="815"/>
      <c r="BB58" s="815"/>
      <c r="BC58" s="815"/>
      <c r="BD58" s="815"/>
      <c r="BE58" s="815"/>
      <c r="BF58" s="815"/>
      <c r="BG58" s="815"/>
      <c r="BH58" s="815"/>
      <c r="BI58" s="815"/>
      <c r="BJ58" s="1130" t="s">
        <v>4858</v>
      </c>
      <c r="BK58" s="815"/>
      <c r="BL58" s="815"/>
      <c r="BM58" s="815"/>
      <c r="BN58" s="1224"/>
      <c r="BO58" s="1224"/>
      <c r="BP58" s="1224"/>
      <c r="BQ58" s="1224"/>
      <c r="BR58" s="1224"/>
      <c r="BS58" s="1224"/>
      <c r="BT58" s="1224"/>
      <c r="BU58" s="1224"/>
      <c r="BV58" s="1224"/>
      <c r="BW58" s="1224"/>
      <c r="BX58" s="644"/>
      <c r="BY58" s="633" t="s">
        <v>7</v>
      </c>
    </row>
    <row r="59" spans="1:77" ht="19.5" hidden="1" customHeight="1" x14ac:dyDescent="0.35">
      <c r="B59" s="1042"/>
      <c r="C59" s="1042" t="s">
        <v>4575</v>
      </c>
      <c r="D59" s="1043"/>
      <c r="E59" s="1043" t="s">
        <v>3058</v>
      </c>
      <c r="F59" s="1043"/>
      <c r="G59" s="1044"/>
      <c r="H59" s="1043"/>
      <c r="I59" s="1043"/>
      <c r="J59" s="1043"/>
      <c r="K59" s="1043" t="s">
        <v>2724</v>
      </c>
      <c r="L59" s="1043" t="s">
        <v>4675</v>
      </c>
      <c r="M59" s="1045"/>
      <c r="N59" s="1046" t="s">
        <v>78</v>
      </c>
      <c r="O59" s="1047"/>
      <c r="P59" s="1047"/>
      <c r="Q59" s="1048" t="s">
        <v>4676</v>
      </c>
      <c r="R59" s="1049"/>
      <c r="S59" s="1050">
        <f t="shared" si="14"/>
        <v>2</v>
      </c>
      <c r="T59" s="1051">
        <v>45572</v>
      </c>
      <c r="U59" s="339">
        <f t="shared" ca="1" si="15"/>
        <v>92</v>
      </c>
      <c r="V59" s="1049"/>
      <c r="W59" s="1052"/>
      <c r="X59" s="1052"/>
      <c r="Y59" s="1052"/>
      <c r="Z59" s="1052"/>
      <c r="AA59" s="1052"/>
      <c r="AB59" s="1052"/>
      <c r="AC59" s="1052"/>
      <c r="AD59" s="1052"/>
      <c r="AE59" s="1052"/>
      <c r="AF59" s="1052"/>
      <c r="AG59" s="1052"/>
      <c r="AH59" s="1052"/>
      <c r="AI59" s="1052"/>
      <c r="AJ59" s="1052"/>
      <c r="AK59" s="1052"/>
      <c r="AL59" s="1052"/>
      <c r="AM59" s="1052"/>
      <c r="AN59" s="1052"/>
      <c r="AO59" s="1052"/>
      <c r="AP59" s="1052"/>
      <c r="AQ59" s="1052"/>
      <c r="AR59" s="1052"/>
      <c r="AS59" s="1052"/>
      <c r="AT59" s="1052"/>
      <c r="AU59" s="1052"/>
      <c r="AV59" s="1052"/>
      <c r="AW59" s="1052"/>
      <c r="AX59" s="1052"/>
      <c r="AY59" s="1052"/>
      <c r="AZ59" s="1052"/>
      <c r="BA59" s="1052"/>
      <c r="BB59" s="1052"/>
      <c r="BC59" s="1052"/>
      <c r="BD59" s="1052"/>
      <c r="BE59" s="1052"/>
      <c r="BF59" s="1052"/>
      <c r="BG59" s="1052" t="s">
        <v>3066</v>
      </c>
      <c r="BH59" s="1052"/>
      <c r="BI59" s="1052"/>
      <c r="BJ59" s="815" t="s">
        <v>4893</v>
      </c>
      <c r="BK59" s="1052"/>
      <c r="BL59" s="1052"/>
      <c r="BM59" s="1052"/>
      <c r="BN59" s="1224"/>
      <c r="BO59" s="1224"/>
      <c r="BP59" s="1224"/>
      <c r="BQ59" s="1224"/>
      <c r="BR59" s="1224"/>
      <c r="BS59" s="1224"/>
      <c r="BT59" s="1224"/>
      <c r="BU59" s="1224"/>
      <c r="BV59" s="1224"/>
      <c r="BW59" s="1224"/>
      <c r="BX59" s="1053"/>
      <c r="BY59" s="312" t="s">
        <v>7</v>
      </c>
    </row>
    <row r="60" spans="1:77" ht="19.5" customHeight="1" x14ac:dyDescent="0.35">
      <c r="A60" s="1041"/>
      <c r="B60" s="641"/>
      <c r="C60" s="332" t="s">
        <v>5374</v>
      </c>
      <c r="D60" s="333"/>
      <c r="E60" s="333" t="s">
        <v>3157</v>
      </c>
      <c r="F60" s="333"/>
      <c r="G60" s="334"/>
      <c r="H60" s="333"/>
      <c r="I60" s="333"/>
      <c r="J60" s="333"/>
      <c r="K60" s="333" t="s">
        <v>119</v>
      </c>
      <c r="L60" s="333" t="s">
        <v>5375</v>
      </c>
      <c r="N60" s="335" t="s">
        <v>153</v>
      </c>
      <c r="O60" s="336" t="s">
        <v>273</v>
      </c>
      <c r="P60" s="336"/>
      <c r="Q60" s="337"/>
      <c r="S60" s="338">
        <f t="shared" si="14"/>
        <v>1</v>
      </c>
      <c r="T60" s="951">
        <v>45506</v>
      </c>
      <c r="U60" s="339">
        <f t="shared" ca="1" si="15"/>
        <v>158</v>
      </c>
      <c r="W60" s="373"/>
      <c r="X60" s="373"/>
      <c r="Y60" s="373"/>
      <c r="Z60" s="373"/>
      <c r="AA60" s="373"/>
      <c r="AB60" s="373"/>
      <c r="AC60" s="373"/>
      <c r="AD60" s="373"/>
      <c r="AE60" s="373"/>
      <c r="AF60" s="373"/>
      <c r="AG60" s="373"/>
      <c r="AH60" s="553"/>
      <c r="AI60" s="553"/>
      <c r="AJ60" s="553"/>
      <c r="AK60" s="553"/>
      <c r="AL60" s="553"/>
      <c r="AM60" s="621"/>
      <c r="AN60" s="621"/>
      <c r="AO60" s="557"/>
      <c r="AP60" s="638"/>
      <c r="AQ60" s="638"/>
      <c r="AR60" s="638"/>
      <c r="AS60" s="638"/>
      <c r="AT60" s="638"/>
      <c r="AU60" s="638"/>
      <c r="AV60" s="638"/>
      <c r="AW60" s="638"/>
      <c r="AX60" s="638" t="s">
        <v>5373</v>
      </c>
      <c r="AY60" s="638"/>
      <c r="AZ60" s="815"/>
      <c r="BA60" s="815"/>
      <c r="BB60" s="815"/>
      <c r="BC60" s="815"/>
      <c r="BD60" s="815"/>
      <c r="BE60" s="815"/>
      <c r="BF60" s="815"/>
      <c r="BG60" s="815"/>
      <c r="BH60" s="815"/>
      <c r="BI60" s="815"/>
      <c r="BJ60" s="1130"/>
      <c r="BK60" s="815"/>
      <c r="BL60" s="815"/>
      <c r="BM60" s="815"/>
      <c r="BN60" s="1224"/>
      <c r="BO60" s="1224"/>
      <c r="BP60" s="1224"/>
      <c r="BQ60" s="1224"/>
      <c r="BR60" s="1224"/>
      <c r="BS60" s="1224"/>
      <c r="BT60" s="1224"/>
      <c r="BU60" s="1224"/>
      <c r="BV60" s="1224"/>
      <c r="BW60" s="1224"/>
      <c r="BX60" s="644"/>
      <c r="BY60" s="633" t="s">
        <v>7</v>
      </c>
    </row>
    <row r="61" spans="1:77" ht="19.5" hidden="1" customHeight="1" x14ac:dyDescent="0.35">
      <c r="A61" s="950" t="s">
        <v>4479</v>
      </c>
      <c r="B61" s="641"/>
      <c r="C61" s="332" t="s">
        <v>3087</v>
      </c>
      <c r="D61" s="333"/>
      <c r="E61" s="333" t="s">
        <v>3058</v>
      </c>
      <c r="F61" s="333"/>
      <c r="G61" s="334">
        <v>140</v>
      </c>
      <c r="H61" s="333">
        <v>2022</v>
      </c>
      <c r="I61" s="333" t="s">
        <v>3070</v>
      </c>
      <c r="J61" s="333"/>
      <c r="K61" s="333" t="s">
        <v>2724</v>
      </c>
      <c r="L61" s="333" t="s">
        <v>3088</v>
      </c>
      <c r="N61" s="335" t="s">
        <v>78</v>
      </c>
      <c r="O61" s="336" t="s">
        <v>86</v>
      </c>
      <c r="P61" s="336"/>
      <c r="Q61" s="337"/>
      <c r="S61" s="338">
        <f t="shared" si="14"/>
        <v>2</v>
      </c>
      <c r="T61" s="951">
        <v>45327</v>
      </c>
      <c r="U61" s="339">
        <f t="shared" ca="1" si="15"/>
        <v>337</v>
      </c>
      <c r="W61" s="373"/>
      <c r="X61" s="373"/>
      <c r="Y61" s="419" t="s">
        <v>3076</v>
      </c>
      <c r="Z61" s="373"/>
      <c r="AA61" s="373"/>
      <c r="AB61" s="373"/>
      <c r="AC61" s="373"/>
      <c r="AD61" s="373"/>
      <c r="AE61" s="373"/>
      <c r="AF61" s="373"/>
      <c r="AG61" s="373"/>
      <c r="AH61" s="553"/>
      <c r="AI61" s="553"/>
      <c r="AJ61" s="553"/>
      <c r="AK61" s="553"/>
      <c r="AL61" s="553"/>
      <c r="AM61" s="621"/>
      <c r="AN61" s="621"/>
      <c r="AO61" s="557"/>
      <c r="AP61" s="638"/>
      <c r="AQ61" s="638"/>
      <c r="AR61" s="638"/>
      <c r="AS61" s="638"/>
      <c r="AT61" s="638"/>
      <c r="AU61" s="638"/>
      <c r="AV61" s="638"/>
      <c r="AW61" s="638"/>
      <c r="AX61" s="638"/>
      <c r="AY61" s="638"/>
      <c r="AZ61" s="815"/>
      <c r="BA61" s="815"/>
      <c r="BB61" s="815"/>
      <c r="BC61" s="815"/>
      <c r="BD61" s="815"/>
      <c r="BE61" s="815"/>
      <c r="BF61" s="815"/>
      <c r="BG61" s="815"/>
      <c r="BH61" s="815"/>
      <c r="BI61" s="815"/>
      <c r="BJ61" s="815"/>
      <c r="BK61" s="815"/>
      <c r="BL61" s="815"/>
      <c r="BM61" s="1224" t="s">
        <v>3066</v>
      </c>
      <c r="BN61" s="1224"/>
      <c r="BO61" s="1224"/>
      <c r="BP61" s="1224"/>
      <c r="BQ61" s="1224"/>
      <c r="BR61" s="1224"/>
      <c r="BS61" s="1224"/>
      <c r="BT61" s="1224"/>
      <c r="BU61" s="1224"/>
      <c r="BV61" s="1224"/>
      <c r="BW61" s="1224"/>
      <c r="BX61" s="644"/>
      <c r="BY61" s="633" t="s">
        <v>7</v>
      </c>
    </row>
    <row r="62" spans="1:77" ht="19.5" hidden="1" customHeight="1" x14ac:dyDescent="0.35">
      <c r="B62" s="332"/>
      <c r="C62" s="332" t="s">
        <v>4844</v>
      </c>
      <c r="D62" s="333"/>
      <c r="E62" s="333" t="s">
        <v>3335</v>
      </c>
      <c r="F62" s="333"/>
      <c r="G62" s="334"/>
      <c r="H62" s="333"/>
      <c r="I62" s="333"/>
      <c r="J62" s="333"/>
      <c r="K62" s="333" t="s">
        <v>2724</v>
      </c>
      <c r="L62" s="333" t="s">
        <v>4845</v>
      </c>
      <c r="N62" s="335" t="s">
        <v>3598</v>
      </c>
      <c r="O62" s="336" t="s">
        <v>79</v>
      </c>
      <c r="P62" s="336"/>
      <c r="Q62" s="337"/>
      <c r="S62" s="338">
        <f t="shared" si="14"/>
        <v>2</v>
      </c>
      <c r="T62" s="951">
        <v>45582</v>
      </c>
      <c r="U62" s="339">
        <f t="shared" ca="1" si="15"/>
        <v>82</v>
      </c>
      <c r="W62" s="557"/>
      <c r="X62" s="557"/>
      <c r="Y62" s="557"/>
      <c r="Z62" s="557"/>
      <c r="AA62" s="557"/>
      <c r="AB62" s="557"/>
      <c r="AC62" s="557"/>
      <c r="AD62" s="557"/>
      <c r="AE62" s="557"/>
      <c r="AF62" s="557"/>
      <c r="AG62" s="557"/>
      <c r="AH62" s="557"/>
      <c r="AI62" s="557"/>
      <c r="AJ62" s="557"/>
      <c r="AK62" s="557"/>
      <c r="AL62" s="557"/>
      <c r="AM62" s="557"/>
      <c r="AN62" s="557"/>
      <c r="AO62" s="557"/>
      <c r="AP62" s="557"/>
      <c r="AQ62" s="557"/>
      <c r="AR62" s="557"/>
      <c r="AS62" s="557"/>
      <c r="AT62" s="557"/>
      <c r="AU62" s="557"/>
      <c r="AV62" s="557"/>
      <c r="AW62" s="557"/>
      <c r="AX62" s="557"/>
      <c r="AY62" s="557"/>
      <c r="AZ62" s="815"/>
      <c r="BA62" s="815"/>
      <c r="BB62" s="815"/>
      <c r="BC62" s="815"/>
      <c r="BD62" s="815"/>
      <c r="BE62" s="815"/>
      <c r="BF62" s="815"/>
      <c r="BG62" s="815"/>
      <c r="BH62" s="815"/>
      <c r="BI62" s="557" t="s">
        <v>4277</v>
      </c>
      <c r="BJ62" s="557" t="s">
        <v>3066</v>
      </c>
      <c r="BK62" s="815"/>
      <c r="BL62" s="815"/>
      <c r="BM62" s="815"/>
      <c r="BN62" s="1224"/>
      <c r="BO62" s="1224"/>
      <c r="BP62" s="1224"/>
      <c r="BQ62" s="1224"/>
      <c r="BR62" s="1224"/>
      <c r="BS62" s="1224"/>
      <c r="BT62" s="1224"/>
      <c r="BU62" s="1224"/>
      <c r="BV62" s="1224"/>
      <c r="BW62" s="1224"/>
      <c r="BX62" s="710"/>
      <c r="BY62" s="633" t="s">
        <v>7</v>
      </c>
    </row>
    <row r="63" spans="1:77" ht="19.5" hidden="1" customHeight="1" x14ac:dyDescent="0.35">
      <c r="B63" s="332"/>
      <c r="C63" s="332" t="s">
        <v>4579</v>
      </c>
      <c r="D63" s="333"/>
      <c r="E63" s="333" t="s">
        <v>3058</v>
      </c>
      <c r="F63" s="333"/>
      <c r="G63" s="334"/>
      <c r="H63" s="333"/>
      <c r="I63" s="333"/>
      <c r="J63" s="333"/>
      <c r="K63" s="333" t="s">
        <v>2724</v>
      </c>
      <c r="L63" s="333" t="s">
        <v>4255</v>
      </c>
      <c r="N63" s="335" t="s">
        <v>78</v>
      </c>
      <c r="O63" s="336" t="s">
        <v>79</v>
      </c>
      <c r="P63" s="336"/>
      <c r="Q63" s="337"/>
      <c r="S63" s="338">
        <f t="shared" si="14"/>
        <v>3</v>
      </c>
      <c r="T63" s="951">
        <v>45460</v>
      </c>
      <c r="U63" s="339">
        <f t="shared" ca="1" si="15"/>
        <v>204</v>
      </c>
      <c r="W63" s="557"/>
      <c r="X63" s="557"/>
      <c r="Y63" s="557"/>
      <c r="Z63" s="557"/>
      <c r="AA63" s="557"/>
      <c r="AB63" s="557"/>
      <c r="AC63" s="557"/>
      <c r="AD63" s="557"/>
      <c r="AE63" s="557"/>
      <c r="AF63" s="557"/>
      <c r="AG63" s="557"/>
      <c r="AH63" s="557"/>
      <c r="AI63" s="557"/>
      <c r="AJ63" s="557"/>
      <c r="AK63" s="557"/>
      <c r="AL63" s="557"/>
      <c r="AM63" s="557"/>
      <c r="AN63" s="557"/>
      <c r="AO63" s="557"/>
      <c r="AP63" s="557"/>
      <c r="AQ63" s="557"/>
      <c r="AR63" s="557" t="s">
        <v>4254</v>
      </c>
      <c r="AS63" s="557"/>
      <c r="AT63" s="557"/>
      <c r="AU63" s="557"/>
      <c r="AV63" s="557"/>
      <c r="AW63" s="557"/>
      <c r="AX63" s="557"/>
      <c r="AY63" s="557"/>
      <c r="AZ63" s="815"/>
      <c r="BA63" s="815"/>
      <c r="BB63" s="815"/>
      <c r="BC63" s="815"/>
      <c r="BD63" s="815" t="s">
        <v>4260</v>
      </c>
      <c r="BE63" s="815"/>
      <c r="BF63" s="815" t="s">
        <v>4580</v>
      </c>
      <c r="BG63" s="815"/>
      <c r="BH63" s="815"/>
      <c r="BI63" s="815"/>
      <c r="BJ63" s="815"/>
      <c r="BK63" s="815"/>
      <c r="BL63" s="815"/>
      <c r="BM63" s="815"/>
      <c r="BN63" s="1224"/>
      <c r="BO63" s="1224"/>
      <c r="BP63" s="1224"/>
      <c r="BQ63" s="1224"/>
      <c r="BR63" s="1224"/>
      <c r="BS63" s="1224"/>
      <c r="BT63" s="1224"/>
      <c r="BU63" s="1224"/>
      <c r="BV63" s="1224"/>
      <c r="BW63" s="1224"/>
      <c r="BX63" s="710"/>
      <c r="BY63" s="633" t="s">
        <v>7</v>
      </c>
    </row>
    <row r="64" spans="1:77" ht="19.5" hidden="1" customHeight="1" x14ac:dyDescent="0.35">
      <c r="A64" s="950" t="s">
        <v>4480</v>
      </c>
      <c r="B64" s="641"/>
      <c r="C64" s="332" t="s">
        <v>3180</v>
      </c>
      <c r="D64" s="333"/>
      <c r="E64" s="333" t="s">
        <v>3058</v>
      </c>
      <c r="F64" s="333"/>
      <c r="G64" s="334"/>
      <c r="H64" s="333"/>
      <c r="I64" s="333"/>
      <c r="J64" s="333"/>
      <c r="K64" s="333"/>
      <c r="L64" s="333"/>
      <c r="N64" s="335" t="s">
        <v>61</v>
      </c>
      <c r="O64" s="336" t="s">
        <v>79</v>
      </c>
      <c r="P64" s="336"/>
      <c r="Q64" s="337"/>
      <c r="S64" s="338">
        <f t="shared" si="14"/>
        <v>5</v>
      </c>
      <c r="T64" s="951">
        <v>45588</v>
      </c>
      <c r="U64" s="339">
        <f t="shared" ca="1" si="15"/>
        <v>76</v>
      </c>
      <c r="W64" s="373"/>
      <c r="X64" s="373" t="s">
        <v>188</v>
      </c>
      <c r="Y64" s="373"/>
      <c r="Z64" s="373" t="s">
        <v>3181</v>
      </c>
      <c r="AA64" s="373"/>
      <c r="AB64" s="373"/>
      <c r="AC64" s="373"/>
      <c r="AD64" s="373"/>
      <c r="AE64" s="373"/>
      <c r="AF64" s="373"/>
      <c r="AG64" s="373"/>
      <c r="AH64" s="553"/>
      <c r="AI64" s="553"/>
      <c r="AJ64" s="553"/>
      <c r="AK64" s="553"/>
      <c r="AL64" s="553"/>
      <c r="AM64" s="621"/>
      <c r="AN64" s="621"/>
      <c r="AO64" s="557"/>
      <c r="AP64" s="638"/>
      <c r="AQ64" s="638"/>
      <c r="AR64" s="638"/>
      <c r="AS64" s="638"/>
      <c r="AT64" s="638"/>
      <c r="AU64" s="638"/>
      <c r="AV64" s="638"/>
      <c r="AW64" s="638"/>
      <c r="AX64" s="638"/>
      <c r="AY64" s="638"/>
      <c r="AZ64" s="815"/>
      <c r="BA64" s="815"/>
      <c r="BB64" s="815"/>
      <c r="BC64" s="815"/>
      <c r="BD64" s="815"/>
      <c r="BE64" s="815"/>
      <c r="BF64" s="815"/>
      <c r="BG64" s="815"/>
      <c r="BH64" s="815"/>
      <c r="BI64" s="815"/>
      <c r="BJ64" s="815" t="s">
        <v>4893</v>
      </c>
      <c r="BK64" s="815"/>
      <c r="BL64" s="815"/>
      <c r="BM64" s="1224" t="s">
        <v>3312</v>
      </c>
      <c r="BN64" s="1224"/>
      <c r="BO64" s="1224"/>
      <c r="BP64" s="1224"/>
      <c r="BQ64" s="557" t="s">
        <v>5579</v>
      </c>
      <c r="BR64" s="1224"/>
      <c r="BS64" s="1224"/>
      <c r="BT64" s="1224"/>
      <c r="BU64" s="1224"/>
      <c r="BV64" s="1224"/>
      <c r="BW64" s="1224"/>
      <c r="BX64" s="644"/>
      <c r="BY64" s="633" t="s">
        <v>7</v>
      </c>
    </row>
    <row r="65" spans="1:77" ht="19.5" hidden="1" customHeight="1" x14ac:dyDescent="0.35">
      <c r="B65" s="641"/>
      <c r="C65" s="332" t="s">
        <v>3147</v>
      </c>
      <c r="D65" s="333" t="s">
        <v>3148</v>
      </c>
      <c r="E65" s="333" t="s">
        <v>3058</v>
      </c>
      <c r="F65" s="333" t="s">
        <v>3149</v>
      </c>
      <c r="G65" s="334">
        <v>80</v>
      </c>
      <c r="H65" s="333">
        <v>2019</v>
      </c>
      <c r="I65" s="333" t="s">
        <v>3139</v>
      </c>
      <c r="J65" s="333"/>
      <c r="K65" s="333" t="s">
        <v>83</v>
      </c>
      <c r="L65" s="333" t="s">
        <v>3150</v>
      </c>
      <c r="M65" s="328" t="s">
        <v>731</v>
      </c>
      <c r="N65" s="335" t="s">
        <v>78</v>
      </c>
      <c r="O65" s="336" t="s">
        <v>62</v>
      </c>
      <c r="P65" s="336"/>
      <c r="Q65" s="337"/>
      <c r="S65" s="338">
        <f t="shared" si="14"/>
        <v>3</v>
      </c>
      <c r="T65" s="951">
        <v>45397</v>
      </c>
      <c r="U65" s="339">
        <f t="shared" ca="1" si="15"/>
        <v>267</v>
      </c>
      <c r="W65" s="373"/>
      <c r="X65" s="373"/>
      <c r="Y65" s="373"/>
      <c r="Z65" s="373"/>
      <c r="AA65" s="373"/>
      <c r="AB65" s="373"/>
      <c r="AC65" s="373"/>
      <c r="AD65" s="373"/>
      <c r="AE65" s="373"/>
      <c r="AF65" s="373"/>
      <c r="AG65" s="373"/>
      <c r="AH65" s="553"/>
      <c r="AI65" s="553" t="s">
        <v>3620</v>
      </c>
      <c r="AJ65" s="553"/>
      <c r="AK65" s="553"/>
      <c r="AL65" s="553"/>
      <c r="AM65" s="621"/>
      <c r="AN65" s="621"/>
      <c r="AO65" s="639"/>
      <c r="AP65" s="640"/>
      <c r="AQ65" s="640"/>
      <c r="AR65" s="640"/>
      <c r="AS65" s="640"/>
      <c r="AT65" s="640"/>
      <c r="AU65" s="640"/>
      <c r="AV65" s="640"/>
      <c r="AW65" s="640"/>
      <c r="AX65" s="640"/>
      <c r="AY65" s="640"/>
      <c r="AZ65" s="816"/>
      <c r="BA65" s="816"/>
      <c r="BB65" s="816"/>
      <c r="BC65" s="816"/>
      <c r="BD65" s="816"/>
      <c r="BE65" s="816"/>
      <c r="BF65" s="816"/>
      <c r="BG65" s="816"/>
      <c r="BH65" s="816"/>
      <c r="BI65" s="816"/>
      <c r="BJ65" s="816"/>
      <c r="BK65" s="816"/>
      <c r="BL65" s="816"/>
      <c r="BM65" s="816"/>
      <c r="BN65" s="1231" t="s">
        <v>5323</v>
      </c>
      <c r="BO65" s="1231"/>
      <c r="BP65" s="1231" t="s">
        <v>3312</v>
      </c>
      <c r="BQ65" s="1231"/>
      <c r="BR65" s="1231"/>
      <c r="BS65" s="1231"/>
      <c r="BT65" s="1231"/>
      <c r="BU65" s="1231"/>
      <c r="BV65" s="1231"/>
      <c r="BW65" s="1231"/>
      <c r="BX65" s="645"/>
      <c r="BY65" s="633" t="s">
        <v>7</v>
      </c>
    </row>
    <row r="66" spans="1:77" ht="19.5" hidden="1" customHeight="1" x14ac:dyDescent="0.35">
      <c r="A66" s="950" t="s">
        <v>4481</v>
      </c>
      <c r="B66" s="875"/>
      <c r="C66" s="876" t="s">
        <v>4441</v>
      </c>
      <c r="D66" s="877"/>
      <c r="E66" s="877" t="s">
        <v>3058</v>
      </c>
      <c r="F66" s="877"/>
      <c r="G66" s="878"/>
      <c r="H66" s="877"/>
      <c r="I66" s="877"/>
      <c r="J66" s="877"/>
      <c r="K66" s="877"/>
      <c r="L66" s="877"/>
      <c r="M66" s="879"/>
      <c r="N66" s="880" t="s">
        <v>78</v>
      </c>
      <c r="O66" s="881" t="s">
        <v>86</v>
      </c>
      <c r="P66" s="336" t="s">
        <v>4423</v>
      </c>
      <c r="Q66" s="882"/>
      <c r="R66" s="883"/>
      <c r="S66" s="884">
        <f t="shared" si="14"/>
        <v>2</v>
      </c>
      <c r="T66" s="951">
        <v>45553</v>
      </c>
      <c r="U66" s="339">
        <f t="shared" ca="1" si="15"/>
        <v>111</v>
      </c>
      <c r="V66" s="883"/>
      <c r="W66" s="885"/>
      <c r="X66" s="885"/>
      <c r="Y66" s="885"/>
      <c r="Z66" s="885"/>
      <c r="AA66" s="885"/>
      <c r="AB66" s="885"/>
      <c r="AC66" s="885"/>
      <c r="AD66" s="885"/>
      <c r="AE66" s="885"/>
      <c r="AF66" s="885"/>
      <c r="AG66" s="885"/>
      <c r="AH66" s="885"/>
      <c r="AI66" s="885"/>
      <c r="AJ66" s="885"/>
      <c r="AK66" s="885"/>
      <c r="AL66" s="885"/>
      <c r="AM66" s="885"/>
      <c r="AN66" s="885"/>
      <c r="AO66" s="885"/>
      <c r="AP66" s="885"/>
      <c r="AQ66" s="885"/>
      <c r="AR66" s="885"/>
      <c r="AS66" s="885"/>
      <c r="AT66" s="885"/>
      <c r="AU66" s="885"/>
      <c r="AV66" s="885"/>
      <c r="AW66" s="885"/>
      <c r="AX66" s="885"/>
      <c r="AY66" s="885"/>
      <c r="AZ66" s="885"/>
      <c r="BA66" s="885"/>
      <c r="BB66" s="885"/>
      <c r="BC66" s="885"/>
      <c r="BD66" s="885"/>
      <c r="BE66" s="885" t="s">
        <v>4472</v>
      </c>
      <c r="BF66" s="885" t="s">
        <v>4253</v>
      </c>
      <c r="BG66" s="885"/>
      <c r="BH66" s="885"/>
      <c r="BI66" s="885"/>
      <c r="BJ66" s="885"/>
      <c r="BK66" s="885"/>
      <c r="BL66" s="885"/>
      <c r="BM66" s="885"/>
      <c r="BN66" s="1224"/>
      <c r="BO66" s="1224"/>
      <c r="BP66" s="1224"/>
      <c r="BQ66" s="1224"/>
      <c r="BR66" s="1224"/>
      <c r="BS66" s="1224"/>
      <c r="BT66" s="1224"/>
      <c r="BU66" s="1224"/>
      <c r="BV66" s="1224"/>
      <c r="BW66" s="1224"/>
      <c r="BX66" s="886"/>
      <c r="BY66" s="633" t="s">
        <v>7</v>
      </c>
    </row>
    <row r="67" spans="1:77" ht="19.5" hidden="1" customHeight="1" x14ac:dyDescent="0.35">
      <c r="B67" s="641"/>
      <c r="C67" s="332" t="s">
        <v>3145</v>
      </c>
      <c r="D67" s="333" t="s">
        <v>3146</v>
      </c>
      <c r="E67" s="333" t="s">
        <v>3058</v>
      </c>
      <c r="F67" s="333"/>
      <c r="G67" s="334"/>
      <c r="H67" s="333"/>
      <c r="I67" s="333"/>
      <c r="J67" s="333"/>
      <c r="K67" s="340"/>
      <c r="L67" s="333"/>
      <c r="M67" s="328" t="s">
        <v>731</v>
      </c>
      <c r="N67" s="335" t="s">
        <v>78</v>
      </c>
      <c r="O67" s="336"/>
      <c r="P67" s="336"/>
      <c r="Q67" s="341"/>
      <c r="S67" s="338">
        <f t="shared" si="14"/>
        <v>0</v>
      </c>
      <c r="T67" s="951"/>
      <c r="U67" s="339" t="str">
        <f t="shared" ca="1" si="15"/>
        <v/>
      </c>
      <c r="W67" s="373"/>
      <c r="X67" s="373"/>
      <c r="Y67" s="373"/>
      <c r="Z67" s="373"/>
      <c r="AA67" s="373"/>
      <c r="AB67" s="373"/>
      <c r="AC67" s="373"/>
      <c r="AD67" s="373"/>
      <c r="AE67" s="373"/>
      <c r="AF67" s="373"/>
      <c r="AG67" s="373"/>
      <c r="AH67" s="553"/>
      <c r="AI67" s="553"/>
      <c r="AJ67" s="553"/>
      <c r="AK67" s="553"/>
      <c r="AL67" s="553"/>
      <c r="AM67" s="621"/>
      <c r="AN67" s="621"/>
      <c r="AO67" s="639"/>
      <c r="AP67" s="640"/>
      <c r="AQ67" s="640"/>
      <c r="AR67" s="640"/>
      <c r="AS67" s="640"/>
      <c r="AT67" s="640"/>
      <c r="AU67" s="640"/>
      <c r="AV67" s="640"/>
      <c r="AW67" s="640"/>
      <c r="AX67" s="640"/>
      <c r="AY67" s="640"/>
      <c r="AZ67" s="816"/>
      <c r="BA67" s="816"/>
      <c r="BB67" s="816"/>
      <c r="BC67" s="816"/>
      <c r="BD67" s="816"/>
      <c r="BE67" s="816"/>
      <c r="BF67" s="816"/>
      <c r="BG67" s="816"/>
      <c r="BH67" s="816"/>
      <c r="BI67" s="816"/>
      <c r="BJ67" s="816"/>
      <c r="BK67" s="816"/>
      <c r="BL67" s="816"/>
      <c r="BM67" s="816"/>
      <c r="BN67" s="1231"/>
      <c r="BO67" s="1231"/>
      <c r="BP67" s="1231"/>
      <c r="BQ67" s="1231"/>
      <c r="BR67" s="1231"/>
      <c r="BS67" s="1231"/>
      <c r="BT67" s="1231"/>
      <c r="BU67" s="1231"/>
      <c r="BV67" s="1231"/>
      <c r="BW67" s="1231"/>
      <c r="BX67" s="645"/>
      <c r="BY67" s="633" t="s">
        <v>7</v>
      </c>
    </row>
    <row r="68" spans="1:77" ht="19.5" hidden="1" customHeight="1" x14ac:dyDescent="0.35">
      <c r="A68" s="1101"/>
      <c r="B68" s="1102"/>
      <c r="C68" s="332" t="s">
        <v>5641</v>
      </c>
      <c r="D68" s="1103"/>
      <c r="E68" s="1103" t="s">
        <v>3058</v>
      </c>
      <c r="F68" s="1103"/>
      <c r="G68" s="1104"/>
      <c r="H68" s="1103"/>
      <c r="I68" s="1103" t="s">
        <v>3160</v>
      </c>
      <c r="J68" s="1103"/>
      <c r="K68" s="1103"/>
      <c r="L68" s="1103"/>
      <c r="M68" s="1105"/>
      <c r="N68" s="1106" t="s">
        <v>78</v>
      </c>
      <c r="O68" s="1107" t="s">
        <v>62</v>
      </c>
      <c r="P68" s="1107"/>
      <c r="Q68" s="1108"/>
      <c r="R68" s="1109"/>
      <c r="S68" s="1110">
        <f t="shared" ref="S68" si="18">+COUNTA(W68:BX68)</f>
        <v>1</v>
      </c>
      <c r="T68" s="1111"/>
      <c r="U68" s="339" t="str">
        <f t="shared" ref="U68" ca="1" si="19">IF(T68&gt;0,IF(TODAY()&gt;T68,TODAY()-T68,""),"")</f>
        <v/>
      </c>
      <c r="V68" s="1109"/>
      <c r="W68" s="1112"/>
      <c r="X68" s="1112"/>
      <c r="Y68" s="1112"/>
      <c r="Z68" s="1112"/>
      <c r="AA68" s="1112"/>
      <c r="AB68" s="1112"/>
      <c r="AC68" s="1112"/>
      <c r="AD68" s="1112"/>
      <c r="AE68" s="1112"/>
      <c r="AF68" s="1112"/>
      <c r="AG68" s="1112"/>
      <c r="AH68" s="1112"/>
      <c r="AI68" s="1112"/>
      <c r="AJ68" s="1112"/>
      <c r="AK68" s="1112"/>
      <c r="AL68" s="1112"/>
      <c r="AM68" s="1112"/>
      <c r="AN68" s="1112"/>
      <c r="AO68" s="1112"/>
      <c r="AP68" s="1112"/>
      <c r="AQ68" s="1112"/>
      <c r="AR68" s="1112"/>
      <c r="AS68" s="1112"/>
      <c r="AT68" s="1112"/>
      <c r="AU68" s="1112"/>
      <c r="AV68" s="1112"/>
      <c r="AW68" s="1112"/>
      <c r="AX68" s="1112"/>
      <c r="AY68" s="1112"/>
      <c r="AZ68" s="1112"/>
      <c r="BA68" s="1112"/>
      <c r="BB68" s="1112"/>
      <c r="BC68" s="1112"/>
      <c r="BD68" s="1112"/>
      <c r="BE68" s="1112"/>
      <c r="BF68" s="1112"/>
      <c r="BG68" s="1112"/>
      <c r="BH68" s="1112"/>
      <c r="BI68" s="1112"/>
      <c r="BJ68" s="557"/>
      <c r="BK68" s="557"/>
      <c r="BL68" s="1112"/>
      <c r="BM68" s="1224"/>
      <c r="BN68" s="1224"/>
      <c r="BO68" s="1224"/>
      <c r="BP68" s="557"/>
      <c r="BQ68" s="1224"/>
      <c r="BR68" s="557" t="s">
        <v>3066</v>
      </c>
      <c r="BS68" s="1224"/>
      <c r="BT68" s="1224"/>
      <c r="BU68" s="1224"/>
      <c r="BV68" s="1224"/>
      <c r="BW68" s="1224"/>
      <c r="BX68" s="1113"/>
      <c r="BY68" s="312" t="s">
        <v>7</v>
      </c>
    </row>
    <row r="69" spans="1:77" ht="19.5" hidden="1" customHeight="1" x14ac:dyDescent="0.35">
      <c r="A69" s="1101"/>
      <c r="B69" s="1102"/>
      <c r="C69" s="1102" t="s">
        <v>4851</v>
      </c>
      <c r="D69" s="1103" t="s">
        <v>4853</v>
      </c>
      <c r="E69" s="1103" t="s">
        <v>3058</v>
      </c>
      <c r="F69" s="1103"/>
      <c r="G69" s="1104"/>
      <c r="H69" s="1103"/>
      <c r="I69" s="1103" t="s">
        <v>3160</v>
      </c>
      <c r="J69" s="1103"/>
      <c r="K69" s="1103"/>
      <c r="L69" s="1103" t="s">
        <v>4852</v>
      </c>
      <c r="M69" s="1105"/>
      <c r="N69" s="1106" t="s">
        <v>78</v>
      </c>
      <c r="O69" s="1107"/>
      <c r="P69" s="1107"/>
      <c r="Q69" s="1108"/>
      <c r="R69" s="1109"/>
      <c r="S69" s="1110">
        <f t="shared" si="14"/>
        <v>5</v>
      </c>
      <c r="T69" s="1111">
        <v>45583</v>
      </c>
      <c r="U69" s="339">
        <f t="shared" ca="1" si="15"/>
        <v>81</v>
      </c>
      <c r="V69" s="1109"/>
      <c r="W69" s="1112"/>
      <c r="X69" s="1112"/>
      <c r="Y69" s="1112"/>
      <c r="Z69" s="1112"/>
      <c r="AA69" s="1112"/>
      <c r="AB69" s="1112"/>
      <c r="AC69" s="1112"/>
      <c r="AD69" s="1112"/>
      <c r="AE69" s="1112"/>
      <c r="AF69" s="1112"/>
      <c r="AG69" s="1112"/>
      <c r="AH69" s="1112"/>
      <c r="AI69" s="1112"/>
      <c r="AJ69" s="1112"/>
      <c r="AK69" s="1112"/>
      <c r="AL69" s="1112"/>
      <c r="AM69" s="1112"/>
      <c r="AN69" s="1112"/>
      <c r="AO69" s="1112"/>
      <c r="AP69" s="1112"/>
      <c r="AQ69" s="1112"/>
      <c r="AR69" s="1112"/>
      <c r="AS69" s="1112"/>
      <c r="AT69" s="1112"/>
      <c r="AU69" s="1112"/>
      <c r="AV69" s="1112"/>
      <c r="AW69" s="1112"/>
      <c r="AX69" s="1112"/>
      <c r="AY69" s="1112"/>
      <c r="AZ69" s="1112"/>
      <c r="BA69" s="1112"/>
      <c r="BB69" s="1112"/>
      <c r="BC69" s="1112"/>
      <c r="BD69" s="1112"/>
      <c r="BE69" s="1112"/>
      <c r="BF69" s="1112"/>
      <c r="BG69" s="1112"/>
      <c r="BH69" s="1112"/>
      <c r="BI69" s="1112" t="s">
        <v>3066</v>
      </c>
      <c r="BJ69" s="557" t="s">
        <v>4633</v>
      </c>
      <c r="BK69" s="557" t="s">
        <v>4277</v>
      </c>
      <c r="BL69" s="1112"/>
      <c r="BM69" s="1224" t="s">
        <v>3066</v>
      </c>
      <c r="BN69" s="1224"/>
      <c r="BO69" s="1224"/>
      <c r="BP69" s="557" t="s">
        <v>3312</v>
      </c>
      <c r="BQ69" s="1224"/>
      <c r="BR69" s="1224"/>
      <c r="BS69" s="1224"/>
      <c r="BT69" s="1224"/>
      <c r="BU69" s="1224"/>
      <c r="BV69" s="1224"/>
      <c r="BW69" s="1224"/>
      <c r="BX69" s="1113"/>
      <c r="BY69" s="312" t="s">
        <v>7</v>
      </c>
    </row>
    <row r="70" spans="1:77" ht="19.5" customHeight="1" x14ac:dyDescent="0.35">
      <c r="A70" s="388"/>
      <c r="B70" s="641"/>
      <c r="C70" s="332" t="s">
        <v>3105</v>
      </c>
      <c r="D70" s="333"/>
      <c r="E70" s="333" t="s">
        <v>3058</v>
      </c>
      <c r="F70" s="333" t="s">
        <v>3106</v>
      </c>
      <c r="G70" s="334"/>
      <c r="H70" s="333"/>
      <c r="I70" s="333"/>
      <c r="J70" s="333"/>
      <c r="K70" s="333"/>
      <c r="L70" s="333" t="s">
        <v>3107</v>
      </c>
      <c r="N70" s="335" t="s">
        <v>153</v>
      </c>
      <c r="O70" s="336"/>
      <c r="P70" s="336"/>
      <c r="Q70" s="337"/>
      <c r="S70" s="338">
        <f t="shared" si="14"/>
        <v>5</v>
      </c>
      <c r="T70" s="951"/>
      <c r="U70" s="339" t="str">
        <f t="shared" ca="1" si="15"/>
        <v/>
      </c>
      <c r="W70" s="373"/>
      <c r="X70" s="373"/>
      <c r="Y70" s="373"/>
      <c r="Z70" s="373"/>
      <c r="AA70" s="373"/>
      <c r="AB70" s="373" t="s">
        <v>200</v>
      </c>
      <c r="AC70" s="373"/>
      <c r="AD70" s="373"/>
      <c r="AE70" s="373"/>
      <c r="AF70" s="373"/>
      <c r="AG70" s="373"/>
      <c r="AH70" s="553"/>
      <c r="AI70" s="553"/>
      <c r="AJ70" s="553" t="s">
        <v>3312</v>
      </c>
      <c r="AK70" s="553"/>
      <c r="AL70" s="553"/>
      <c r="AM70" s="621"/>
      <c r="AN70" s="621"/>
      <c r="AO70" s="557"/>
      <c r="AP70" s="642" t="s">
        <v>3835</v>
      </c>
      <c r="AQ70" s="638"/>
      <c r="AR70" s="642" t="s">
        <v>4060</v>
      </c>
      <c r="AS70" s="638"/>
      <c r="AT70" s="642" t="s">
        <v>4061</v>
      </c>
      <c r="AU70" s="638"/>
      <c r="AV70" s="638"/>
      <c r="AW70" s="638"/>
      <c r="AX70" s="638"/>
      <c r="AY70" s="638"/>
      <c r="AZ70" s="815"/>
      <c r="BA70" s="815"/>
      <c r="BB70" s="815"/>
      <c r="BC70" s="815"/>
      <c r="BD70" s="815"/>
      <c r="BE70" s="815"/>
      <c r="BF70" s="815"/>
      <c r="BG70" s="815"/>
      <c r="BH70" s="815"/>
      <c r="BI70" s="815"/>
      <c r="BJ70" s="815"/>
      <c r="BK70" s="815"/>
      <c r="BL70" s="815"/>
      <c r="BM70" s="815"/>
      <c r="BN70" s="1224"/>
      <c r="BO70" s="1224"/>
      <c r="BP70" s="1224"/>
      <c r="BQ70" s="1224"/>
      <c r="BR70" s="1224"/>
      <c r="BS70" s="1224"/>
      <c r="BT70" s="1224"/>
      <c r="BU70" s="1224"/>
      <c r="BV70" s="1224"/>
      <c r="BW70" s="1224"/>
      <c r="BX70" s="644"/>
      <c r="BY70" s="633" t="s">
        <v>7</v>
      </c>
    </row>
    <row r="71" spans="1:77" ht="19.5" hidden="1" customHeight="1" x14ac:dyDescent="0.35">
      <c r="A71" s="950" t="s">
        <v>4482</v>
      </c>
      <c r="B71" s="641"/>
      <c r="C71" s="332" t="s">
        <v>5365</v>
      </c>
      <c r="D71" s="333"/>
      <c r="E71" s="333" t="s">
        <v>3058</v>
      </c>
      <c r="F71" s="333"/>
      <c r="G71" s="334"/>
      <c r="H71" s="333"/>
      <c r="I71" s="333"/>
      <c r="J71" s="333"/>
      <c r="K71" s="333" t="s">
        <v>2724</v>
      </c>
      <c r="L71" s="333" t="s">
        <v>5366</v>
      </c>
      <c r="N71" s="335" t="s">
        <v>78</v>
      </c>
      <c r="O71" s="336" t="s">
        <v>79</v>
      </c>
      <c r="P71" s="336"/>
      <c r="Q71" s="337"/>
      <c r="S71" s="338">
        <f t="shared" si="14"/>
        <v>1</v>
      </c>
      <c r="T71" s="951">
        <v>45639</v>
      </c>
      <c r="U71" s="339">
        <f t="shared" ca="1" si="15"/>
        <v>25</v>
      </c>
      <c r="W71" s="373"/>
      <c r="X71" s="373"/>
      <c r="Y71" s="373"/>
      <c r="Z71" s="373"/>
      <c r="AA71" s="373"/>
      <c r="AB71" s="373"/>
      <c r="AC71" s="373"/>
      <c r="AD71" s="373"/>
      <c r="AE71" s="373"/>
      <c r="AF71" s="373"/>
      <c r="AG71" s="373"/>
      <c r="AH71" s="553"/>
      <c r="AI71" s="553"/>
      <c r="AJ71" s="553"/>
      <c r="AK71" s="553"/>
      <c r="AL71" s="553"/>
      <c r="AM71" s="621"/>
      <c r="AN71" s="621"/>
      <c r="AO71" s="557"/>
      <c r="AP71" s="638"/>
      <c r="AQ71" s="638"/>
      <c r="AR71" s="638"/>
      <c r="AS71" s="638"/>
      <c r="AT71" s="638"/>
      <c r="AU71" s="638"/>
      <c r="AV71" s="638"/>
      <c r="AW71" s="638"/>
      <c r="AX71" s="638"/>
      <c r="AY71" s="638"/>
      <c r="AZ71" s="815"/>
      <c r="BA71" s="815"/>
      <c r="BB71" s="815"/>
      <c r="BC71" s="815"/>
      <c r="BD71" s="815"/>
      <c r="BE71" s="815"/>
      <c r="BF71" s="815"/>
      <c r="BG71" s="815"/>
      <c r="BH71" s="815"/>
      <c r="BI71" s="815"/>
      <c r="BJ71" s="815"/>
      <c r="BK71" s="815"/>
      <c r="BL71" s="815"/>
      <c r="BM71" s="815"/>
      <c r="BN71" s="1224"/>
      <c r="BO71" s="1224"/>
      <c r="BP71" s="1224"/>
      <c r="BQ71" s="1224" t="s">
        <v>3312</v>
      </c>
      <c r="BR71" s="1224"/>
      <c r="BS71" s="1224"/>
      <c r="BT71" s="1224"/>
      <c r="BU71" s="1224"/>
      <c r="BV71" s="1224"/>
      <c r="BW71" s="1224"/>
      <c r="BX71" s="644"/>
      <c r="BY71" s="633" t="s">
        <v>7</v>
      </c>
    </row>
    <row r="72" spans="1:77" ht="19.5" hidden="1" customHeight="1" x14ac:dyDescent="0.35">
      <c r="B72" s="641"/>
      <c r="C72" s="332" t="s">
        <v>3097</v>
      </c>
      <c r="D72" s="333"/>
      <c r="E72" s="333" t="s">
        <v>3058</v>
      </c>
      <c r="F72" s="333"/>
      <c r="G72" s="334"/>
      <c r="H72" s="333"/>
      <c r="I72" s="333" t="s">
        <v>3063</v>
      </c>
      <c r="J72" s="333"/>
      <c r="K72" s="333" t="s">
        <v>2724</v>
      </c>
      <c r="L72" s="333" t="s">
        <v>3098</v>
      </c>
      <c r="N72" s="335" t="s">
        <v>78</v>
      </c>
      <c r="O72" s="336" t="s">
        <v>86</v>
      </c>
      <c r="P72" s="336"/>
      <c r="Q72" s="337"/>
      <c r="S72" s="338">
        <f t="shared" ref="S72:S105" si="20">+COUNTA(W72:BX72)</f>
        <v>5</v>
      </c>
      <c r="T72" s="951">
        <v>45555</v>
      </c>
      <c r="U72" s="339">
        <f t="shared" ref="U72:U105" ca="1" si="21">IF(T72&gt;0,IF(TODAY()&gt;T72,TODAY()-T72,""),"")</f>
        <v>109</v>
      </c>
      <c r="W72" s="373"/>
      <c r="X72" s="373"/>
      <c r="Y72" s="373" t="s">
        <v>3166</v>
      </c>
      <c r="Z72" s="373" t="s">
        <v>3167</v>
      </c>
      <c r="AA72" s="373"/>
      <c r="AB72" s="373"/>
      <c r="AC72" s="373"/>
      <c r="AD72" s="373"/>
      <c r="AE72" s="373"/>
      <c r="AF72" s="373"/>
      <c r="AG72" s="373"/>
      <c r="AH72" s="553"/>
      <c r="AI72" s="553"/>
      <c r="AJ72" s="553"/>
      <c r="AK72" s="553"/>
      <c r="AL72" s="553"/>
      <c r="AM72" s="621" t="s">
        <v>3958</v>
      </c>
      <c r="AN72" s="621"/>
      <c r="AO72" s="557"/>
      <c r="AP72" s="638"/>
      <c r="AQ72" s="638"/>
      <c r="AR72" s="638"/>
      <c r="AS72" s="638"/>
      <c r="AT72" s="638"/>
      <c r="AU72" s="638"/>
      <c r="AV72" s="638" t="s">
        <v>4296</v>
      </c>
      <c r="AW72" s="638"/>
      <c r="AX72" s="638"/>
      <c r="AY72" s="638"/>
      <c r="AZ72" s="815"/>
      <c r="BA72" s="815"/>
      <c r="BB72" s="815"/>
      <c r="BC72" s="815"/>
      <c r="BD72" s="815"/>
      <c r="BE72" s="815" t="s">
        <v>4498</v>
      </c>
      <c r="BF72" s="815"/>
      <c r="BG72" s="815"/>
      <c r="BH72" s="815"/>
      <c r="BI72" s="815"/>
      <c r="BJ72" s="815"/>
      <c r="BK72" s="815"/>
      <c r="BL72" s="815"/>
      <c r="BM72" s="815"/>
      <c r="BN72" s="1224"/>
      <c r="BO72" s="1224"/>
      <c r="BP72" s="1224"/>
      <c r="BQ72" s="1224"/>
      <c r="BR72" s="1224"/>
      <c r="BS72" s="1224"/>
      <c r="BT72" s="1224"/>
      <c r="BU72" s="1224"/>
      <c r="BV72" s="1224"/>
      <c r="BW72" s="1224"/>
      <c r="BX72" s="644"/>
      <c r="BY72" s="633" t="s">
        <v>7</v>
      </c>
    </row>
    <row r="73" spans="1:77" ht="19.5" hidden="1" customHeight="1" x14ac:dyDescent="0.35">
      <c r="B73" s="641"/>
      <c r="C73" s="332" t="s">
        <v>5068</v>
      </c>
      <c r="D73" s="333"/>
      <c r="E73" s="333" t="s">
        <v>3058</v>
      </c>
      <c r="F73" s="333"/>
      <c r="G73" s="334"/>
      <c r="H73" s="333"/>
      <c r="I73" s="333"/>
      <c r="J73" s="333"/>
      <c r="K73" s="333"/>
      <c r="L73" s="333" t="s">
        <v>5069</v>
      </c>
      <c r="N73" s="335" t="s">
        <v>61</v>
      </c>
      <c r="O73" s="336" t="s">
        <v>62</v>
      </c>
      <c r="P73" s="336"/>
      <c r="Q73" s="337"/>
      <c r="S73" s="338">
        <f t="shared" si="20"/>
        <v>2</v>
      </c>
      <c r="T73" s="951">
        <v>45590</v>
      </c>
      <c r="U73" s="339">
        <f t="shared" ca="1" si="21"/>
        <v>74</v>
      </c>
      <c r="W73" s="373"/>
      <c r="X73" s="373"/>
      <c r="Y73" s="373"/>
      <c r="Z73" s="373"/>
      <c r="AA73" s="373"/>
      <c r="AB73" s="373"/>
      <c r="AC73" s="373"/>
      <c r="AD73" s="373"/>
      <c r="AE73" s="373"/>
      <c r="AF73" s="373"/>
      <c r="AG73" s="373"/>
      <c r="AH73" s="553"/>
      <c r="AI73" s="553"/>
      <c r="AJ73" s="553"/>
      <c r="AK73" s="553"/>
      <c r="AL73" s="553"/>
      <c r="AM73" s="621"/>
      <c r="AN73" s="621"/>
      <c r="AO73" s="557"/>
      <c r="AP73" s="638"/>
      <c r="AQ73" s="638"/>
      <c r="AR73" s="638"/>
      <c r="AS73" s="638"/>
      <c r="AT73" s="638"/>
      <c r="AU73" s="638"/>
      <c r="AV73" s="638"/>
      <c r="AW73" s="638"/>
      <c r="AX73" s="638"/>
      <c r="AY73" s="638"/>
      <c r="AZ73" s="815"/>
      <c r="BA73" s="815"/>
      <c r="BB73" s="815"/>
      <c r="BC73" s="815"/>
      <c r="BD73" s="815"/>
      <c r="BE73" s="815"/>
      <c r="BF73" s="815"/>
      <c r="BG73" s="815"/>
      <c r="BH73" s="815"/>
      <c r="BI73" s="815"/>
      <c r="BJ73" s="557" t="s">
        <v>4633</v>
      </c>
      <c r="BK73" s="815"/>
      <c r="BL73" s="815"/>
      <c r="BM73" s="815"/>
      <c r="BN73" s="557" t="s">
        <v>3066</v>
      </c>
      <c r="BO73" s="1224"/>
      <c r="BP73" s="1224"/>
      <c r="BQ73" s="1224"/>
      <c r="BR73" s="1224"/>
      <c r="BS73" s="1224"/>
      <c r="BT73" s="1224"/>
      <c r="BU73" s="1224"/>
      <c r="BV73" s="1224"/>
      <c r="BW73" s="1224"/>
      <c r="BX73" s="644"/>
      <c r="BY73" s="633" t="s">
        <v>7</v>
      </c>
    </row>
    <row r="74" spans="1:77" ht="19.5" hidden="1" customHeight="1" x14ac:dyDescent="0.35">
      <c r="B74" s="641"/>
      <c r="C74" s="332" t="s">
        <v>4262</v>
      </c>
      <c r="D74" s="333"/>
      <c r="E74" s="333" t="s">
        <v>3058</v>
      </c>
      <c r="F74" s="333"/>
      <c r="G74" s="334"/>
      <c r="H74" s="333"/>
      <c r="I74" s="333"/>
      <c r="J74" s="333"/>
      <c r="K74" s="333"/>
      <c r="L74" s="333"/>
      <c r="N74" s="335" t="s">
        <v>61</v>
      </c>
      <c r="O74" s="336" t="s">
        <v>79</v>
      </c>
      <c r="P74" s="336"/>
      <c r="Q74" s="337"/>
      <c r="S74" s="338">
        <f t="shared" si="20"/>
        <v>1</v>
      </c>
      <c r="T74" s="951"/>
      <c r="U74" s="339" t="str">
        <f t="shared" ca="1" si="21"/>
        <v/>
      </c>
      <c r="W74" s="373"/>
      <c r="X74" s="373"/>
      <c r="Y74" s="373"/>
      <c r="Z74" s="373"/>
      <c r="AA74" s="373"/>
      <c r="AB74" s="373"/>
      <c r="AC74" s="373"/>
      <c r="AD74" s="373"/>
      <c r="AE74" s="373"/>
      <c r="AF74" s="373"/>
      <c r="AG74" s="373"/>
      <c r="AH74" s="553"/>
      <c r="AI74" s="553"/>
      <c r="AJ74" s="553"/>
      <c r="AK74" s="553"/>
      <c r="AL74" s="553"/>
      <c r="AM74" s="621"/>
      <c r="AN74" s="621"/>
      <c r="AO74" s="557"/>
      <c r="AP74" s="638"/>
      <c r="AQ74" s="638"/>
      <c r="AR74" s="638"/>
      <c r="AS74" s="638" t="s">
        <v>3549</v>
      </c>
      <c r="AT74" s="638"/>
      <c r="AU74" s="638"/>
      <c r="AV74" s="638"/>
      <c r="AW74" s="638"/>
      <c r="AX74" s="638"/>
      <c r="AY74" s="638"/>
      <c r="AZ74" s="815"/>
      <c r="BA74" s="815"/>
      <c r="BB74" s="815"/>
      <c r="BC74" s="815"/>
      <c r="BD74" s="815"/>
      <c r="BE74" s="815"/>
      <c r="BF74" s="815"/>
      <c r="BG74" s="815"/>
      <c r="BH74" s="815"/>
      <c r="BI74" s="815"/>
      <c r="BJ74" s="815"/>
      <c r="BK74" s="815"/>
      <c r="BL74" s="815"/>
      <c r="BM74" s="815"/>
      <c r="BN74" s="1224"/>
      <c r="BO74" s="1224"/>
      <c r="BP74" s="1224"/>
      <c r="BQ74" s="1224"/>
      <c r="BR74" s="1224"/>
      <c r="BS74" s="1224"/>
      <c r="BT74" s="1224"/>
      <c r="BU74" s="1224"/>
      <c r="BV74" s="1224"/>
      <c r="BW74" s="1224"/>
      <c r="BX74" s="644"/>
      <c r="BY74" s="633" t="s">
        <v>7</v>
      </c>
    </row>
    <row r="75" spans="1:77" ht="19.5" hidden="1" customHeight="1" x14ac:dyDescent="0.35">
      <c r="A75" s="950" t="s">
        <v>5072</v>
      </c>
      <c r="B75" s="332"/>
      <c r="C75" s="332" t="s">
        <v>5073</v>
      </c>
      <c r="D75" s="333"/>
      <c r="E75" s="333" t="s">
        <v>433</v>
      </c>
      <c r="F75" s="333"/>
      <c r="G75" s="334"/>
      <c r="H75" s="333"/>
      <c r="I75" s="333"/>
      <c r="J75" s="333"/>
      <c r="K75" s="333"/>
      <c r="L75" s="333" t="s">
        <v>5074</v>
      </c>
      <c r="N75" s="335" t="s">
        <v>61</v>
      </c>
      <c r="O75" s="336" t="s">
        <v>62</v>
      </c>
      <c r="P75" s="336"/>
      <c r="Q75" s="337"/>
      <c r="S75" s="763">
        <f t="shared" si="20"/>
        <v>2</v>
      </c>
      <c r="T75" s="1160"/>
      <c r="U75" s="1161" t="str">
        <f t="shared" ca="1" si="21"/>
        <v/>
      </c>
      <c r="W75" s="557"/>
      <c r="X75" s="557"/>
      <c r="Y75" s="557"/>
      <c r="Z75" s="557"/>
      <c r="AA75" s="557"/>
      <c r="AB75" s="557"/>
      <c r="AC75" s="557"/>
      <c r="AD75" s="557"/>
      <c r="AE75" s="557"/>
      <c r="AF75" s="557"/>
      <c r="AG75" s="557"/>
      <c r="AH75" s="557"/>
      <c r="AI75" s="557"/>
      <c r="AJ75" s="557"/>
      <c r="AK75" s="557"/>
      <c r="AL75" s="557"/>
      <c r="AM75" s="557"/>
      <c r="AN75" s="557"/>
      <c r="AO75" s="557"/>
      <c r="AP75" s="557"/>
      <c r="AQ75" s="557" t="s">
        <v>3687</v>
      </c>
      <c r="AR75" s="557"/>
      <c r="AS75" s="557"/>
      <c r="AT75" s="557"/>
      <c r="AU75" s="557"/>
      <c r="AV75" s="557"/>
      <c r="AW75" s="557"/>
      <c r="AX75" s="557"/>
      <c r="AY75" s="557"/>
      <c r="AZ75" s="557"/>
      <c r="BA75" s="557"/>
      <c r="BB75" s="557"/>
      <c r="BC75" s="557"/>
      <c r="BD75" s="557"/>
      <c r="BE75" s="557"/>
      <c r="BF75" s="557"/>
      <c r="BG75" s="557"/>
      <c r="BH75" s="557"/>
      <c r="BI75" s="557"/>
      <c r="BJ75" s="557" t="s">
        <v>4633</v>
      </c>
      <c r="BK75" s="557"/>
      <c r="BL75" s="557"/>
      <c r="BM75" s="557"/>
      <c r="BN75" s="1224"/>
      <c r="BO75" s="1224"/>
      <c r="BP75" s="1224"/>
      <c r="BQ75" s="1224"/>
      <c r="BR75" s="1224"/>
      <c r="BS75" s="1224"/>
      <c r="BT75" s="1224"/>
      <c r="BU75" s="1224"/>
      <c r="BV75" s="1224"/>
      <c r="BW75" s="1224"/>
      <c r="BX75" s="710"/>
      <c r="BY75" s="312" t="s">
        <v>7</v>
      </c>
    </row>
    <row r="76" spans="1:77" ht="19.5" hidden="1" customHeight="1" x14ac:dyDescent="0.35">
      <c r="B76" s="332"/>
      <c r="C76" s="332" t="s">
        <v>5408</v>
      </c>
      <c r="D76" s="333"/>
      <c r="E76" s="333" t="s">
        <v>3058</v>
      </c>
      <c r="F76" s="333"/>
      <c r="G76" s="334"/>
      <c r="H76" s="333"/>
      <c r="I76" s="333"/>
      <c r="J76" s="333"/>
      <c r="K76" s="333"/>
      <c r="L76" s="333" t="s">
        <v>5409</v>
      </c>
      <c r="N76" s="335" t="s">
        <v>62</v>
      </c>
      <c r="O76" s="336" t="s">
        <v>62</v>
      </c>
      <c r="P76" s="336"/>
      <c r="Q76" s="337"/>
      <c r="S76" s="763">
        <f t="shared" si="20"/>
        <v>1</v>
      </c>
      <c r="T76" s="1160"/>
      <c r="U76" s="1161" t="str">
        <f t="shared" ca="1" si="21"/>
        <v/>
      </c>
      <c r="W76" s="557"/>
      <c r="X76" s="557"/>
      <c r="Y76" s="557"/>
      <c r="Z76" s="557"/>
      <c r="AA76" s="557"/>
      <c r="AB76" s="557"/>
      <c r="AC76" s="557"/>
      <c r="AD76" s="557"/>
      <c r="AE76" s="557"/>
      <c r="AF76" s="557"/>
      <c r="AG76" s="557"/>
      <c r="AH76" s="557"/>
      <c r="AI76" s="557"/>
      <c r="AJ76" s="557"/>
      <c r="AK76" s="557"/>
      <c r="AL76" s="557"/>
      <c r="AM76" s="557"/>
      <c r="AN76" s="557"/>
      <c r="AO76" s="557"/>
      <c r="AP76" s="557"/>
      <c r="AQ76" s="557"/>
      <c r="AR76" s="557"/>
      <c r="AS76" s="557"/>
      <c r="AT76" s="557"/>
      <c r="AU76" s="557"/>
      <c r="AV76" s="557"/>
      <c r="AW76" s="557"/>
      <c r="AX76" s="557"/>
      <c r="AY76" s="557"/>
      <c r="AZ76" s="557"/>
      <c r="BA76" s="557"/>
      <c r="BB76" s="557"/>
      <c r="BC76" s="557"/>
      <c r="BD76" s="557"/>
      <c r="BE76" s="557"/>
      <c r="BF76" s="557"/>
      <c r="BG76" s="557"/>
      <c r="BH76" s="557"/>
      <c r="BI76" s="557"/>
      <c r="BJ76" s="557"/>
      <c r="BK76" s="557"/>
      <c r="BL76" s="557"/>
      <c r="BM76" s="557"/>
      <c r="BN76" s="1224"/>
      <c r="BO76" s="1224"/>
      <c r="BP76" s="557" t="s">
        <v>3066</v>
      </c>
      <c r="BQ76" s="1224"/>
      <c r="BR76" s="1224"/>
      <c r="BS76" s="1224"/>
      <c r="BT76" s="1224"/>
      <c r="BU76" s="1224"/>
      <c r="BV76" s="1224"/>
      <c r="BW76" s="1224"/>
      <c r="BX76" s="710"/>
      <c r="BY76" s="312" t="s">
        <v>7</v>
      </c>
    </row>
    <row r="77" spans="1:77" ht="19.5" hidden="1" customHeight="1" x14ac:dyDescent="0.35">
      <c r="A77" s="950" t="s">
        <v>4483</v>
      </c>
      <c r="B77" s="641"/>
      <c r="C77" s="332" t="s">
        <v>4842</v>
      </c>
      <c r="D77" s="333"/>
      <c r="E77" s="333" t="s">
        <v>3058</v>
      </c>
      <c r="F77" s="333"/>
      <c r="G77" s="334"/>
      <c r="H77" s="333"/>
      <c r="I77" s="333"/>
      <c r="J77" s="333"/>
      <c r="K77" s="333" t="s">
        <v>4843</v>
      </c>
      <c r="L77" s="333" t="s">
        <v>548</v>
      </c>
      <c r="N77" s="335"/>
      <c r="O77" s="336" t="s">
        <v>4423</v>
      </c>
      <c r="P77" s="336" t="s">
        <v>86</v>
      </c>
      <c r="Q77" s="337"/>
      <c r="S77" s="338">
        <f t="shared" si="20"/>
        <v>2</v>
      </c>
      <c r="T77" s="951">
        <v>45580</v>
      </c>
      <c r="U77" s="339">
        <f t="shared" ca="1" si="21"/>
        <v>84</v>
      </c>
      <c r="W77" s="373"/>
      <c r="X77" s="373"/>
      <c r="Y77" s="373"/>
      <c r="Z77" s="373"/>
      <c r="AA77" s="373"/>
      <c r="AB77" s="373"/>
      <c r="AC77" s="373"/>
      <c r="AD77" s="373"/>
      <c r="AE77" s="373"/>
      <c r="AF77" s="373"/>
      <c r="AG77" s="373"/>
      <c r="AH77" s="553"/>
      <c r="AI77" s="553"/>
      <c r="AJ77" s="553"/>
      <c r="AK77" s="553"/>
      <c r="AL77" s="553"/>
      <c r="AM77" s="621"/>
      <c r="AN77" s="621"/>
      <c r="AO77" s="557"/>
      <c r="AP77" s="638"/>
      <c r="AQ77" s="638"/>
      <c r="AR77" s="638"/>
      <c r="AS77" s="638"/>
      <c r="AT77" s="638"/>
      <c r="AU77" s="638"/>
      <c r="AV77" s="638"/>
      <c r="AW77" s="638"/>
      <c r="AX77" s="638"/>
      <c r="AY77" s="638"/>
      <c r="AZ77" s="815"/>
      <c r="BA77" s="815"/>
      <c r="BB77" s="815"/>
      <c r="BC77" s="815"/>
      <c r="BD77" s="815"/>
      <c r="BE77" s="815"/>
      <c r="BF77" s="815"/>
      <c r="BG77" s="815"/>
      <c r="BH77" s="815"/>
      <c r="BI77" s="815"/>
      <c r="BJ77" s="557" t="s">
        <v>3066</v>
      </c>
      <c r="BK77" s="815"/>
      <c r="BL77" s="815"/>
      <c r="BM77" s="1235" t="s">
        <v>4556</v>
      </c>
      <c r="BN77" s="1224"/>
      <c r="BO77" s="1224"/>
      <c r="BP77" s="1224"/>
      <c r="BQ77" s="1224"/>
      <c r="BR77" s="1224"/>
      <c r="BS77" s="1224"/>
      <c r="BT77" s="1224"/>
      <c r="BU77" s="1224"/>
      <c r="BV77" s="1224"/>
      <c r="BW77" s="1224"/>
      <c r="BX77" s="644"/>
      <c r="BY77" s="633" t="s">
        <v>7</v>
      </c>
    </row>
    <row r="78" spans="1:77" ht="19.5" customHeight="1" x14ac:dyDescent="0.35">
      <c r="B78" s="641"/>
      <c r="C78" s="332" t="s">
        <v>3114</v>
      </c>
      <c r="D78" s="333"/>
      <c r="E78" s="333" t="s">
        <v>3058</v>
      </c>
      <c r="F78" s="333"/>
      <c r="G78" s="334"/>
      <c r="H78" s="333"/>
      <c r="I78" s="333"/>
      <c r="J78" s="333"/>
      <c r="K78" s="333"/>
      <c r="L78" s="333" t="s">
        <v>3115</v>
      </c>
      <c r="N78" s="335" t="s">
        <v>153</v>
      </c>
      <c r="O78" s="336"/>
      <c r="P78" s="336"/>
      <c r="Q78" s="337"/>
      <c r="S78" s="338">
        <f t="shared" si="20"/>
        <v>0</v>
      </c>
      <c r="T78" s="951"/>
      <c r="U78" s="339" t="str">
        <f t="shared" ca="1" si="21"/>
        <v/>
      </c>
      <c r="W78" s="373"/>
      <c r="X78" s="373"/>
      <c r="Y78" s="373"/>
      <c r="Z78" s="373"/>
      <c r="AA78" s="373"/>
      <c r="AB78" s="373"/>
      <c r="AC78" s="373"/>
      <c r="AD78" s="373"/>
      <c r="AE78" s="373"/>
      <c r="AF78" s="373"/>
      <c r="AG78" s="373"/>
      <c r="AH78" s="553"/>
      <c r="AI78" s="553"/>
      <c r="AJ78" s="553"/>
      <c r="AK78" s="553"/>
      <c r="AL78" s="553"/>
      <c r="AM78" s="621"/>
      <c r="AN78" s="621"/>
      <c r="AO78" s="557"/>
      <c r="AP78" s="638"/>
      <c r="AQ78" s="638"/>
      <c r="AR78" s="638"/>
      <c r="AS78" s="638"/>
      <c r="AT78" s="638"/>
      <c r="AU78" s="638"/>
      <c r="AV78" s="638"/>
      <c r="AW78" s="638"/>
      <c r="AX78" s="638"/>
      <c r="AY78" s="638"/>
      <c r="AZ78" s="815"/>
      <c r="BA78" s="815"/>
      <c r="BB78" s="815"/>
      <c r="BC78" s="815"/>
      <c r="BD78" s="815"/>
      <c r="BE78" s="815"/>
      <c r="BF78" s="815"/>
      <c r="BG78" s="815"/>
      <c r="BH78" s="815"/>
      <c r="BI78" s="815"/>
      <c r="BJ78" s="815"/>
      <c r="BK78" s="815"/>
      <c r="BL78" s="815"/>
      <c r="BM78" s="815"/>
      <c r="BN78" s="1224"/>
      <c r="BO78" s="1224"/>
      <c r="BP78" s="1224"/>
      <c r="BQ78" s="1224"/>
      <c r="BR78" s="1224"/>
      <c r="BS78" s="1224"/>
      <c r="BT78" s="1224"/>
      <c r="BU78" s="1224"/>
      <c r="BV78" s="1224"/>
      <c r="BW78" s="1224"/>
      <c r="BX78" s="644"/>
      <c r="BY78" s="633" t="s">
        <v>7</v>
      </c>
    </row>
    <row r="79" spans="1:77" ht="19.5" hidden="1" customHeight="1" x14ac:dyDescent="0.35">
      <c r="B79" s="332"/>
      <c r="C79" s="332" t="s">
        <v>5076</v>
      </c>
      <c r="D79" s="333" t="s">
        <v>5075</v>
      </c>
      <c r="E79" s="333" t="s">
        <v>3058</v>
      </c>
      <c r="F79" s="333"/>
      <c r="G79" s="334"/>
      <c r="H79" s="333"/>
      <c r="I79" s="333"/>
      <c r="J79" s="333"/>
      <c r="K79" s="340"/>
      <c r="L79" s="333"/>
      <c r="M79" s="328" t="s">
        <v>731</v>
      </c>
      <c r="N79" s="335" t="s">
        <v>61</v>
      </c>
      <c r="O79" s="336" t="s">
        <v>62</v>
      </c>
      <c r="P79" s="336" t="s">
        <v>128</v>
      </c>
      <c r="Q79" s="341"/>
      <c r="S79" s="763">
        <f t="shared" si="20"/>
        <v>2</v>
      </c>
      <c r="T79" s="1160">
        <v>45594</v>
      </c>
      <c r="U79" s="1161">
        <f t="shared" ca="1" si="21"/>
        <v>70</v>
      </c>
      <c r="W79" s="557"/>
      <c r="X79" s="557"/>
      <c r="Y79" s="557"/>
      <c r="Z79" s="557"/>
      <c r="AA79" s="557"/>
      <c r="AB79" s="557"/>
      <c r="AC79" s="557"/>
      <c r="AD79" s="557"/>
      <c r="AE79" s="557"/>
      <c r="AF79" s="557"/>
      <c r="AG79" s="557"/>
      <c r="AH79" s="557"/>
      <c r="AI79" s="557"/>
      <c r="AJ79" s="557"/>
      <c r="AK79" s="557"/>
      <c r="AL79" s="557"/>
      <c r="AM79" s="557"/>
      <c r="AN79" s="557"/>
      <c r="AO79" s="557"/>
      <c r="AP79" s="557"/>
      <c r="AQ79" s="557"/>
      <c r="AR79" s="557"/>
      <c r="AS79" s="557"/>
      <c r="AT79" s="557"/>
      <c r="AU79" s="557"/>
      <c r="AV79" s="557"/>
      <c r="AW79" s="557"/>
      <c r="AX79" s="557"/>
      <c r="AY79" s="557"/>
      <c r="AZ79" s="557"/>
      <c r="BA79" s="557"/>
      <c r="BB79" s="557"/>
      <c r="BC79" s="557"/>
      <c r="BD79" s="557"/>
      <c r="BE79" s="557"/>
      <c r="BF79" s="557"/>
      <c r="BG79" s="557"/>
      <c r="BH79" s="557"/>
      <c r="BI79" s="557"/>
      <c r="BJ79" s="557" t="s">
        <v>4633</v>
      </c>
      <c r="BK79" s="557" t="s">
        <v>3066</v>
      </c>
      <c r="BL79" s="557"/>
      <c r="BM79" s="557"/>
      <c r="BN79" s="1224"/>
      <c r="BO79" s="1224"/>
      <c r="BP79" s="1224"/>
      <c r="BQ79" s="1224"/>
      <c r="BR79" s="1224"/>
      <c r="BS79" s="1224"/>
      <c r="BT79" s="1224"/>
      <c r="BU79" s="1224"/>
      <c r="BV79" s="1224"/>
      <c r="BW79" s="1224"/>
      <c r="BX79" s="710"/>
      <c r="BY79" s="312" t="s">
        <v>7</v>
      </c>
    </row>
    <row r="80" spans="1:77" ht="19.5" hidden="1" customHeight="1" x14ac:dyDescent="0.35">
      <c r="B80" s="641"/>
      <c r="C80" s="332" t="s">
        <v>3078</v>
      </c>
      <c r="D80" s="333" t="s">
        <v>3079</v>
      </c>
      <c r="E80" s="333" t="s">
        <v>3058</v>
      </c>
      <c r="F80" s="333" t="s">
        <v>3080</v>
      </c>
      <c r="G80" s="334">
        <v>1000</v>
      </c>
      <c r="H80" s="333">
        <v>2016</v>
      </c>
      <c r="I80" s="333" t="s">
        <v>3162</v>
      </c>
      <c r="J80" s="333"/>
      <c r="K80" s="340" t="s">
        <v>3081</v>
      </c>
      <c r="L80" s="333" t="s">
        <v>2979</v>
      </c>
      <c r="M80" s="328" t="s">
        <v>731</v>
      </c>
      <c r="N80" s="335" t="s">
        <v>78</v>
      </c>
      <c r="O80" s="336" t="s">
        <v>86</v>
      </c>
      <c r="P80" s="336" t="s">
        <v>128</v>
      </c>
      <c r="Q80" s="341" t="s">
        <v>3082</v>
      </c>
      <c r="S80" s="338">
        <f t="shared" si="20"/>
        <v>2</v>
      </c>
      <c r="T80" s="951">
        <v>45327</v>
      </c>
      <c r="U80" s="339">
        <f t="shared" ca="1" si="21"/>
        <v>337</v>
      </c>
      <c r="W80" s="373"/>
      <c r="X80" s="373"/>
      <c r="Y80" s="373" t="s">
        <v>3083</v>
      </c>
      <c r="Z80" s="373"/>
      <c r="AA80" s="373"/>
      <c r="AB80" s="373"/>
      <c r="AC80" s="373"/>
      <c r="AD80" s="373"/>
      <c r="AE80" s="373"/>
      <c r="AF80" s="373"/>
      <c r="AG80" s="373"/>
      <c r="AH80" s="553"/>
      <c r="AI80" s="553"/>
      <c r="AJ80" s="553"/>
      <c r="AK80" s="553"/>
      <c r="AL80" s="553"/>
      <c r="AM80" s="621"/>
      <c r="AN80" s="621" t="s">
        <v>3687</v>
      </c>
      <c r="AO80" s="557"/>
      <c r="AP80" s="638"/>
      <c r="AQ80" s="638"/>
      <c r="AR80" s="638"/>
      <c r="AS80" s="638"/>
      <c r="AT80" s="638"/>
      <c r="AU80" s="638"/>
      <c r="AV80" s="638"/>
      <c r="AW80" s="638"/>
      <c r="AX80" s="638"/>
      <c r="AY80" s="638"/>
      <c r="AZ80" s="815"/>
      <c r="BA80" s="815"/>
      <c r="BB80" s="815"/>
      <c r="BC80" s="815"/>
      <c r="BD80" s="815"/>
      <c r="BE80" s="815"/>
      <c r="BF80" s="815"/>
      <c r="BG80" s="815"/>
      <c r="BH80" s="815"/>
      <c r="BI80" s="815"/>
      <c r="BJ80" s="815"/>
      <c r="BK80" s="815"/>
      <c r="BL80" s="815"/>
      <c r="BM80" s="815"/>
      <c r="BN80" s="1224"/>
      <c r="BO80" s="1224"/>
      <c r="BP80" s="1224"/>
      <c r="BQ80" s="1224"/>
      <c r="BR80" s="1224"/>
      <c r="BS80" s="1224"/>
      <c r="BT80" s="1224"/>
      <c r="BU80" s="1224"/>
      <c r="BV80" s="1224"/>
      <c r="BW80" s="1224"/>
      <c r="BX80" s="644"/>
      <c r="BY80" s="633" t="s">
        <v>7</v>
      </c>
    </row>
    <row r="81" spans="1:77" ht="19.5" hidden="1" customHeight="1" x14ac:dyDescent="0.35">
      <c r="B81" s="641"/>
      <c r="C81" s="332" t="s">
        <v>3959</v>
      </c>
      <c r="D81" s="333" t="s">
        <v>3960</v>
      </c>
      <c r="E81" s="333" t="s">
        <v>3058</v>
      </c>
      <c r="F81" s="333"/>
      <c r="G81" s="334"/>
      <c r="H81" s="333"/>
      <c r="I81" s="333"/>
      <c r="J81" s="333"/>
      <c r="K81" s="340"/>
      <c r="L81" s="333" t="s">
        <v>3961</v>
      </c>
      <c r="M81" s="328" t="s">
        <v>731</v>
      </c>
      <c r="N81" s="335" t="s">
        <v>61</v>
      </c>
      <c r="O81" s="336" t="s">
        <v>62</v>
      </c>
      <c r="P81" s="336" t="s">
        <v>128</v>
      </c>
      <c r="Q81" s="341"/>
      <c r="S81" s="338">
        <f t="shared" si="20"/>
        <v>1</v>
      </c>
      <c r="T81" s="951">
        <v>45449</v>
      </c>
      <c r="U81" s="339">
        <f t="shared" ca="1" si="21"/>
        <v>215</v>
      </c>
      <c r="W81" s="373"/>
      <c r="X81" s="373"/>
      <c r="Y81" s="373"/>
      <c r="Z81" s="373"/>
      <c r="AA81" s="373"/>
      <c r="AB81" s="373"/>
      <c r="AC81" s="373"/>
      <c r="AD81" s="373"/>
      <c r="AE81" s="373"/>
      <c r="AF81" s="373"/>
      <c r="AG81" s="373"/>
      <c r="AH81" s="553"/>
      <c r="AI81" s="553"/>
      <c r="AJ81" s="553"/>
      <c r="AK81" s="553"/>
      <c r="AL81" s="553"/>
      <c r="AM81" s="621"/>
      <c r="AN81" s="621" t="s">
        <v>3687</v>
      </c>
      <c r="AO81" s="557"/>
      <c r="AP81" s="638"/>
      <c r="AQ81" s="638"/>
      <c r="AR81" s="638"/>
      <c r="AS81" s="638"/>
      <c r="AT81" s="638"/>
      <c r="AU81" s="638"/>
      <c r="AV81" s="638"/>
      <c r="AW81" s="638"/>
      <c r="AX81" s="638"/>
      <c r="AY81" s="638"/>
      <c r="AZ81" s="815"/>
      <c r="BA81" s="815"/>
      <c r="BB81" s="815"/>
      <c r="BC81" s="815"/>
      <c r="BD81" s="815"/>
      <c r="BE81" s="815"/>
      <c r="BF81" s="815"/>
      <c r="BG81" s="815"/>
      <c r="BH81" s="815"/>
      <c r="BI81" s="815"/>
      <c r="BJ81" s="815"/>
      <c r="BK81" s="815"/>
      <c r="BL81" s="815"/>
      <c r="BM81" s="815"/>
      <c r="BN81" s="1224"/>
      <c r="BO81" s="1224"/>
      <c r="BP81" s="1224"/>
      <c r="BQ81" s="1224"/>
      <c r="BR81" s="1224"/>
      <c r="BS81" s="1224"/>
      <c r="BT81" s="1224"/>
      <c r="BU81" s="1224"/>
      <c r="BV81" s="1224"/>
      <c r="BW81" s="1224"/>
      <c r="BX81" s="644"/>
      <c r="BY81" s="633" t="s">
        <v>7</v>
      </c>
    </row>
    <row r="82" spans="1:77" ht="19.5" hidden="1" customHeight="1" x14ac:dyDescent="0.35">
      <c r="A82" s="950" t="s">
        <v>4484</v>
      </c>
      <c r="B82" s="751"/>
      <c r="C82" s="751" t="s">
        <v>4281</v>
      </c>
      <c r="D82" s="752"/>
      <c r="E82" s="752" t="s">
        <v>3058</v>
      </c>
      <c r="F82" s="752"/>
      <c r="G82" s="753"/>
      <c r="H82" s="752"/>
      <c r="I82" s="752"/>
      <c r="J82" s="752"/>
      <c r="K82" s="752"/>
      <c r="L82" s="752"/>
      <c r="M82" s="754"/>
      <c r="N82" s="755" t="s">
        <v>61</v>
      </c>
      <c r="O82" s="756" t="s">
        <v>62</v>
      </c>
      <c r="P82" s="756" t="s">
        <v>128</v>
      </c>
      <c r="Q82" s="757"/>
      <c r="R82" s="758"/>
      <c r="S82" s="759">
        <f t="shared" si="20"/>
        <v>3</v>
      </c>
      <c r="T82" s="951">
        <v>45546</v>
      </c>
      <c r="U82" s="339">
        <f t="shared" ca="1" si="21"/>
        <v>118</v>
      </c>
      <c r="V82" s="758"/>
      <c r="W82" s="750"/>
      <c r="X82" s="750"/>
      <c r="Y82" s="750"/>
      <c r="Z82" s="750"/>
      <c r="AA82" s="750"/>
      <c r="AB82" s="750"/>
      <c r="AC82" s="750"/>
      <c r="AD82" s="750"/>
      <c r="AE82" s="750"/>
      <c r="AF82" s="750"/>
      <c r="AG82" s="750"/>
      <c r="AH82" s="750"/>
      <c r="AI82" s="750"/>
      <c r="AJ82" s="750"/>
      <c r="AK82" s="750"/>
      <c r="AL82" s="750"/>
      <c r="AM82" s="750"/>
      <c r="AN82" s="750"/>
      <c r="AO82" s="750"/>
      <c r="AP82" s="557" t="s">
        <v>1567</v>
      </c>
      <c r="AQ82" s="750"/>
      <c r="AR82" s="750"/>
      <c r="AS82" s="750"/>
      <c r="AT82" s="750"/>
      <c r="AU82" s="750"/>
      <c r="AV82" s="750"/>
      <c r="AW82" s="750"/>
      <c r="AX82" s="557" t="s">
        <v>3811</v>
      </c>
      <c r="AY82" s="750"/>
      <c r="AZ82" s="815"/>
      <c r="BA82" s="815"/>
      <c r="BB82" s="815"/>
      <c r="BC82" s="815"/>
      <c r="BD82" s="557" t="s">
        <v>4541</v>
      </c>
      <c r="BE82" s="815"/>
      <c r="BF82" s="815"/>
      <c r="BG82" s="815"/>
      <c r="BH82" s="815"/>
      <c r="BI82" s="815"/>
      <c r="BJ82" s="815"/>
      <c r="BK82" s="815"/>
      <c r="BL82" s="815"/>
      <c r="BM82" s="815"/>
      <c r="BN82" s="1224"/>
      <c r="BO82" s="1224"/>
      <c r="BP82" s="1224"/>
      <c r="BQ82" s="1224"/>
      <c r="BR82" s="1224"/>
      <c r="BS82" s="1224"/>
      <c r="BT82" s="1224"/>
      <c r="BU82" s="1224"/>
      <c r="BV82" s="1224"/>
      <c r="BW82" s="1224"/>
      <c r="BX82" s="760"/>
      <c r="BY82" s="633" t="s">
        <v>7</v>
      </c>
    </row>
    <row r="83" spans="1:77" ht="19.5" hidden="1" customHeight="1" x14ac:dyDescent="0.35">
      <c r="B83" s="641"/>
      <c r="C83" s="332" t="s">
        <v>3102</v>
      </c>
      <c r="D83" s="333"/>
      <c r="E83" s="333" t="s">
        <v>3058</v>
      </c>
      <c r="F83" s="333"/>
      <c r="G83" s="334"/>
      <c r="H83" s="333"/>
      <c r="I83" s="333" t="s">
        <v>3063</v>
      </c>
      <c r="J83" s="333"/>
      <c r="K83" s="333" t="s">
        <v>3103</v>
      </c>
      <c r="L83" s="333" t="s">
        <v>3104</v>
      </c>
      <c r="N83" s="335" t="s">
        <v>61</v>
      </c>
      <c r="O83" s="336"/>
      <c r="P83" s="336"/>
      <c r="Q83" s="337"/>
      <c r="S83" s="338">
        <f t="shared" si="20"/>
        <v>1</v>
      </c>
      <c r="T83" s="951"/>
      <c r="U83" s="339" t="str">
        <f t="shared" ca="1" si="21"/>
        <v/>
      </c>
      <c r="W83" s="373"/>
      <c r="X83" s="373"/>
      <c r="Y83" s="373"/>
      <c r="Z83" s="373"/>
      <c r="AA83" s="373"/>
      <c r="AB83" s="373"/>
      <c r="AC83" s="373"/>
      <c r="AD83" s="373"/>
      <c r="AE83" s="373"/>
      <c r="AF83" s="373"/>
      <c r="AG83" s="373"/>
      <c r="AH83" s="553"/>
      <c r="AI83" s="553"/>
      <c r="AJ83" s="553"/>
      <c r="AK83" s="553"/>
      <c r="AL83" s="553"/>
      <c r="AM83" s="621"/>
      <c r="AN83" s="621"/>
      <c r="AO83" s="557"/>
      <c r="AP83" s="638"/>
      <c r="AQ83" s="779" t="s">
        <v>4280</v>
      </c>
      <c r="AR83" s="638"/>
      <c r="AS83" s="638"/>
      <c r="AT83" s="638"/>
      <c r="AU83" s="638"/>
      <c r="AV83" s="638"/>
      <c r="AW83" s="638"/>
      <c r="AX83" s="638"/>
      <c r="AY83" s="638"/>
      <c r="AZ83" s="815"/>
      <c r="BA83" s="815"/>
      <c r="BB83" s="815"/>
      <c r="BC83" s="815"/>
      <c r="BD83" s="815"/>
      <c r="BE83" s="815"/>
      <c r="BF83" s="815"/>
      <c r="BG83" s="815"/>
      <c r="BH83" s="815"/>
      <c r="BI83" s="815"/>
      <c r="BJ83" s="815"/>
      <c r="BK83" s="815"/>
      <c r="BL83" s="815"/>
      <c r="BM83" s="815"/>
      <c r="BN83" s="1224"/>
      <c r="BO83" s="1224"/>
      <c r="BP83" s="1224"/>
      <c r="BQ83" s="1224"/>
      <c r="BR83" s="1224"/>
      <c r="BS83" s="1224"/>
      <c r="BT83" s="1224"/>
      <c r="BU83" s="1224"/>
      <c r="BV83" s="1224"/>
      <c r="BW83" s="1224"/>
      <c r="BX83" s="644"/>
      <c r="BY83" s="633" t="s">
        <v>7</v>
      </c>
    </row>
    <row r="84" spans="1:77" ht="19.5" hidden="1" customHeight="1" x14ac:dyDescent="0.35">
      <c r="A84" s="950" t="s">
        <v>4485</v>
      </c>
      <c r="B84" s="641"/>
      <c r="C84" s="332" t="s">
        <v>3962</v>
      </c>
      <c r="D84" s="333"/>
      <c r="E84" s="333" t="s">
        <v>3058</v>
      </c>
      <c r="F84" s="333" t="s">
        <v>3965</v>
      </c>
      <c r="G84" s="334">
        <v>77</v>
      </c>
      <c r="H84" s="333">
        <v>2021</v>
      </c>
      <c r="I84" s="333" t="s">
        <v>3139</v>
      </c>
      <c r="J84" s="333"/>
      <c r="K84" s="333" t="s">
        <v>3964</v>
      </c>
      <c r="L84" s="333" t="s">
        <v>3963</v>
      </c>
      <c r="N84" s="335" t="s">
        <v>61</v>
      </c>
      <c r="O84" s="336" t="s">
        <v>62</v>
      </c>
      <c r="P84" s="336" t="s">
        <v>128</v>
      </c>
      <c r="Q84" s="337"/>
      <c r="S84" s="338">
        <f t="shared" si="20"/>
        <v>1</v>
      </c>
      <c r="T84" s="951">
        <v>45448</v>
      </c>
      <c r="U84" s="339">
        <f t="shared" ca="1" si="21"/>
        <v>216</v>
      </c>
      <c r="W84" s="373"/>
      <c r="X84" s="373"/>
      <c r="Y84" s="373"/>
      <c r="Z84" s="373"/>
      <c r="AA84" s="373"/>
      <c r="AB84" s="373"/>
      <c r="AC84" s="373"/>
      <c r="AD84" s="373"/>
      <c r="AE84" s="373"/>
      <c r="AF84" s="373"/>
      <c r="AG84" s="373"/>
      <c r="AH84" s="553"/>
      <c r="AI84" s="553"/>
      <c r="AJ84" s="553"/>
      <c r="AK84" s="553"/>
      <c r="AL84" s="553"/>
      <c r="AM84" s="621"/>
      <c r="AN84" s="621" t="s">
        <v>3687</v>
      </c>
      <c r="AO84" s="557"/>
      <c r="AP84" s="638"/>
      <c r="AQ84" s="638"/>
      <c r="AR84" s="638"/>
      <c r="AS84" s="638"/>
      <c r="AT84" s="750"/>
      <c r="AU84" s="638"/>
      <c r="AV84" s="638"/>
      <c r="AW84" s="638"/>
      <c r="AX84" s="638"/>
      <c r="AY84" s="638"/>
      <c r="AZ84" s="815"/>
      <c r="BA84" s="815"/>
      <c r="BB84" s="815"/>
      <c r="BC84" s="815"/>
      <c r="BD84" s="815"/>
      <c r="BE84" s="815"/>
      <c r="BF84" s="815"/>
      <c r="BG84" s="815"/>
      <c r="BH84" s="815"/>
      <c r="BI84" s="815"/>
      <c r="BJ84" s="815"/>
      <c r="BK84" s="815"/>
      <c r="BL84" s="815"/>
      <c r="BM84" s="815"/>
      <c r="BN84" s="1224"/>
      <c r="BO84" s="1224"/>
      <c r="BP84" s="1224"/>
      <c r="BQ84" s="1224"/>
      <c r="BR84" s="1224"/>
      <c r="BS84" s="1224"/>
      <c r="BT84" s="1224"/>
      <c r="BU84" s="1224"/>
      <c r="BV84" s="1224"/>
      <c r="BW84" s="1224"/>
      <c r="BX84" s="644"/>
      <c r="BY84" s="633" t="s">
        <v>7</v>
      </c>
    </row>
    <row r="85" spans="1:77" ht="19.5" customHeight="1" x14ac:dyDescent="0.35">
      <c r="B85" s="641"/>
      <c r="C85" s="332" t="s">
        <v>3108</v>
      </c>
      <c r="D85" s="333"/>
      <c r="E85" s="333" t="s">
        <v>3093</v>
      </c>
      <c r="F85" s="333"/>
      <c r="G85" s="334"/>
      <c r="H85" s="333"/>
      <c r="I85" s="333"/>
      <c r="J85" s="333"/>
      <c r="K85" s="333"/>
      <c r="L85" s="333" t="s">
        <v>3036</v>
      </c>
      <c r="N85" s="335" t="s">
        <v>153</v>
      </c>
      <c r="O85" s="336"/>
      <c r="P85" s="336"/>
      <c r="Q85" s="337"/>
      <c r="S85" s="338">
        <f t="shared" si="20"/>
        <v>1</v>
      </c>
      <c r="T85" s="951">
        <v>45352</v>
      </c>
      <c r="U85" s="339">
        <f t="shared" ca="1" si="21"/>
        <v>312</v>
      </c>
      <c r="W85" s="373"/>
      <c r="X85" s="373"/>
      <c r="Y85" s="373"/>
      <c r="Z85" s="373"/>
      <c r="AA85" s="373"/>
      <c r="AB85" s="373"/>
      <c r="AC85" s="373"/>
      <c r="AD85" s="373"/>
      <c r="AE85" s="373"/>
      <c r="AF85" s="373"/>
      <c r="AG85" s="373"/>
      <c r="AH85" s="553"/>
      <c r="AI85" s="553"/>
      <c r="AJ85" s="553"/>
      <c r="AK85" s="553"/>
      <c r="AL85" s="553"/>
      <c r="AM85" s="621"/>
      <c r="AN85" s="621"/>
      <c r="AO85" s="557"/>
      <c r="AP85" s="638"/>
      <c r="AQ85" s="638" t="s">
        <v>4297</v>
      </c>
      <c r="AR85" s="638"/>
      <c r="AS85" s="638"/>
      <c r="AT85" s="638"/>
      <c r="AU85" s="638"/>
      <c r="AV85" s="638"/>
      <c r="AW85" s="638"/>
      <c r="AX85" s="638"/>
      <c r="AY85" s="638"/>
      <c r="AZ85" s="815"/>
      <c r="BA85" s="815"/>
      <c r="BB85" s="815"/>
      <c r="BC85" s="815"/>
      <c r="BD85" s="815"/>
      <c r="BE85" s="815"/>
      <c r="BF85" s="815"/>
      <c r="BG85" s="815"/>
      <c r="BH85" s="815"/>
      <c r="BI85" s="815"/>
      <c r="BJ85" s="815"/>
      <c r="BK85" s="815"/>
      <c r="BL85" s="815"/>
      <c r="BM85" s="815"/>
      <c r="BN85" s="1224"/>
      <c r="BO85" s="1224"/>
      <c r="BP85" s="1224"/>
      <c r="BQ85" s="1224"/>
      <c r="BR85" s="1224"/>
      <c r="BS85" s="1224"/>
      <c r="BT85" s="1224"/>
      <c r="BU85" s="1224"/>
      <c r="BV85" s="1224"/>
      <c r="BW85" s="1224"/>
      <c r="BX85" s="644"/>
      <c r="BY85" s="633" t="s">
        <v>7</v>
      </c>
    </row>
    <row r="86" spans="1:77" ht="19.5" hidden="1" customHeight="1" x14ac:dyDescent="0.35">
      <c r="A86" s="950" t="s">
        <v>4486</v>
      </c>
      <c r="B86" s="332"/>
      <c r="C86" s="332" t="s">
        <v>3544</v>
      </c>
      <c r="D86" s="333"/>
      <c r="E86" s="333" t="s">
        <v>3058</v>
      </c>
      <c r="F86" s="333"/>
      <c r="G86" s="334"/>
      <c r="H86" s="333"/>
      <c r="I86" s="333"/>
      <c r="J86" s="333"/>
      <c r="K86" s="333" t="s">
        <v>2724</v>
      </c>
      <c r="L86" s="333" t="s">
        <v>3547</v>
      </c>
      <c r="N86" s="335" t="s">
        <v>78</v>
      </c>
      <c r="O86" s="336" t="s">
        <v>86</v>
      </c>
      <c r="P86" s="336" t="s">
        <v>79</v>
      </c>
      <c r="Q86" s="337"/>
      <c r="S86" s="338">
        <f t="shared" si="20"/>
        <v>1</v>
      </c>
      <c r="T86" s="951">
        <v>45356</v>
      </c>
      <c r="U86" s="339">
        <f t="shared" ca="1" si="21"/>
        <v>308</v>
      </c>
      <c r="W86" s="373"/>
      <c r="X86" s="373"/>
      <c r="Y86" s="373"/>
      <c r="Z86" s="373"/>
      <c r="AA86" s="373"/>
      <c r="AB86" s="373"/>
      <c r="AC86" s="373"/>
      <c r="AD86" s="373"/>
      <c r="AE86" s="373" t="s">
        <v>3546</v>
      </c>
      <c r="AF86" s="373"/>
      <c r="AG86" s="373"/>
      <c r="AH86" s="553"/>
      <c r="AI86" s="553"/>
      <c r="AJ86" s="553"/>
      <c r="AK86" s="553"/>
      <c r="AL86" s="553"/>
      <c r="AM86" s="621"/>
      <c r="AN86" s="621"/>
      <c r="AO86" s="557"/>
      <c r="AP86" s="638"/>
      <c r="AQ86" s="638"/>
      <c r="AR86" s="638"/>
      <c r="AS86" s="638"/>
      <c r="AT86" s="638"/>
      <c r="AU86" s="638"/>
      <c r="AV86" s="638"/>
      <c r="AW86" s="638"/>
      <c r="AX86" s="638"/>
      <c r="AY86" s="638"/>
      <c r="AZ86" s="815"/>
      <c r="BA86" s="815"/>
      <c r="BB86" s="815"/>
      <c r="BC86" s="815"/>
      <c r="BD86" s="815"/>
      <c r="BE86" s="815"/>
      <c r="BF86" s="815"/>
      <c r="BG86" s="815"/>
      <c r="BH86" s="815"/>
      <c r="BI86" s="815"/>
      <c r="BJ86" s="815"/>
      <c r="BK86" s="815"/>
      <c r="BL86" s="815"/>
      <c r="BM86" s="815"/>
      <c r="BN86" s="1224"/>
      <c r="BO86" s="1224"/>
      <c r="BP86" s="1224"/>
      <c r="BQ86" s="1224"/>
      <c r="BR86" s="1224"/>
      <c r="BS86" s="1224"/>
      <c r="BT86" s="1224"/>
      <c r="BU86" s="1224"/>
      <c r="BV86" s="1224"/>
      <c r="BW86" s="1224"/>
      <c r="BX86" s="644"/>
      <c r="BY86" s="633" t="s">
        <v>7</v>
      </c>
    </row>
    <row r="87" spans="1:77" ht="19.5" hidden="1" customHeight="1" x14ac:dyDescent="0.35">
      <c r="A87" s="1277"/>
      <c r="B87" s="1278"/>
      <c r="C87" s="1278" t="s">
        <v>5329</v>
      </c>
      <c r="D87" s="1279"/>
      <c r="E87" s="1279" t="s">
        <v>433</v>
      </c>
      <c r="F87" s="1279"/>
      <c r="G87" s="1280"/>
      <c r="H87" s="1279"/>
      <c r="I87" s="1279"/>
      <c r="J87" s="1279"/>
      <c r="K87" s="1279" t="s">
        <v>2724</v>
      </c>
      <c r="L87" s="1279" t="s">
        <v>5330</v>
      </c>
      <c r="M87" s="1281"/>
      <c r="N87" s="1282" t="s">
        <v>61</v>
      </c>
      <c r="O87" s="1283" t="s">
        <v>62</v>
      </c>
      <c r="P87" s="1283"/>
      <c r="Q87" s="1284"/>
      <c r="R87" s="1285"/>
      <c r="S87" s="1286">
        <f t="shared" si="20"/>
        <v>2</v>
      </c>
      <c r="T87" s="1287"/>
      <c r="U87" s="1288" t="str">
        <f t="shared" ca="1" si="21"/>
        <v/>
      </c>
      <c r="V87" s="1285"/>
      <c r="W87" s="1289"/>
      <c r="X87" s="1289"/>
      <c r="Y87" s="1289"/>
      <c r="Z87" s="1289"/>
      <c r="AA87" s="1289"/>
      <c r="AB87" s="1289"/>
      <c r="AC87" s="1289"/>
      <c r="AD87" s="1289"/>
      <c r="AE87" s="1289"/>
      <c r="AF87" s="1289"/>
      <c r="AG87" s="1289"/>
      <c r="AH87" s="1289"/>
      <c r="AI87" s="1289"/>
      <c r="AJ87" s="1289"/>
      <c r="AK87" s="1289"/>
      <c r="AL87" s="1289"/>
      <c r="AM87" s="1289"/>
      <c r="AN87" s="1289"/>
      <c r="AO87" s="1289"/>
      <c r="AP87" s="1289"/>
      <c r="AQ87" s="1289"/>
      <c r="AR87" s="1289"/>
      <c r="AS87" s="1289"/>
      <c r="AT87" s="1289"/>
      <c r="AU87" s="1289"/>
      <c r="AV87" s="1289"/>
      <c r="AW87" s="1289"/>
      <c r="AX87" s="1289"/>
      <c r="AY87" s="1289"/>
      <c r="AZ87" s="1289"/>
      <c r="BA87" s="1289"/>
      <c r="BB87" s="1289"/>
      <c r="BC87" s="1289"/>
      <c r="BD87" s="1289"/>
      <c r="BE87" s="1289"/>
      <c r="BF87" s="1289"/>
      <c r="BG87" s="1289"/>
      <c r="BH87" s="1289"/>
      <c r="BI87" s="1289"/>
      <c r="BJ87" s="1289"/>
      <c r="BK87" s="1289"/>
      <c r="BL87" s="1289"/>
      <c r="BM87" s="1289"/>
      <c r="BN87" s="1289" t="s">
        <v>4633</v>
      </c>
      <c r="BO87" s="1289"/>
      <c r="BQ87" s="557" t="s">
        <v>3066</v>
      </c>
      <c r="BR87" s="1289"/>
      <c r="BS87" s="1289"/>
      <c r="BT87" s="1289"/>
      <c r="BU87" s="1289"/>
      <c r="BV87" s="1289"/>
      <c r="BW87" s="1289"/>
      <c r="BX87" s="1290"/>
      <c r="BY87" s="312" t="s">
        <v>7</v>
      </c>
    </row>
    <row r="88" spans="1:77" ht="19.5" hidden="1" customHeight="1" x14ac:dyDescent="0.35">
      <c r="B88" s="1312"/>
      <c r="C88" s="1278" t="s">
        <v>2722</v>
      </c>
      <c r="D88" s="333"/>
      <c r="E88" s="333" t="s">
        <v>3058</v>
      </c>
      <c r="F88" s="333"/>
      <c r="G88" s="334"/>
      <c r="H88" s="333"/>
      <c r="I88" s="333"/>
      <c r="J88" s="333"/>
      <c r="K88" s="333"/>
      <c r="L88" s="333"/>
      <c r="N88" s="335" t="s">
        <v>61</v>
      </c>
      <c r="O88" s="336" t="s">
        <v>79</v>
      </c>
      <c r="P88" s="336"/>
      <c r="Q88" s="337" t="s">
        <v>4895</v>
      </c>
      <c r="S88" s="338">
        <f t="shared" si="20"/>
        <v>5</v>
      </c>
      <c r="T88" s="951">
        <v>45352</v>
      </c>
      <c r="U88" s="339">
        <f t="shared" ca="1" si="21"/>
        <v>312</v>
      </c>
      <c r="W88" s="373" t="s">
        <v>3186</v>
      </c>
      <c r="X88" s="373"/>
      <c r="Y88" s="373"/>
      <c r="Z88" s="373" t="s">
        <v>2968</v>
      </c>
      <c r="AA88" s="373"/>
      <c r="AB88" s="373"/>
      <c r="AC88" s="373"/>
      <c r="AD88" s="373"/>
      <c r="AE88" s="373"/>
      <c r="AF88" s="373"/>
      <c r="AG88" s="373"/>
      <c r="AH88" s="1289"/>
      <c r="AI88" s="1289"/>
      <c r="AJ88" s="1289"/>
      <c r="AK88" s="1289"/>
      <c r="AL88" s="557" t="s">
        <v>200</v>
      </c>
      <c r="AM88" s="1289"/>
      <c r="AN88" s="1289"/>
      <c r="AO88" s="557"/>
      <c r="AP88" s="1289"/>
      <c r="AQ88" s="1289"/>
      <c r="AR88" s="1289"/>
      <c r="AS88" s="1289"/>
      <c r="AT88" s="1289"/>
      <c r="AU88" s="1289"/>
      <c r="AV88" s="1289"/>
      <c r="AW88" s="1289"/>
      <c r="AX88" s="1289"/>
      <c r="AY88" s="1289"/>
      <c r="AZ88" s="1289"/>
      <c r="BA88" s="1289"/>
      <c r="BB88" s="1289" t="s">
        <v>4363</v>
      </c>
      <c r="BC88" s="1289"/>
      <c r="BD88" s="1289"/>
      <c r="BE88" s="1289" t="s">
        <v>3312</v>
      </c>
      <c r="BF88" s="1289"/>
      <c r="BG88" s="1289"/>
      <c r="BH88" s="1289"/>
      <c r="BI88" s="1289"/>
      <c r="BJ88" s="1289"/>
      <c r="BK88" s="1289"/>
      <c r="BL88" s="1289"/>
      <c r="BM88" s="1289"/>
      <c r="BN88" s="1289"/>
      <c r="BO88" s="1289"/>
      <c r="BP88" s="1289"/>
      <c r="BQ88" s="1289"/>
      <c r="BR88" s="1289"/>
      <c r="BS88" s="1289"/>
      <c r="BT88" s="1289"/>
      <c r="BU88" s="1289"/>
      <c r="BV88" s="1289"/>
      <c r="BW88" s="1289"/>
      <c r="BX88" s="1290"/>
      <c r="BY88" s="312" t="s">
        <v>7</v>
      </c>
    </row>
    <row r="89" spans="1:77" ht="19.5" hidden="1" customHeight="1" x14ac:dyDescent="0.35">
      <c r="B89" s="641"/>
      <c r="C89" s="545" t="s">
        <v>3621</v>
      </c>
      <c r="D89" s="546"/>
      <c r="E89" s="546" t="s">
        <v>3058</v>
      </c>
      <c r="F89" s="546"/>
      <c r="G89" s="547"/>
      <c r="H89" s="546"/>
      <c r="I89" s="546"/>
      <c r="J89" s="546"/>
      <c r="K89" s="546" t="s">
        <v>2724</v>
      </c>
      <c r="L89" s="546" t="s">
        <v>3622</v>
      </c>
      <c r="M89" s="548"/>
      <c r="N89" s="549" t="s">
        <v>78</v>
      </c>
      <c r="O89" s="550" t="s">
        <v>86</v>
      </c>
      <c r="P89" s="550"/>
      <c r="Q89" s="551"/>
      <c r="R89" s="552"/>
      <c r="S89" s="338">
        <f t="shared" si="20"/>
        <v>1</v>
      </c>
      <c r="T89" s="951">
        <v>45439</v>
      </c>
      <c r="U89" s="339">
        <f t="shared" ca="1" si="21"/>
        <v>225</v>
      </c>
      <c r="V89" s="552"/>
      <c r="W89" s="553"/>
      <c r="X89" s="553"/>
      <c r="Y89" s="553"/>
      <c r="Z89" s="553"/>
      <c r="AA89" s="553"/>
      <c r="AB89" s="553"/>
      <c r="AC89" s="553"/>
      <c r="AD89" s="553"/>
      <c r="AE89" s="553"/>
      <c r="AF89" s="553"/>
      <c r="AG89" s="553"/>
      <c r="AH89" s="553"/>
      <c r="AI89" s="553"/>
      <c r="AJ89" s="553" t="s">
        <v>200</v>
      </c>
      <c r="AK89" s="553"/>
      <c r="AL89" s="553"/>
      <c r="AM89" s="621"/>
      <c r="AN89" s="621"/>
      <c r="AO89" s="557"/>
      <c r="AP89" s="638"/>
      <c r="AQ89" s="638"/>
      <c r="AR89" s="638"/>
      <c r="AS89" s="638"/>
      <c r="AT89" s="638"/>
      <c r="AU89" s="638"/>
      <c r="AV89" s="638"/>
      <c r="AW89" s="638"/>
      <c r="AX89" s="638"/>
      <c r="AY89" s="638"/>
      <c r="AZ89" s="815"/>
      <c r="BA89" s="815"/>
      <c r="BB89" s="815"/>
      <c r="BC89" s="815"/>
      <c r="BD89" s="815"/>
      <c r="BE89" s="815"/>
      <c r="BF89" s="815"/>
      <c r="BG89" s="815"/>
      <c r="BH89" s="815"/>
      <c r="BI89" s="815"/>
      <c r="BJ89" s="815"/>
      <c r="BK89" s="815"/>
      <c r="BL89" s="815"/>
      <c r="BM89" s="815"/>
      <c r="BN89" s="1224"/>
      <c r="BO89" s="1224"/>
      <c r="BP89" s="1224"/>
      <c r="BQ89" s="1224"/>
      <c r="BR89" s="1224"/>
      <c r="BS89" s="1224"/>
      <c r="BT89" s="1224"/>
      <c r="BU89" s="1224"/>
      <c r="BV89" s="1224"/>
      <c r="BW89" s="1224"/>
      <c r="BX89" s="644"/>
      <c r="BY89" s="633" t="s">
        <v>7</v>
      </c>
    </row>
    <row r="90" spans="1:77" ht="19.5" hidden="1" customHeight="1" x14ac:dyDescent="0.35">
      <c r="A90" s="544"/>
      <c r="B90" s="332"/>
      <c r="C90" s="332" t="s">
        <v>3634</v>
      </c>
      <c r="D90" s="333"/>
      <c r="E90" s="333" t="s">
        <v>3335</v>
      </c>
      <c r="F90" s="333"/>
      <c r="G90" s="334"/>
      <c r="H90" s="333"/>
      <c r="I90" s="333"/>
      <c r="J90" s="333"/>
      <c r="K90" s="559" t="s">
        <v>2724</v>
      </c>
      <c r="L90" s="333" t="s">
        <v>3635</v>
      </c>
      <c r="N90" s="335"/>
      <c r="O90" s="560" t="s">
        <v>86</v>
      </c>
      <c r="P90" s="336"/>
      <c r="Q90" s="337"/>
      <c r="S90" s="338">
        <f t="shared" si="20"/>
        <v>1</v>
      </c>
      <c r="T90" s="951">
        <v>45439</v>
      </c>
      <c r="U90" s="339">
        <f t="shared" ca="1" si="21"/>
        <v>225</v>
      </c>
      <c r="W90" s="373"/>
      <c r="X90" s="373"/>
      <c r="Y90" s="373"/>
      <c r="Z90" s="373"/>
      <c r="AA90" s="373"/>
      <c r="AB90" s="373"/>
      <c r="AC90" s="373"/>
      <c r="AD90" s="373"/>
      <c r="AE90" s="373"/>
      <c r="AF90" s="373"/>
      <c r="AG90" s="373"/>
      <c r="AH90" s="553"/>
      <c r="AI90" s="553"/>
      <c r="AJ90" s="561" t="s">
        <v>200</v>
      </c>
      <c r="AK90" s="553"/>
      <c r="AL90" s="553"/>
      <c r="AM90" s="621"/>
      <c r="AN90" s="621"/>
      <c r="AO90" s="557"/>
      <c r="AP90" s="638"/>
      <c r="AQ90" s="638"/>
      <c r="AR90" s="638"/>
      <c r="AS90" s="638"/>
      <c r="AT90" s="638"/>
      <c r="AU90" s="638"/>
      <c r="AV90" s="638"/>
      <c r="AW90" s="638"/>
      <c r="AX90" s="638"/>
      <c r="AY90" s="638"/>
      <c r="AZ90" s="815"/>
      <c r="BA90" s="815"/>
      <c r="BB90" s="815"/>
      <c r="BC90" s="815"/>
      <c r="BD90" s="815"/>
      <c r="BE90" s="815"/>
      <c r="BF90" s="815"/>
      <c r="BG90" s="815"/>
      <c r="BH90" s="815"/>
      <c r="BI90" s="815"/>
      <c r="BJ90" s="815"/>
      <c r="BK90" s="815"/>
      <c r="BL90" s="815"/>
      <c r="BM90" s="815"/>
      <c r="BN90" s="1224"/>
      <c r="BO90" s="1224"/>
      <c r="BP90" s="1224"/>
      <c r="BQ90" s="1224"/>
      <c r="BR90" s="1224"/>
      <c r="BS90" s="1224"/>
      <c r="BT90" s="1224"/>
      <c r="BU90" s="1224"/>
      <c r="BV90" s="1224"/>
      <c r="BW90" s="1224"/>
      <c r="BX90" s="644"/>
      <c r="BY90" s="633" t="s">
        <v>7</v>
      </c>
    </row>
    <row r="91" spans="1:77" ht="19.5" hidden="1" customHeight="1" x14ac:dyDescent="0.35">
      <c r="A91" s="544"/>
      <c r="B91" s="332"/>
      <c r="C91" s="332" t="s">
        <v>5422</v>
      </c>
      <c r="D91" s="333"/>
      <c r="E91" s="333" t="s">
        <v>3058</v>
      </c>
      <c r="F91" s="333"/>
      <c r="G91" s="334">
        <v>60</v>
      </c>
      <c r="H91" s="333">
        <v>2023</v>
      </c>
      <c r="I91" s="333"/>
      <c r="J91" s="333"/>
      <c r="K91" s="559" t="s">
        <v>377</v>
      </c>
      <c r="L91" s="333" t="s">
        <v>4191</v>
      </c>
      <c r="M91" s="328" t="s">
        <v>5423</v>
      </c>
      <c r="N91" s="549" t="s">
        <v>78</v>
      </c>
      <c r="O91" s="336" t="s">
        <v>79</v>
      </c>
      <c r="P91" s="336"/>
      <c r="Q91" s="337"/>
      <c r="S91" s="338">
        <f t="shared" ref="S91" si="22">+COUNTA(W91:BX91)</f>
        <v>1</v>
      </c>
      <c r="T91" s="951">
        <v>45630</v>
      </c>
      <c r="U91" s="339">
        <f t="shared" ref="U91" ca="1" si="23">IF(T91&gt;0,IF(TODAY()&gt;T91,TODAY()-T91,""),"")</f>
        <v>34</v>
      </c>
      <c r="W91" s="373"/>
      <c r="X91" s="373"/>
      <c r="Y91" s="373"/>
      <c r="Z91" s="373"/>
      <c r="AA91" s="373"/>
      <c r="AB91" s="373"/>
      <c r="AC91" s="373"/>
      <c r="AD91" s="373"/>
      <c r="AE91" s="373"/>
      <c r="AF91" s="373"/>
      <c r="AG91" s="373"/>
      <c r="AH91" s="553"/>
      <c r="AI91" s="553"/>
      <c r="AJ91" s="561"/>
      <c r="AK91" s="553"/>
      <c r="AL91" s="553"/>
      <c r="AM91" s="621"/>
      <c r="AN91" s="621"/>
      <c r="AO91" s="557"/>
      <c r="AP91" s="638"/>
      <c r="AQ91" s="638"/>
      <c r="AR91" s="638"/>
      <c r="AS91" s="638"/>
      <c r="AT91" s="638"/>
      <c r="AU91" s="638"/>
      <c r="AV91" s="638"/>
      <c r="AW91" s="638"/>
      <c r="AX91" s="638"/>
      <c r="AY91" s="638"/>
      <c r="AZ91" s="815"/>
      <c r="BA91" s="815"/>
      <c r="BB91" s="815"/>
      <c r="BC91" s="815"/>
      <c r="BD91" s="815"/>
      <c r="BE91" s="815"/>
      <c r="BF91" s="815"/>
      <c r="BG91" s="815"/>
      <c r="BH91" s="815"/>
      <c r="BI91" s="815"/>
      <c r="BJ91" s="815"/>
      <c r="BK91" s="815"/>
      <c r="BL91" s="815"/>
      <c r="BM91" s="815"/>
      <c r="BN91" s="1224"/>
      <c r="BO91" s="1224"/>
      <c r="BP91" s="1224" t="s">
        <v>5438</v>
      </c>
      <c r="BQ91" s="1224"/>
      <c r="BR91" s="1224"/>
      <c r="BS91" s="1224"/>
      <c r="BT91" s="1224"/>
      <c r="BU91" s="1224"/>
      <c r="BV91" s="1224"/>
      <c r="BW91" s="1224"/>
      <c r="BX91" s="644"/>
      <c r="BY91" s="633" t="s">
        <v>7</v>
      </c>
    </row>
    <row r="92" spans="1:77" ht="19.5" hidden="1" customHeight="1" x14ac:dyDescent="0.35">
      <c r="A92" s="544"/>
      <c r="B92" s="641"/>
      <c r="C92" s="332" t="s">
        <v>2721</v>
      </c>
      <c r="D92" s="333"/>
      <c r="E92" s="333" t="s">
        <v>3058</v>
      </c>
      <c r="F92" s="333"/>
      <c r="G92" s="334">
        <v>500</v>
      </c>
      <c r="H92" s="333"/>
      <c r="I92" s="333" t="s">
        <v>3063</v>
      </c>
      <c r="J92" s="333"/>
      <c r="K92" s="333" t="s">
        <v>2724</v>
      </c>
      <c r="L92" s="333" t="s">
        <v>3099</v>
      </c>
      <c r="N92" s="335" t="s">
        <v>61</v>
      </c>
      <c r="O92" s="336" t="s">
        <v>79</v>
      </c>
      <c r="P92" s="336"/>
      <c r="Q92" s="337"/>
      <c r="S92" s="338">
        <f t="shared" si="20"/>
        <v>8</v>
      </c>
      <c r="T92" s="951">
        <v>45385</v>
      </c>
      <c r="U92" s="339">
        <f t="shared" ca="1" si="21"/>
        <v>279</v>
      </c>
      <c r="W92" s="373" t="s">
        <v>3187</v>
      </c>
      <c r="X92" s="373" t="s">
        <v>3182</v>
      </c>
      <c r="Y92" s="373"/>
      <c r="Z92" s="373"/>
      <c r="AA92" s="373"/>
      <c r="AB92" s="373"/>
      <c r="AC92" s="373" t="s">
        <v>3076</v>
      </c>
      <c r="AD92" s="373"/>
      <c r="AE92" s="373"/>
      <c r="AF92" s="373"/>
      <c r="AG92" s="373"/>
      <c r="AH92" s="553"/>
      <c r="AI92" s="553" t="s">
        <v>3623</v>
      </c>
      <c r="AJ92" s="553"/>
      <c r="AK92" s="553"/>
      <c r="AL92" s="553"/>
      <c r="AM92" s="621"/>
      <c r="AN92" s="621" t="s">
        <v>3687</v>
      </c>
      <c r="AO92" s="557"/>
      <c r="AP92" s="638"/>
      <c r="AQ92" s="638"/>
      <c r="AR92" s="638"/>
      <c r="AS92" s="638"/>
      <c r="AT92" s="638"/>
      <c r="AU92" s="638"/>
      <c r="AV92" s="638"/>
      <c r="AW92" s="638"/>
      <c r="AX92" s="638"/>
      <c r="AY92" s="638"/>
      <c r="AZ92" s="815"/>
      <c r="BA92" s="815"/>
      <c r="BB92" s="815"/>
      <c r="BC92" s="815"/>
      <c r="BD92" s="815"/>
      <c r="BE92" s="815" t="s">
        <v>4277</v>
      </c>
      <c r="BF92" s="815"/>
      <c r="BG92" s="815"/>
      <c r="BH92" s="815" t="s">
        <v>3312</v>
      </c>
      <c r="BI92" s="815"/>
      <c r="BJ92" s="815"/>
      <c r="BK92" s="815"/>
      <c r="BL92" s="815"/>
      <c r="BM92" s="815"/>
      <c r="BN92" s="1224"/>
      <c r="BO92" s="1224"/>
      <c r="BP92" s="1224"/>
      <c r="BQ92" s="1224"/>
      <c r="BR92" s="557" t="s">
        <v>3066</v>
      </c>
      <c r="BS92" s="1224"/>
      <c r="BT92" s="1224"/>
      <c r="BU92" s="1224"/>
      <c r="BV92" s="1224"/>
      <c r="BW92" s="1224"/>
      <c r="BX92" s="644"/>
      <c r="BY92" s="633" t="s">
        <v>7</v>
      </c>
    </row>
    <row r="93" spans="1:77" ht="19.5" customHeight="1" x14ac:dyDescent="0.35">
      <c r="A93" s="1396"/>
      <c r="B93" s="1397"/>
      <c r="C93" s="1397" t="s">
        <v>3124</v>
      </c>
      <c r="D93" s="1398"/>
      <c r="E93" s="1398" t="s">
        <v>3058</v>
      </c>
      <c r="F93" s="1398"/>
      <c r="G93" s="1399"/>
      <c r="H93" s="1398"/>
      <c r="I93" s="1398"/>
      <c r="J93" s="1398"/>
      <c r="K93" s="1398"/>
      <c r="L93" s="1398" t="s">
        <v>3125</v>
      </c>
      <c r="M93" s="1400"/>
      <c r="N93" s="1401" t="s">
        <v>153</v>
      </c>
      <c r="O93" s="1402"/>
      <c r="P93" s="1402"/>
      <c r="Q93" s="1403"/>
      <c r="R93" s="1404"/>
      <c r="S93" s="1405">
        <f>+COUNTA(W93:BX93)</f>
        <v>1</v>
      </c>
      <c r="T93" s="1406"/>
      <c r="U93" s="1407" t="str">
        <f ca="1">IF(T93&gt;0,IF(TODAY()&gt;T93,TODAY()-T93,""),"")</f>
        <v/>
      </c>
      <c r="V93" s="1404"/>
      <c r="W93" s="1408"/>
      <c r="X93" s="1408"/>
      <c r="Y93" s="1408"/>
      <c r="Z93" s="1408"/>
      <c r="AA93" s="1408"/>
      <c r="AB93" s="1408"/>
      <c r="AC93" s="1408"/>
      <c r="AD93" s="1408"/>
      <c r="AE93" s="1408"/>
      <c r="AF93" s="1408"/>
      <c r="AG93" s="1408"/>
      <c r="AH93" s="1408"/>
      <c r="AI93" s="1408"/>
      <c r="AJ93" s="1408"/>
      <c r="AK93" s="1408"/>
      <c r="AL93" s="1408"/>
      <c r="AM93" s="1408"/>
      <c r="AN93" s="1408"/>
      <c r="AO93" s="1408"/>
      <c r="AP93" s="1408"/>
      <c r="AQ93" s="1408" t="s">
        <v>200</v>
      </c>
      <c r="AR93" s="1408"/>
      <c r="AS93" s="1408"/>
      <c r="AT93" s="1408"/>
      <c r="AU93" s="1408"/>
      <c r="AV93" s="1408"/>
      <c r="AW93" s="1408"/>
      <c r="AX93" s="1408"/>
      <c r="AY93" s="1408"/>
      <c r="AZ93" s="1408"/>
      <c r="BA93" s="1408"/>
      <c r="BB93" s="1408"/>
      <c r="BC93" s="1408"/>
      <c r="BD93" s="1408"/>
      <c r="BE93" s="1408"/>
      <c r="BF93" s="1408"/>
      <c r="BG93" s="1408"/>
      <c r="BH93" s="1408"/>
      <c r="BI93" s="1408"/>
      <c r="BJ93" s="1408"/>
      <c r="BK93" s="1408"/>
      <c r="BL93" s="1408"/>
      <c r="BM93" s="1408"/>
      <c r="BN93" s="1408"/>
      <c r="BO93" s="1408"/>
      <c r="BP93" s="1408"/>
      <c r="BQ93" s="1408"/>
      <c r="BR93" s="1408"/>
      <c r="BS93" s="1408"/>
      <c r="BT93" s="1408"/>
      <c r="BU93" s="1408"/>
      <c r="BV93" s="1408"/>
      <c r="BW93" s="1408"/>
      <c r="BX93" s="1409"/>
      <c r="BY93" s="1410" t="s">
        <v>7</v>
      </c>
    </row>
    <row r="94" spans="1:77" ht="19.5" hidden="1" customHeight="1" x14ac:dyDescent="0.35">
      <c r="A94" s="544"/>
      <c r="B94" s="641"/>
      <c r="C94" s="332" t="s">
        <v>5577</v>
      </c>
      <c r="D94" s="333"/>
      <c r="E94" s="333" t="s">
        <v>3058</v>
      </c>
      <c r="F94" s="333"/>
      <c r="G94" s="334"/>
      <c r="H94" s="333"/>
      <c r="I94" s="333"/>
      <c r="J94" s="333"/>
      <c r="K94" s="333"/>
      <c r="L94" s="333" t="s">
        <v>5578</v>
      </c>
      <c r="N94" s="335" t="s">
        <v>62</v>
      </c>
      <c r="O94" s="336"/>
      <c r="P94" s="336"/>
      <c r="Q94" s="337"/>
      <c r="S94" s="338">
        <f t="shared" si="20"/>
        <v>1</v>
      </c>
      <c r="T94" s="951"/>
      <c r="U94" s="339" t="str">
        <f t="shared" ca="1" si="21"/>
        <v/>
      </c>
      <c r="W94" s="373"/>
      <c r="X94" s="373"/>
      <c r="Y94" s="373"/>
      <c r="Z94" s="373"/>
      <c r="AA94" s="373"/>
      <c r="AB94" s="373"/>
      <c r="AC94" s="373"/>
      <c r="AD94" s="373"/>
      <c r="AE94" s="373"/>
      <c r="AF94" s="373"/>
      <c r="AG94" s="373"/>
      <c r="AH94" s="553"/>
      <c r="AI94" s="553"/>
      <c r="AJ94" s="553"/>
      <c r="AK94" s="553"/>
      <c r="AL94" s="553"/>
      <c r="AM94" s="621"/>
      <c r="AN94" s="621"/>
      <c r="AO94" s="557"/>
      <c r="AP94" s="638"/>
      <c r="AQ94" s="557"/>
      <c r="AR94" s="638"/>
      <c r="AS94" s="638"/>
      <c r="AT94" s="638"/>
      <c r="AU94" s="638"/>
      <c r="AV94" s="638"/>
      <c r="AW94" s="638"/>
      <c r="AX94" s="638"/>
      <c r="AY94" s="638"/>
      <c r="AZ94" s="815"/>
      <c r="BA94" s="815"/>
      <c r="BB94" s="815"/>
      <c r="BC94" s="815"/>
      <c r="BD94" s="815"/>
      <c r="BE94" s="815"/>
      <c r="BF94" s="815"/>
      <c r="BG94" s="815"/>
      <c r="BH94" s="815"/>
      <c r="BI94" s="815"/>
      <c r="BJ94" s="815"/>
      <c r="BK94" s="815"/>
      <c r="BL94" s="815"/>
      <c r="BM94" s="815"/>
      <c r="BN94" s="1224"/>
      <c r="BO94" s="1224"/>
      <c r="BP94" s="1224"/>
      <c r="BQ94" s="1224"/>
      <c r="BR94" s="557" t="s">
        <v>5649</v>
      </c>
      <c r="BS94" s="1224"/>
      <c r="BT94" s="1224"/>
      <c r="BU94" s="1224"/>
      <c r="BV94" s="1224"/>
      <c r="BW94" s="1224"/>
      <c r="BX94" s="644"/>
      <c r="BY94" s="633" t="s">
        <v>7</v>
      </c>
    </row>
    <row r="95" spans="1:77" ht="19.5" customHeight="1" x14ac:dyDescent="0.35">
      <c r="A95" s="950" t="s">
        <v>4487</v>
      </c>
      <c r="B95" s="641"/>
      <c r="C95" s="332" t="s">
        <v>3118</v>
      </c>
      <c r="D95" s="333"/>
      <c r="E95" s="333" t="s">
        <v>3058</v>
      </c>
      <c r="F95" s="333" t="s">
        <v>3310</v>
      </c>
      <c r="G95" s="334"/>
      <c r="H95" s="333"/>
      <c r="I95" s="333"/>
      <c r="J95" s="333"/>
      <c r="K95" s="333"/>
      <c r="L95" s="333" t="s">
        <v>3311</v>
      </c>
      <c r="N95" s="335" t="s">
        <v>153</v>
      </c>
      <c r="O95" s="336"/>
      <c r="P95" s="336"/>
      <c r="Q95" s="337"/>
      <c r="S95" s="338">
        <f t="shared" si="20"/>
        <v>1</v>
      </c>
      <c r="T95" s="951"/>
      <c r="U95" s="339" t="str">
        <f t="shared" ca="1" si="21"/>
        <v/>
      </c>
      <c r="W95" s="373"/>
      <c r="X95" s="373"/>
      <c r="Y95" s="373"/>
      <c r="Z95" s="373"/>
      <c r="AA95" s="373" t="s">
        <v>3312</v>
      </c>
      <c r="AB95" s="373"/>
      <c r="AC95" s="373"/>
      <c r="AD95" s="373"/>
      <c r="AE95" s="373"/>
      <c r="AF95" s="373"/>
      <c r="AG95" s="373"/>
      <c r="AH95" s="553"/>
      <c r="AI95" s="553"/>
      <c r="AJ95" s="553"/>
      <c r="AK95" s="553"/>
      <c r="AL95" s="553"/>
      <c r="AM95" s="621"/>
      <c r="AN95" s="621"/>
      <c r="AO95" s="557"/>
      <c r="AP95" s="638"/>
      <c r="AQ95" s="638"/>
      <c r="AR95" s="638"/>
      <c r="AS95" s="638"/>
      <c r="AT95" s="638"/>
      <c r="AU95" s="638"/>
      <c r="AV95" s="638"/>
      <c r="AW95" s="638"/>
      <c r="AX95" s="638"/>
      <c r="AY95" s="638"/>
      <c r="AZ95" s="815"/>
      <c r="BA95" s="815"/>
      <c r="BB95" s="815"/>
      <c r="BC95" s="815"/>
      <c r="BD95" s="815"/>
      <c r="BE95" s="815"/>
      <c r="BF95" s="815"/>
      <c r="BG95" s="815"/>
      <c r="BH95" s="815"/>
      <c r="BI95" s="815"/>
      <c r="BJ95" s="815"/>
      <c r="BK95" s="815"/>
      <c r="BL95" s="815"/>
      <c r="BM95" s="815"/>
      <c r="BN95" s="1224"/>
      <c r="BO95" s="1224"/>
      <c r="BP95" s="1224"/>
      <c r="BQ95" s="1224"/>
      <c r="BR95" s="1224"/>
      <c r="BS95" s="1224"/>
      <c r="BT95" s="1224"/>
      <c r="BU95" s="1224"/>
      <c r="BV95" s="1224"/>
      <c r="BW95" s="1224"/>
      <c r="BX95" s="644"/>
      <c r="BY95" s="633" t="s">
        <v>7</v>
      </c>
    </row>
    <row r="96" spans="1:77" ht="19.5" hidden="1" customHeight="1" x14ac:dyDescent="0.35">
      <c r="A96" s="544"/>
      <c r="B96" s="641"/>
      <c r="C96" s="332" t="s">
        <v>4488</v>
      </c>
      <c r="D96" s="333"/>
      <c r="E96" s="333" t="s">
        <v>3058</v>
      </c>
      <c r="F96" s="333"/>
      <c r="G96" s="334">
        <v>200</v>
      </c>
      <c r="H96" s="333">
        <v>2024</v>
      </c>
      <c r="I96" s="333" t="s">
        <v>3085</v>
      </c>
      <c r="J96" s="333"/>
      <c r="K96" s="333" t="s">
        <v>2724</v>
      </c>
      <c r="L96" s="333" t="s">
        <v>4489</v>
      </c>
      <c r="N96" s="335" t="s">
        <v>78</v>
      </c>
      <c r="O96" s="336"/>
      <c r="P96" s="336"/>
      <c r="Q96" s="337"/>
      <c r="S96" s="338">
        <f t="shared" si="20"/>
        <v>6</v>
      </c>
      <c r="T96" s="951">
        <v>45561</v>
      </c>
      <c r="U96" s="339">
        <f t="shared" ca="1" si="21"/>
        <v>103</v>
      </c>
      <c r="W96" s="373"/>
      <c r="X96" s="373"/>
      <c r="Y96" s="373"/>
      <c r="Z96" s="373"/>
      <c r="AA96" s="373"/>
      <c r="AB96" s="373"/>
      <c r="AC96" s="373"/>
      <c r="AD96" s="373"/>
      <c r="AE96" s="373"/>
      <c r="AF96" s="373"/>
      <c r="AG96" s="373"/>
      <c r="AH96" s="553"/>
      <c r="AI96" s="553"/>
      <c r="AJ96" s="553"/>
      <c r="AK96" s="553" t="s">
        <v>3312</v>
      </c>
      <c r="AL96" s="553"/>
      <c r="AM96" s="621"/>
      <c r="AN96" s="621" t="s">
        <v>4490</v>
      </c>
      <c r="AO96" s="557"/>
      <c r="AP96" s="638"/>
      <c r="AQ96" s="638"/>
      <c r="AR96" s="638"/>
      <c r="AS96" s="638"/>
      <c r="AT96" s="638"/>
      <c r="AU96" s="638" t="s">
        <v>4491</v>
      </c>
      <c r="AV96" s="638"/>
      <c r="AW96" s="638"/>
      <c r="AX96" s="638"/>
      <c r="AY96" s="638"/>
      <c r="AZ96" s="815"/>
      <c r="BA96" s="815"/>
      <c r="BB96" s="815"/>
      <c r="BC96" s="815"/>
      <c r="BD96" s="815"/>
      <c r="BE96" s="815"/>
      <c r="BF96" s="999" t="s">
        <v>4490</v>
      </c>
      <c r="BG96" s="815" t="s">
        <v>4573</v>
      </c>
      <c r="BH96" s="815"/>
      <c r="BI96" s="815"/>
      <c r="BJ96" s="815"/>
      <c r="BK96" s="815"/>
      <c r="BL96" s="815"/>
      <c r="BM96" s="815"/>
      <c r="BN96" s="1224"/>
      <c r="BO96" s="1224"/>
      <c r="BP96" s="557" t="s">
        <v>5395</v>
      </c>
      <c r="BQ96" s="1224"/>
      <c r="BR96" s="1224"/>
      <c r="BS96" s="1224"/>
      <c r="BT96" s="1224"/>
      <c r="BU96" s="1224"/>
      <c r="BV96" s="1224"/>
      <c r="BW96" s="1224"/>
      <c r="BX96" s="644"/>
      <c r="BY96" s="633" t="s">
        <v>7</v>
      </c>
    </row>
    <row r="97" spans="1:77" ht="19.5" hidden="1" customHeight="1" x14ac:dyDescent="0.35">
      <c r="A97" s="950" t="s">
        <v>4492</v>
      </c>
      <c r="B97" s="641"/>
      <c r="C97" s="332" t="s">
        <v>4630</v>
      </c>
      <c r="D97" s="333"/>
      <c r="E97" s="333" t="s">
        <v>3058</v>
      </c>
      <c r="F97" s="333"/>
      <c r="G97" s="334">
        <v>250</v>
      </c>
      <c r="H97" s="333">
        <v>2019</v>
      </c>
      <c r="I97" s="333" t="s">
        <v>3070</v>
      </c>
      <c r="J97" s="333"/>
      <c r="K97" s="333" t="s">
        <v>4631</v>
      </c>
      <c r="L97" s="333" t="s">
        <v>4632</v>
      </c>
      <c r="N97" s="335" t="s">
        <v>3598</v>
      </c>
      <c r="O97" s="336" t="s">
        <v>79</v>
      </c>
      <c r="P97" s="336" t="s">
        <v>128</v>
      </c>
      <c r="Q97" s="337"/>
      <c r="S97" s="338">
        <f t="shared" si="20"/>
        <v>1</v>
      </c>
      <c r="T97" s="951">
        <v>45562</v>
      </c>
      <c r="U97" s="339">
        <f t="shared" ca="1" si="21"/>
        <v>102</v>
      </c>
      <c r="W97" s="373"/>
      <c r="X97" s="373"/>
      <c r="Y97" s="373"/>
      <c r="Z97" s="373"/>
      <c r="AA97" s="373"/>
      <c r="AB97" s="373"/>
      <c r="AC97" s="373"/>
      <c r="AD97" s="373"/>
      <c r="AE97" s="373"/>
      <c r="AF97" s="373"/>
      <c r="AG97" s="373"/>
      <c r="AH97" s="553"/>
      <c r="AI97" s="553"/>
      <c r="AJ97" s="553"/>
      <c r="AK97" s="553"/>
      <c r="AL97" s="553"/>
      <c r="AM97" s="621"/>
      <c r="AN97" s="621"/>
      <c r="AO97" s="557"/>
      <c r="AP97" s="638"/>
      <c r="AQ97" s="638"/>
      <c r="AR97" s="638"/>
      <c r="AS97" s="638"/>
      <c r="AT97" s="638"/>
      <c r="AU97" s="638"/>
      <c r="AV97" s="638"/>
      <c r="AW97" s="638"/>
      <c r="AX97" s="638"/>
      <c r="AY97" s="638"/>
      <c r="AZ97" s="815"/>
      <c r="BA97" s="815"/>
      <c r="BB97" s="815"/>
      <c r="BC97" s="815"/>
      <c r="BD97" s="815"/>
      <c r="BE97" s="815"/>
      <c r="BF97" s="999"/>
      <c r="BG97" s="815" t="s">
        <v>4277</v>
      </c>
      <c r="BH97" s="815"/>
      <c r="BI97" s="815"/>
      <c r="BJ97" s="815"/>
      <c r="BK97" s="815"/>
      <c r="BL97" s="815"/>
      <c r="BM97" s="815"/>
      <c r="BN97" s="1224"/>
      <c r="BO97" s="1224"/>
      <c r="BP97" s="1224"/>
      <c r="BQ97" s="1224"/>
      <c r="BR97" s="1224"/>
      <c r="BS97" s="1224"/>
      <c r="BT97" s="1224"/>
      <c r="BU97" s="1224"/>
      <c r="BV97" s="1224"/>
      <c r="BW97" s="1224"/>
      <c r="BX97" s="644"/>
      <c r="BY97" s="633" t="s">
        <v>7</v>
      </c>
    </row>
    <row r="98" spans="1:77" ht="19.5" hidden="1" customHeight="1" x14ac:dyDescent="0.35">
      <c r="A98" s="1192"/>
      <c r="B98" s="1193"/>
      <c r="C98" s="1193" t="s">
        <v>5190</v>
      </c>
      <c r="D98" s="1194"/>
      <c r="E98" s="1194" t="s">
        <v>3062</v>
      </c>
      <c r="F98" s="1194"/>
      <c r="G98" s="1195"/>
      <c r="H98" s="1194"/>
      <c r="I98" s="1194"/>
      <c r="J98" s="1194"/>
      <c r="K98" s="1194" t="s">
        <v>2724</v>
      </c>
      <c r="L98" s="1194"/>
      <c r="M98" s="1196" t="s">
        <v>731</v>
      </c>
      <c r="N98" s="1197" t="s">
        <v>3598</v>
      </c>
      <c r="O98" s="1198" t="s">
        <v>79</v>
      </c>
      <c r="P98" s="1198"/>
      <c r="Q98" s="1199"/>
      <c r="R98" s="1200"/>
      <c r="S98" s="1201">
        <f t="shared" si="20"/>
        <v>2</v>
      </c>
      <c r="T98" s="1202">
        <v>45320</v>
      </c>
      <c r="U98" s="1203">
        <f t="shared" ca="1" si="21"/>
        <v>344</v>
      </c>
      <c r="V98" s="1200"/>
      <c r="W98" s="1191"/>
      <c r="X98" s="1191"/>
      <c r="Y98" s="1191"/>
      <c r="Z98" s="1191"/>
      <c r="AA98" s="1191"/>
      <c r="AB98" s="1191"/>
      <c r="AC98" s="1191"/>
      <c r="AD98" s="1191"/>
      <c r="AE98" s="1191"/>
      <c r="AF98" s="1191"/>
      <c r="AG98" s="1191"/>
      <c r="AH98" s="1191"/>
      <c r="AI98" s="1191"/>
      <c r="AJ98" s="1191"/>
      <c r="AK98" s="1191"/>
      <c r="AL98" s="1191"/>
      <c r="AM98" s="1191"/>
      <c r="AN98" s="1191"/>
      <c r="AO98" s="1191"/>
      <c r="AP98" s="1191"/>
      <c r="AQ98" s="1191"/>
      <c r="AR98" s="1191"/>
      <c r="AS98" s="1191"/>
      <c r="AT98" s="1191"/>
      <c r="AU98" s="1191"/>
      <c r="AV98" s="1191"/>
      <c r="AW98" s="1191"/>
      <c r="AX98" s="1191"/>
      <c r="AY98" s="1191"/>
      <c r="AZ98" s="1191"/>
      <c r="BA98" s="1191"/>
      <c r="BB98" s="1191"/>
      <c r="BC98" s="1191"/>
      <c r="BD98" s="1191"/>
      <c r="BE98" s="1191" t="s">
        <v>4277</v>
      </c>
      <c r="BF98" s="1191"/>
      <c r="BG98" s="1191"/>
      <c r="BH98" s="1191"/>
      <c r="BI98" s="1191"/>
      <c r="BJ98" s="1191"/>
      <c r="BK98" s="1191" t="s">
        <v>3066</v>
      </c>
      <c r="BL98" s="1191"/>
      <c r="BM98" s="1191"/>
      <c r="BN98" s="1224"/>
      <c r="BO98" s="1224"/>
      <c r="BP98" s="1224"/>
      <c r="BQ98" s="1224"/>
      <c r="BR98" s="1224"/>
      <c r="BS98" s="1224"/>
      <c r="BT98" s="1224"/>
      <c r="BU98" s="1224"/>
      <c r="BV98" s="1224"/>
      <c r="BW98" s="1224"/>
      <c r="BX98" s="1204"/>
      <c r="BY98" s="312" t="s">
        <v>7</v>
      </c>
    </row>
    <row r="99" spans="1:77" ht="19.5" hidden="1" customHeight="1" x14ac:dyDescent="0.35">
      <c r="A99" s="1277"/>
      <c r="B99" s="1278"/>
      <c r="C99" s="1278" t="s">
        <v>5300</v>
      </c>
      <c r="D99" s="1279"/>
      <c r="E99" s="1279" t="s">
        <v>3058</v>
      </c>
      <c r="F99" s="1279"/>
      <c r="G99" s="1280"/>
      <c r="H99" s="1279"/>
      <c r="I99" s="1279"/>
      <c r="J99" s="1279"/>
      <c r="K99" s="1279"/>
      <c r="L99" s="1279" t="s">
        <v>5301</v>
      </c>
      <c r="M99" s="1281" t="s">
        <v>731</v>
      </c>
      <c r="N99" s="1282" t="s">
        <v>3598</v>
      </c>
      <c r="O99" s="1283" t="s">
        <v>79</v>
      </c>
      <c r="P99" s="1283"/>
      <c r="Q99" s="1284"/>
      <c r="R99" s="1285"/>
      <c r="S99" s="1286">
        <f t="shared" si="20"/>
        <v>1</v>
      </c>
      <c r="T99" s="1287">
        <v>45617</v>
      </c>
      <c r="U99" s="1288">
        <f t="shared" ca="1" si="21"/>
        <v>47</v>
      </c>
      <c r="V99" s="1285"/>
      <c r="W99" s="1289"/>
      <c r="X99" s="1289"/>
      <c r="Y99" s="1289"/>
      <c r="Z99" s="1289"/>
      <c r="AA99" s="1289"/>
      <c r="AB99" s="1289"/>
      <c r="AC99" s="1289"/>
      <c r="AD99" s="1289"/>
      <c r="AE99" s="1289"/>
      <c r="AF99" s="1289"/>
      <c r="AG99" s="1289"/>
      <c r="AH99" s="1289"/>
      <c r="AI99" s="1289"/>
      <c r="AJ99" s="1289"/>
      <c r="AK99" s="1289"/>
      <c r="AL99" s="1289"/>
      <c r="AM99" s="1289"/>
      <c r="AN99" s="1289"/>
      <c r="AO99" s="1289"/>
      <c r="AP99" s="1289"/>
      <c r="AQ99" s="1289"/>
      <c r="AR99" s="1289"/>
      <c r="AS99" s="1289"/>
      <c r="AT99" s="1289"/>
      <c r="AU99" s="1289"/>
      <c r="AV99" s="1289"/>
      <c r="AW99" s="1289"/>
      <c r="AX99" s="1289"/>
      <c r="AY99" s="1289"/>
      <c r="AZ99" s="1289"/>
      <c r="BA99" s="1289"/>
      <c r="BB99" s="1289"/>
      <c r="BC99" s="1289"/>
      <c r="BD99" s="1289"/>
      <c r="BE99" s="1289"/>
      <c r="BF99" s="1289"/>
      <c r="BG99" s="1289"/>
      <c r="BH99" s="1289"/>
      <c r="BI99" s="1289"/>
      <c r="BJ99" s="1289"/>
      <c r="BK99" s="1289"/>
      <c r="BL99" s="1289"/>
      <c r="BM99" s="1289"/>
      <c r="BN99" s="1289" t="s">
        <v>5302</v>
      </c>
      <c r="BO99" s="1289"/>
      <c r="BP99" s="1289"/>
      <c r="BQ99" s="1289"/>
      <c r="BR99" s="1289"/>
      <c r="BS99" s="1289"/>
      <c r="BT99" s="1289"/>
      <c r="BU99" s="1289"/>
      <c r="BV99" s="1289"/>
      <c r="BW99" s="1289"/>
      <c r="BX99" s="1290"/>
      <c r="BY99" s="312" t="s">
        <v>7</v>
      </c>
    </row>
    <row r="100" spans="1:77" ht="19.5" hidden="1" customHeight="1" x14ac:dyDescent="0.35">
      <c r="B100" s="641"/>
      <c r="C100" s="332" t="s">
        <v>3056</v>
      </c>
      <c r="D100" s="333" t="s">
        <v>3057</v>
      </c>
      <c r="E100" s="333" t="s">
        <v>3058</v>
      </c>
      <c r="F100" s="333" t="s">
        <v>3059</v>
      </c>
      <c r="G100" s="334">
        <v>465</v>
      </c>
      <c r="H100" s="333">
        <v>2019</v>
      </c>
      <c r="I100" s="333"/>
      <c r="J100" s="333"/>
      <c r="K100" s="333" t="s">
        <v>2724</v>
      </c>
      <c r="L100" s="333" t="s">
        <v>3060</v>
      </c>
      <c r="M100" s="328" t="s">
        <v>731</v>
      </c>
      <c r="N100" s="335" t="s">
        <v>78</v>
      </c>
      <c r="O100" s="336" t="s">
        <v>79</v>
      </c>
      <c r="P100" s="336"/>
      <c r="Q100" s="337"/>
      <c r="S100" s="338">
        <f t="shared" si="20"/>
        <v>1</v>
      </c>
      <c r="T100" s="951">
        <v>45320</v>
      </c>
      <c r="U100" s="339">
        <f t="shared" ca="1" si="21"/>
        <v>344</v>
      </c>
      <c r="W100" s="373"/>
      <c r="X100" s="373" t="s">
        <v>2876</v>
      </c>
      <c r="Y100" s="373"/>
      <c r="Z100" s="373"/>
      <c r="AA100" s="373"/>
      <c r="AB100" s="373"/>
      <c r="AC100" s="373"/>
      <c r="AD100" s="373"/>
      <c r="AE100" s="373"/>
      <c r="AF100" s="373"/>
      <c r="AG100" s="373"/>
      <c r="AH100" s="553"/>
      <c r="AI100" s="553"/>
      <c r="AJ100" s="553"/>
      <c r="AK100" s="553"/>
      <c r="AL100" s="553"/>
      <c r="AM100" s="621"/>
      <c r="AN100" s="621"/>
      <c r="AO100" s="557"/>
      <c r="AP100" s="638"/>
      <c r="AQ100" s="638"/>
      <c r="AR100" s="638"/>
      <c r="AS100" s="638"/>
      <c r="AT100" s="638"/>
      <c r="AU100" s="638"/>
      <c r="AV100" s="638"/>
      <c r="AW100" s="638"/>
      <c r="AX100" s="638"/>
      <c r="AY100" s="638"/>
      <c r="AZ100" s="815"/>
      <c r="BA100" s="815"/>
      <c r="BB100" s="815"/>
      <c r="BC100" s="815"/>
      <c r="BD100" s="815"/>
      <c r="BE100" s="815"/>
      <c r="BF100" s="815"/>
      <c r="BG100" s="815"/>
      <c r="BH100" s="815"/>
      <c r="BI100" s="815"/>
      <c r="BJ100" s="815"/>
      <c r="BK100" s="815"/>
      <c r="BL100" s="815"/>
      <c r="BM100" s="815"/>
      <c r="BN100" s="1224"/>
      <c r="BO100" s="1224"/>
      <c r="BP100" s="1224"/>
      <c r="BQ100" s="1224"/>
      <c r="BR100" s="1224"/>
      <c r="BS100" s="1224"/>
      <c r="BT100" s="1224"/>
      <c r="BU100" s="1224"/>
      <c r="BV100" s="1224"/>
      <c r="BW100" s="1224"/>
      <c r="BX100" s="644"/>
      <c r="BY100" s="633" t="s">
        <v>7</v>
      </c>
    </row>
    <row r="101" spans="1:77" ht="19.5" hidden="1" customHeight="1" x14ac:dyDescent="0.35">
      <c r="B101" s="641"/>
      <c r="C101" s="332" t="s">
        <v>4263</v>
      </c>
      <c r="D101" s="333"/>
      <c r="E101" s="333" t="s">
        <v>3058</v>
      </c>
      <c r="F101" s="333"/>
      <c r="G101" s="334"/>
      <c r="H101" s="333"/>
      <c r="I101" s="333"/>
      <c r="J101" s="333"/>
      <c r="K101" s="333"/>
      <c r="L101" s="333"/>
      <c r="N101" s="335" t="s">
        <v>78</v>
      </c>
      <c r="O101" s="336" t="s">
        <v>79</v>
      </c>
      <c r="P101" s="336"/>
      <c r="Q101" s="337"/>
      <c r="S101" s="338">
        <f t="shared" si="20"/>
        <v>3</v>
      </c>
      <c r="T101" s="951"/>
      <c r="U101" s="339" t="str">
        <f t="shared" ca="1" si="21"/>
        <v/>
      </c>
      <c r="W101" s="373"/>
      <c r="X101" s="373"/>
      <c r="Y101" s="373"/>
      <c r="Z101" s="373"/>
      <c r="AA101" s="373"/>
      <c r="AB101" s="373"/>
      <c r="AC101" s="373"/>
      <c r="AD101" s="373"/>
      <c r="AE101" s="373"/>
      <c r="AF101" s="373"/>
      <c r="AG101" s="373"/>
      <c r="AH101" s="553"/>
      <c r="AI101" s="553"/>
      <c r="AJ101" s="553"/>
      <c r="AK101" s="553"/>
      <c r="AL101" s="553"/>
      <c r="AM101" s="621"/>
      <c r="AN101" s="621"/>
      <c r="AO101" s="557"/>
      <c r="AP101" s="638"/>
      <c r="AQ101" s="638"/>
      <c r="AR101" s="638" t="s">
        <v>4282</v>
      </c>
      <c r="AS101" s="638"/>
      <c r="AT101" s="638"/>
      <c r="AU101" s="638" t="s">
        <v>4283</v>
      </c>
      <c r="AV101" s="638"/>
      <c r="AW101" s="638"/>
      <c r="AX101" s="638"/>
      <c r="AY101" s="638"/>
      <c r="AZ101" s="815"/>
      <c r="BA101" s="815"/>
      <c r="BB101" s="815"/>
      <c r="BC101" s="815"/>
      <c r="BD101" s="815"/>
      <c r="BE101" s="815"/>
      <c r="BF101" s="815"/>
      <c r="BG101" s="815"/>
      <c r="BH101" s="815"/>
      <c r="BI101" s="815"/>
      <c r="BJ101" s="815"/>
      <c r="BK101" s="815"/>
      <c r="BL101" s="815"/>
      <c r="BM101" s="815"/>
      <c r="BN101" s="1289" t="s">
        <v>3312</v>
      </c>
      <c r="BO101" s="1224"/>
      <c r="BP101" s="1224"/>
      <c r="BQ101" s="1224"/>
      <c r="BR101" s="1224"/>
      <c r="BS101" s="1224"/>
      <c r="BT101" s="1224"/>
      <c r="BU101" s="1224"/>
      <c r="BV101" s="1224"/>
      <c r="BW101" s="1224"/>
      <c r="BX101" s="644"/>
      <c r="BY101" s="633" t="s">
        <v>7</v>
      </c>
    </row>
    <row r="102" spans="1:77" ht="19.5" hidden="1" customHeight="1" x14ac:dyDescent="0.35">
      <c r="A102" s="950" t="s">
        <v>4493</v>
      </c>
      <c r="B102" s="641"/>
      <c r="C102" s="332" t="s">
        <v>3823</v>
      </c>
      <c r="D102" s="333"/>
      <c r="E102" s="333" t="s">
        <v>3058</v>
      </c>
      <c r="F102" s="333"/>
      <c r="G102" s="334"/>
      <c r="H102" s="333"/>
      <c r="I102" s="333"/>
      <c r="J102" s="333"/>
      <c r="K102" s="333"/>
      <c r="L102" s="333" t="s">
        <v>3969</v>
      </c>
      <c r="N102" s="335" t="s">
        <v>61</v>
      </c>
      <c r="O102" s="336" t="s">
        <v>62</v>
      </c>
      <c r="P102" s="336" t="s">
        <v>128</v>
      </c>
      <c r="Q102" s="337"/>
      <c r="S102" s="338">
        <f t="shared" si="20"/>
        <v>3</v>
      </c>
      <c r="T102" s="951">
        <v>45434</v>
      </c>
      <c r="U102" s="339">
        <f t="shared" ca="1" si="21"/>
        <v>230</v>
      </c>
      <c r="W102" s="373"/>
      <c r="X102" s="373"/>
      <c r="Y102" s="373"/>
      <c r="Z102" s="373"/>
      <c r="AA102" s="373"/>
      <c r="AB102" s="373"/>
      <c r="AC102" s="373"/>
      <c r="AD102" s="373"/>
      <c r="AE102" s="373"/>
      <c r="AF102" s="373"/>
      <c r="AG102" s="373"/>
      <c r="AH102" s="553"/>
      <c r="AI102" s="553"/>
      <c r="AJ102" s="553"/>
      <c r="AK102" s="553"/>
      <c r="AL102" s="553"/>
      <c r="AM102" s="621"/>
      <c r="AN102" s="557" t="s">
        <v>3687</v>
      </c>
      <c r="AO102" s="557"/>
      <c r="AP102" s="638"/>
      <c r="AQ102" s="638"/>
      <c r="AR102" s="638"/>
      <c r="AS102" s="638"/>
      <c r="AT102" s="638"/>
      <c r="AU102" s="638"/>
      <c r="AV102" s="638"/>
      <c r="AW102" s="638"/>
      <c r="AX102" s="638"/>
      <c r="AY102" s="638"/>
      <c r="AZ102" s="815"/>
      <c r="BA102" s="815"/>
      <c r="BB102" s="815"/>
      <c r="BC102" s="815"/>
      <c r="BD102" s="860" t="s">
        <v>3810</v>
      </c>
      <c r="BE102" s="815"/>
      <c r="BF102" s="815"/>
      <c r="BG102" s="815"/>
      <c r="BH102" s="815"/>
      <c r="BI102" s="815"/>
      <c r="BJ102" s="557" t="s">
        <v>4633</v>
      </c>
      <c r="BK102" s="815"/>
      <c r="BL102" s="815"/>
      <c r="BM102" s="815"/>
      <c r="BN102" s="1224"/>
      <c r="BO102" s="1224"/>
      <c r="BP102" s="1224"/>
      <c r="BQ102" s="1224"/>
      <c r="BR102" s="1224"/>
      <c r="BS102" s="1224"/>
      <c r="BT102" s="1224"/>
      <c r="BU102" s="1224"/>
      <c r="BV102" s="1224"/>
      <c r="BW102" s="1224"/>
      <c r="BX102" s="644"/>
      <c r="BY102" s="633" t="s">
        <v>7</v>
      </c>
    </row>
    <row r="103" spans="1:77" ht="19.5" customHeight="1" x14ac:dyDescent="0.35">
      <c r="B103" s="641"/>
      <c r="C103" s="332" t="s">
        <v>5378</v>
      </c>
      <c r="D103" s="333"/>
      <c r="E103" s="333" t="s">
        <v>3157</v>
      </c>
      <c r="F103" s="333"/>
      <c r="G103" s="334" t="s">
        <v>5381</v>
      </c>
      <c r="H103" s="333"/>
      <c r="I103" s="333" t="s">
        <v>3162</v>
      </c>
      <c r="J103" s="1341"/>
      <c r="K103" s="333" t="s">
        <v>5382</v>
      </c>
      <c r="L103" s="333" t="s">
        <v>5377</v>
      </c>
      <c r="N103" s="335" t="s">
        <v>153</v>
      </c>
      <c r="O103" s="336" t="s">
        <v>273</v>
      </c>
      <c r="P103" s="336"/>
      <c r="Q103" s="337"/>
      <c r="S103" s="338">
        <f t="shared" si="20"/>
        <v>0</v>
      </c>
      <c r="T103" s="951">
        <v>45559</v>
      </c>
      <c r="U103" s="339">
        <f t="shared" ca="1" si="21"/>
        <v>105</v>
      </c>
      <c r="W103" s="373"/>
      <c r="X103" s="373"/>
      <c r="Y103" s="373"/>
      <c r="Z103" s="373"/>
      <c r="AA103" s="373"/>
      <c r="AB103" s="373"/>
      <c r="AC103" s="373"/>
      <c r="AD103" s="373"/>
      <c r="AE103" s="373"/>
      <c r="AF103" s="373"/>
      <c r="AG103" s="373"/>
      <c r="AH103" s="553"/>
      <c r="AI103" s="553"/>
      <c r="AJ103" s="553"/>
      <c r="AK103" s="553"/>
      <c r="AL103" s="553"/>
      <c r="AM103" s="621"/>
      <c r="AN103" s="621"/>
      <c r="AO103" s="639"/>
      <c r="AP103" s="640"/>
      <c r="AQ103" s="640"/>
      <c r="AR103" s="640"/>
      <c r="AS103" s="640"/>
      <c r="AT103" s="640"/>
      <c r="AU103" s="640"/>
      <c r="AV103" s="640"/>
      <c r="AW103" s="640"/>
      <c r="AX103" s="640"/>
      <c r="AY103" s="640"/>
      <c r="AZ103" s="816"/>
      <c r="BA103" s="816"/>
      <c r="BB103" s="816"/>
      <c r="BC103" s="816"/>
      <c r="BD103" s="816"/>
      <c r="BE103" s="816"/>
      <c r="BF103" s="1335"/>
      <c r="BG103" s="816"/>
      <c r="BH103" s="816"/>
      <c r="BI103" s="816"/>
      <c r="BJ103" s="816"/>
      <c r="BK103" s="816"/>
      <c r="BL103" s="816"/>
      <c r="BM103" s="816"/>
      <c r="BN103" s="1231"/>
      <c r="BO103" s="1231"/>
      <c r="BP103" s="1231"/>
      <c r="BQ103" s="1231"/>
      <c r="BR103" s="1231"/>
      <c r="BS103" s="1231"/>
      <c r="BT103" s="1231"/>
      <c r="BU103" s="1231"/>
      <c r="BV103" s="1231"/>
      <c r="BW103" s="1231"/>
      <c r="BX103" s="645"/>
      <c r="BY103" s="633" t="s">
        <v>7</v>
      </c>
    </row>
    <row r="104" spans="1:77" ht="19.5" customHeight="1" x14ac:dyDescent="0.35">
      <c r="B104" s="641"/>
      <c r="C104" s="332" t="s">
        <v>5376</v>
      </c>
      <c r="D104" s="333"/>
      <c r="E104" s="333" t="s">
        <v>3157</v>
      </c>
      <c r="F104" s="333"/>
      <c r="G104" s="334" t="s">
        <v>5379</v>
      </c>
      <c r="H104" s="333"/>
      <c r="I104" s="333" t="s">
        <v>3158</v>
      </c>
      <c r="J104" s="333"/>
      <c r="K104" s="333" t="s">
        <v>5380</v>
      </c>
      <c r="L104" s="333" t="s">
        <v>5377</v>
      </c>
      <c r="N104" s="335" t="s">
        <v>153</v>
      </c>
      <c r="O104" s="336" t="s">
        <v>273</v>
      </c>
      <c r="P104" s="336"/>
      <c r="Q104" s="337"/>
      <c r="S104" s="338">
        <f t="shared" si="20"/>
        <v>1</v>
      </c>
      <c r="T104" s="951">
        <v>45559</v>
      </c>
      <c r="U104" s="339">
        <f t="shared" ca="1" si="21"/>
        <v>105</v>
      </c>
      <c r="W104" s="373"/>
      <c r="X104" s="373"/>
      <c r="Y104" s="373"/>
      <c r="Z104" s="373"/>
      <c r="AA104" s="373"/>
      <c r="AB104" s="373"/>
      <c r="AC104" s="373"/>
      <c r="AD104" s="373"/>
      <c r="AE104" s="373"/>
      <c r="AF104" s="373"/>
      <c r="AG104" s="373"/>
      <c r="AH104" s="553"/>
      <c r="AI104" s="553"/>
      <c r="AJ104" s="553"/>
      <c r="AK104" s="553"/>
      <c r="AL104" s="553"/>
      <c r="AM104" s="621"/>
      <c r="AN104" s="621"/>
      <c r="AO104" s="639"/>
      <c r="AP104" s="640"/>
      <c r="AQ104" s="640"/>
      <c r="AR104" s="640"/>
      <c r="AS104" s="640"/>
      <c r="AT104" s="640"/>
      <c r="AU104" s="640"/>
      <c r="AV104" s="640"/>
      <c r="AW104" s="640"/>
      <c r="AX104" s="640"/>
      <c r="AY104" s="640"/>
      <c r="AZ104" s="816"/>
      <c r="BA104" s="816"/>
      <c r="BB104" s="816"/>
      <c r="BC104" s="816"/>
      <c r="BD104" s="816"/>
      <c r="BE104" s="816"/>
      <c r="BF104" s="1335" t="s">
        <v>5373</v>
      </c>
      <c r="BG104" s="816"/>
      <c r="BH104" s="816"/>
      <c r="BI104" s="816"/>
      <c r="BJ104" s="816"/>
      <c r="BK104" s="816"/>
      <c r="BL104" s="816"/>
      <c r="BM104" s="816"/>
      <c r="BN104" s="1231"/>
      <c r="BO104" s="1231"/>
      <c r="BP104" s="1231"/>
      <c r="BQ104" s="1231"/>
      <c r="BR104" s="1231"/>
      <c r="BS104" s="1231"/>
      <c r="BT104" s="1231"/>
      <c r="BU104" s="1231"/>
      <c r="BV104" s="1231"/>
      <c r="BW104" s="1231"/>
      <c r="BX104" s="645"/>
      <c r="BY104" s="633" t="s">
        <v>7</v>
      </c>
    </row>
    <row r="105" spans="1:77" ht="19.5" hidden="1" customHeight="1" x14ac:dyDescent="0.35">
      <c r="B105" s="641"/>
      <c r="C105" s="332" t="s">
        <v>4172</v>
      </c>
      <c r="D105" s="333"/>
      <c r="E105" s="333" t="s">
        <v>3058</v>
      </c>
      <c r="F105" s="333"/>
      <c r="G105" s="334"/>
      <c r="H105" s="333"/>
      <c r="I105" s="333"/>
      <c r="J105" s="333"/>
      <c r="K105" s="333"/>
      <c r="L105" s="333"/>
      <c r="N105" s="335" t="s">
        <v>78</v>
      </c>
      <c r="O105" s="336"/>
      <c r="P105" s="336"/>
      <c r="Q105" s="337"/>
      <c r="S105" s="338">
        <f t="shared" si="20"/>
        <v>1</v>
      </c>
      <c r="T105" s="951">
        <v>45411</v>
      </c>
      <c r="U105" s="339">
        <f t="shared" ca="1" si="21"/>
        <v>253</v>
      </c>
      <c r="W105" s="373"/>
      <c r="X105" s="373"/>
      <c r="Y105" s="373"/>
      <c r="Z105" s="373"/>
      <c r="AA105" s="373"/>
      <c r="AB105" s="373"/>
      <c r="AC105" s="373"/>
      <c r="AD105" s="373"/>
      <c r="AE105" s="373"/>
      <c r="AF105" s="373"/>
      <c r="AG105" s="373"/>
      <c r="AH105" s="553"/>
      <c r="AI105" s="553"/>
      <c r="AJ105" s="553"/>
      <c r="AK105" s="553"/>
      <c r="AL105" s="557" t="s">
        <v>200</v>
      </c>
      <c r="AM105" s="621"/>
      <c r="AN105" s="621"/>
      <c r="AO105" s="642"/>
      <c r="AP105" s="642"/>
      <c r="AQ105" s="642"/>
      <c r="AR105" s="642"/>
      <c r="AS105" s="642"/>
      <c r="AT105" s="642"/>
      <c r="AU105" s="642"/>
      <c r="AV105" s="642"/>
      <c r="AW105" s="642"/>
      <c r="AX105" s="642"/>
      <c r="AY105" s="642"/>
      <c r="AZ105" s="815"/>
      <c r="BA105" s="815"/>
      <c r="BB105" s="815"/>
      <c r="BC105" s="815"/>
      <c r="BD105" s="815"/>
      <c r="BE105" s="815"/>
      <c r="BF105" s="815"/>
      <c r="BG105" s="815"/>
      <c r="BH105" s="815"/>
      <c r="BI105" s="815"/>
      <c r="BJ105" s="815"/>
      <c r="BK105" s="815"/>
      <c r="BL105" s="815"/>
      <c r="BM105" s="815"/>
      <c r="BN105" s="1224"/>
      <c r="BO105" s="1224"/>
      <c r="BP105" s="1224"/>
      <c r="BQ105" s="1224"/>
      <c r="BR105" s="1224"/>
      <c r="BS105" s="1224"/>
      <c r="BT105" s="1224"/>
      <c r="BU105" s="1224"/>
      <c r="BV105" s="1224"/>
      <c r="BW105" s="1224"/>
      <c r="BX105" s="647"/>
      <c r="BY105" s="633" t="s">
        <v>7</v>
      </c>
    </row>
    <row r="106" spans="1:77" ht="19.5" hidden="1" customHeight="1" x14ac:dyDescent="0.35">
      <c r="B106" s="641"/>
      <c r="C106" s="332" t="s">
        <v>3151</v>
      </c>
      <c r="D106" s="333"/>
      <c r="E106" s="333" t="s">
        <v>3058</v>
      </c>
      <c r="F106" s="333"/>
      <c r="G106" s="334"/>
      <c r="H106" s="333"/>
      <c r="I106" s="333"/>
      <c r="K106" s="333"/>
      <c r="L106" s="333"/>
      <c r="N106" s="335" t="s">
        <v>78</v>
      </c>
      <c r="O106" s="336"/>
      <c r="P106" s="336"/>
      <c r="Q106" s="337"/>
      <c r="S106" s="338">
        <f t="shared" ref="S106:S119" si="24">+COUNTA(W106:BX106)</f>
        <v>0</v>
      </c>
      <c r="T106" s="951"/>
      <c r="U106" s="339" t="str">
        <f t="shared" ref="U106:U119" ca="1" si="25">IF(T106&gt;0,IF(TODAY()&gt;T106,TODAY()-T106,""),"")</f>
        <v/>
      </c>
      <c r="W106" s="373"/>
      <c r="X106" s="373"/>
      <c r="Y106" s="373"/>
      <c r="Z106" s="373"/>
      <c r="AA106" s="373"/>
      <c r="AB106" s="373"/>
      <c r="AC106" s="373"/>
      <c r="AD106" s="373"/>
      <c r="AE106" s="373"/>
      <c r="AF106" s="373"/>
      <c r="AG106" s="373"/>
      <c r="AH106" s="553"/>
      <c r="AI106" s="553"/>
      <c r="AJ106" s="553"/>
      <c r="AK106" s="553"/>
      <c r="AL106" s="553"/>
      <c r="AM106" s="621"/>
      <c r="AN106" s="621"/>
      <c r="AO106" s="639"/>
      <c r="AP106" s="640"/>
      <c r="AQ106" s="640"/>
      <c r="AR106" s="640"/>
      <c r="AS106" s="640"/>
      <c r="AT106" s="640"/>
      <c r="AU106" s="640"/>
      <c r="AV106" s="640"/>
      <c r="AW106" s="640"/>
      <c r="AX106" s="640"/>
      <c r="AY106" s="640"/>
      <c r="AZ106" s="816"/>
      <c r="BA106" s="816"/>
      <c r="BB106" s="816"/>
      <c r="BC106" s="816"/>
      <c r="BD106" s="816"/>
      <c r="BE106" s="816"/>
      <c r="BF106" s="816"/>
      <c r="BG106" s="816"/>
      <c r="BH106" s="816"/>
      <c r="BI106" s="816"/>
      <c r="BJ106" s="816"/>
      <c r="BK106" s="816"/>
      <c r="BL106" s="816"/>
      <c r="BM106" s="816"/>
      <c r="BN106" s="1231"/>
      <c r="BO106" s="1231"/>
      <c r="BP106" s="1231"/>
      <c r="BQ106" s="1231"/>
      <c r="BR106" s="1231"/>
      <c r="BS106" s="1231"/>
      <c r="BT106" s="1231"/>
      <c r="BU106" s="1231"/>
      <c r="BV106" s="1231"/>
      <c r="BW106" s="1231"/>
      <c r="BX106" s="645"/>
      <c r="BY106" s="633" t="s">
        <v>7</v>
      </c>
    </row>
    <row r="107" spans="1:77" ht="19.5" customHeight="1" x14ac:dyDescent="0.35">
      <c r="B107" s="641"/>
      <c r="C107" s="332" t="s">
        <v>3129</v>
      </c>
      <c r="D107" s="333"/>
      <c r="E107" s="333" t="s">
        <v>3058</v>
      </c>
      <c r="F107" s="333"/>
      <c r="G107" s="334"/>
      <c r="H107" s="333"/>
      <c r="I107" s="333"/>
      <c r="J107" s="333"/>
      <c r="K107" s="333"/>
      <c r="L107" s="333" t="s">
        <v>3130</v>
      </c>
      <c r="N107" s="335" t="s">
        <v>153</v>
      </c>
      <c r="O107" s="336"/>
      <c r="P107" s="336"/>
      <c r="Q107" s="337"/>
      <c r="S107" s="338">
        <f t="shared" si="24"/>
        <v>0</v>
      </c>
      <c r="T107" s="951"/>
      <c r="U107" s="339" t="str">
        <f t="shared" ca="1" si="25"/>
        <v/>
      </c>
      <c r="W107" s="373"/>
      <c r="X107" s="373"/>
      <c r="Y107" s="373"/>
      <c r="Z107" s="373"/>
      <c r="AA107" s="373"/>
      <c r="AB107" s="373"/>
      <c r="AC107" s="373"/>
      <c r="AD107" s="373"/>
      <c r="AE107" s="373"/>
      <c r="AF107" s="373"/>
      <c r="AG107" s="373"/>
      <c r="AH107" s="553"/>
      <c r="AI107" s="553"/>
      <c r="AJ107" s="553"/>
      <c r="AK107" s="553"/>
      <c r="AL107" s="553"/>
      <c r="AM107" s="621"/>
      <c r="AN107" s="621"/>
      <c r="AO107" s="557"/>
      <c r="AP107" s="638"/>
      <c r="AQ107" s="638"/>
      <c r="AR107" s="638"/>
      <c r="AS107" s="638"/>
      <c r="AT107" s="638"/>
      <c r="AU107" s="638"/>
      <c r="AV107" s="638"/>
      <c r="AW107" s="638"/>
      <c r="AX107" s="638"/>
      <c r="AY107" s="638"/>
      <c r="AZ107" s="815"/>
      <c r="BA107" s="815"/>
      <c r="BB107" s="815"/>
      <c r="BC107" s="815"/>
      <c r="BD107" s="815"/>
      <c r="BE107" s="815"/>
      <c r="BF107" s="815"/>
      <c r="BG107" s="815"/>
      <c r="BH107" s="815"/>
      <c r="BI107" s="815"/>
      <c r="BJ107" s="815"/>
      <c r="BK107" s="815"/>
      <c r="BL107" s="815"/>
      <c r="BM107" s="815"/>
      <c r="BN107" s="1224"/>
      <c r="BO107" s="1224"/>
      <c r="BP107" s="1224"/>
      <c r="BQ107" s="1224"/>
      <c r="BR107" s="1224"/>
      <c r="BS107" s="1224"/>
      <c r="BT107" s="1224"/>
      <c r="BU107" s="1224"/>
      <c r="BV107" s="1224"/>
      <c r="BW107" s="1224"/>
      <c r="BX107" s="644"/>
      <c r="BY107" s="633" t="s">
        <v>7</v>
      </c>
    </row>
    <row r="108" spans="1:77" ht="19.5" hidden="1" customHeight="1" x14ac:dyDescent="0.35">
      <c r="B108" s="641"/>
      <c r="C108" s="332" t="s">
        <v>5367</v>
      </c>
      <c r="D108" s="333"/>
      <c r="E108" s="333" t="s">
        <v>3058</v>
      </c>
      <c r="F108" s="333" t="s">
        <v>5394</v>
      </c>
      <c r="G108" s="334" t="s">
        <v>5381</v>
      </c>
      <c r="H108" s="333"/>
      <c r="I108" s="333" t="s">
        <v>3162</v>
      </c>
      <c r="J108" s="333"/>
      <c r="K108" s="333" t="s">
        <v>5368</v>
      </c>
      <c r="L108" s="333" t="s">
        <v>5369</v>
      </c>
      <c r="N108" s="335" t="s">
        <v>78</v>
      </c>
      <c r="O108" s="336"/>
      <c r="P108" s="336"/>
      <c r="Q108" s="337" t="s">
        <v>5393</v>
      </c>
      <c r="S108" s="338">
        <f t="shared" si="24"/>
        <v>1</v>
      </c>
      <c r="T108" s="951">
        <v>45628</v>
      </c>
      <c r="U108" s="339">
        <f t="shared" ca="1" si="25"/>
        <v>36</v>
      </c>
      <c r="W108" s="373"/>
      <c r="X108" s="373"/>
      <c r="Y108" s="373"/>
      <c r="Z108" s="373"/>
      <c r="AA108" s="373"/>
      <c r="AB108" s="373"/>
      <c r="AC108" s="373"/>
      <c r="AD108" s="373"/>
      <c r="AE108" s="373"/>
      <c r="AF108" s="373"/>
      <c r="AG108" s="373"/>
      <c r="AH108" s="553"/>
      <c r="AI108" s="553"/>
      <c r="AJ108" s="553"/>
      <c r="AK108" s="553"/>
      <c r="AL108" s="553"/>
      <c r="AM108" s="621"/>
      <c r="AN108" s="621"/>
      <c r="AO108" s="557"/>
      <c r="AP108" s="638"/>
      <c r="AQ108" s="638"/>
      <c r="AR108" s="638"/>
      <c r="AS108" s="638"/>
      <c r="AT108" s="638"/>
      <c r="AU108" s="638"/>
      <c r="AV108" s="638"/>
      <c r="AW108" s="638"/>
      <c r="AX108" s="638"/>
      <c r="AY108" s="638"/>
      <c r="AZ108" s="815"/>
      <c r="BA108" s="815"/>
      <c r="BB108" s="815"/>
      <c r="BC108" s="815"/>
      <c r="BD108" s="815"/>
      <c r="BE108" s="815"/>
      <c r="BF108" s="815"/>
      <c r="BG108" s="815"/>
      <c r="BH108" s="815"/>
      <c r="BI108" s="815"/>
      <c r="BJ108" s="815"/>
      <c r="BK108" s="815"/>
      <c r="BL108" s="815"/>
      <c r="BM108" s="815"/>
      <c r="BN108" s="1224"/>
      <c r="BO108" s="1224"/>
      <c r="BP108" s="1224" t="s">
        <v>5370</v>
      </c>
      <c r="BQ108" s="1224"/>
      <c r="BR108" s="1224"/>
      <c r="BS108" s="1224"/>
      <c r="BT108" s="1224"/>
      <c r="BU108" s="1224"/>
      <c r="BV108" s="1224"/>
      <c r="BW108" s="1224"/>
      <c r="BX108" s="644"/>
      <c r="BY108" s="633" t="s">
        <v>7</v>
      </c>
    </row>
    <row r="109" spans="1:77" ht="19.5" hidden="1" customHeight="1" x14ac:dyDescent="0.35">
      <c r="B109" s="332"/>
      <c r="C109" s="332" t="s">
        <v>3806</v>
      </c>
      <c r="D109" s="333"/>
      <c r="E109" s="333" t="s">
        <v>433</v>
      </c>
      <c r="F109" s="333"/>
      <c r="G109" s="334"/>
      <c r="H109" s="333"/>
      <c r="I109" s="333"/>
      <c r="J109" s="333"/>
      <c r="K109" s="340"/>
      <c r="L109" s="333" t="s">
        <v>3809</v>
      </c>
      <c r="M109" s="328" t="s">
        <v>731</v>
      </c>
      <c r="N109" s="335" t="s">
        <v>62</v>
      </c>
      <c r="O109" s="336" t="s">
        <v>62</v>
      </c>
      <c r="P109" s="336"/>
      <c r="Q109" s="341"/>
      <c r="S109" s="763">
        <f t="shared" si="24"/>
        <v>2</v>
      </c>
      <c r="T109" s="1160">
        <v>45602</v>
      </c>
      <c r="U109" s="1161">
        <f t="shared" ca="1" si="25"/>
        <v>62</v>
      </c>
      <c r="W109" s="557"/>
      <c r="X109" s="557"/>
      <c r="Y109" s="557"/>
      <c r="Z109" s="557"/>
      <c r="AA109" s="557"/>
      <c r="AB109" s="557"/>
      <c r="AC109" s="557"/>
      <c r="AD109" s="557"/>
      <c r="AE109" s="557"/>
      <c r="AF109" s="557"/>
      <c r="AG109" s="557"/>
      <c r="AH109" s="557"/>
      <c r="AI109" s="557"/>
      <c r="AJ109" s="557"/>
      <c r="AK109" s="557"/>
      <c r="AL109" s="557"/>
      <c r="AM109" s="557"/>
      <c r="AN109" s="557" t="s">
        <v>3687</v>
      </c>
      <c r="AO109" s="557"/>
      <c r="AP109" s="557"/>
      <c r="AQ109" s="557"/>
      <c r="AR109" s="557"/>
      <c r="AS109" s="557"/>
      <c r="AT109" s="557"/>
      <c r="AU109" s="557"/>
      <c r="AV109" s="557"/>
      <c r="AW109" s="557"/>
      <c r="AX109" s="557"/>
      <c r="AY109" s="557"/>
      <c r="AZ109" s="557"/>
      <c r="BA109" s="557"/>
      <c r="BB109" s="557"/>
      <c r="BC109" s="557"/>
      <c r="BD109" s="557"/>
      <c r="BE109" s="557"/>
      <c r="BF109" s="557"/>
      <c r="BG109" s="557"/>
      <c r="BH109" s="557"/>
      <c r="BI109" s="557"/>
      <c r="BJ109" s="557"/>
      <c r="BK109" s="557"/>
      <c r="BL109" s="557" t="s">
        <v>4633</v>
      </c>
      <c r="BM109" s="557"/>
      <c r="BN109" s="1224"/>
      <c r="BO109" s="1224"/>
      <c r="BP109" s="1224"/>
      <c r="BQ109" s="1224"/>
      <c r="BR109" s="1224"/>
      <c r="BS109" s="1224"/>
      <c r="BT109" s="1224"/>
      <c r="BU109" s="1224"/>
      <c r="BV109" s="1224"/>
      <c r="BW109" s="1224"/>
      <c r="BX109" s="710"/>
      <c r="BY109" s="312" t="s">
        <v>7</v>
      </c>
    </row>
    <row r="110" spans="1:77" ht="19.5" hidden="1" customHeight="1" x14ac:dyDescent="0.35">
      <c r="B110" s="641"/>
      <c r="C110" s="332" t="s">
        <v>4846</v>
      </c>
      <c r="D110" s="333"/>
      <c r="E110" s="333" t="s">
        <v>3058</v>
      </c>
      <c r="F110" s="333"/>
      <c r="G110" s="334"/>
      <c r="H110" s="333"/>
      <c r="I110" s="333"/>
      <c r="J110" s="333"/>
      <c r="K110" s="333"/>
      <c r="L110" s="333" t="s">
        <v>4847</v>
      </c>
      <c r="N110" s="335" t="s">
        <v>79</v>
      </c>
      <c r="O110" s="336" t="s">
        <v>4423</v>
      </c>
      <c r="P110" s="336"/>
      <c r="Q110" s="337"/>
      <c r="S110" s="338">
        <f t="shared" si="24"/>
        <v>1</v>
      </c>
      <c r="T110" s="951">
        <v>45582</v>
      </c>
      <c r="U110" s="339">
        <f t="shared" ca="1" si="25"/>
        <v>82</v>
      </c>
      <c r="W110" s="373"/>
      <c r="X110" s="373"/>
      <c r="Y110" s="373"/>
      <c r="Z110" s="373"/>
      <c r="AA110" s="373"/>
      <c r="AB110" s="373"/>
      <c r="AC110" s="373"/>
      <c r="AD110" s="373"/>
      <c r="AE110" s="373"/>
      <c r="AF110" s="373"/>
      <c r="AG110" s="373"/>
      <c r="AH110" s="553"/>
      <c r="AI110" s="553"/>
      <c r="AJ110" s="553"/>
      <c r="AK110" s="553"/>
      <c r="AL110" s="553"/>
      <c r="AM110" s="621"/>
      <c r="AN110" s="621"/>
      <c r="AO110" s="557"/>
      <c r="AP110" s="638"/>
      <c r="AQ110" s="638"/>
      <c r="AR110" s="638"/>
      <c r="AS110" s="638"/>
      <c r="AT110" s="638"/>
      <c r="AU110" s="638"/>
      <c r="AV110" s="638"/>
      <c r="AW110" s="638"/>
      <c r="AX110" s="638"/>
      <c r="AY110" s="638"/>
      <c r="AZ110" s="815"/>
      <c r="BA110" s="815"/>
      <c r="BB110" s="815"/>
      <c r="BC110" s="815"/>
      <c r="BD110" s="815"/>
      <c r="BE110" s="815"/>
      <c r="BF110" s="815"/>
      <c r="BG110" s="815"/>
      <c r="BH110" s="815"/>
      <c r="BI110" s="815" t="s">
        <v>4848</v>
      </c>
      <c r="BJ110" s="815"/>
      <c r="BK110" s="815"/>
      <c r="BL110" s="815"/>
      <c r="BM110" s="815"/>
      <c r="BN110" s="1224"/>
      <c r="BO110" s="1224"/>
      <c r="BP110" s="1224"/>
      <c r="BQ110" s="1224"/>
      <c r="BR110" s="1224"/>
      <c r="BS110" s="1224"/>
      <c r="BT110" s="1224"/>
      <c r="BU110" s="1224"/>
      <c r="BV110" s="1224"/>
      <c r="BW110" s="1224"/>
      <c r="BX110" s="644"/>
      <c r="BY110" s="633" t="s">
        <v>7</v>
      </c>
    </row>
    <row r="111" spans="1:77" ht="19.5" hidden="1" customHeight="1" x14ac:dyDescent="0.35">
      <c r="A111" s="950" t="s">
        <v>4494</v>
      </c>
      <c r="B111" s="332"/>
      <c r="C111" s="332" t="s">
        <v>3333</v>
      </c>
      <c r="D111" s="333"/>
      <c r="E111" s="333" t="s">
        <v>3335</v>
      </c>
      <c r="F111" s="333"/>
      <c r="G111" s="334">
        <v>100</v>
      </c>
      <c r="H111" s="333">
        <v>2023</v>
      </c>
      <c r="I111" s="333" t="s">
        <v>3139</v>
      </c>
      <c r="J111" s="333"/>
      <c r="K111" s="333" t="s">
        <v>2724</v>
      </c>
      <c r="L111" s="333" t="s">
        <v>3332</v>
      </c>
      <c r="N111" s="335" t="s">
        <v>78</v>
      </c>
      <c r="O111" s="336"/>
      <c r="P111" s="336"/>
      <c r="Q111" s="337"/>
      <c r="S111" s="338">
        <f t="shared" si="24"/>
        <v>1</v>
      </c>
      <c r="T111" s="951">
        <v>45355</v>
      </c>
      <c r="U111" s="339">
        <f t="shared" ca="1" si="25"/>
        <v>309</v>
      </c>
      <c r="W111" s="373"/>
      <c r="X111" s="373"/>
      <c r="Y111" s="373"/>
      <c r="Z111" s="373"/>
      <c r="AA111" s="373"/>
      <c r="AB111" s="373"/>
      <c r="AC111" s="373" t="s">
        <v>3066</v>
      </c>
      <c r="AD111" s="373"/>
      <c r="AE111" s="373"/>
      <c r="AF111" s="373"/>
      <c r="AG111" s="373"/>
      <c r="AH111" s="553"/>
      <c r="AI111" s="553"/>
      <c r="AJ111" s="553"/>
      <c r="AK111" s="553"/>
      <c r="AL111" s="553"/>
      <c r="AM111" s="621"/>
      <c r="AN111" s="621"/>
      <c r="AO111" s="642"/>
      <c r="AP111" s="642"/>
      <c r="AQ111" s="642"/>
      <c r="AR111" s="642"/>
      <c r="AS111" s="642"/>
      <c r="AT111" s="642"/>
      <c r="AU111" s="642"/>
      <c r="AV111" s="642"/>
      <c r="AW111" s="642"/>
      <c r="AX111" s="642"/>
      <c r="AY111" s="642"/>
      <c r="AZ111" s="815"/>
      <c r="BA111" s="815"/>
      <c r="BB111" s="815"/>
      <c r="BC111" s="815"/>
      <c r="BD111" s="815"/>
      <c r="BE111" s="815"/>
      <c r="BF111" s="815"/>
      <c r="BG111" s="815"/>
      <c r="BH111" s="815"/>
      <c r="BI111" s="815"/>
      <c r="BJ111" s="815"/>
      <c r="BK111" s="815"/>
      <c r="BL111" s="815"/>
      <c r="BM111" s="815"/>
      <c r="BN111" s="1224"/>
      <c r="BO111" s="1224"/>
      <c r="BP111" s="1224"/>
      <c r="BQ111" s="1224"/>
      <c r="BR111" s="1224"/>
      <c r="BS111" s="1224"/>
      <c r="BT111" s="1224"/>
      <c r="BU111" s="1224"/>
      <c r="BV111" s="1224"/>
      <c r="BW111" s="1224"/>
      <c r="BX111" s="647"/>
      <c r="BY111" s="633" t="s">
        <v>7</v>
      </c>
    </row>
    <row r="112" spans="1:77" ht="19.5" hidden="1" customHeight="1" x14ac:dyDescent="0.35">
      <c r="A112" s="1373"/>
      <c r="B112" s="332"/>
      <c r="C112" s="332" t="s">
        <v>5411</v>
      </c>
      <c r="D112" s="333"/>
      <c r="E112" s="333" t="s">
        <v>3335</v>
      </c>
      <c r="F112" s="333"/>
      <c r="G112" s="334"/>
      <c r="H112" s="333"/>
      <c r="I112" s="333"/>
      <c r="J112" s="333"/>
      <c r="K112" s="333" t="s">
        <v>5412</v>
      </c>
      <c r="L112" s="333" t="s">
        <v>5413</v>
      </c>
      <c r="N112" s="335" t="s">
        <v>3598</v>
      </c>
      <c r="O112" s="336" t="s">
        <v>79</v>
      </c>
      <c r="P112" s="336"/>
      <c r="Q112" s="337"/>
      <c r="S112" s="338">
        <f t="shared" si="24"/>
        <v>1</v>
      </c>
      <c r="T112" s="951">
        <v>45625</v>
      </c>
      <c r="U112" s="339">
        <f t="shared" ca="1" si="25"/>
        <v>39</v>
      </c>
      <c r="W112" s="373"/>
      <c r="X112" s="373"/>
      <c r="Y112" s="373"/>
      <c r="Z112" s="373"/>
      <c r="AA112" s="373"/>
      <c r="AB112" s="373"/>
      <c r="AC112" s="373"/>
      <c r="AD112" s="373"/>
      <c r="AE112" s="373"/>
      <c r="AF112" s="373"/>
      <c r="AG112" s="373"/>
      <c r="AH112" s="553"/>
      <c r="AI112" s="553"/>
      <c r="AJ112" s="553"/>
      <c r="AK112" s="553"/>
      <c r="AL112" s="553"/>
      <c r="AM112" s="621"/>
      <c r="AN112" s="621"/>
      <c r="AO112" s="642"/>
      <c r="AP112" s="642"/>
      <c r="AQ112" s="642"/>
      <c r="AR112" s="642"/>
      <c r="AS112" s="642"/>
      <c r="AT112" s="642"/>
      <c r="AU112" s="642"/>
      <c r="AV112" s="642"/>
      <c r="AW112" s="642"/>
      <c r="AX112" s="642"/>
      <c r="AY112" s="642"/>
      <c r="AZ112" s="815"/>
      <c r="BA112" s="815"/>
      <c r="BB112" s="815"/>
      <c r="BC112" s="815"/>
      <c r="BD112" s="815"/>
      <c r="BE112" s="815"/>
      <c r="BF112" s="815"/>
      <c r="BG112" s="815"/>
      <c r="BH112" s="815"/>
      <c r="BI112" s="815"/>
      <c r="BJ112" s="815"/>
      <c r="BK112" s="815"/>
      <c r="BL112" s="1374"/>
      <c r="BM112" s="815"/>
      <c r="BN112" s="1224"/>
      <c r="BO112" s="1374" t="s">
        <v>4277</v>
      </c>
      <c r="BP112" s="1224"/>
      <c r="BQ112" s="1224"/>
      <c r="BR112" s="1224"/>
      <c r="BS112" s="1224"/>
      <c r="BT112" s="1224"/>
      <c r="BU112" s="1224"/>
      <c r="BV112" s="1224"/>
      <c r="BW112" s="1224"/>
      <c r="BX112" s="647"/>
      <c r="BY112" s="633"/>
    </row>
    <row r="113" spans="1:77" ht="19.5" hidden="1" customHeight="1" x14ac:dyDescent="0.35">
      <c r="A113" s="1332"/>
      <c r="B113" s="332"/>
      <c r="C113" s="332" t="s">
        <v>5371</v>
      </c>
      <c r="D113" s="333"/>
      <c r="E113" s="333" t="s">
        <v>3157</v>
      </c>
      <c r="F113" s="333" t="s">
        <v>5372</v>
      </c>
      <c r="G113" s="334">
        <v>100</v>
      </c>
      <c r="H113" s="333">
        <v>2023</v>
      </c>
      <c r="I113" s="333"/>
      <c r="J113" s="333"/>
      <c r="K113" s="333" t="s">
        <v>119</v>
      </c>
      <c r="L113" s="333" t="s">
        <v>5383</v>
      </c>
      <c r="N113" s="335" t="s">
        <v>273</v>
      </c>
      <c r="O113" s="336"/>
      <c r="P113" s="336"/>
      <c r="Q113" s="337"/>
      <c r="S113" s="338">
        <f t="shared" si="24"/>
        <v>1</v>
      </c>
      <c r="T113" s="951">
        <v>45355</v>
      </c>
      <c r="U113" s="339">
        <f t="shared" ca="1" si="25"/>
        <v>309</v>
      </c>
      <c r="W113" s="373"/>
      <c r="X113" s="373"/>
      <c r="Y113" s="373"/>
      <c r="Z113" s="373"/>
      <c r="AA113" s="373"/>
      <c r="AB113" s="373"/>
      <c r="AC113" s="373"/>
      <c r="AD113" s="373"/>
      <c r="AE113" s="373"/>
      <c r="AF113" s="373"/>
      <c r="AG113" s="373"/>
      <c r="AH113" s="553"/>
      <c r="AI113" s="553"/>
      <c r="AJ113" s="553"/>
      <c r="AK113" s="553"/>
      <c r="AL113" s="553"/>
      <c r="AM113" s="621"/>
      <c r="AN113" s="621"/>
      <c r="AO113" s="642"/>
      <c r="AP113" s="642"/>
      <c r="AQ113" s="642"/>
      <c r="AR113" s="642"/>
      <c r="AS113" s="642"/>
      <c r="AT113" s="642"/>
      <c r="AU113" s="642"/>
      <c r="AV113" s="642" t="s">
        <v>5373</v>
      </c>
      <c r="AW113" s="642"/>
      <c r="AX113" s="642"/>
      <c r="AY113" s="642"/>
      <c r="AZ113" s="815"/>
      <c r="BA113" s="815"/>
      <c r="BB113" s="815"/>
      <c r="BC113" s="815"/>
      <c r="BD113" s="815"/>
      <c r="BE113" s="815"/>
      <c r="BF113" s="815"/>
      <c r="BG113" s="815"/>
      <c r="BH113" s="815"/>
      <c r="BI113" s="815"/>
      <c r="BJ113" s="815"/>
      <c r="BK113" s="815"/>
      <c r="BL113" s="815"/>
      <c r="BM113" s="815"/>
      <c r="BN113" s="1224"/>
      <c r="BO113" s="1224"/>
      <c r="BP113" s="1224"/>
      <c r="BQ113" s="1224"/>
      <c r="BR113" s="1224"/>
      <c r="BS113" s="1224"/>
      <c r="BT113" s="1224"/>
      <c r="BU113" s="1224"/>
      <c r="BV113" s="1224"/>
      <c r="BW113" s="1224"/>
      <c r="BX113" s="647"/>
      <c r="BY113" s="633" t="s">
        <v>7</v>
      </c>
    </row>
    <row r="114" spans="1:77" ht="19.5" customHeight="1" x14ac:dyDescent="0.35">
      <c r="A114" s="950" t="s">
        <v>4495</v>
      </c>
      <c r="B114" s="641"/>
      <c r="C114" s="332" t="s">
        <v>3506</v>
      </c>
      <c r="D114" s="333" t="s">
        <v>3509</v>
      </c>
      <c r="E114" s="333" t="s">
        <v>3058</v>
      </c>
      <c r="F114" s="333"/>
      <c r="G114" s="334"/>
      <c r="H114" s="333"/>
      <c r="I114" s="333"/>
      <c r="J114" s="333"/>
      <c r="K114" s="333" t="s">
        <v>3507</v>
      </c>
      <c r="L114" s="333"/>
      <c r="N114" s="335" t="s">
        <v>153</v>
      </c>
      <c r="O114" s="336"/>
      <c r="P114" s="336"/>
      <c r="Q114" s="337"/>
      <c r="S114" s="338">
        <f t="shared" si="24"/>
        <v>0</v>
      </c>
      <c r="T114" s="951">
        <v>45488</v>
      </c>
      <c r="U114" s="339">
        <f t="shared" ca="1" si="25"/>
        <v>176</v>
      </c>
      <c r="W114" s="373"/>
      <c r="X114" s="373"/>
      <c r="Y114" s="373"/>
      <c r="Z114" s="373"/>
      <c r="AA114" s="373"/>
      <c r="AB114" s="373"/>
      <c r="AC114" s="373"/>
      <c r="AD114" s="373"/>
      <c r="AE114" s="373"/>
      <c r="AF114" s="373"/>
      <c r="AG114" s="373"/>
      <c r="AH114" s="553"/>
      <c r="AI114" s="553"/>
      <c r="AJ114" s="553"/>
      <c r="AK114" s="553"/>
      <c r="AL114" s="553"/>
      <c r="AM114" s="621"/>
      <c r="AN114" s="621"/>
      <c r="AO114" s="642"/>
      <c r="AP114" s="642"/>
      <c r="AQ114" s="642"/>
      <c r="AR114" s="642"/>
      <c r="AS114" s="642"/>
      <c r="AT114" s="642"/>
      <c r="AU114" s="642"/>
      <c r="AV114" s="642"/>
      <c r="AW114" s="642"/>
      <c r="AX114" s="642"/>
      <c r="AY114" s="642"/>
      <c r="AZ114" s="815"/>
      <c r="BA114" s="815"/>
      <c r="BB114" s="815"/>
      <c r="BC114" s="815"/>
      <c r="BD114" s="815"/>
      <c r="BE114" s="815"/>
      <c r="BF114" s="815"/>
      <c r="BG114" s="815"/>
      <c r="BH114" s="815"/>
      <c r="BI114" s="815"/>
      <c r="BJ114" s="815"/>
      <c r="BK114" s="815"/>
      <c r="BL114" s="815"/>
      <c r="BM114" s="815"/>
      <c r="BN114" s="1224"/>
      <c r="BO114" s="1224"/>
      <c r="BP114" s="1224"/>
      <c r="BQ114" s="1224"/>
      <c r="BR114" s="1224"/>
      <c r="BS114" s="1224"/>
      <c r="BT114" s="1224"/>
      <c r="BU114" s="1224"/>
      <c r="BV114" s="1224"/>
      <c r="BW114" s="1224"/>
      <c r="BX114" s="647"/>
      <c r="BY114" s="633" t="s">
        <v>7</v>
      </c>
    </row>
    <row r="115" spans="1:77" ht="19.5" hidden="1" customHeight="1" x14ac:dyDescent="0.35">
      <c r="A115" s="950" t="s">
        <v>4496</v>
      </c>
      <c r="B115" s="641"/>
      <c r="C115" s="332" t="s">
        <v>3966</v>
      </c>
      <c r="D115" s="333"/>
      <c r="E115" s="333" t="s">
        <v>3058</v>
      </c>
      <c r="F115" s="333"/>
      <c r="G115" s="334"/>
      <c r="H115" s="333"/>
      <c r="I115" s="333"/>
      <c r="J115" s="333"/>
      <c r="K115" s="333"/>
      <c r="L115" s="333"/>
      <c r="N115" s="335" t="s">
        <v>61</v>
      </c>
      <c r="O115" s="336" t="s">
        <v>62</v>
      </c>
      <c r="P115" s="336"/>
      <c r="Q115" s="337"/>
      <c r="S115" s="338">
        <f t="shared" si="24"/>
        <v>2</v>
      </c>
      <c r="T115" s="951">
        <v>45434</v>
      </c>
      <c r="U115" s="339">
        <f t="shared" ca="1" si="25"/>
        <v>230</v>
      </c>
      <c r="W115" s="373"/>
      <c r="X115" s="373"/>
      <c r="Y115" s="373"/>
      <c r="Z115" s="373"/>
      <c r="AA115" s="373"/>
      <c r="AB115" s="373"/>
      <c r="AC115" s="373"/>
      <c r="AD115" s="373"/>
      <c r="AE115" s="373"/>
      <c r="AF115" s="373"/>
      <c r="AG115" s="373"/>
      <c r="AH115" s="553"/>
      <c r="AI115" s="553"/>
      <c r="AJ115" s="553"/>
      <c r="AK115" s="553"/>
      <c r="AL115" s="553"/>
      <c r="AM115" s="621"/>
      <c r="AN115" s="557" t="s">
        <v>3687</v>
      </c>
      <c r="AO115" s="642"/>
      <c r="AP115" s="642"/>
      <c r="AQ115" s="642"/>
      <c r="AR115" s="642"/>
      <c r="AS115" s="642"/>
      <c r="AT115" s="642"/>
      <c r="AU115" s="642"/>
      <c r="AV115" s="642"/>
      <c r="AW115" s="642"/>
      <c r="AX115" s="642"/>
      <c r="AY115" s="642"/>
      <c r="AZ115" s="815"/>
      <c r="BA115" s="815"/>
      <c r="BB115" s="815"/>
      <c r="BC115" s="815"/>
      <c r="BD115" s="815"/>
      <c r="BE115" s="985" t="s">
        <v>3312</v>
      </c>
      <c r="BF115" s="815"/>
      <c r="BG115" s="815"/>
      <c r="BH115" s="815"/>
      <c r="BI115" s="815"/>
      <c r="BJ115" s="815"/>
      <c r="BK115" s="815"/>
      <c r="BL115" s="815"/>
      <c r="BM115" s="815"/>
      <c r="BN115" s="1224"/>
      <c r="BO115" s="1224"/>
      <c r="BP115" s="1224"/>
      <c r="BQ115" s="1224"/>
      <c r="BR115" s="1224"/>
      <c r="BS115" s="1224"/>
      <c r="BT115" s="1224"/>
      <c r="BU115" s="1224"/>
      <c r="BV115" s="1224"/>
      <c r="BW115" s="1224"/>
      <c r="BX115" s="647"/>
      <c r="BY115" s="633" t="s">
        <v>7</v>
      </c>
    </row>
    <row r="116" spans="1:77" ht="19.5" hidden="1" customHeight="1" x14ac:dyDescent="0.35">
      <c r="A116" s="1311" t="s">
        <v>4497</v>
      </c>
      <c r="B116" s="1278"/>
      <c r="C116" s="1278" t="s">
        <v>5324</v>
      </c>
      <c r="D116" s="1279"/>
      <c r="E116" s="1279" t="s">
        <v>3058</v>
      </c>
      <c r="F116" s="1279"/>
      <c r="G116" s="1280"/>
      <c r="H116" s="1279"/>
      <c r="I116" s="1279"/>
      <c r="J116" s="1279"/>
      <c r="K116" s="1279" t="s">
        <v>2724</v>
      </c>
      <c r="L116" s="1310" t="s">
        <v>5325</v>
      </c>
      <c r="M116" s="1281"/>
      <c r="N116" s="1282" t="s">
        <v>61</v>
      </c>
      <c r="O116" s="1283" t="s">
        <v>79</v>
      </c>
      <c r="P116" s="1283"/>
      <c r="Q116" s="1284"/>
      <c r="R116" s="1285"/>
      <c r="S116" s="1286">
        <f t="shared" si="24"/>
        <v>1</v>
      </c>
      <c r="T116" s="1287"/>
      <c r="U116" s="1288" t="str">
        <f t="shared" ca="1" si="25"/>
        <v/>
      </c>
      <c r="V116" s="1285"/>
      <c r="W116" s="1289"/>
      <c r="X116" s="1289"/>
      <c r="Y116" s="1289"/>
      <c r="Z116" s="1289"/>
      <c r="AA116" s="1289"/>
      <c r="AB116" s="1289"/>
      <c r="AC116" s="1289"/>
      <c r="AD116" s="1289"/>
      <c r="AE116" s="1289"/>
      <c r="AF116" s="1289"/>
      <c r="AG116" s="1289"/>
      <c r="AH116" s="1289"/>
      <c r="AI116" s="1289"/>
      <c r="AJ116" s="1289"/>
      <c r="AK116" s="1289"/>
      <c r="AL116" s="1289"/>
      <c r="AM116" s="1289"/>
      <c r="AN116" s="1289"/>
      <c r="AO116" s="1289"/>
      <c r="AP116" s="1289"/>
      <c r="AQ116" s="1289"/>
      <c r="AR116" s="1289"/>
      <c r="AS116" s="1289"/>
      <c r="AT116" s="1289"/>
      <c r="AU116" s="1289"/>
      <c r="AV116" s="1289"/>
      <c r="AW116" s="1289"/>
      <c r="AX116" s="1289"/>
      <c r="AY116" s="1289"/>
      <c r="AZ116" s="1289"/>
      <c r="BA116" s="1289"/>
      <c r="BB116" s="1289"/>
      <c r="BC116" s="1289"/>
      <c r="BD116" s="1289"/>
      <c r="BE116" s="1289"/>
      <c r="BF116" s="1289"/>
      <c r="BG116" s="1289"/>
      <c r="BH116" s="1289"/>
      <c r="BI116" s="1289"/>
      <c r="BJ116" s="1289"/>
      <c r="BK116" s="1289"/>
      <c r="BL116" s="1289"/>
      <c r="BM116" s="1289"/>
      <c r="BN116" s="1289" t="s">
        <v>3066</v>
      </c>
      <c r="BO116" s="1289"/>
      <c r="BP116" s="1289"/>
      <c r="BQ116" s="1289"/>
      <c r="BR116" s="1289"/>
      <c r="BS116" s="1289"/>
      <c r="BT116" s="1289"/>
      <c r="BU116" s="1289"/>
      <c r="BV116" s="1289"/>
      <c r="BW116" s="1289"/>
      <c r="BX116" s="1290"/>
      <c r="BY116" s="1291" t="s">
        <v>7</v>
      </c>
    </row>
    <row r="117" spans="1:77" ht="19.5" hidden="1" customHeight="1" x14ac:dyDescent="0.35">
      <c r="A117" s="1277"/>
      <c r="B117" s="641"/>
      <c r="C117" s="389" t="s">
        <v>2920</v>
      </c>
      <c r="D117" s="390"/>
      <c r="E117" s="390" t="s">
        <v>3058</v>
      </c>
      <c r="F117" s="390"/>
      <c r="G117" s="391" t="s">
        <v>3188</v>
      </c>
      <c r="H117" s="390">
        <v>2023</v>
      </c>
      <c r="I117" s="390" t="s">
        <v>3162</v>
      </c>
      <c r="J117" s="390" t="s">
        <v>3138</v>
      </c>
      <c r="K117" s="390" t="s">
        <v>2724</v>
      </c>
      <c r="L117" s="392" t="s">
        <v>3189</v>
      </c>
      <c r="M117" s="393"/>
      <c r="N117" s="394" t="s">
        <v>61</v>
      </c>
      <c r="O117" s="395" t="s">
        <v>62</v>
      </c>
      <c r="P117" s="395"/>
      <c r="Q117" s="396"/>
      <c r="R117" s="397"/>
      <c r="S117" s="338">
        <f t="shared" si="24"/>
        <v>6</v>
      </c>
      <c r="T117" s="951"/>
      <c r="U117" s="339" t="str">
        <f t="shared" ca="1" si="25"/>
        <v/>
      </c>
      <c r="V117" s="397"/>
      <c r="W117" s="419"/>
      <c r="X117" s="419"/>
      <c r="Y117" s="419"/>
      <c r="Z117" s="419"/>
      <c r="AA117" s="419" t="s">
        <v>3261</v>
      </c>
      <c r="AB117" s="419"/>
      <c r="AC117" s="419"/>
      <c r="AD117" s="419"/>
      <c r="AE117" s="419"/>
      <c r="AF117" s="419"/>
      <c r="AG117" s="419"/>
      <c r="AH117" s="553"/>
      <c r="AI117" s="553"/>
      <c r="AJ117" s="553"/>
      <c r="AK117" s="553"/>
      <c r="AL117" s="553"/>
      <c r="AM117" s="621"/>
      <c r="AN117" s="621" t="s">
        <v>3687</v>
      </c>
      <c r="AO117" s="642"/>
      <c r="AP117" s="642"/>
      <c r="AQ117" s="642"/>
      <c r="AR117" s="642"/>
      <c r="AS117" s="642"/>
      <c r="AT117" s="642"/>
      <c r="AU117" s="642"/>
      <c r="AV117" s="642"/>
      <c r="AW117" s="779" t="s">
        <v>3811</v>
      </c>
      <c r="AX117" s="642"/>
      <c r="AY117" s="642"/>
      <c r="AZ117" s="815"/>
      <c r="BA117" s="815"/>
      <c r="BB117" s="815"/>
      <c r="BC117" s="815"/>
      <c r="BD117" s="1130" t="s">
        <v>4273</v>
      </c>
      <c r="BE117" s="815"/>
      <c r="BF117" s="815"/>
      <c r="BG117" s="815"/>
      <c r="BH117" s="815"/>
      <c r="BI117" s="815"/>
      <c r="BJ117" s="1130" t="s">
        <v>4273</v>
      </c>
      <c r="BK117" s="557" t="s">
        <v>4633</v>
      </c>
      <c r="BL117" s="815"/>
      <c r="BM117" s="815"/>
      <c r="BN117" s="1224"/>
      <c r="BO117" s="1224"/>
      <c r="BP117" s="1224"/>
      <c r="BQ117" s="1224"/>
      <c r="BR117" s="1224"/>
      <c r="BS117" s="1224"/>
      <c r="BT117" s="1224"/>
      <c r="BU117" s="1224"/>
      <c r="BV117" s="1224"/>
      <c r="BW117" s="1224"/>
      <c r="BX117" s="647"/>
      <c r="BY117" s="633" t="s">
        <v>7</v>
      </c>
    </row>
    <row r="118" spans="1:77" ht="19.5" hidden="1" customHeight="1" x14ac:dyDescent="0.35">
      <c r="B118" s="641"/>
      <c r="C118" s="332" t="s">
        <v>3067</v>
      </c>
      <c r="D118" s="333" t="s">
        <v>3068</v>
      </c>
      <c r="E118" s="333" t="s">
        <v>3058</v>
      </c>
      <c r="F118" s="333" t="s">
        <v>3069</v>
      </c>
      <c r="G118" s="334">
        <v>400</v>
      </c>
      <c r="H118" s="333">
        <v>2023</v>
      </c>
      <c r="I118" s="333" t="s">
        <v>3070</v>
      </c>
      <c r="J118" s="333"/>
      <c r="K118" s="333" t="s">
        <v>2724</v>
      </c>
      <c r="L118" s="340" t="s">
        <v>3071</v>
      </c>
      <c r="M118" s="328" t="s">
        <v>731</v>
      </c>
      <c r="N118" s="335" t="s">
        <v>78</v>
      </c>
      <c r="O118" s="336" t="s">
        <v>86</v>
      </c>
      <c r="P118" s="336"/>
      <c r="Q118" s="337"/>
      <c r="S118" s="338">
        <f t="shared" si="24"/>
        <v>5</v>
      </c>
      <c r="T118" s="951">
        <v>45462</v>
      </c>
      <c r="U118" s="339">
        <f t="shared" ca="1" si="25"/>
        <v>202</v>
      </c>
      <c r="W118" s="373"/>
      <c r="X118" s="373"/>
      <c r="Y118" s="373"/>
      <c r="Z118" s="373"/>
      <c r="AA118" s="373" t="s">
        <v>3296</v>
      </c>
      <c r="AB118" s="373" t="s">
        <v>3316</v>
      </c>
      <c r="AC118" s="373"/>
      <c r="AD118" s="373"/>
      <c r="AE118" s="373"/>
      <c r="AF118" s="373"/>
      <c r="AG118" s="373"/>
      <c r="AH118" s="553"/>
      <c r="AI118" s="553" t="s">
        <v>3619</v>
      </c>
      <c r="AJ118" s="553"/>
      <c r="AK118" s="553"/>
      <c r="AL118" s="553"/>
      <c r="AM118" s="621"/>
      <c r="AN118" s="621"/>
      <c r="AO118" s="642"/>
      <c r="AP118" s="642"/>
      <c r="AQ118" s="642"/>
      <c r="AR118" s="642" t="s">
        <v>4256</v>
      </c>
      <c r="AS118" s="642"/>
      <c r="AT118" s="642"/>
      <c r="AU118" s="642"/>
      <c r="AV118" s="642"/>
      <c r="AW118" s="642"/>
      <c r="AX118" s="642"/>
      <c r="AY118" s="642"/>
      <c r="AZ118" s="815"/>
      <c r="BA118" s="815"/>
      <c r="BB118" s="815"/>
      <c r="BC118" s="815"/>
      <c r="BD118" s="815"/>
      <c r="BE118" s="815"/>
      <c r="BF118" s="815"/>
      <c r="BG118" s="815"/>
      <c r="BH118" s="815"/>
      <c r="BI118" s="815"/>
      <c r="BJ118" s="815"/>
      <c r="BK118" s="815"/>
      <c r="BL118" s="815"/>
      <c r="BM118" s="815" t="s">
        <v>5267</v>
      </c>
      <c r="BN118" s="1224"/>
      <c r="BO118" s="1224"/>
      <c r="BP118" s="1224"/>
      <c r="BQ118" s="1224"/>
      <c r="BR118" s="1224"/>
      <c r="BS118" s="1224"/>
      <c r="BT118" s="1224"/>
      <c r="BU118" s="1224"/>
      <c r="BV118" s="1224"/>
      <c r="BW118" s="1224"/>
      <c r="BX118" s="647"/>
      <c r="BY118" s="633" t="s">
        <v>7</v>
      </c>
    </row>
    <row r="119" spans="1:77" ht="19.5" customHeight="1" x14ac:dyDescent="0.35">
      <c r="A119" s="950" t="s">
        <v>3797</v>
      </c>
      <c r="B119" s="641"/>
      <c r="C119" s="332" t="s">
        <v>3116</v>
      </c>
      <c r="D119" s="333"/>
      <c r="E119" s="333" t="s">
        <v>3058</v>
      </c>
      <c r="F119" s="333"/>
      <c r="G119" s="334"/>
      <c r="H119" s="333"/>
      <c r="I119" s="333"/>
      <c r="J119" s="333"/>
      <c r="K119" s="333"/>
      <c r="L119" s="333" t="s">
        <v>3117</v>
      </c>
      <c r="N119" s="335" t="s">
        <v>153</v>
      </c>
      <c r="O119" s="336"/>
      <c r="P119" s="336"/>
      <c r="Q119" s="337" t="s">
        <v>78</v>
      </c>
      <c r="S119" s="338">
        <f t="shared" si="24"/>
        <v>4</v>
      </c>
      <c r="T119" s="951">
        <v>45558</v>
      </c>
      <c r="U119" s="339">
        <f t="shared" ca="1" si="25"/>
        <v>106</v>
      </c>
      <c r="W119" s="373"/>
      <c r="X119" s="373"/>
      <c r="Y119" s="373"/>
      <c r="Z119" s="373"/>
      <c r="AA119" s="373"/>
      <c r="AB119" s="373" t="s">
        <v>3556</v>
      </c>
      <c r="AC119" s="373"/>
      <c r="AD119" s="373"/>
      <c r="AE119" s="373"/>
      <c r="AF119" s="373"/>
      <c r="AG119" s="373"/>
      <c r="AH119" s="553"/>
      <c r="AI119" s="553"/>
      <c r="AJ119" s="553"/>
      <c r="AK119" s="553"/>
      <c r="AL119" s="553"/>
      <c r="AM119" s="621"/>
      <c r="AN119" s="621"/>
      <c r="AO119" s="642"/>
      <c r="AP119" s="642"/>
      <c r="AQ119" s="642"/>
      <c r="AR119" s="642"/>
      <c r="AS119" s="642"/>
      <c r="AT119" s="642"/>
      <c r="AU119" s="642"/>
      <c r="AV119" s="642"/>
      <c r="AW119" s="642"/>
      <c r="AX119" s="642"/>
      <c r="AY119" s="642"/>
      <c r="AZ119" s="815"/>
      <c r="BA119" s="815"/>
      <c r="BB119" s="815"/>
      <c r="BC119" s="815"/>
      <c r="BD119" s="815" t="s">
        <v>4440</v>
      </c>
      <c r="BE119" s="815"/>
      <c r="BF119" s="815" t="s">
        <v>3312</v>
      </c>
      <c r="BG119" s="815"/>
      <c r="BH119" s="815"/>
      <c r="BI119" s="815"/>
      <c r="BJ119" s="557" t="s">
        <v>4633</v>
      </c>
      <c r="BK119" s="815"/>
      <c r="BL119" s="815"/>
      <c r="BM119" s="815"/>
      <c r="BN119" s="1224"/>
      <c r="BO119" s="1224"/>
      <c r="BP119" s="1224"/>
      <c r="BQ119" s="1224"/>
      <c r="BR119" s="1224"/>
      <c r="BS119" s="1224"/>
      <c r="BT119" s="1224"/>
      <c r="BU119" s="1224"/>
      <c r="BV119" s="1224"/>
      <c r="BW119" s="1224"/>
      <c r="BX119" s="647"/>
      <c r="BY119" s="633" t="s">
        <v>7</v>
      </c>
    </row>
    <row r="120" spans="1:77" ht="19.5" hidden="1" customHeight="1" x14ac:dyDescent="0.35">
      <c r="B120" s="1337" t="s">
        <v>3334</v>
      </c>
      <c r="C120" s="1337" t="s">
        <v>3334</v>
      </c>
      <c r="D120" s="1337" t="s">
        <v>3334</v>
      </c>
      <c r="E120" s="1337" t="s">
        <v>3334</v>
      </c>
      <c r="F120" s="1337" t="s">
        <v>3334</v>
      </c>
      <c r="G120" s="1337" t="s">
        <v>3334</v>
      </c>
      <c r="H120" s="1337" t="s">
        <v>3334</v>
      </c>
      <c r="I120" s="1337" t="s">
        <v>3334</v>
      </c>
      <c r="J120" s="1337" t="s">
        <v>3334</v>
      </c>
      <c r="K120" s="1337" t="s">
        <v>3334</v>
      </c>
      <c r="L120" s="1337" t="s">
        <v>3334</v>
      </c>
      <c r="M120" s="447" t="s">
        <v>3334</v>
      </c>
      <c r="N120" s="1337" t="s">
        <v>3334</v>
      </c>
      <c r="O120" s="1337" t="s">
        <v>3334</v>
      </c>
      <c r="P120" s="1337" t="s">
        <v>3334</v>
      </c>
      <c r="Q120" s="1337" t="s">
        <v>3334</v>
      </c>
      <c r="R120" s="447" t="s">
        <v>3334</v>
      </c>
      <c r="S120" s="1337" t="s">
        <v>3334</v>
      </c>
      <c r="T120" s="1337" t="s">
        <v>3334</v>
      </c>
      <c r="U120" s="1337" t="s">
        <v>3334</v>
      </c>
      <c r="V120" s="447" t="s">
        <v>3334</v>
      </c>
      <c r="W120" s="1337" t="s">
        <v>3334</v>
      </c>
      <c r="X120" s="1337" t="s">
        <v>3334</v>
      </c>
      <c r="Y120" s="1337" t="s">
        <v>3334</v>
      </c>
      <c r="Z120" s="1337" t="s">
        <v>3334</v>
      </c>
      <c r="AA120" s="1337" t="s">
        <v>3334</v>
      </c>
      <c r="AB120" s="1337" t="s">
        <v>3334</v>
      </c>
      <c r="AC120" s="1337" t="s">
        <v>3334</v>
      </c>
      <c r="AD120" s="1337" t="s">
        <v>3334</v>
      </c>
      <c r="AE120" s="1337" t="s">
        <v>3334</v>
      </c>
      <c r="AF120" s="1337" t="s">
        <v>3334</v>
      </c>
      <c r="AG120" s="1337" t="s">
        <v>3334</v>
      </c>
      <c r="AH120" s="1337" t="s">
        <v>3334</v>
      </c>
      <c r="AI120" s="1337" t="s">
        <v>3334</v>
      </c>
      <c r="AJ120" s="1337" t="s">
        <v>3334</v>
      </c>
      <c r="AK120" s="1337" t="s">
        <v>3334</v>
      </c>
      <c r="AL120" s="1337" t="s">
        <v>3334</v>
      </c>
      <c r="AM120" s="1337" t="s">
        <v>3334</v>
      </c>
      <c r="AN120" s="1337" t="s">
        <v>3334</v>
      </c>
      <c r="AO120" s="1337" t="s">
        <v>3334</v>
      </c>
      <c r="AP120" s="1337" t="s">
        <v>3334</v>
      </c>
      <c r="AQ120" s="1337" t="s">
        <v>3334</v>
      </c>
      <c r="AR120" s="1337" t="s">
        <v>3334</v>
      </c>
      <c r="AS120" s="1337" t="s">
        <v>3334</v>
      </c>
      <c r="AT120" s="1337" t="s">
        <v>3334</v>
      </c>
      <c r="AU120" s="1337" t="s">
        <v>3334</v>
      </c>
      <c r="AV120" s="1337" t="s">
        <v>3334</v>
      </c>
      <c r="AW120" s="1337" t="s">
        <v>3334</v>
      </c>
      <c r="AX120" s="1337" t="s">
        <v>3334</v>
      </c>
      <c r="AY120" s="1337" t="s">
        <v>3334</v>
      </c>
      <c r="AZ120" s="1352" t="s">
        <v>3334</v>
      </c>
      <c r="BA120" s="1352" t="s">
        <v>3334</v>
      </c>
      <c r="BB120" s="1352" t="s">
        <v>3334</v>
      </c>
      <c r="BC120" s="1352" t="s">
        <v>3334</v>
      </c>
      <c r="BD120" s="1352" t="s">
        <v>3334</v>
      </c>
      <c r="BE120" s="1352" t="s">
        <v>3334</v>
      </c>
      <c r="BF120" s="1352" t="s">
        <v>3334</v>
      </c>
      <c r="BG120" s="1352" t="s">
        <v>3334</v>
      </c>
      <c r="BH120" s="1352" t="s">
        <v>3334</v>
      </c>
      <c r="BI120" s="1352" t="s">
        <v>3334</v>
      </c>
      <c r="BJ120" s="1352" t="s">
        <v>3334</v>
      </c>
      <c r="BK120" s="1352" t="s">
        <v>3334</v>
      </c>
      <c r="BL120" s="1352" t="s">
        <v>3334</v>
      </c>
      <c r="BM120" s="1352" t="s">
        <v>3334</v>
      </c>
      <c r="BN120" s="1354" t="s">
        <v>3334</v>
      </c>
      <c r="BO120" s="1354" t="s">
        <v>3334</v>
      </c>
      <c r="BP120" s="1354" t="s">
        <v>3334</v>
      </c>
      <c r="BQ120" s="1354" t="s">
        <v>3334</v>
      </c>
      <c r="BR120" s="1354" t="s">
        <v>3334</v>
      </c>
      <c r="BS120" s="1354" t="s">
        <v>3334</v>
      </c>
      <c r="BT120" s="1354" t="s">
        <v>3334</v>
      </c>
      <c r="BU120" s="1354"/>
      <c r="BV120" s="1354"/>
      <c r="BW120" s="1354"/>
      <c r="BX120" s="1337" t="s">
        <v>3334</v>
      </c>
      <c r="BY120" s="447" t="s">
        <v>3334</v>
      </c>
    </row>
    <row r="121" spans="1:77" ht="19.5" hidden="1" customHeight="1" x14ac:dyDescent="0.35">
      <c r="A121" s="324" t="s">
        <v>3334</v>
      </c>
      <c r="B121" s="1338"/>
      <c r="C121" s="1339"/>
      <c r="G121" s="1340"/>
      <c r="L121" s="1342"/>
      <c r="N121" s="1343"/>
      <c r="O121" s="1344"/>
      <c r="P121" s="1344"/>
      <c r="S121" s="1345"/>
      <c r="T121" s="1346"/>
      <c r="U121" s="1347"/>
      <c r="W121" s="1348"/>
      <c r="X121" s="1348"/>
      <c r="Y121" s="1348"/>
      <c r="Z121" s="1348"/>
      <c r="AA121" s="1348"/>
      <c r="AB121" s="1348"/>
      <c r="AC121" s="1348"/>
      <c r="AD121" s="1348"/>
      <c r="AE121" s="1348"/>
      <c r="AF121" s="1348"/>
      <c r="AG121" s="1348"/>
      <c r="AH121" s="1349"/>
      <c r="AI121" s="1349"/>
      <c r="AJ121" s="1349"/>
      <c r="AK121" s="1349"/>
      <c r="AL121" s="1349"/>
      <c r="AM121" s="1350"/>
      <c r="AN121" s="1350"/>
      <c r="AO121" s="1351"/>
      <c r="AP121" s="1351"/>
      <c r="AQ121" s="1351"/>
      <c r="AR121" s="1351"/>
      <c r="AS121" s="1351"/>
      <c r="AT121" s="1351"/>
      <c r="AU121" s="1351"/>
      <c r="AV121" s="1351"/>
      <c r="AW121" s="1351"/>
      <c r="AX121" s="1351"/>
      <c r="AY121" s="1351"/>
      <c r="AZ121" s="1353"/>
      <c r="BA121" s="1353"/>
      <c r="BB121" s="1353"/>
      <c r="BC121" s="1353"/>
      <c r="BD121" s="1353"/>
      <c r="BE121" s="1353"/>
      <c r="BF121" s="1353"/>
      <c r="BG121" s="1353"/>
      <c r="BH121" s="1353"/>
      <c r="BI121" s="1353"/>
      <c r="BJ121" s="1353"/>
      <c r="BK121" s="1353"/>
      <c r="BL121" s="1353"/>
      <c r="BM121" s="1353"/>
      <c r="BN121" s="1355"/>
      <c r="BO121" s="1355"/>
      <c r="BP121" s="1355"/>
      <c r="BQ121" s="1355"/>
      <c r="BR121" s="1355"/>
      <c r="BS121" s="1355"/>
      <c r="BT121" s="1355"/>
      <c r="BU121" s="1355"/>
      <c r="BV121" s="1355"/>
      <c r="BW121" s="1355"/>
      <c r="BX121" s="1356"/>
      <c r="BY121" s="633" t="s">
        <v>7</v>
      </c>
    </row>
    <row r="122" spans="1:77" hidden="1" x14ac:dyDescent="0.35">
      <c r="C122" s="330"/>
      <c r="M122" s="328" t="s">
        <v>731</v>
      </c>
      <c r="AH122" s="555"/>
      <c r="AI122" s="555"/>
      <c r="AJ122" s="555"/>
      <c r="AK122" s="555"/>
      <c r="AL122" s="555"/>
      <c r="AM122" s="620"/>
      <c r="AN122" s="620"/>
      <c r="AO122" s="620"/>
      <c r="AZ122" s="817"/>
      <c r="BA122" s="817"/>
      <c r="BB122" s="817"/>
      <c r="BC122" s="817"/>
      <c r="BD122" s="817"/>
      <c r="BE122" s="817"/>
      <c r="BF122" s="817"/>
      <c r="BG122" s="817"/>
      <c r="BH122" s="817"/>
      <c r="BI122" s="817"/>
      <c r="BJ122" s="817"/>
      <c r="BK122" s="817"/>
      <c r="BL122" s="817"/>
      <c r="BM122" s="817"/>
      <c r="BN122" s="1232"/>
      <c r="BO122" s="1232"/>
      <c r="BP122" s="1232"/>
      <c r="BQ122" s="1232"/>
      <c r="BR122" s="1232"/>
      <c r="BS122" s="1232"/>
      <c r="BT122" s="1232"/>
      <c r="BU122" s="1232"/>
      <c r="BV122" s="1232"/>
      <c r="BW122" s="1232"/>
      <c r="BY122" s="633"/>
    </row>
    <row r="123" spans="1:77" outlineLevel="1" x14ac:dyDescent="0.35">
      <c r="D123" s="330"/>
      <c r="E123" s="342" t="s">
        <v>3152</v>
      </c>
      <c r="I123" s="342" t="s">
        <v>3152</v>
      </c>
      <c r="J123" s="342" t="s">
        <v>3152</v>
      </c>
      <c r="N123" s="342" t="s">
        <v>3152</v>
      </c>
      <c r="O123" s="342" t="s">
        <v>3152</v>
      </c>
      <c r="P123" s="342" t="s">
        <v>3152</v>
      </c>
      <c r="AH123" s="555"/>
      <c r="AI123" s="555"/>
      <c r="AJ123" s="555"/>
      <c r="AK123" s="555"/>
      <c r="AL123" s="555"/>
      <c r="AM123" s="620"/>
      <c r="AN123" s="620"/>
      <c r="AO123" s="620"/>
      <c r="AZ123" s="817"/>
      <c r="BA123" s="817"/>
      <c r="BB123" s="817"/>
      <c r="BC123" s="817"/>
      <c r="BD123" s="817"/>
      <c r="BE123" s="817"/>
      <c r="BF123" s="817"/>
      <c r="BG123" s="817"/>
      <c r="BH123" s="817"/>
      <c r="BI123" s="817"/>
      <c r="BJ123" s="817"/>
      <c r="BK123" s="817"/>
      <c r="BL123" s="817"/>
      <c r="BM123" s="817"/>
      <c r="BN123" s="1232"/>
      <c r="BO123" s="1232"/>
      <c r="BP123" s="1232"/>
      <c r="BQ123" s="1232"/>
      <c r="BR123" s="1232"/>
      <c r="BS123" s="1232"/>
      <c r="BT123" s="1232"/>
      <c r="BU123" s="1232"/>
      <c r="BV123" s="1232"/>
      <c r="BW123" s="1232"/>
      <c r="BY123" s="633"/>
    </row>
    <row r="124" spans="1:77" s="109" customFormat="1" outlineLevel="1" x14ac:dyDescent="0.3">
      <c r="A124" s="324"/>
      <c r="B124" s="325"/>
      <c r="C124" s="326"/>
      <c r="D124" s="330"/>
      <c r="E124" s="342" t="s">
        <v>3093</v>
      </c>
      <c r="F124" s="327"/>
      <c r="G124" s="327"/>
      <c r="H124" s="327"/>
      <c r="I124" s="342" t="s">
        <v>3153</v>
      </c>
      <c r="J124" s="342"/>
      <c r="K124" s="327"/>
      <c r="L124" s="327"/>
      <c r="M124" s="328"/>
      <c r="N124" s="342" t="s">
        <v>3138</v>
      </c>
      <c r="O124" s="342" t="s">
        <v>3138</v>
      </c>
      <c r="P124" s="342" t="s">
        <v>3138</v>
      </c>
      <c r="Q124" s="329"/>
      <c r="R124" s="330"/>
      <c r="S124" s="331"/>
      <c r="T124" s="331"/>
      <c r="U124" s="327"/>
      <c r="V124" s="330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555"/>
      <c r="AI124" s="555"/>
      <c r="AJ124" s="555"/>
      <c r="AK124" s="555"/>
      <c r="AL124" s="555"/>
      <c r="AM124" s="620"/>
      <c r="AN124" s="620"/>
      <c r="AO124" s="620"/>
      <c r="AP124" s="635"/>
      <c r="AQ124" s="635"/>
      <c r="AR124" s="635"/>
      <c r="AS124" s="635"/>
      <c r="AT124" s="635"/>
      <c r="AU124" s="635"/>
      <c r="AV124" s="635"/>
      <c r="AW124" s="635"/>
      <c r="AX124" s="635"/>
      <c r="AY124" s="635"/>
      <c r="AZ124" s="817"/>
      <c r="BA124" s="817"/>
      <c r="BB124" s="817"/>
      <c r="BC124" s="817"/>
      <c r="BD124" s="817"/>
      <c r="BE124" s="817"/>
      <c r="BF124" s="817"/>
      <c r="BG124" s="817"/>
      <c r="BH124" s="817"/>
      <c r="BI124" s="817"/>
      <c r="BJ124" s="817"/>
      <c r="BK124" s="817"/>
      <c r="BL124" s="817"/>
      <c r="BM124" s="817"/>
      <c r="BN124" s="1232"/>
      <c r="BO124" s="1232"/>
      <c r="BP124" s="1232"/>
      <c r="BQ124" s="1232"/>
      <c r="BR124" s="1232"/>
      <c r="BS124" s="1232"/>
      <c r="BT124" s="1232"/>
      <c r="BU124" s="1232"/>
      <c r="BV124" s="1232"/>
      <c r="BW124" s="1232"/>
      <c r="BX124" s="635"/>
      <c r="BY124" s="633"/>
    </row>
    <row r="125" spans="1:77" s="109" customFormat="1" outlineLevel="1" x14ac:dyDescent="0.3">
      <c r="A125" s="324"/>
      <c r="B125" s="325"/>
      <c r="C125" s="326"/>
      <c r="D125" s="330"/>
      <c r="E125" s="342" t="s">
        <v>3154</v>
      </c>
      <c r="F125" s="327"/>
      <c r="G125" s="327"/>
      <c r="H125" s="327"/>
      <c r="I125" s="342" t="s">
        <v>3138</v>
      </c>
      <c r="J125" s="342" t="s">
        <v>3138</v>
      </c>
      <c r="K125" s="327"/>
      <c r="L125" s="327"/>
      <c r="M125" s="328"/>
      <c r="N125" s="342" t="s">
        <v>78</v>
      </c>
      <c r="O125" s="342" t="s">
        <v>78</v>
      </c>
      <c r="P125" s="342" t="s">
        <v>78</v>
      </c>
      <c r="Q125" s="329"/>
      <c r="R125" s="330"/>
      <c r="S125" s="331"/>
      <c r="T125" s="331"/>
      <c r="U125" s="327"/>
      <c r="V125" s="330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555"/>
      <c r="AI125" s="555"/>
      <c r="AJ125" s="555"/>
      <c r="AK125" s="555"/>
      <c r="AL125" s="555"/>
      <c r="AM125" s="620"/>
      <c r="AN125" s="620"/>
      <c r="AO125" s="620"/>
      <c r="AP125" s="635"/>
      <c r="AQ125" s="635"/>
      <c r="AR125" s="635"/>
      <c r="AS125" s="635"/>
      <c r="AT125" s="635"/>
      <c r="AU125" s="635"/>
      <c r="AV125" s="635"/>
      <c r="AW125" s="635"/>
      <c r="AX125" s="635"/>
      <c r="AY125" s="635"/>
      <c r="AZ125" s="817"/>
      <c r="BA125" s="817"/>
      <c r="BB125" s="817"/>
      <c r="BC125" s="817"/>
      <c r="BD125" s="817"/>
      <c r="BE125" s="817"/>
      <c r="BF125" s="817"/>
      <c r="BG125" s="817"/>
      <c r="BH125" s="817"/>
      <c r="BI125" s="817"/>
      <c r="BJ125" s="817"/>
      <c r="BK125" s="817"/>
      <c r="BL125" s="817"/>
      <c r="BM125" s="817"/>
      <c r="BN125" s="1232"/>
      <c r="BO125" s="1232"/>
      <c r="BP125" s="1232"/>
      <c r="BQ125" s="1232"/>
      <c r="BR125" s="1232"/>
      <c r="BS125" s="1232"/>
      <c r="BT125" s="1232"/>
      <c r="BU125" s="1232"/>
      <c r="BV125" s="1232"/>
      <c r="BW125" s="1232"/>
      <c r="BX125" s="635"/>
      <c r="BY125" s="633"/>
    </row>
    <row r="126" spans="1:77" s="109" customFormat="1" outlineLevel="1" x14ac:dyDescent="0.3">
      <c r="A126" s="324"/>
      <c r="B126" s="325"/>
      <c r="C126" s="326"/>
      <c r="D126" s="330"/>
      <c r="E126" s="343" t="s">
        <v>3058</v>
      </c>
      <c r="F126" s="327"/>
      <c r="G126" s="327"/>
      <c r="H126" s="327"/>
      <c r="I126" s="343" t="s">
        <v>3155</v>
      </c>
      <c r="J126" s="343" t="s">
        <v>3156</v>
      </c>
      <c r="K126" s="327"/>
      <c r="L126" s="327"/>
      <c r="M126" s="328"/>
      <c r="N126" s="343" t="s">
        <v>61</v>
      </c>
      <c r="O126" s="343" t="s">
        <v>61</v>
      </c>
      <c r="P126" s="343" t="s">
        <v>61</v>
      </c>
      <c r="Q126" s="329"/>
      <c r="R126" s="330"/>
      <c r="S126" s="331"/>
      <c r="T126" s="331"/>
      <c r="U126" s="327"/>
      <c r="V126" s="330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555"/>
      <c r="AI126" s="555"/>
      <c r="AJ126" s="555"/>
      <c r="AK126" s="555"/>
      <c r="AL126" s="555"/>
      <c r="AM126" s="620"/>
      <c r="AN126" s="620"/>
      <c r="AO126" s="620"/>
      <c r="AP126" s="635"/>
      <c r="AQ126" s="635"/>
      <c r="AR126" s="635"/>
      <c r="AS126" s="635"/>
      <c r="AT126" s="635"/>
      <c r="AU126" s="635"/>
      <c r="AV126" s="635"/>
      <c r="AW126" s="635"/>
      <c r="AX126" s="635"/>
      <c r="AY126" s="635"/>
      <c r="AZ126" s="817"/>
      <c r="BA126" s="817"/>
      <c r="BB126" s="817"/>
      <c r="BC126" s="817"/>
      <c r="BD126" s="817"/>
      <c r="BE126" s="817"/>
      <c r="BF126" s="817"/>
      <c r="BG126" s="817"/>
      <c r="BH126" s="817"/>
      <c r="BI126" s="817"/>
      <c r="BJ126" s="817"/>
      <c r="BK126" s="817"/>
      <c r="BL126" s="817"/>
      <c r="BM126" s="817"/>
      <c r="BN126" s="1232"/>
      <c r="BO126" s="1232"/>
      <c r="BP126" s="1232"/>
      <c r="BQ126" s="1232"/>
      <c r="BR126" s="1232"/>
      <c r="BS126" s="1232"/>
      <c r="BT126" s="1232"/>
      <c r="BU126" s="1232"/>
      <c r="BV126" s="1232"/>
      <c r="BW126" s="1232"/>
      <c r="BX126" s="635"/>
      <c r="BY126" s="633"/>
    </row>
    <row r="127" spans="1:77" s="109" customFormat="1" outlineLevel="1" x14ac:dyDescent="0.3">
      <c r="A127" s="324"/>
      <c r="B127" s="325"/>
      <c r="C127" s="326"/>
      <c r="D127" s="327"/>
      <c r="E127" s="343" t="s">
        <v>3157</v>
      </c>
      <c r="F127" s="327"/>
      <c r="G127" s="327"/>
      <c r="H127" s="327"/>
      <c r="I127" s="343" t="s">
        <v>3158</v>
      </c>
      <c r="J127" s="343" t="s">
        <v>3159</v>
      </c>
      <c r="K127" s="327"/>
      <c r="L127" s="327"/>
      <c r="M127" s="328"/>
      <c r="N127" s="343" t="s">
        <v>86</v>
      </c>
      <c r="O127" s="343" t="s">
        <v>86</v>
      </c>
      <c r="P127" s="343" t="s">
        <v>86</v>
      </c>
      <c r="Q127" s="329"/>
      <c r="R127" s="330"/>
      <c r="S127" s="331"/>
      <c r="T127" s="331"/>
      <c r="U127" s="327"/>
      <c r="V127" s="330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555"/>
      <c r="AI127" s="555"/>
      <c r="AJ127" s="555"/>
      <c r="AK127" s="555"/>
      <c r="AL127" s="555"/>
      <c r="AM127" s="620"/>
      <c r="AN127" s="620"/>
      <c r="AO127" s="620"/>
      <c r="AP127" s="635"/>
      <c r="AQ127" s="635"/>
      <c r="AR127" s="635"/>
      <c r="AS127" s="635"/>
      <c r="AT127" s="635"/>
      <c r="AU127" s="635"/>
      <c r="AV127" s="635"/>
      <c r="AW127" s="635"/>
      <c r="AX127" s="635"/>
      <c r="AY127" s="635"/>
      <c r="AZ127" s="817"/>
      <c r="BA127" s="817"/>
      <c r="BB127" s="817"/>
      <c r="BC127" s="817"/>
      <c r="BD127" s="817"/>
      <c r="BE127" s="817"/>
      <c r="BF127" s="817"/>
      <c r="BG127" s="817"/>
      <c r="BH127" s="817"/>
      <c r="BI127" s="817"/>
      <c r="BJ127" s="817"/>
      <c r="BK127" s="817"/>
      <c r="BL127" s="817"/>
      <c r="BM127" s="817"/>
      <c r="BN127" s="1232"/>
      <c r="BO127" s="1232"/>
      <c r="BP127" s="1232"/>
      <c r="BQ127" s="1232"/>
      <c r="BR127" s="1232"/>
      <c r="BS127" s="1232"/>
      <c r="BT127" s="1232"/>
      <c r="BU127" s="1232"/>
      <c r="BV127" s="1232"/>
      <c r="BW127" s="1232"/>
      <c r="BX127" s="635"/>
      <c r="BY127" s="633"/>
    </row>
    <row r="128" spans="1:77" s="109" customFormat="1" outlineLevel="1" x14ac:dyDescent="0.3">
      <c r="A128" s="324"/>
      <c r="B128" s="325"/>
      <c r="C128" s="326"/>
      <c r="D128" s="327"/>
      <c r="E128" s="343" t="s">
        <v>3062</v>
      </c>
      <c r="F128" s="327"/>
      <c r="G128" s="327"/>
      <c r="H128" s="327"/>
      <c r="I128" s="343" t="s">
        <v>3139</v>
      </c>
      <c r="J128" s="343" t="s">
        <v>3158</v>
      </c>
      <c r="K128" s="327"/>
      <c r="L128" s="327"/>
      <c r="M128" s="328"/>
      <c r="N128" s="343" t="s">
        <v>79</v>
      </c>
      <c r="O128" s="343" t="s">
        <v>79</v>
      </c>
      <c r="P128" s="343" t="s">
        <v>79</v>
      </c>
      <c r="Q128" s="329"/>
      <c r="R128" s="330"/>
      <c r="S128" s="331"/>
      <c r="T128" s="331"/>
      <c r="U128" s="327"/>
      <c r="V128" s="330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555"/>
      <c r="AI128" s="555"/>
      <c r="AJ128" s="555"/>
      <c r="AK128" s="555"/>
      <c r="AL128" s="555"/>
      <c r="AM128" s="620"/>
      <c r="AN128" s="620"/>
      <c r="AO128" s="620"/>
      <c r="AP128" s="635"/>
      <c r="AQ128" s="635"/>
      <c r="AR128" s="635"/>
      <c r="AS128" s="635"/>
      <c r="AT128" s="635"/>
      <c r="AU128" s="635"/>
      <c r="AV128" s="635"/>
      <c r="AW128" s="635"/>
      <c r="AX128" s="635"/>
      <c r="AY128" s="635"/>
      <c r="AZ128" s="817"/>
      <c r="BA128" s="817"/>
      <c r="BB128" s="817"/>
      <c r="BC128" s="817"/>
      <c r="BD128" s="817"/>
      <c r="BE128" s="817"/>
      <c r="BF128" s="817"/>
      <c r="BG128" s="817"/>
      <c r="BH128" s="817"/>
      <c r="BI128" s="817"/>
      <c r="BJ128" s="817"/>
      <c r="BK128" s="817"/>
      <c r="BL128" s="817"/>
      <c r="BM128" s="817"/>
      <c r="BN128" s="1232"/>
      <c r="BO128" s="1232"/>
      <c r="BP128" s="1232"/>
      <c r="BQ128" s="1232"/>
      <c r="BR128" s="1232"/>
      <c r="BS128" s="1232"/>
      <c r="BT128" s="1232"/>
      <c r="BU128" s="1232"/>
      <c r="BV128" s="1232"/>
      <c r="BW128" s="1232"/>
      <c r="BX128" s="635"/>
      <c r="BY128" s="633"/>
    </row>
    <row r="129" spans="1:77" s="109" customFormat="1" outlineLevel="1" x14ac:dyDescent="0.3">
      <c r="A129" s="324"/>
      <c r="B129" s="325"/>
      <c r="C129" s="326"/>
      <c r="D129" s="327"/>
      <c r="E129" s="343" t="s">
        <v>3138</v>
      </c>
      <c r="F129" s="327"/>
      <c r="G129" s="327"/>
      <c r="H129" s="327"/>
      <c r="I129" s="343" t="s">
        <v>3160</v>
      </c>
      <c r="J129" s="343" t="s">
        <v>3094</v>
      </c>
      <c r="K129" s="327"/>
      <c r="L129" s="327"/>
      <c r="M129" s="328"/>
      <c r="N129" s="343" t="s">
        <v>62</v>
      </c>
      <c r="O129" s="343" t="s">
        <v>62</v>
      </c>
      <c r="P129" s="343" t="s">
        <v>62</v>
      </c>
      <c r="Q129" s="329"/>
      <c r="R129" s="330"/>
      <c r="S129" s="331"/>
      <c r="T129" s="331"/>
      <c r="U129" s="327"/>
      <c r="V129" s="330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555"/>
      <c r="AI129" s="555"/>
      <c r="AJ129" s="555"/>
      <c r="AK129" s="555"/>
      <c r="AL129" s="555"/>
      <c r="AM129" s="620"/>
      <c r="AN129" s="620"/>
      <c r="AO129" s="620"/>
      <c r="AP129" s="635"/>
      <c r="AQ129" s="635"/>
      <c r="AR129" s="635"/>
      <c r="AS129" s="635"/>
      <c r="AT129" s="635"/>
      <c r="AU129" s="635"/>
      <c r="AV129" s="635"/>
      <c r="AW129" s="635"/>
      <c r="AX129" s="635"/>
      <c r="AY129" s="635"/>
      <c r="AZ129" s="817"/>
      <c r="BA129" s="817"/>
      <c r="BB129" s="817"/>
      <c r="BC129" s="817"/>
      <c r="BD129" s="817"/>
      <c r="BE129" s="817"/>
      <c r="BF129" s="817"/>
      <c r="BG129" s="817"/>
      <c r="BH129" s="817"/>
      <c r="BI129" s="817"/>
      <c r="BJ129" s="817"/>
      <c r="BK129" s="817"/>
      <c r="BL129" s="817"/>
      <c r="BM129" s="817"/>
      <c r="BN129" s="1232"/>
      <c r="BO129" s="1232"/>
      <c r="BP129" s="1232"/>
      <c r="BQ129" s="1232"/>
      <c r="BR129" s="1232"/>
      <c r="BS129" s="1232"/>
      <c r="BT129" s="1232"/>
      <c r="BU129" s="1232"/>
      <c r="BV129" s="1232"/>
      <c r="BW129" s="1232"/>
      <c r="BX129" s="635"/>
      <c r="BY129" s="633"/>
    </row>
    <row r="130" spans="1:77" s="109" customFormat="1" outlineLevel="1" x14ac:dyDescent="0.3">
      <c r="A130" s="324"/>
      <c r="B130" s="325"/>
      <c r="C130" s="326"/>
      <c r="D130" s="327"/>
      <c r="E130" s="343" t="s">
        <v>3335</v>
      </c>
      <c r="F130" s="327"/>
      <c r="G130" s="327"/>
      <c r="H130" s="327"/>
      <c r="I130" s="343" t="s">
        <v>3070</v>
      </c>
      <c r="J130" s="343" t="s">
        <v>3139</v>
      </c>
      <c r="K130" s="327"/>
      <c r="L130" s="327"/>
      <c r="M130" s="328"/>
      <c r="N130" s="343" t="s">
        <v>153</v>
      </c>
      <c r="O130" s="343" t="s">
        <v>153</v>
      </c>
      <c r="P130" s="343" t="s">
        <v>153</v>
      </c>
      <c r="Q130" s="329"/>
      <c r="R130" s="330"/>
      <c r="S130" s="331"/>
      <c r="T130" s="331"/>
      <c r="U130" s="327"/>
      <c r="V130" s="330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555"/>
      <c r="AI130" s="555"/>
      <c r="AJ130" s="555"/>
      <c r="AK130" s="555"/>
      <c r="AL130" s="555"/>
      <c r="AM130" s="620"/>
      <c r="AN130" s="620"/>
      <c r="AO130" s="620"/>
      <c r="AP130" s="635"/>
      <c r="AQ130" s="635"/>
      <c r="AR130" s="635"/>
      <c r="AS130" s="635"/>
      <c r="AT130" s="635"/>
      <c r="AU130" s="635"/>
      <c r="AV130" s="635"/>
      <c r="AW130" s="635"/>
      <c r="AX130" s="635"/>
      <c r="AY130" s="635"/>
      <c r="AZ130" s="817"/>
      <c r="BA130" s="817"/>
      <c r="BB130" s="817"/>
      <c r="BC130" s="817"/>
      <c r="BD130" s="817"/>
      <c r="BE130" s="817"/>
      <c r="BF130" s="817"/>
      <c r="BG130" s="817"/>
      <c r="BH130" s="817"/>
      <c r="BI130" s="817"/>
      <c r="BJ130" s="817"/>
      <c r="BK130" s="817"/>
      <c r="BL130" s="817"/>
      <c r="BM130" s="817"/>
      <c r="BN130" s="1232"/>
      <c r="BO130" s="1232"/>
      <c r="BP130" s="1232"/>
      <c r="BQ130" s="1232"/>
      <c r="BR130" s="1232"/>
      <c r="BS130" s="1232"/>
      <c r="BT130" s="1232"/>
      <c r="BU130" s="1232"/>
      <c r="BV130" s="1232"/>
      <c r="BW130" s="1232"/>
      <c r="BX130" s="635"/>
      <c r="BY130" s="633"/>
    </row>
    <row r="131" spans="1:77" s="109" customFormat="1" outlineLevel="1" x14ac:dyDescent="0.3">
      <c r="A131" s="324"/>
      <c r="B131" s="325"/>
      <c r="C131" s="326"/>
      <c r="D131" s="327"/>
      <c r="E131" s="343" t="s">
        <v>433</v>
      </c>
      <c r="F131" s="327"/>
      <c r="G131" s="327"/>
      <c r="H131" s="327"/>
      <c r="I131" s="343" t="s">
        <v>3161</v>
      </c>
      <c r="J131" s="343" t="s">
        <v>3070</v>
      </c>
      <c r="K131" s="327"/>
      <c r="L131" s="327"/>
      <c r="M131" s="328"/>
      <c r="N131" s="343" t="s">
        <v>3598</v>
      </c>
      <c r="O131" s="343" t="s">
        <v>3598</v>
      </c>
      <c r="P131" s="343" t="s">
        <v>3598</v>
      </c>
      <c r="Q131" s="329"/>
      <c r="R131" s="330"/>
      <c r="S131" s="331"/>
      <c r="T131" s="331"/>
      <c r="U131" s="327"/>
      <c r="V131" s="330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555"/>
      <c r="AI131" s="555"/>
      <c r="AJ131" s="555"/>
      <c r="AK131" s="555"/>
      <c r="AL131" s="555"/>
      <c r="AM131" s="620"/>
      <c r="AN131" s="620"/>
      <c r="AO131" s="620"/>
      <c r="AP131" s="635"/>
      <c r="AQ131" s="635"/>
      <c r="AR131" s="635"/>
      <c r="AS131" s="635"/>
      <c r="AT131" s="635"/>
      <c r="AU131" s="635"/>
      <c r="AV131" s="635"/>
      <c r="AW131" s="635"/>
      <c r="AX131" s="635"/>
      <c r="AY131" s="635"/>
      <c r="AZ131" s="817"/>
      <c r="BA131" s="817"/>
      <c r="BB131" s="817"/>
      <c r="BC131" s="817"/>
      <c r="BD131" s="817"/>
      <c r="BE131" s="817"/>
      <c r="BF131" s="817"/>
      <c r="BG131" s="817"/>
      <c r="BH131" s="817"/>
      <c r="BI131" s="817"/>
      <c r="BJ131" s="817"/>
      <c r="BK131" s="817"/>
      <c r="BL131" s="817"/>
      <c r="BM131" s="817"/>
      <c r="BN131" s="1232"/>
      <c r="BO131" s="1232"/>
      <c r="BP131" s="1232"/>
      <c r="BQ131" s="1232"/>
      <c r="BR131" s="1232"/>
      <c r="BS131" s="1232"/>
      <c r="BT131" s="1232"/>
      <c r="BU131" s="1232"/>
      <c r="BV131" s="1232"/>
      <c r="BW131" s="1232"/>
      <c r="BX131" s="635"/>
      <c r="BY131" s="633"/>
    </row>
    <row r="132" spans="1:77" s="109" customFormat="1" outlineLevel="1" x14ac:dyDescent="0.3">
      <c r="A132" s="324"/>
      <c r="B132" s="325"/>
      <c r="C132" s="326"/>
      <c r="D132" s="327"/>
      <c r="E132" s="344"/>
      <c r="F132" s="327"/>
      <c r="G132" s="327"/>
      <c r="H132" s="327"/>
      <c r="I132" s="343" t="s">
        <v>3085</v>
      </c>
      <c r="J132" s="343" t="s">
        <v>3161</v>
      </c>
      <c r="K132" s="327"/>
      <c r="L132" s="327"/>
      <c r="M132" s="328"/>
      <c r="N132" s="344" t="s">
        <v>4423</v>
      </c>
      <c r="O132" s="344" t="s">
        <v>4423</v>
      </c>
      <c r="P132" s="344" t="s">
        <v>4423</v>
      </c>
      <c r="Q132" s="329"/>
      <c r="R132" s="330"/>
      <c r="S132" s="331"/>
      <c r="T132" s="331"/>
      <c r="U132" s="327"/>
      <c r="V132" s="330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555"/>
      <c r="AI132" s="555"/>
      <c r="AJ132" s="555"/>
      <c r="AK132" s="555"/>
      <c r="AL132" s="555"/>
      <c r="AM132" s="620"/>
      <c r="AN132" s="620"/>
      <c r="AO132" s="321"/>
      <c r="AP132" s="635"/>
      <c r="AQ132" s="635"/>
      <c r="AR132" s="635"/>
      <c r="AS132" s="635"/>
      <c r="AT132" s="635"/>
      <c r="AU132" s="635"/>
      <c r="AV132" s="635"/>
      <c r="AW132" s="635"/>
      <c r="AX132" s="635"/>
      <c r="AY132" s="635"/>
      <c r="AZ132" s="817"/>
      <c r="BA132" s="817"/>
      <c r="BB132" s="817"/>
      <c r="BC132" s="817"/>
      <c r="BD132" s="817"/>
      <c r="BE132" s="817"/>
      <c r="BF132" s="817"/>
      <c r="BG132" s="817"/>
      <c r="BH132" s="817"/>
      <c r="BI132" s="817"/>
      <c r="BJ132" s="817"/>
      <c r="BK132" s="817"/>
      <c r="BL132" s="817"/>
      <c r="BM132" s="817"/>
      <c r="BN132" s="1232"/>
      <c r="BO132" s="1232"/>
      <c r="BP132" s="1232"/>
      <c r="BQ132" s="1232"/>
      <c r="BR132" s="1232"/>
      <c r="BS132" s="1232"/>
      <c r="BT132" s="1232"/>
      <c r="BU132" s="1232"/>
      <c r="BV132" s="1232"/>
      <c r="BW132" s="1232"/>
      <c r="BX132" s="635"/>
      <c r="BY132" s="633"/>
    </row>
    <row r="133" spans="1:77" s="109" customFormat="1" outlineLevel="1" x14ac:dyDescent="0.3">
      <c r="A133" s="324"/>
      <c r="B133" s="325"/>
      <c r="C133" s="326"/>
      <c r="D133" s="327"/>
      <c r="E133" s="344"/>
      <c r="F133" s="327"/>
      <c r="G133" s="327"/>
      <c r="H133" s="327"/>
      <c r="I133" s="343" t="s">
        <v>3162</v>
      </c>
      <c r="J133" s="343" t="s">
        <v>3085</v>
      </c>
      <c r="K133" s="327"/>
      <c r="L133" s="327"/>
      <c r="M133" s="328"/>
      <c r="N133" s="1297" t="s">
        <v>128</v>
      </c>
      <c r="O133" s="1297" t="s">
        <v>128</v>
      </c>
      <c r="P133" s="1297" t="s">
        <v>128</v>
      </c>
      <c r="Q133" s="329"/>
      <c r="R133" s="330"/>
      <c r="S133" s="331"/>
      <c r="T133" s="331"/>
      <c r="U133" s="327"/>
      <c r="V133" s="330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555"/>
      <c r="AI133" s="555"/>
      <c r="AJ133" s="555"/>
      <c r="AK133" s="555"/>
      <c r="AL133" s="555"/>
      <c r="AM133" s="620"/>
      <c r="AN133" s="620"/>
      <c r="AO133" s="321"/>
      <c r="AP133" s="635"/>
      <c r="AQ133" s="635"/>
      <c r="AR133" s="635"/>
      <c r="AS133" s="635"/>
      <c r="AT133" s="635"/>
      <c r="AU133" s="635"/>
      <c r="AV133" s="635"/>
      <c r="AW133" s="635"/>
      <c r="AX133" s="635"/>
      <c r="AY133" s="635"/>
      <c r="AZ133" s="817"/>
      <c r="BA133" s="817"/>
      <c r="BB133" s="817"/>
      <c r="BC133" s="817"/>
      <c r="BD133" s="817"/>
      <c r="BE133" s="817"/>
      <c r="BF133" s="817"/>
      <c r="BG133" s="817"/>
      <c r="BH133" s="817"/>
      <c r="BI133" s="817"/>
      <c r="BJ133" s="817"/>
      <c r="BK133" s="817"/>
      <c r="BL133" s="817"/>
      <c r="BM133" s="817"/>
      <c r="BN133" s="1232"/>
      <c r="BO133" s="1232"/>
      <c r="BP133" s="1232"/>
      <c r="BQ133" s="1232"/>
      <c r="BR133" s="1232"/>
      <c r="BS133" s="1232"/>
      <c r="BT133" s="1232"/>
      <c r="BU133" s="1232"/>
      <c r="BV133" s="1232"/>
      <c r="BW133" s="1232"/>
      <c r="BX133" s="635"/>
      <c r="BY133" s="633"/>
    </row>
    <row r="134" spans="1:77" s="109" customFormat="1" outlineLevel="1" x14ac:dyDescent="0.3">
      <c r="A134" s="324"/>
      <c r="B134" s="325"/>
      <c r="C134" s="326"/>
      <c r="D134" s="327"/>
      <c r="E134" s="327"/>
      <c r="F134" s="327"/>
      <c r="G134" s="327"/>
      <c r="H134" s="327"/>
      <c r="I134" s="344" t="s">
        <v>3163</v>
      </c>
      <c r="J134" s="344" t="s">
        <v>3063</v>
      </c>
      <c r="K134" s="327"/>
      <c r="L134" s="327"/>
      <c r="M134" s="328"/>
      <c r="N134" s="1333" t="s">
        <v>273</v>
      </c>
      <c r="O134" s="1333" t="s">
        <v>273</v>
      </c>
      <c r="P134" s="1333" t="s">
        <v>273</v>
      </c>
      <c r="Q134" s="329"/>
      <c r="R134" s="330"/>
      <c r="S134" s="331"/>
      <c r="T134" s="331"/>
      <c r="U134" s="327"/>
      <c r="V134" s="330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555"/>
      <c r="AI134" s="555"/>
      <c r="AJ134" s="555"/>
      <c r="AK134" s="555"/>
      <c r="AL134" s="555"/>
      <c r="AM134" s="620"/>
      <c r="AN134" s="620"/>
      <c r="AO134" s="321"/>
      <c r="AP134" s="635"/>
      <c r="AQ134" s="635"/>
      <c r="AR134" s="635"/>
      <c r="AS134" s="635"/>
      <c r="AT134" s="635"/>
      <c r="AU134" s="635"/>
      <c r="AV134" s="635"/>
      <c r="AW134" s="635"/>
      <c r="AX134" s="635"/>
      <c r="AY134" s="635"/>
      <c r="AZ134" s="817"/>
      <c r="BA134" s="817"/>
      <c r="BB134" s="817"/>
      <c r="BC134" s="817"/>
      <c r="BD134" s="817"/>
      <c r="BE134" s="817"/>
      <c r="BF134" s="817"/>
      <c r="BG134" s="817"/>
      <c r="BH134" s="817"/>
      <c r="BI134" s="817"/>
      <c r="BJ134" s="817"/>
      <c r="BK134" s="817"/>
      <c r="BL134" s="817"/>
      <c r="BM134" s="817"/>
      <c r="BN134" s="1232"/>
      <c r="BO134" s="1232"/>
      <c r="BP134" s="1232"/>
      <c r="BQ134" s="1232"/>
      <c r="BR134" s="1232"/>
      <c r="BS134" s="1232"/>
      <c r="BT134" s="1232"/>
      <c r="BU134" s="1232"/>
      <c r="BV134" s="1232"/>
      <c r="BW134" s="1232"/>
      <c r="BX134" s="635"/>
      <c r="BY134" s="633"/>
    </row>
    <row r="135" spans="1:77" s="109" customFormat="1" ht="10.15" outlineLevel="1" x14ac:dyDescent="0.3">
      <c r="E135" s="327"/>
      <c r="N135" s="1334"/>
      <c r="O135" s="1334"/>
      <c r="P135" s="1334"/>
    </row>
    <row r="136" spans="1:77" s="109" customFormat="1" ht="10.15" outlineLevel="1" x14ac:dyDescent="0.3"/>
    <row r="137" spans="1:77" s="109" customFormat="1" ht="10.15" outlineLevel="1" x14ac:dyDescent="0.3"/>
    <row r="138" spans="1:77" s="109" customFormat="1" ht="10.15" outlineLevel="1" x14ac:dyDescent="0.3"/>
    <row r="139" spans="1:77" s="109" customFormat="1" ht="10.15" outlineLevel="1" x14ac:dyDescent="0.3"/>
    <row r="140" spans="1:77" s="109" customFormat="1" ht="10.15" outlineLevel="1" x14ac:dyDescent="0.3"/>
    <row r="141" spans="1:77" s="109" customFormat="1" ht="10.15" outlineLevel="1" x14ac:dyDescent="0.3"/>
    <row r="142" spans="1:77" s="109" customFormat="1" ht="10.15" outlineLevel="1" x14ac:dyDescent="0.3"/>
    <row r="143" spans="1:77" s="109" customFormat="1" ht="10.15" outlineLevel="1" collapsed="1" x14ac:dyDescent="0.3">
      <c r="M143" s="328" t="s">
        <v>731</v>
      </c>
    </row>
    <row r="144" spans="1:77" s="109" customFormat="1" ht="10.15" outlineLevel="1" x14ac:dyDescent="0.3"/>
    <row r="145" spans="5:75" x14ac:dyDescent="0.3">
      <c r="E145" s="109"/>
      <c r="N145" s="109"/>
      <c r="O145" s="109"/>
      <c r="P145" s="109"/>
      <c r="BN145" s="1232"/>
      <c r="BO145" s="1232"/>
      <c r="BP145" s="1232"/>
      <c r="BQ145" s="1232"/>
      <c r="BR145" s="1232"/>
      <c r="BS145" s="1232"/>
      <c r="BT145" s="1232"/>
      <c r="BU145" s="1232"/>
      <c r="BV145" s="1232"/>
      <c r="BW145" s="1232"/>
    </row>
  </sheetData>
  <autoFilter ref="B2:BY122" xr:uid="{98A87A10-3A70-4FDD-B2CB-100AEDC239B5}">
    <filterColumn colId="12">
      <filters>
        <filter val="FCA"/>
      </filters>
    </filterColumn>
    <sortState xmlns:xlrd2="http://schemas.microsoft.com/office/spreadsheetml/2017/richdata2" ref="B3:BY122">
      <sortCondition ref="C2:C122"/>
    </sortState>
  </autoFilter>
  <conditionalFormatting sqref="S15:S16">
    <cfRule type="colorScale" priority="16">
      <colorScale>
        <cfvo type="min"/>
        <cfvo type="max"/>
        <color rgb="FFF8696B"/>
        <color rgb="FFFCFCFF"/>
      </colorScale>
    </cfRule>
    <cfRule type="colorScale" priority="17">
      <colorScale>
        <cfvo type="min"/>
        <cfvo type="max"/>
        <color rgb="FFFCFCFF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">
      <colorScale>
        <cfvo type="min"/>
        <cfvo type="max"/>
        <color rgb="FFF8696B"/>
        <color rgb="FFFCFCFF"/>
      </colorScale>
    </cfRule>
    <cfRule type="colorScale" priority="20">
      <colorScale>
        <cfvo type="min"/>
        <cfvo type="max"/>
        <color rgb="FFFCFCFF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8">
    <cfRule type="colorScale" priority="48">
      <colorScale>
        <cfvo type="min"/>
        <cfvo type="max"/>
        <color rgb="FFF8696B"/>
        <color rgb="FFFCFCFF"/>
      </colorScale>
    </cfRule>
    <cfRule type="colorScale" priority="49">
      <colorScale>
        <cfvo type="min"/>
        <cfvo type="max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">
      <colorScale>
        <cfvo type="min"/>
        <cfvo type="max"/>
        <color rgb="FFF8696B"/>
        <color rgb="FFFCFCFF"/>
      </colorScale>
    </cfRule>
    <cfRule type="colorScale" priority="52">
      <colorScale>
        <cfvo type="min"/>
        <cfvo type="max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7:S59">
    <cfRule type="colorScale" priority="55">
      <colorScale>
        <cfvo type="min"/>
        <cfvo type="max"/>
        <color rgb="FFF8696B"/>
        <color rgb="FFFCFCFF"/>
      </colorScale>
    </cfRule>
    <cfRule type="colorScale" priority="56">
      <colorScale>
        <cfvo type="min"/>
        <cfvo type="max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0">
    <cfRule type="colorScale" priority="23">
      <colorScale>
        <cfvo type="min"/>
        <cfvo type="max"/>
        <color rgb="FFF8696B"/>
        <color rgb="FFFCFCFF"/>
      </colorScale>
    </cfRule>
    <cfRule type="colorScale" priority="24">
      <colorScale>
        <cfvo type="min"/>
        <cfvo type="max"/>
        <color rgb="FFFCFCFF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">
      <colorScale>
        <cfvo type="min"/>
        <cfvo type="max"/>
        <color rgb="FFF8696B"/>
        <color rgb="FFFCFCFF"/>
      </colorScale>
    </cfRule>
    <cfRule type="colorScale" priority="27">
      <colorScale>
        <cfvo type="min"/>
        <cfvo type="max"/>
        <color rgb="FFFCFCFF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1">
    <cfRule type="colorScale" priority="8">
      <colorScale>
        <cfvo type="min"/>
        <cfvo type="max"/>
        <color rgb="FFF8696B"/>
        <color rgb="FFFCFCFF"/>
      </colorScale>
    </cfRule>
    <cfRule type="colorScale" priority="9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max"/>
        <color rgb="FFF8696B"/>
        <color rgb="FFFCFCFF"/>
      </colorScale>
    </cfRule>
    <cfRule type="colorScale" priority="12">
      <colorScale>
        <cfvo type="min"/>
        <cfvo type="max"/>
        <color rgb="FFFCFCFF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6:S97">
    <cfRule type="colorScale" priority="37">
      <colorScale>
        <cfvo type="min"/>
        <cfvo type="max"/>
        <color rgb="FFF8696B"/>
        <color rgb="FFFCFCFF"/>
      </colorScale>
    </cfRule>
    <cfRule type="colorScale" priority="38">
      <colorScale>
        <cfvo type="min"/>
        <cfvo type="max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max"/>
        <color rgb="FFF8696B"/>
        <color rgb="FFFCFCFF"/>
      </colorScale>
    </cfRule>
    <cfRule type="colorScale" priority="41">
      <colorScale>
        <cfvo type="min"/>
        <cfvo type="max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8:S107 S17 S6:S14 S109:S119 S19:S56 S72:S95 S61:S70">
    <cfRule type="colorScale" priority="59">
      <colorScale>
        <cfvo type="min"/>
        <cfvo type="max"/>
        <color rgb="FFF8696B"/>
        <color rgb="FFFCFCFF"/>
      </colorScale>
    </cfRule>
    <cfRule type="colorScale" priority="60">
      <colorScale>
        <cfvo type="min"/>
        <cfvo type="max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8:S107 S17 S109:S119 S19:S59 S72:S95 S61:S70 S3:S14">
    <cfRule type="colorScale" priority="77">
      <colorScale>
        <cfvo type="min"/>
        <cfvo type="max"/>
        <color rgb="FFF8696B"/>
        <color rgb="FFFCFCFF"/>
      </colorScale>
    </cfRule>
    <cfRule type="colorScale" priority="4455">
      <colorScale>
        <cfvo type="min"/>
        <cfvo type="max"/>
        <color rgb="FFFCFCFF"/>
        <color rgb="FF63BE7B"/>
      </colorScale>
    </cfRule>
    <cfRule type="colorScale" priority="48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8">
    <cfRule type="colorScale" priority="1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max"/>
        <color rgb="FFF8696B"/>
        <color rgb="FFFCFCFF"/>
      </colorScale>
    </cfRule>
    <cfRule type="colorScale" priority="5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0">
    <cfRule type="colorScale" priority="30">
      <colorScale>
        <cfvo type="min"/>
        <cfvo type="max"/>
        <color rgb="FFF8696B"/>
        <color rgb="FFFCFCFF"/>
      </colorScale>
    </cfRule>
    <cfRule type="colorScale" priority="31">
      <colorScale>
        <cfvo type="min"/>
        <cfvo type="max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max"/>
        <color rgb="FFF8696B"/>
        <color rgb="FFFCFCFF"/>
      </colorScale>
    </cfRule>
    <cfRule type="colorScale" priority="34">
      <colorScale>
        <cfvo type="min"/>
        <cfvo type="max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1">
    <cfRule type="colorScale" priority="13">
      <colorScale>
        <cfvo type="min"/>
        <cfvo type="max"/>
        <color rgb="FFFCFCFF"/>
        <color rgb="FFF8696B"/>
      </colorScale>
    </cfRule>
  </conditionalFormatting>
  <conditionalFormatting sqref="U108">
    <cfRule type="colorScale" priority="6">
      <colorScale>
        <cfvo type="min"/>
        <cfvo type="max"/>
        <color rgb="FFFCFCFF"/>
        <color rgb="FFF8696B"/>
      </colorScale>
    </cfRule>
  </conditionalFormatting>
  <conditionalFormatting sqref="U120">
    <cfRule type="colorScale" priority="29">
      <colorScale>
        <cfvo type="min"/>
        <cfvo type="max"/>
        <color rgb="FFFCFCFF"/>
        <color rgb="FFF8696B"/>
      </colorScale>
    </cfRule>
  </conditionalFormatting>
  <conditionalFormatting sqref="U122:U1048576 V1 U109:U119 U72:U107 U1:U70">
    <cfRule type="colorScale" priority="4463">
      <colorScale>
        <cfvo type="min"/>
        <cfvo type="max"/>
        <color rgb="FFFCFCFF"/>
        <color rgb="FFF8696B"/>
      </colorScale>
    </cfRule>
  </conditionalFormatting>
  <dataValidations count="5">
    <dataValidation type="list" allowBlank="1" showInputMessage="1" showErrorMessage="1" sqref="O109:P109 O8:P106 O111:P120 O5" xr:uid="{604F3D23-BE25-4E6B-B706-D93B8AF5CE27}">
      <formula1>$O$124:$O$135</formula1>
    </dataValidation>
    <dataValidation type="list" allowBlank="1" showInputMessage="1" showErrorMessage="1" sqref="N3:N120" xr:uid="{D22F2C23-3800-4A6E-B4C8-C45295D37DAD}">
      <formula1>$N$124:$N$135</formula1>
    </dataValidation>
    <dataValidation type="list" allowBlank="1" showInputMessage="1" showErrorMessage="1" sqref="E3:E120" xr:uid="{17C7317F-A656-4074-8426-BB7DB328B6B0}">
      <formula1>$E$124:$E$133</formula1>
    </dataValidation>
    <dataValidation type="list" allowBlank="1" showInputMessage="1" showErrorMessage="1" sqref="I105:I120 I3:I103" xr:uid="{08A734F5-A806-4D72-AD46-7257ECBA5B10}">
      <formula1>$I$124:$I$134</formula1>
    </dataValidation>
    <dataValidation type="list" allowBlank="1" showInputMessage="1" showErrorMessage="1" sqref="J107:J120 J3:J103 J105 I106" xr:uid="{4EB2D337-972B-4A49-BC77-7C8B97F635D2}">
      <formula1>$J$124:$J$134</formula1>
    </dataValidation>
  </dataValidations>
  <hyperlinks>
    <hyperlink ref="D8" r:id="rId1" xr:uid="{C71D9B47-30EB-4579-A95B-0B28CCF5676D}"/>
    <hyperlink ref="D65" r:id="rId2" xr:uid="{B788C10F-5E34-422E-9FBB-7C56DBEB6D47}"/>
    <hyperlink ref="D100" r:id="rId3" xr:uid="{27961A79-47DB-4C20-9092-27967A491821}"/>
    <hyperlink ref="D47" r:id="rId4" xr:uid="{7482EF2C-EE5F-4A21-A6A6-7C2E2A1FF07C}"/>
    <hyperlink ref="D118" r:id="rId5" xr:uid="{7ED27679-CE06-4B1D-80DE-B5A91D386762}"/>
    <hyperlink ref="D13" r:id="rId6" xr:uid="{62180705-2A1E-4AE0-A716-2688910887EF}"/>
    <hyperlink ref="D20" r:id="rId7" xr:uid="{428D139B-8AE0-415F-8FD5-66143EA9BFCB}"/>
  </hyperlinks>
  <printOptions horizontalCentered="1"/>
  <pageMargins left="0.31496062992125984" right="0.31496062992125984" top="0.74803149606299213" bottom="0.35433070866141736" header="0.31496062992125984" footer="0.31496062992125984"/>
  <pageSetup paperSize="8" scale="110" orientation="landscape" r:id="rId8"/>
  <tableParts count="6"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A269-57F1-4998-9D69-DF2FE904C786}">
  <sheetPr codeName="Foglio3">
    <tabColor theme="2"/>
  </sheetPr>
  <dimension ref="A1:BC914"/>
  <sheetViews>
    <sheetView showGridLines="0" zoomScale="104" zoomScaleNormal="115" workbookViewId="0">
      <pane xSplit="5" ySplit="2" topLeftCell="F842" activePane="bottomRight" state="frozen"/>
      <selection pane="topRight" activeCell="F1" sqref="F1"/>
      <selection pane="bottomLeft" activeCell="A3" sqref="A3"/>
      <selection pane="bottomRight" activeCell="E893" sqref="E893:E914"/>
    </sheetView>
  </sheetViews>
  <sheetFormatPr defaultColWidth="7.5625" defaultRowHeight="10.15" outlineLevelCol="1" x14ac:dyDescent="0.3"/>
  <cols>
    <col min="1" max="1" width="3" style="109" customWidth="1"/>
    <col min="2" max="2" width="4" style="109" customWidth="1"/>
    <col min="3" max="3" width="18.5625" style="109" bestFit="1" customWidth="1"/>
    <col min="4" max="4" width="12.5" style="109" customWidth="1"/>
    <col min="5" max="5" width="32.0625" style="109" customWidth="1"/>
    <col min="6" max="6" width="12.5625" style="109" bestFit="1" customWidth="1" outlineLevel="1"/>
    <col min="7" max="7" width="9.5" style="109" customWidth="1" outlineLevel="1"/>
    <col min="8" max="8" width="10" style="109" customWidth="1" outlineLevel="1"/>
    <col min="9" max="9" width="7.5625" style="109" customWidth="1" outlineLevel="1"/>
    <col min="10" max="10" width="14.5" style="109" bestFit="1" customWidth="1" outlineLevel="1"/>
    <col min="11" max="11" width="41.0625" style="109" customWidth="1" outlineLevel="1"/>
    <col min="12" max="12" width="16.5" style="109" customWidth="1" outlineLevel="1"/>
    <col min="13" max="13" width="15.5625" style="109" customWidth="1" outlineLevel="1"/>
    <col min="14" max="15" width="9" style="109" customWidth="1" outlineLevel="1"/>
    <col min="16" max="16" width="13.5" style="109" bestFit="1" customWidth="1" outlineLevel="1"/>
    <col min="17" max="17" width="12.5625" style="109" bestFit="1" customWidth="1" outlineLevel="1"/>
    <col min="18" max="18" width="1.5" style="109" customWidth="1" outlineLevel="1"/>
    <col min="19" max="25" width="9" style="109" customWidth="1" outlineLevel="1"/>
    <col min="26" max="26" width="1.5" style="109" customWidth="1"/>
    <col min="27" max="27" width="7.5625" style="109" bestFit="1" customWidth="1"/>
    <col min="28" max="28" width="4.5" style="109" customWidth="1"/>
    <col min="29" max="29" width="4.5" style="109" customWidth="1" collapsed="1"/>
    <col min="30" max="31" width="4.5" style="109" customWidth="1"/>
    <col min="32" max="33" width="9" style="109" customWidth="1" outlineLevel="1"/>
    <col min="34" max="34" width="2.5" style="109" customWidth="1" outlineLevel="1" collapsed="1"/>
    <col min="35" max="35" width="2.5" style="109" customWidth="1"/>
    <col min="36" max="37" width="7.5625" style="109"/>
    <col min="38" max="38" width="9.5" style="132" customWidth="1"/>
    <col min="39" max="39" width="7" style="109" customWidth="1"/>
    <col min="40" max="43" width="7" style="110" customWidth="1"/>
    <col min="44" max="45" width="7" style="109" customWidth="1"/>
    <col min="46" max="48" width="7.5625" style="109"/>
    <col min="49" max="49" width="10" style="109" customWidth="1"/>
    <col min="50" max="16384" width="7.5625" style="109"/>
  </cols>
  <sheetData>
    <row r="1" spans="1:46" s="96" customFormat="1" x14ac:dyDescent="0.3">
      <c r="A1" s="80"/>
      <c r="B1" s="80"/>
      <c r="C1" s="80"/>
      <c r="D1" s="81"/>
      <c r="E1" s="543"/>
      <c r="F1" s="86"/>
      <c r="G1" s="82" t="s">
        <v>1467</v>
      </c>
      <c r="H1" s="83"/>
      <c r="I1" s="83"/>
      <c r="J1" s="83"/>
      <c r="K1" s="84"/>
      <c r="L1" s="85"/>
      <c r="M1" s="85"/>
      <c r="N1" s="85"/>
      <c r="O1" s="85"/>
      <c r="P1" s="85"/>
      <c r="Q1" s="85"/>
      <c r="R1" s="80"/>
      <c r="S1" s="86"/>
      <c r="T1" s="86"/>
      <c r="U1" s="86"/>
      <c r="V1" s="86"/>
      <c r="W1" s="86"/>
      <c r="X1" s="86"/>
      <c r="Y1" s="86"/>
      <c r="Z1" s="80"/>
      <c r="AA1" s="85"/>
      <c r="AB1" s="85"/>
      <c r="AC1" s="86"/>
      <c r="AD1" s="86"/>
      <c r="AE1" s="86"/>
      <c r="AF1" s="86"/>
      <c r="AG1" s="85"/>
      <c r="AH1" s="80"/>
      <c r="AI1" s="80"/>
      <c r="AJ1" s="87" t="s">
        <v>1760</v>
      </c>
      <c r="AK1" s="88">
        <f>+COUNTIF($B:$B,1)</f>
        <v>220</v>
      </c>
      <c r="AL1" s="85"/>
      <c r="AM1" s="89" t="s">
        <v>1761</v>
      </c>
      <c r="AN1" s="90">
        <f>+COUNTIF($B:$B,4)</f>
        <v>359</v>
      </c>
      <c r="AO1" s="91"/>
      <c r="AP1" s="92" t="s">
        <v>1762</v>
      </c>
      <c r="AQ1" s="93">
        <f>+COUNTIF($B:$B,1)</f>
        <v>220</v>
      </c>
      <c r="AR1" s="86"/>
      <c r="AS1" s="94" t="s">
        <v>1763</v>
      </c>
      <c r="AT1" s="95">
        <f>+COUNTIF($B:$B,3)</f>
        <v>118</v>
      </c>
    </row>
    <row r="2" spans="1:46" s="271" customFormat="1" ht="21" customHeight="1" x14ac:dyDescent="0.35">
      <c r="A2" s="16"/>
      <c r="B2" s="742" t="s">
        <v>8</v>
      </c>
      <c r="C2" s="742" t="s">
        <v>1764</v>
      </c>
      <c r="D2" s="742" t="s">
        <v>10</v>
      </c>
      <c r="E2" s="742" t="s">
        <v>11</v>
      </c>
      <c r="F2" s="743" t="s">
        <v>12</v>
      </c>
      <c r="G2" s="744" t="s">
        <v>13</v>
      </c>
      <c r="H2" s="742" t="s">
        <v>14</v>
      </c>
      <c r="I2" s="744" t="s">
        <v>15</v>
      </c>
      <c r="J2" s="744" t="s">
        <v>16</v>
      </c>
      <c r="K2" s="744" t="s">
        <v>17</v>
      </c>
      <c r="L2" s="744" t="s">
        <v>18</v>
      </c>
      <c r="M2" s="744" t="s">
        <v>19</v>
      </c>
      <c r="N2" s="744" t="s">
        <v>20</v>
      </c>
      <c r="O2" s="744" t="s">
        <v>21</v>
      </c>
      <c r="P2" s="744" t="s">
        <v>22</v>
      </c>
      <c r="Q2" s="744" t="s">
        <v>23</v>
      </c>
      <c r="R2" s="16"/>
      <c r="S2" s="745" t="s">
        <v>24</v>
      </c>
      <c r="T2" s="745" t="s">
        <v>25</v>
      </c>
      <c r="U2" s="745" t="s">
        <v>26</v>
      </c>
      <c r="V2" s="745" t="s">
        <v>27</v>
      </c>
      <c r="W2" s="745" t="s">
        <v>28</v>
      </c>
      <c r="X2" s="745" t="s">
        <v>29</v>
      </c>
      <c r="Y2" s="745" t="s">
        <v>30</v>
      </c>
      <c r="Z2" s="16"/>
      <c r="AA2" s="746" t="s">
        <v>31</v>
      </c>
      <c r="AB2" s="746" t="s">
        <v>32</v>
      </c>
      <c r="AC2" s="746" t="s">
        <v>33</v>
      </c>
      <c r="AD2" s="746" t="s">
        <v>34</v>
      </c>
      <c r="AE2" s="746" t="s">
        <v>1765</v>
      </c>
      <c r="AF2" s="746"/>
      <c r="AG2" s="746"/>
      <c r="AH2" s="16"/>
      <c r="AI2" s="16"/>
      <c r="AJ2" s="744" t="s">
        <v>38</v>
      </c>
      <c r="AK2" s="744" t="s">
        <v>39</v>
      </c>
      <c r="AL2" s="747"/>
      <c r="AM2" s="748" t="s">
        <v>42</v>
      </c>
      <c r="AN2" s="749" t="s">
        <v>43</v>
      </c>
      <c r="AO2" s="749" t="s">
        <v>44</v>
      </c>
      <c r="AP2" s="749" t="s">
        <v>1766</v>
      </c>
      <c r="AQ2" s="749" t="s">
        <v>45</v>
      </c>
      <c r="AR2" s="748" t="s">
        <v>1767</v>
      </c>
      <c r="AS2" s="748" t="s">
        <v>41</v>
      </c>
      <c r="AT2" s="11" t="s">
        <v>7</v>
      </c>
    </row>
    <row r="3" spans="1:46" s="271" customFormat="1" ht="10.5" customHeight="1" x14ac:dyDescent="0.35">
      <c r="A3" s="1427">
        <f>+COUNTIF(D:D, "Pending")</f>
        <v>157</v>
      </c>
      <c r="B3" s="1437" cm="1">
        <f t="array" ref="B3">+_xlfn.IFS(D3="In Touch - Positive",2,D3="Pending",1,D3="No Answer",4,D3="In Touch - Negative",3)</f>
        <v>1</v>
      </c>
      <c r="C3" s="1437" t="s">
        <v>1466</v>
      </c>
      <c r="D3" s="1437" t="str">
        <f t="shared" ref="D3:D11" si="0">+AR3</f>
        <v>Pending</v>
      </c>
      <c r="E3" s="1450" t="s">
        <v>5688</v>
      </c>
      <c r="F3" s="1438"/>
      <c r="G3" s="1438"/>
      <c r="H3" s="1438"/>
      <c r="I3" s="1438"/>
      <c r="J3" s="1440" t="s">
        <v>83</v>
      </c>
      <c r="K3" s="1440" t="s">
        <v>5698</v>
      </c>
      <c r="L3" s="1438"/>
      <c r="M3" s="1438"/>
      <c r="N3" s="1438"/>
      <c r="O3" s="1438"/>
      <c r="P3" s="1438"/>
      <c r="Q3" s="1438"/>
      <c r="R3" s="16"/>
      <c r="S3" s="1447" t="s">
        <v>77</v>
      </c>
      <c r="T3" s="1439">
        <v>2023</v>
      </c>
      <c r="U3" s="1448"/>
      <c r="V3" s="1448"/>
      <c r="W3" s="1449"/>
      <c r="X3" s="1448"/>
      <c r="Y3" s="1448"/>
      <c r="Z3" s="16"/>
      <c r="AA3" s="1446" t="s">
        <v>140</v>
      </c>
      <c r="AB3" s="1438"/>
      <c r="AC3" s="1447" t="s">
        <v>273</v>
      </c>
      <c r="AD3" s="1438"/>
      <c r="AE3" s="1438"/>
      <c r="AF3" s="1438"/>
      <c r="AG3" s="1438"/>
      <c r="AH3" s="16"/>
      <c r="AI3" s="16"/>
      <c r="AJ3" s="1441">
        <f t="shared" ref="AJ3:AJ11" ca="1" si="1">+TODAY()-AM3</f>
        <v>0</v>
      </c>
      <c r="AK3" s="1441">
        <f t="shared" ref="AK3:AK11" ca="1" si="2">+TODAY()-AS3</f>
        <v>0</v>
      </c>
      <c r="AL3" s="1442">
        <f t="shared" ref="AL3:AL11" si="3">+IF(D3="Pending",COUNTA(AM3:AQ3)/5,D3)</f>
        <v>0.2</v>
      </c>
      <c r="AM3" s="1445">
        <v>45664</v>
      </c>
      <c r="AN3" s="1443"/>
      <c r="AO3" s="1443"/>
      <c r="AP3" s="1443"/>
      <c r="AQ3" s="1443"/>
      <c r="AR3" s="1444" t="s">
        <v>1770</v>
      </c>
      <c r="AS3" s="1445">
        <v>45664</v>
      </c>
      <c r="AT3" s="11"/>
    </row>
    <row r="4" spans="1:46" s="271" customFormat="1" ht="10.5" customHeight="1" x14ac:dyDescent="0.35">
      <c r="A4" s="16"/>
      <c r="B4" s="1437" cm="1">
        <f t="array" ref="B4">+_xlfn.IFS(D4="In Touch - Positive",2,D4="Pending",1,D4="No Answer",4,D4="In Touch - Negative",3)</f>
        <v>1</v>
      </c>
      <c r="C4" s="1437" t="s">
        <v>1466</v>
      </c>
      <c r="D4" s="1437" t="str">
        <f t="shared" si="0"/>
        <v>Pending</v>
      </c>
      <c r="E4" s="1450" t="s">
        <v>5689</v>
      </c>
      <c r="F4" s="1438"/>
      <c r="G4" s="1438"/>
      <c r="H4" s="1438"/>
      <c r="I4" s="1438"/>
      <c r="J4" s="1440" t="s">
        <v>83</v>
      </c>
      <c r="K4" s="1440" t="s">
        <v>5698</v>
      </c>
      <c r="L4" s="1438"/>
      <c r="M4" s="1438"/>
      <c r="N4" s="1438"/>
      <c r="O4" s="1438"/>
      <c r="P4" s="1438"/>
      <c r="Q4" s="1438"/>
      <c r="R4" s="16"/>
      <c r="S4" s="1447" t="s">
        <v>77</v>
      </c>
      <c r="T4" s="1439">
        <v>2023</v>
      </c>
      <c r="U4" s="1448"/>
      <c r="V4" s="1448"/>
      <c r="W4" s="1449"/>
      <c r="X4" s="1448"/>
      <c r="Y4" s="1448"/>
      <c r="Z4" s="16"/>
      <c r="AA4" s="1446" t="s">
        <v>140</v>
      </c>
      <c r="AB4" s="1438"/>
      <c r="AC4" s="1447" t="s">
        <v>273</v>
      </c>
      <c r="AD4" s="1438"/>
      <c r="AE4" s="1438"/>
      <c r="AF4" s="1438"/>
      <c r="AG4" s="1438"/>
      <c r="AH4" s="16"/>
      <c r="AI4" s="16"/>
      <c r="AJ4" s="1441">
        <f t="shared" ca="1" si="1"/>
        <v>0</v>
      </c>
      <c r="AK4" s="1441">
        <f t="shared" ca="1" si="2"/>
        <v>0</v>
      </c>
      <c r="AL4" s="1442">
        <f t="shared" si="3"/>
        <v>0.2</v>
      </c>
      <c r="AM4" s="1445">
        <v>45664</v>
      </c>
      <c r="AN4" s="1443"/>
      <c r="AO4" s="1443"/>
      <c r="AP4" s="1443"/>
      <c r="AQ4" s="1443"/>
      <c r="AR4" s="1444" t="s">
        <v>1770</v>
      </c>
      <c r="AS4" s="1445">
        <v>45664</v>
      </c>
      <c r="AT4" s="11"/>
    </row>
    <row r="5" spans="1:46" s="271" customFormat="1" ht="10.5" customHeight="1" x14ac:dyDescent="0.35">
      <c r="A5" s="16"/>
      <c r="B5" s="1437" cm="1">
        <f t="array" ref="B5">+_xlfn.IFS(D5="In Touch - Positive",2,D5="Pending",1,D5="No Answer",4,D5="In Touch - Negative",3)</f>
        <v>1</v>
      </c>
      <c r="C5" s="1437" t="s">
        <v>1466</v>
      </c>
      <c r="D5" s="1437" t="str">
        <f t="shared" si="0"/>
        <v>Pending</v>
      </c>
      <c r="E5" s="1450" t="s">
        <v>5690</v>
      </c>
      <c r="F5" s="1438"/>
      <c r="G5" s="1438"/>
      <c r="H5" s="1438"/>
      <c r="I5" s="1438"/>
      <c r="J5" s="1440" t="s">
        <v>83</v>
      </c>
      <c r="K5" s="1440" t="s">
        <v>5698</v>
      </c>
      <c r="L5" s="1438"/>
      <c r="M5" s="1438"/>
      <c r="N5" s="1438"/>
      <c r="O5" s="1438"/>
      <c r="P5" s="1438"/>
      <c r="Q5" s="1438"/>
      <c r="R5" s="16"/>
      <c r="S5" s="1447" t="s">
        <v>77</v>
      </c>
      <c r="T5" s="1439">
        <v>2023</v>
      </c>
      <c r="U5" s="1448"/>
      <c r="V5" s="1448"/>
      <c r="W5" s="1449"/>
      <c r="X5" s="1448"/>
      <c r="Y5" s="1448"/>
      <c r="Z5" s="16"/>
      <c r="AA5" s="1446" t="s">
        <v>140</v>
      </c>
      <c r="AB5" s="1438"/>
      <c r="AC5" s="1447" t="s">
        <v>273</v>
      </c>
      <c r="AD5" s="1438"/>
      <c r="AE5" s="1438"/>
      <c r="AF5" s="1438"/>
      <c r="AG5" s="1438"/>
      <c r="AH5" s="16"/>
      <c r="AI5" s="16"/>
      <c r="AJ5" s="1441">
        <f t="shared" ca="1" si="1"/>
        <v>0</v>
      </c>
      <c r="AK5" s="1441">
        <f t="shared" ca="1" si="2"/>
        <v>0</v>
      </c>
      <c r="AL5" s="1442">
        <f t="shared" si="3"/>
        <v>0.2</v>
      </c>
      <c r="AM5" s="1445">
        <v>45664</v>
      </c>
      <c r="AN5" s="1443"/>
      <c r="AO5" s="1443"/>
      <c r="AP5" s="1443"/>
      <c r="AQ5" s="1443"/>
      <c r="AR5" s="1444" t="s">
        <v>1770</v>
      </c>
      <c r="AS5" s="1445">
        <v>45664</v>
      </c>
      <c r="AT5" s="11"/>
    </row>
    <row r="6" spans="1:46" s="271" customFormat="1" ht="10.5" customHeight="1" x14ac:dyDescent="0.35">
      <c r="A6" s="16"/>
      <c r="B6" s="1437" cm="1">
        <f t="array" ref="B6">+_xlfn.IFS(D6="In Touch - Positive",2,D6="Pending",1,D6="No Answer",4,D6="In Touch - Negative",3)</f>
        <v>1</v>
      </c>
      <c r="C6" s="1437" t="s">
        <v>1466</v>
      </c>
      <c r="D6" s="1437" t="str">
        <f t="shared" si="0"/>
        <v>Pending</v>
      </c>
      <c r="E6" s="1450" t="s">
        <v>5691</v>
      </c>
      <c r="F6" s="1438"/>
      <c r="G6" s="1438"/>
      <c r="H6" s="1438"/>
      <c r="I6" s="1438"/>
      <c r="J6" s="1440" t="s">
        <v>83</v>
      </c>
      <c r="K6" s="1440" t="s">
        <v>5698</v>
      </c>
      <c r="L6" s="1438"/>
      <c r="M6" s="1438"/>
      <c r="N6" s="1438"/>
      <c r="O6" s="1438"/>
      <c r="P6" s="1438"/>
      <c r="Q6" s="1438"/>
      <c r="R6" s="16"/>
      <c r="S6" s="1447" t="s">
        <v>77</v>
      </c>
      <c r="T6" s="1439">
        <v>2023</v>
      </c>
      <c r="U6" s="1448"/>
      <c r="V6" s="1448"/>
      <c r="W6" s="1449"/>
      <c r="X6" s="1448"/>
      <c r="Y6" s="1448"/>
      <c r="Z6" s="16"/>
      <c r="AA6" s="1446" t="s">
        <v>140</v>
      </c>
      <c r="AB6" s="1438"/>
      <c r="AC6" s="1447" t="s">
        <v>273</v>
      </c>
      <c r="AD6" s="1438"/>
      <c r="AE6" s="1438"/>
      <c r="AF6" s="1438"/>
      <c r="AG6" s="1438"/>
      <c r="AH6" s="16"/>
      <c r="AI6" s="16"/>
      <c r="AJ6" s="1441">
        <f t="shared" ca="1" si="1"/>
        <v>0</v>
      </c>
      <c r="AK6" s="1441">
        <f t="shared" ca="1" si="2"/>
        <v>0</v>
      </c>
      <c r="AL6" s="1442">
        <f t="shared" si="3"/>
        <v>0.2</v>
      </c>
      <c r="AM6" s="1445">
        <v>45664</v>
      </c>
      <c r="AN6" s="1443"/>
      <c r="AO6" s="1443"/>
      <c r="AP6" s="1443"/>
      <c r="AQ6" s="1443"/>
      <c r="AR6" s="1444" t="s">
        <v>1770</v>
      </c>
      <c r="AS6" s="1445">
        <v>45664</v>
      </c>
      <c r="AT6" s="11"/>
    </row>
    <row r="7" spans="1:46" s="271" customFormat="1" ht="10.5" customHeight="1" x14ac:dyDescent="0.35">
      <c r="A7" s="16"/>
      <c r="B7" s="1437" cm="1">
        <f t="array" ref="B7">+_xlfn.IFS(D7="In Touch - Positive",2,D7="Pending",1,D7="No Answer",4,D7="In Touch - Negative",3)</f>
        <v>1</v>
      </c>
      <c r="C7" s="1437" t="s">
        <v>1466</v>
      </c>
      <c r="D7" s="1437" t="str">
        <f t="shared" si="0"/>
        <v>Pending</v>
      </c>
      <c r="E7" s="1450" t="s">
        <v>5692</v>
      </c>
      <c r="F7" s="1438"/>
      <c r="G7" s="1438"/>
      <c r="H7" s="1438"/>
      <c r="I7" s="1438"/>
      <c r="J7" s="1440" t="s">
        <v>83</v>
      </c>
      <c r="K7" s="1440" t="s">
        <v>5697</v>
      </c>
      <c r="L7" s="1438"/>
      <c r="M7" s="1438"/>
      <c r="N7" s="1438"/>
      <c r="O7" s="1438"/>
      <c r="P7" s="1438"/>
      <c r="Q7" s="1438"/>
      <c r="R7" s="16"/>
      <c r="S7" s="1447" t="s">
        <v>77</v>
      </c>
      <c r="T7" s="1439">
        <v>2023</v>
      </c>
      <c r="U7" s="1448"/>
      <c r="V7" s="1448"/>
      <c r="W7" s="1449"/>
      <c r="X7" s="1448"/>
      <c r="Y7" s="1448"/>
      <c r="Z7" s="16"/>
      <c r="AA7" s="1446" t="s">
        <v>140</v>
      </c>
      <c r="AB7" s="1438"/>
      <c r="AC7" s="1447" t="s">
        <v>273</v>
      </c>
      <c r="AD7" s="1438"/>
      <c r="AE7" s="1438"/>
      <c r="AF7" s="1438"/>
      <c r="AG7" s="1438"/>
      <c r="AH7" s="16"/>
      <c r="AI7" s="16"/>
      <c r="AJ7" s="1441">
        <f t="shared" ca="1" si="1"/>
        <v>0</v>
      </c>
      <c r="AK7" s="1441">
        <f t="shared" ca="1" si="2"/>
        <v>0</v>
      </c>
      <c r="AL7" s="1442">
        <f t="shared" si="3"/>
        <v>0.2</v>
      </c>
      <c r="AM7" s="1445">
        <v>45664</v>
      </c>
      <c r="AN7" s="1443"/>
      <c r="AO7" s="1443"/>
      <c r="AP7" s="1443"/>
      <c r="AQ7" s="1443"/>
      <c r="AR7" s="1444" t="s">
        <v>1770</v>
      </c>
      <c r="AS7" s="1445">
        <v>45664</v>
      </c>
      <c r="AT7" s="11"/>
    </row>
    <row r="8" spans="1:46" s="271" customFormat="1" ht="10.5" customHeight="1" x14ac:dyDescent="0.35">
      <c r="A8" s="16"/>
      <c r="B8" s="1437" cm="1">
        <f t="array" ref="B8">+_xlfn.IFS(D8="In Touch - Positive",2,D8="Pending",1,D8="No Answer",4,D8="In Touch - Negative",3)</f>
        <v>1</v>
      </c>
      <c r="C8" s="1437" t="s">
        <v>1466</v>
      </c>
      <c r="D8" s="1437" t="str">
        <f t="shared" si="0"/>
        <v>Pending</v>
      </c>
      <c r="E8" s="1450" t="s">
        <v>5693</v>
      </c>
      <c r="F8" s="1438"/>
      <c r="G8" s="1438"/>
      <c r="H8" s="1438"/>
      <c r="I8" s="1438"/>
      <c r="J8" s="1440" t="s">
        <v>83</v>
      </c>
      <c r="K8" s="1440" t="s">
        <v>5697</v>
      </c>
      <c r="L8" s="1438"/>
      <c r="M8" s="1438"/>
      <c r="N8" s="1438"/>
      <c r="O8" s="1438"/>
      <c r="P8" s="1438"/>
      <c r="Q8" s="1438"/>
      <c r="R8" s="16"/>
      <c r="S8" s="1447" t="s">
        <v>77</v>
      </c>
      <c r="T8" s="1439">
        <v>2023</v>
      </c>
      <c r="U8" s="1448"/>
      <c r="V8" s="1448"/>
      <c r="W8" s="1449"/>
      <c r="X8" s="1448"/>
      <c r="Y8" s="1448"/>
      <c r="Z8" s="16"/>
      <c r="AA8" s="1446" t="s">
        <v>140</v>
      </c>
      <c r="AB8" s="1438"/>
      <c r="AC8" s="1447" t="s">
        <v>273</v>
      </c>
      <c r="AD8" s="1438"/>
      <c r="AE8" s="1438"/>
      <c r="AF8" s="1438"/>
      <c r="AG8" s="1438"/>
      <c r="AH8" s="16"/>
      <c r="AI8" s="16"/>
      <c r="AJ8" s="1441">
        <f t="shared" ca="1" si="1"/>
        <v>0</v>
      </c>
      <c r="AK8" s="1441">
        <f t="shared" ca="1" si="2"/>
        <v>0</v>
      </c>
      <c r="AL8" s="1442">
        <f t="shared" si="3"/>
        <v>0.2</v>
      </c>
      <c r="AM8" s="1445">
        <v>45664</v>
      </c>
      <c r="AN8" s="1443"/>
      <c r="AO8" s="1443"/>
      <c r="AP8" s="1443"/>
      <c r="AQ8" s="1443"/>
      <c r="AR8" s="1444" t="s">
        <v>1770</v>
      </c>
      <c r="AS8" s="1445">
        <v>45664</v>
      </c>
      <c r="AT8" s="11"/>
    </row>
    <row r="9" spans="1:46" s="271" customFormat="1" ht="10.5" customHeight="1" x14ac:dyDescent="0.35">
      <c r="A9" s="16"/>
      <c r="B9" s="1437" cm="1">
        <f t="array" ref="B9">+_xlfn.IFS(D9="In Touch - Positive",2,D9="Pending",1,D9="No Answer",4,D9="In Touch - Negative",3)</f>
        <v>1</v>
      </c>
      <c r="C9" s="1437" t="s">
        <v>1466</v>
      </c>
      <c r="D9" s="1437" t="str">
        <f t="shared" si="0"/>
        <v>Pending</v>
      </c>
      <c r="E9" s="1450" t="s">
        <v>5694</v>
      </c>
      <c r="F9" s="1438"/>
      <c r="G9" s="1438"/>
      <c r="H9" s="1438"/>
      <c r="I9" s="1438"/>
      <c r="J9" s="1440" t="s">
        <v>83</v>
      </c>
      <c r="K9" s="1440" t="s">
        <v>5697</v>
      </c>
      <c r="L9" s="1438"/>
      <c r="M9" s="1438"/>
      <c r="N9" s="1438"/>
      <c r="O9" s="1438"/>
      <c r="P9" s="1438"/>
      <c r="Q9" s="1438"/>
      <c r="R9" s="16"/>
      <c r="S9" s="1447" t="s">
        <v>77</v>
      </c>
      <c r="T9" s="1439">
        <v>2023</v>
      </c>
      <c r="U9" s="1448"/>
      <c r="V9" s="1448"/>
      <c r="W9" s="1449"/>
      <c r="X9" s="1448"/>
      <c r="Y9" s="1448"/>
      <c r="Z9" s="16"/>
      <c r="AA9" s="1446" t="s">
        <v>140</v>
      </c>
      <c r="AB9" s="1438"/>
      <c r="AC9" s="1447" t="s">
        <v>273</v>
      </c>
      <c r="AD9" s="1438"/>
      <c r="AE9" s="1438"/>
      <c r="AF9" s="1438"/>
      <c r="AG9" s="1438"/>
      <c r="AH9" s="16"/>
      <c r="AI9" s="16"/>
      <c r="AJ9" s="1441">
        <f t="shared" ca="1" si="1"/>
        <v>0</v>
      </c>
      <c r="AK9" s="1441">
        <f t="shared" ca="1" si="2"/>
        <v>0</v>
      </c>
      <c r="AL9" s="1442">
        <f t="shared" si="3"/>
        <v>0.2</v>
      </c>
      <c r="AM9" s="1445">
        <v>45664</v>
      </c>
      <c r="AN9" s="1443"/>
      <c r="AO9" s="1443"/>
      <c r="AP9" s="1443"/>
      <c r="AQ9" s="1443"/>
      <c r="AR9" s="1444" t="s">
        <v>1770</v>
      </c>
      <c r="AS9" s="1445">
        <v>45664</v>
      </c>
      <c r="AT9" s="11"/>
    </row>
    <row r="10" spans="1:46" s="271" customFormat="1" ht="10.5" customHeight="1" x14ac:dyDescent="0.35">
      <c r="A10" s="16"/>
      <c r="B10" s="1437" cm="1">
        <f t="array" ref="B10">+_xlfn.IFS(D10="In Touch - Positive",2,D10="Pending",1,D10="No Answer",4,D10="In Touch - Negative",3)</f>
        <v>1</v>
      </c>
      <c r="C10" s="1437" t="s">
        <v>1466</v>
      </c>
      <c r="D10" s="1437" t="str">
        <f t="shared" si="0"/>
        <v>Pending</v>
      </c>
      <c r="E10" s="1450" t="s">
        <v>5695</v>
      </c>
      <c r="F10" s="1438"/>
      <c r="G10" s="1438"/>
      <c r="H10" s="1438"/>
      <c r="I10" s="1438"/>
      <c r="J10" s="1440" t="s">
        <v>83</v>
      </c>
      <c r="K10" s="1440" t="s">
        <v>5697</v>
      </c>
      <c r="L10" s="1438"/>
      <c r="M10" s="1438"/>
      <c r="N10" s="1438"/>
      <c r="O10" s="1438"/>
      <c r="P10" s="1438"/>
      <c r="Q10" s="1438"/>
      <c r="R10" s="16"/>
      <c r="S10" s="1447" t="s">
        <v>77</v>
      </c>
      <c r="T10" s="1439">
        <v>2023</v>
      </c>
      <c r="U10" s="1448"/>
      <c r="V10" s="1448"/>
      <c r="W10" s="1449"/>
      <c r="X10" s="1448"/>
      <c r="Y10" s="1448"/>
      <c r="Z10" s="16"/>
      <c r="AA10" s="1446" t="s">
        <v>140</v>
      </c>
      <c r="AB10" s="1438"/>
      <c r="AC10" s="1447" t="s">
        <v>273</v>
      </c>
      <c r="AD10" s="1438"/>
      <c r="AE10" s="1438"/>
      <c r="AF10" s="1438"/>
      <c r="AG10" s="1438"/>
      <c r="AH10" s="16"/>
      <c r="AI10" s="16"/>
      <c r="AJ10" s="1441">
        <f t="shared" ca="1" si="1"/>
        <v>0</v>
      </c>
      <c r="AK10" s="1441">
        <f t="shared" ca="1" si="2"/>
        <v>0</v>
      </c>
      <c r="AL10" s="1442">
        <f t="shared" si="3"/>
        <v>0.2</v>
      </c>
      <c r="AM10" s="1445">
        <v>45664</v>
      </c>
      <c r="AN10" s="1443"/>
      <c r="AO10" s="1443"/>
      <c r="AP10" s="1443"/>
      <c r="AQ10" s="1443"/>
      <c r="AR10" s="1444" t="s">
        <v>1770</v>
      </c>
      <c r="AS10" s="1445">
        <v>45664</v>
      </c>
      <c r="AT10" s="11"/>
    </row>
    <row r="11" spans="1:46" s="271" customFormat="1" ht="10.5" customHeight="1" x14ac:dyDescent="0.35">
      <c r="A11" s="16"/>
      <c r="B11" s="1437" cm="1">
        <f t="array" ref="B11">+_xlfn.IFS(D11="In Touch - Positive",2,D11="Pending",1,D11="No Answer",4,D11="In Touch - Negative",3)</f>
        <v>1</v>
      </c>
      <c r="C11" s="1437" t="s">
        <v>1466</v>
      </c>
      <c r="D11" s="1437" t="str">
        <f t="shared" si="0"/>
        <v>Pending</v>
      </c>
      <c r="E11" s="1450" t="s">
        <v>5696</v>
      </c>
      <c r="F11" s="1438"/>
      <c r="G11" s="1438"/>
      <c r="H11" s="1438"/>
      <c r="I11" s="1438"/>
      <c r="J11" s="1440" t="s">
        <v>83</v>
      </c>
      <c r="K11" s="1440" t="s">
        <v>5697</v>
      </c>
      <c r="L11" s="1438"/>
      <c r="M11" s="1438"/>
      <c r="N11" s="1438"/>
      <c r="O11" s="1438"/>
      <c r="P11" s="1438"/>
      <c r="Q11" s="1438"/>
      <c r="R11" s="16"/>
      <c r="S11" s="1447" t="s">
        <v>77</v>
      </c>
      <c r="T11" s="1439">
        <v>2023</v>
      </c>
      <c r="U11" s="1448"/>
      <c r="V11" s="1448"/>
      <c r="W11" s="1449"/>
      <c r="X11" s="1448"/>
      <c r="Y11" s="1448"/>
      <c r="Z11" s="16"/>
      <c r="AA11" s="1446" t="s">
        <v>140</v>
      </c>
      <c r="AB11" s="1438"/>
      <c r="AC11" s="1447" t="s">
        <v>273</v>
      </c>
      <c r="AD11" s="1438"/>
      <c r="AE11" s="1438"/>
      <c r="AF11" s="1438"/>
      <c r="AG11" s="1438"/>
      <c r="AH11" s="16"/>
      <c r="AI11" s="16"/>
      <c r="AJ11" s="1441">
        <f t="shared" ca="1" si="1"/>
        <v>0</v>
      </c>
      <c r="AK11" s="1441">
        <f t="shared" ca="1" si="2"/>
        <v>0</v>
      </c>
      <c r="AL11" s="1442">
        <f t="shared" si="3"/>
        <v>0.2</v>
      </c>
      <c r="AM11" s="1445">
        <v>45664</v>
      </c>
      <c r="AN11" s="1443"/>
      <c r="AO11" s="1443"/>
      <c r="AP11" s="1443"/>
      <c r="AQ11" s="1443"/>
      <c r="AR11" s="1444" t="s">
        <v>1770</v>
      </c>
      <c r="AS11" s="1445">
        <v>45664</v>
      </c>
      <c r="AT11" s="11"/>
    </row>
    <row r="12" spans="1:46" s="271" customFormat="1" ht="10.5" customHeight="1" x14ac:dyDescent="0.35">
      <c r="B12" s="1412" cm="1">
        <f t="array" ref="B12">+_xlfn.IFS(D12="In Touch - Positive",2,D12="Pending",1,D12="No Answer",4,D12="In Touch - Negative",3)</f>
        <v>1</v>
      </c>
      <c r="C12" s="16" t="s">
        <v>132</v>
      </c>
      <c r="D12" s="1412" t="str">
        <f t="shared" ref="D12:D43" si="4">+AR12</f>
        <v>Pending</v>
      </c>
      <c r="E12" s="1436" t="s">
        <v>5650</v>
      </c>
      <c r="F12" s="1315"/>
      <c r="G12" s="1411"/>
      <c r="H12" s="1316"/>
      <c r="I12" s="1316"/>
      <c r="J12" s="15" t="s">
        <v>132</v>
      </c>
      <c r="K12" s="15"/>
      <c r="L12" s="15"/>
      <c r="M12" s="1317"/>
      <c r="N12" s="1317"/>
      <c r="O12" s="1317"/>
      <c r="P12" s="1317"/>
      <c r="Q12" s="1317"/>
      <c r="R12" s="1313"/>
      <c r="S12" s="1318"/>
      <c r="T12" s="1316"/>
      <c r="U12" s="1265"/>
      <c r="V12" s="1265"/>
      <c r="W12" s="1320"/>
      <c r="X12" s="1265"/>
      <c r="Y12" s="1265"/>
      <c r="Z12" s="1313"/>
      <c r="AA12" s="1414" t="s">
        <v>140</v>
      </c>
      <c r="AB12" s="1319"/>
      <c r="AC12" s="21" t="s">
        <v>86</v>
      </c>
      <c r="AD12" s="1321"/>
      <c r="AE12" s="1321"/>
      <c r="AF12" s="1319"/>
      <c r="AG12" s="1317"/>
      <c r="AH12" s="1313"/>
      <c r="AI12" s="1313"/>
      <c r="AJ12" s="1418">
        <f t="shared" ref="AJ12:AJ75" ca="1" si="5">+TODAY()-AM12</f>
        <v>1</v>
      </c>
      <c r="AK12" s="1418">
        <f t="shared" ref="AK12:AK75" ca="1" si="6">+TODAY()-AS12</f>
        <v>1</v>
      </c>
      <c r="AL12" s="1419">
        <f t="shared" ref="AL12:AL75" si="7">+IF(D12="Pending",COUNTA(AM12:AQ12)/5,D12)</f>
        <v>0.2</v>
      </c>
      <c r="AM12" s="1420">
        <v>45663</v>
      </c>
      <c r="AN12" s="1421"/>
      <c r="AO12" s="1421"/>
      <c r="AP12" s="1421"/>
      <c r="AQ12" s="1421"/>
      <c r="AR12" s="1422" t="s">
        <v>1770</v>
      </c>
      <c r="AS12" s="1420">
        <v>45663</v>
      </c>
      <c r="AT12" s="11"/>
    </row>
    <row r="13" spans="1:46" s="271" customFormat="1" ht="10.5" customHeight="1" x14ac:dyDescent="0.35">
      <c r="A13" s="16"/>
      <c r="B13" s="1412" cm="1">
        <f t="array" ref="B13">+_xlfn.IFS(D13="In Touch - Positive",2,D13="Pending",1,D13="No Answer",4,D13="In Touch - Negative",3)</f>
        <v>1</v>
      </c>
      <c r="C13" s="16" t="s">
        <v>132</v>
      </c>
      <c r="D13" s="1412" t="str">
        <f t="shared" si="4"/>
        <v>Pending</v>
      </c>
      <c r="E13" s="1436" t="s">
        <v>5651</v>
      </c>
      <c r="F13" s="1315"/>
      <c r="G13" s="1411"/>
      <c r="H13" s="1316"/>
      <c r="I13" s="1316"/>
      <c r="J13" s="15" t="s">
        <v>132</v>
      </c>
      <c r="K13" s="15"/>
      <c r="L13" s="15"/>
      <c r="M13" s="1317"/>
      <c r="N13" s="1317"/>
      <c r="O13" s="1317"/>
      <c r="P13" s="1317"/>
      <c r="Q13" s="1317"/>
      <c r="R13" s="1313"/>
      <c r="S13" s="1318"/>
      <c r="T13" s="1316"/>
      <c r="U13" s="1265"/>
      <c r="V13" s="1265"/>
      <c r="W13" s="1320"/>
      <c r="X13" s="1265"/>
      <c r="Y13" s="1265"/>
      <c r="Z13" s="1313"/>
      <c r="AA13" s="1414" t="s">
        <v>140</v>
      </c>
      <c r="AB13" s="1319"/>
      <c r="AC13" s="21" t="s">
        <v>86</v>
      </c>
      <c r="AD13" s="1321"/>
      <c r="AE13" s="1321"/>
      <c r="AF13" s="1319"/>
      <c r="AG13" s="1317"/>
      <c r="AH13" s="1313"/>
      <c r="AI13" s="1313"/>
      <c r="AJ13" s="1418">
        <f t="shared" ca="1" si="5"/>
        <v>1</v>
      </c>
      <c r="AK13" s="1418">
        <f t="shared" ca="1" si="6"/>
        <v>1</v>
      </c>
      <c r="AL13" s="1419">
        <f t="shared" si="7"/>
        <v>0.2</v>
      </c>
      <c r="AM13" s="1420">
        <v>45663</v>
      </c>
      <c r="AN13" s="1421"/>
      <c r="AO13" s="1421"/>
      <c r="AP13" s="1421"/>
      <c r="AQ13" s="1421"/>
      <c r="AR13" s="1422" t="s">
        <v>1770</v>
      </c>
      <c r="AS13" s="1420">
        <v>45663</v>
      </c>
      <c r="AT13" s="11"/>
    </row>
    <row r="14" spans="1:46" s="271" customFormat="1" ht="10.5" customHeight="1" x14ac:dyDescent="0.35">
      <c r="A14" s="16"/>
      <c r="B14" s="1412" cm="1">
        <f t="array" ref="B14">+_xlfn.IFS(D14="In Touch - Positive",2,D14="Pending",1,D14="No Answer",4,D14="In Touch - Negative",3)</f>
        <v>1</v>
      </c>
      <c r="C14" s="16" t="s">
        <v>132</v>
      </c>
      <c r="D14" s="1412" t="str">
        <f t="shared" si="4"/>
        <v>Pending</v>
      </c>
      <c r="E14" s="1436" t="s">
        <v>5652</v>
      </c>
      <c r="F14" s="1315"/>
      <c r="G14" s="1411"/>
      <c r="H14" s="1316"/>
      <c r="I14" s="1316"/>
      <c r="J14" s="15" t="s">
        <v>132</v>
      </c>
      <c r="K14" s="15"/>
      <c r="L14" s="15"/>
      <c r="M14" s="1317"/>
      <c r="N14" s="1317"/>
      <c r="O14" s="1317"/>
      <c r="P14" s="1317"/>
      <c r="Q14" s="1317"/>
      <c r="R14" s="1313"/>
      <c r="S14" s="1318"/>
      <c r="T14" s="1316"/>
      <c r="U14" s="1265"/>
      <c r="V14" s="1265"/>
      <c r="W14" s="1320"/>
      <c r="X14" s="1265"/>
      <c r="Y14" s="1265"/>
      <c r="Z14" s="1313"/>
      <c r="AA14" s="1414" t="s">
        <v>140</v>
      </c>
      <c r="AB14" s="1319"/>
      <c r="AC14" s="21" t="s">
        <v>86</v>
      </c>
      <c r="AD14" s="1321"/>
      <c r="AE14" s="1321"/>
      <c r="AF14" s="1319"/>
      <c r="AG14" s="1317"/>
      <c r="AH14" s="1313"/>
      <c r="AI14" s="1313"/>
      <c r="AJ14" s="1418">
        <f t="shared" ca="1" si="5"/>
        <v>1</v>
      </c>
      <c r="AK14" s="1418">
        <f t="shared" ca="1" si="6"/>
        <v>1</v>
      </c>
      <c r="AL14" s="1419">
        <f t="shared" si="7"/>
        <v>0.2</v>
      </c>
      <c r="AM14" s="1420">
        <v>45663</v>
      </c>
      <c r="AN14" s="1421"/>
      <c r="AO14" s="1421"/>
      <c r="AP14" s="1421"/>
      <c r="AQ14" s="1421"/>
      <c r="AR14" s="1422" t="s">
        <v>1770</v>
      </c>
      <c r="AS14" s="1420">
        <v>45663</v>
      </c>
      <c r="AT14" s="11"/>
    </row>
    <row r="15" spans="1:46" s="271" customFormat="1" ht="10.5" customHeight="1" x14ac:dyDescent="0.35">
      <c r="A15" s="16"/>
      <c r="B15" s="1412" cm="1">
        <f t="array" ref="B15">+_xlfn.IFS(D15="In Touch - Positive",2,D15="Pending",1,D15="No Answer",4,D15="In Touch - Negative",3)</f>
        <v>1</v>
      </c>
      <c r="C15" s="16" t="s">
        <v>132</v>
      </c>
      <c r="D15" s="1412" t="str">
        <f t="shared" si="4"/>
        <v>Pending</v>
      </c>
      <c r="E15" s="1436" t="s">
        <v>5653</v>
      </c>
      <c r="F15" s="1315"/>
      <c r="G15" s="1411"/>
      <c r="H15" s="1316"/>
      <c r="I15" s="1316"/>
      <c r="J15" s="15" t="s">
        <v>132</v>
      </c>
      <c r="K15" s="15"/>
      <c r="L15" s="15"/>
      <c r="M15" s="1317"/>
      <c r="N15" s="1317"/>
      <c r="O15" s="1317"/>
      <c r="P15" s="1317"/>
      <c r="Q15" s="1317"/>
      <c r="R15" s="1313"/>
      <c r="S15" s="1318"/>
      <c r="T15" s="1316"/>
      <c r="U15" s="1265"/>
      <c r="V15" s="1265"/>
      <c r="W15" s="1320"/>
      <c r="X15" s="1265"/>
      <c r="Y15" s="1265"/>
      <c r="Z15" s="1313"/>
      <c r="AA15" s="1414" t="s">
        <v>140</v>
      </c>
      <c r="AB15" s="1319"/>
      <c r="AC15" s="21" t="s">
        <v>86</v>
      </c>
      <c r="AD15" s="1321"/>
      <c r="AE15" s="1321"/>
      <c r="AF15" s="1319"/>
      <c r="AG15" s="1317"/>
      <c r="AH15" s="1313"/>
      <c r="AI15" s="1313"/>
      <c r="AJ15" s="1418">
        <f t="shared" ca="1" si="5"/>
        <v>1</v>
      </c>
      <c r="AK15" s="1418">
        <f t="shared" ca="1" si="6"/>
        <v>1</v>
      </c>
      <c r="AL15" s="1419">
        <f t="shared" si="7"/>
        <v>0.2</v>
      </c>
      <c r="AM15" s="1420">
        <v>45663</v>
      </c>
      <c r="AN15" s="1421"/>
      <c r="AO15" s="1421"/>
      <c r="AP15" s="1421"/>
      <c r="AQ15" s="1421"/>
      <c r="AR15" s="1422" t="s">
        <v>1770</v>
      </c>
      <c r="AS15" s="1420">
        <v>45663</v>
      </c>
      <c r="AT15" s="11"/>
    </row>
    <row r="16" spans="1:46" s="271" customFormat="1" ht="10.5" customHeight="1" x14ac:dyDescent="0.35">
      <c r="A16" s="16"/>
      <c r="B16" s="1412" cm="1">
        <f t="array" ref="B16">+_xlfn.IFS(D16="In Touch - Positive",2,D16="Pending",1,D16="No Answer",4,D16="In Touch - Negative",3)</f>
        <v>1</v>
      </c>
      <c r="C16" s="16" t="s">
        <v>132</v>
      </c>
      <c r="D16" s="1412" t="str">
        <f t="shared" si="4"/>
        <v>Pending</v>
      </c>
      <c r="E16" s="1436" t="s">
        <v>5654</v>
      </c>
      <c r="F16" s="1315"/>
      <c r="G16" s="1411"/>
      <c r="H16" s="1316"/>
      <c r="I16" s="1316"/>
      <c r="J16" s="15" t="s">
        <v>132</v>
      </c>
      <c r="K16" s="15"/>
      <c r="L16" s="15"/>
      <c r="M16" s="1317"/>
      <c r="N16" s="1317"/>
      <c r="O16" s="1317"/>
      <c r="P16" s="1317"/>
      <c r="Q16" s="1317"/>
      <c r="R16" s="1313"/>
      <c r="S16" s="1318"/>
      <c r="T16" s="1316"/>
      <c r="U16" s="1265"/>
      <c r="V16" s="1265"/>
      <c r="W16" s="1320"/>
      <c r="X16" s="1265"/>
      <c r="Y16" s="1265"/>
      <c r="Z16" s="1313"/>
      <c r="AA16" s="1414" t="s">
        <v>140</v>
      </c>
      <c r="AB16" s="1319"/>
      <c r="AC16" s="21" t="s">
        <v>86</v>
      </c>
      <c r="AD16" s="1321"/>
      <c r="AE16" s="1321"/>
      <c r="AF16" s="1319"/>
      <c r="AG16" s="1317"/>
      <c r="AH16" s="1313"/>
      <c r="AI16" s="1313"/>
      <c r="AJ16" s="1418">
        <f t="shared" ca="1" si="5"/>
        <v>1</v>
      </c>
      <c r="AK16" s="1418">
        <f t="shared" ca="1" si="6"/>
        <v>1</v>
      </c>
      <c r="AL16" s="1419">
        <f t="shared" si="7"/>
        <v>0.2</v>
      </c>
      <c r="AM16" s="1420">
        <v>45663</v>
      </c>
      <c r="AN16" s="1421"/>
      <c r="AO16" s="1421"/>
      <c r="AP16" s="1421"/>
      <c r="AQ16" s="1421"/>
      <c r="AR16" s="1422" t="s">
        <v>1770</v>
      </c>
      <c r="AS16" s="1420">
        <v>45663</v>
      </c>
      <c r="AT16" s="11"/>
    </row>
    <row r="17" spans="1:46" s="271" customFormat="1" ht="10.5" customHeight="1" x14ac:dyDescent="0.35">
      <c r="A17" s="16"/>
      <c r="B17" s="1412" cm="1">
        <f t="array" ref="B17">+_xlfn.IFS(D17="In Touch - Positive",2,D17="Pending",1,D17="No Answer",4,D17="In Touch - Negative",3)</f>
        <v>1</v>
      </c>
      <c r="C17" s="16" t="s">
        <v>132</v>
      </c>
      <c r="D17" s="1412" t="str">
        <f t="shared" si="4"/>
        <v>Pending</v>
      </c>
      <c r="E17" s="1436" t="s">
        <v>5655</v>
      </c>
      <c r="F17" s="1315"/>
      <c r="G17" s="1411"/>
      <c r="H17" s="1316"/>
      <c r="I17" s="1316"/>
      <c r="J17" s="15" t="s">
        <v>132</v>
      </c>
      <c r="K17" s="15"/>
      <c r="L17" s="15"/>
      <c r="M17" s="1317"/>
      <c r="N17" s="1317"/>
      <c r="O17" s="1317"/>
      <c r="P17" s="1317"/>
      <c r="Q17" s="1317"/>
      <c r="R17" s="1313"/>
      <c r="S17" s="1318"/>
      <c r="T17" s="1316"/>
      <c r="U17" s="1265"/>
      <c r="V17" s="1265"/>
      <c r="W17" s="1320"/>
      <c r="X17" s="1265"/>
      <c r="Y17" s="1265"/>
      <c r="Z17" s="1313"/>
      <c r="AA17" s="1414" t="s">
        <v>140</v>
      </c>
      <c r="AB17" s="1319"/>
      <c r="AC17" s="21" t="s">
        <v>86</v>
      </c>
      <c r="AD17" s="1321"/>
      <c r="AE17" s="1321"/>
      <c r="AF17" s="1319"/>
      <c r="AG17" s="1317"/>
      <c r="AH17" s="1313"/>
      <c r="AI17" s="1313"/>
      <c r="AJ17" s="1418">
        <f t="shared" ca="1" si="5"/>
        <v>1</v>
      </c>
      <c r="AK17" s="1418">
        <f t="shared" ca="1" si="6"/>
        <v>1</v>
      </c>
      <c r="AL17" s="1419">
        <f t="shared" si="7"/>
        <v>0.2</v>
      </c>
      <c r="AM17" s="1420">
        <v>45663</v>
      </c>
      <c r="AN17" s="1421"/>
      <c r="AO17" s="1421"/>
      <c r="AP17" s="1421"/>
      <c r="AQ17" s="1421"/>
      <c r="AR17" s="1422" t="s">
        <v>1770</v>
      </c>
      <c r="AS17" s="1420">
        <v>45663</v>
      </c>
      <c r="AT17" s="11"/>
    </row>
    <row r="18" spans="1:46" s="271" customFormat="1" ht="10.5" customHeight="1" x14ac:dyDescent="0.35">
      <c r="A18" s="16"/>
      <c r="B18" s="1412" cm="1">
        <f t="array" ref="B18">+_xlfn.IFS(D18="In Touch - Positive",2,D18="Pending",1,D18="No Answer",4,D18="In Touch - Negative",3)</f>
        <v>1</v>
      </c>
      <c r="C18" s="16" t="s">
        <v>132</v>
      </c>
      <c r="D18" s="1412" t="str">
        <f t="shared" si="4"/>
        <v>Pending</v>
      </c>
      <c r="E18" s="1436" t="s">
        <v>5656</v>
      </c>
      <c r="F18" s="1315"/>
      <c r="G18" s="1411"/>
      <c r="H18" s="1316"/>
      <c r="I18" s="1316"/>
      <c r="J18" s="15" t="s">
        <v>132</v>
      </c>
      <c r="K18" s="15"/>
      <c r="L18" s="15"/>
      <c r="M18" s="1317"/>
      <c r="N18" s="1317"/>
      <c r="O18" s="1317"/>
      <c r="P18" s="1317"/>
      <c r="Q18" s="1317"/>
      <c r="R18" s="1313"/>
      <c r="S18" s="1318"/>
      <c r="T18" s="1316"/>
      <c r="U18" s="1265"/>
      <c r="V18" s="1265"/>
      <c r="W18" s="1320"/>
      <c r="X18" s="1265"/>
      <c r="Y18" s="1265"/>
      <c r="Z18" s="1313"/>
      <c r="AA18" s="1414" t="s">
        <v>140</v>
      </c>
      <c r="AB18" s="1319"/>
      <c r="AC18" s="21" t="s">
        <v>86</v>
      </c>
      <c r="AD18" s="1321"/>
      <c r="AE18" s="1321"/>
      <c r="AF18" s="1319"/>
      <c r="AG18" s="1317"/>
      <c r="AH18" s="1313"/>
      <c r="AI18" s="1313"/>
      <c r="AJ18" s="1418">
        <f t="shared" ca="1" si="5"/>
        <v>1</v>
      </c>
      <c r="AK18" s="1418">
        <f t="shared" ca="1" si="6"/>
        <v>1</v>
      </c>
      <c r="AL18" s="1419">
        <f t="shared" si="7"/>
        <v>0.2</v>
      </c>
      <c r="AM18" s="1420">
        <v>45663</v>
      </c>
      <c r="AN18" s="1421"/>
      <c r="AO18" s="1421"/>
      <c r="AP18" s="1421"/>
      <c r="AQ18" s="1421"/>
      <c r="AR18" s="1422" t="s">
        <v>1770</v>
      </c>
      <c r="AS18" s="1420">
        <v>45663</v>
      </c>
      <c r="AT18" s="11"/>
    </row>
    <row r="19" spans="1:46" s="271" customFormat="1" ht="10.5" customHeight="1" x14ac:dyDescent="0.35">
      <c r="A19" s="16"/>
      <c r="B19" s="1412" cm="1">
        <f t="array" ref="B19">+_xlfn.IFS(D19="In Touch - Positive",2,D19="Pending",1,D19="No Answer",4,D19="In Touch - Negative",3)</f>
        <v>1</v>
      </c>
      <c r="C19" s="16" t="s">
        <v>132</v>
      </c>
      <c r="D19" s="1412" t="str">
        <f t="shared" si="4"/>
        <v>Pending</v>
      </c>
      <c r="E19" s="1436" t="s">
        <v>5657</v>
      </c>
      <c r="F19" s="1315"/>
      <c r="G19" s="1411"/>
      <c r="H19" s="1316"/>
      <c r="I19" s="1316"/>
      <c r="J19" s="15" t="s">
        <v>132</v>
      </c>
      <c r="K19" s="15"/>
      <c r="L19" s="15"/>
      <c r="M19" s="1317"/>
      <c r="N19" s="1317"/>
      <c r="O19" s="1317"/>
      <c r="P19" s="1317"/>
      <c r="Q19" s="1317"/>
      <c r="R19" s="1313"/>
      <c r="S19" s="1318"/>
      <c r="T19" s="1316"/>
      <c r="U19" s="1265"/>
      <c r="V19" s="1265"/>
      <c r="W19" s="1320"/>
      <c r="X19" s="1265"/>
      <c r="Y19" s="1265"/>
      <c r="Z19" s="1313"/>
      <c r="AA19" s="1414" t="s">
        <v>140</v>
      </c>
      <c r="AB19" s="1319"/>
      <c r="AC19" s="21" t="s">
        <v>86</v>
      </c>
      <c r="AD19" s="1321"/>
      <c r="AE19" s="1321"/>
      <c r="AF19" s="1319"/>
      <c r="AG19" s="1317"/>
      <c r="AH19" s="1313"/>
      <c r="AI19" s="1313"/>
      <c r="AJ19" s="1418">
        <f t="shared" ca="1" si="5"/>
        <v>1</v>
      </c>
      <c r="AK19" s="1418">
        <f t="shared" ca="1" si="6"/>
        <v>1</v>
      </c>
      <c r="AL19" s="1419">
        <f t="shared" si="7"/>
        <v>0.2</v>
      </c>
      <c r="AM19" s="1420">
        <v>45663</v>
      </c>
      <c r="AN19" s="1421"/>
      <c r="AO19" s="1421"/>
      <c r="AP19" s="1421"/>
      <c r="AQ19" s="1421"/>
      <c r="AR19" s="1422" t="s">
        <v>1770</v>
      </c>
      <c r="AS19" s="1420">
        <v>45663</v>
      </c>
      <c r="AT19" s="11"/>
    </row>
    <row r="20" spans="1:46" s="271" customFormat="1" ht="10.5" customHeight="1" x14ac:dyDescent="0.35">
      <c r="A20" s="16"/>
      <c r="B20" s="1412" cm="1">
        <f t="array" ref="B20">+_xlfn.IFS(D20="In Touch - Positive",2,D20="Pending",1,D20="No Answer",4,D20="In Touch - Negative",3)</f>
        <v>1</v>
      </c>
      <c r="C20" s="16" t="s">
        <v>132</v>
      </c>
      <c r="D20" s="1412" t="str">
        <f t="shared" si="4"/>
        <v>Pending</v>
      </c>
      <c r="E20" s="1436" t="s">
        <v>5658</v>
      </c>
      <c r="F20" s="1315"/>
      <c r="G20" s="1411"/>
      <c r="H20" s="1316"/>
      <c r="I20" s="1316"/>
      <c r="J20" s="15" t="s">
        <v>132</v>
      </c>
      <c r="K20" s="15"/>
      <c r="L20" s="15"/>
      <c r="M20" s="1317"/>
      <c r="N20" s="1317"/>
      <c r="O20" s="1317"/>
      <c r="P20" s="1317"/>
      <c r="Q20" s="1317"/>
      <c r="R20" s="1313"/>
      <c r="S20" s="1318"/>
      <c r="T20" s="1316"/>
      <c r="U20" s="1265"/>
      <c r="V20" s="1265"/>
      <c r="W20" s="1320"/>
      <c r="X20" s="1265"/>
      <c r="Y20" s="1265"/>
      <c r="Z20" s="1313"/>
      <c r="AA20" s="1414" t="s">
        <v>140</v>
      </c>
      <c r="AB20" s="1319"/>
      <c r="AC20" s="21" t="s">
        <v>86</v>
      </c>
      <c r="AD20" s="1321"/>
      <c r="AE20" s="1321"/>
      <c r="AF20" s="1319"/>
      <c r="AG20" s="1317"/>
      <c r="AH20" s="1313"/>
      <c r="AI20" s="1313"/>
      <c r="AJ20" s="1418">
        <f t="shared" ca="1" si="5"/>
        <v>1</v>
      </c>
      <c r="AK20" s="1418">
        <f t="shared" ca="1" si="6"/>
        <v>1</v>
      </c>
      <c r="AL20" s="1419">
        <f t="shared" si="7"/>
        <v>0.2</v>
      </c>
      <c r="AM20" s="1420">
        <v>45663</v>
      </c>
      <c r="AN20" s="1421"/>
      <c r="AO20" s="1421"/>
      <c r="AP20" s="1421"/>
      <c r="AQ20" s="1421"/>
      <c r="AR20" s="1422" t="s">
        <v>1770</v>
      </c>
      <c r="AS20" s="1420">
        <v>45663</v>
      </c>
      <c r="AT20" s="11"/>
    </row>
    <row r="21" spans="1:46" s="271" customFormat="1" ht="10.5" customHeight="1" x14ac:dyDescent="0.35">
      <c r="A21" s="16"/>
      <c r="B21" s="1412" cm="1">
        <f t="array" ref="B21">+_xlfn.IFS(D21="In Touch - Positive",2,D21="Pending",1,D21="No Answer",4,D21="In Touch - Negative",3)</f>
        <v>1</v>
      </c>
      <c r="C21" s="16" t="s">
        <v>132</v>
      </c>
      <c r="D21" s="1412" t="str">
        <f t="shared" si="4"/>
        <v>Pending</v>
      </c>
      <c r="E21" s="1436" t="s">
        <v>5659</v>
      </c>
      <c r="F21" s="1315"/>
      <c r="G21" s="1411"/>
      <c r="H21" s="1316"/>
      <c r="I21" s="1316"/>
      <c r="J21" s="15" t="s">
        <v>132</v>
      </c>
      <c r="K21" s="15"/>
      <c r="L21" s="15"/>
      <c r="M21" s="1317"/>
      <c r="N21" s="1317"/>
      <c r="O21" s="1317"/>
      <c r="P21" s="1317"/>
      <c r="Q21" s="1317"/>
      <c r="R21" s="1313"/>
      <c r="S21" s="1318"/>
      <c r="T21" s="1316"/>
      <c r="U21" s="1265"/>
      <c r="V21" s="1265"/>
      <c r="W21" s="1320"/>
      <c r="X21" s="1265"/>
      <c r="Y21" s="1265"/>
      <c r="Z21" s="1313"/>
      <c r="AA21" s="1414" t="s">
        <v>140</v>
      </c>
      <c r="AB21" s="1319"/>
      <c r="AC21" s="21" t="s">
        <v>86</v>
      </c>
      <c r="AD21" s="1321"/>
      <c r="AE21" s="1321"/>
      <c r="AF21" s="1319"/>
      <c r="AG21" s="1317"/>
      <c r="AH21" s="1313"/>
      <c r="AI21" s="1313"/>
      <c r="AJ21" s="1418">
        <f t="shared" ca="1" si="5"/>
        <v>1</v>
      </c>
      <c r="AK21" s="1418">
        <f t="shared" ca="1" si="6"/>
        <v>1</v>
      </c>
      <c r="AL21" s="1419">
        <f t="shared" si="7"/>
        <v>0.2</v>
      </c>
      <c r="AM21" s="1420">
        <v>45663</v>
      </c>
      <c r="AN21" s="1421"/>
      <c r="AO21" s="1421"/>
      <c r="AP21" s="1421"/>
      <c r="AQ21" s="1421"/>
      <c r="AR21" s="1422" t="s">
        <v>1770</v>
      </c>
      <c r="AS21" s="1420">
        <v>45663</v>
      </c>
      <c r="AT21" s="11"/>
    </row>
    <row r="22" spans="1:46" s="271" customFormat="1" ht="10.5" customHeight="1" x14ac:dyDescent="0.35">
      <c r="A22" s="16"/>
      <c r="B22" s="1412" cm="1">
        <f t="array" ref="B22">+_xlfn.IFS(D22="In Touch - Positive",2,D22="Pending",1,D22="No Answer",4,D22="In Touch - Negative",3)</f>
        <v>1</v>
      </c>
      <c r="C22" s="16" t="s">
        <v>132</v>
      </c>
      <c r="D22" s="1412" t="str">
        <f t="shared" si="4"/>
        <v>Pending</v>
      </c>
      <c r="E22" s="1436" t="s">
        <v>5660</v>
      </c>
      <c r="F22" s="1315"/>
      <c r="G22" s="1411"/>
      <c r="H22" s="1316"/>
      <c r="I22" s="1316"/>
      <c r="J22" s="15" t="s">
        <v>132</v>
      </c>
      <c r="K22" s="15"/>
      <c r="L22" s="15"/>
      <c r="M22" s="1317"/>
      <c r="N22" s="1317"/>
      <c r="O22" s="1317"/>
      <c r="P22" s="1317"/>
      <c r="Q22" s="1317"/>
      <c r="R22" s="1313"/>
      <c r="S22" s="1318"/>
      <c r="T22" s="1316"/>
      <c r="U22" s="1265"/>
      <c r="V22" s="1265"/>
      <c r="W22" s="1320"/>
      <c r="X22" s="1265"/>
      <c r="Y22" s="1265"/>
      <c r="Z22" s="1313"/>
      <c r="AA22" s="1414" t="s">
        <v>140</v>
      </c>
      <c r="AB22" s="1319"/>
      <c r="AC22" s="21" t="s">
        <v>86</v>
      </c>
      <c r="AD22" s="1321"/>
      <c r="AE22" s="1321"/>
      <c r="AF22" s="1319"/>
      <c r="AG22" s="1317"/>
      <c r="AH22" s="1313"/>
      <c r="AI22" s="1313"/>
      <c r="AJ22" s="1418">
        <f t="shared" ca="1" si="5"/>
        <v>1</v>
      </c>
      <c r="AK22" s="1418">
        <f t="shared" ca="1" si="6"/>
        <v>1</v>
      </c>
      <c r="AL22" s="1419">
        <f t="shared" si="7"/>
        <v>0.2</v>
      </c>
      <c r="AM22" s="1420">
        <v>45663</v>
      </c>
      <c r="AN22" s="1421"/>
      <c r="AO22" s="1421"/>
      <c r="AP22" s="1421"/>
      <c r="AQ22" s="1421"/>
      <c r="AR22" s="1422" t="s">
        <v>1770</v>
      </c>
      <c r="AS22" s="1420">
        <v>45663</v>
      </c>
      <c r="AT22" s="11"/>
    </row>
    <row r="23" spans="1:46" s="271" customFormat="1" ht="10.5" customHeight="1" x14ac:dyDescent="0.35">
      <c r="A23" s="16"/>
      <c r="B23" s="1412" cm="1">
        <f t="array" ref="B23">+_xlfn.IFS(D23="In Touch - Positive",2,D23="Pending",1,D23="No Answer",4,D23="In Touch - Negative",3)</f>
        <v>1</v>
      </c>
      <c r="C23" s="16" t="s">
        <v>132</v>
      </c>
      <c r="D23" s="1412" t="str">
        <f t="shared" si="4"/>
        <v>Pending</v>
      </c>
      <c r="E23" s="1436" t="s">
        <v>5661</v>
      </c>
      <c r="F23" s="1315"/>
      <c r="G23" s="1411"/>
      <c r="H23" s="1316"/>
      <c r="I23" s="1316"/>
      <c r="J23" s="15" t="s">
        <v>132</v>
      </c>
      <c r="K23" s="15"/>
      <c r="L23" s="15"/>
      <c r="M23" s="1317"/>
      <c r="N23" s="1317"/>
      <c r="O23" s="1317"/>
      <c r="P23" s="1317"/>
      <c r="Q23" s="1317"/>
      <c r="R23" s="1313"/>
      <c r="S23" s="1318"/>
      <c r="T23" s="1316"/>
      <c r="U23" s="1265"/>
      <c r="V23" s="1265"/>
      <c r="W23" s="1320"/>
      <c r="X23" s="1265"/>
      <c r="Y23" s="1265"/>
      <c r="Z23" s="1313"/>
      <c r="AA23" s="1414" t="s">
        <v>140</v>
      </c>
      <c r="AB23" s="1319"/>
      <c r="AC23" s="21" t="s">
        <v>86</v>
      </c>
      <c r="AD23" s="1321"/>
      <c r="AE23" s="1321"/>
      <c r="AF23" s="1319"/>
      <c r="AG23" s="1317"/>
      <c r="AH23" s="1313"/>
      <c r="AI23" s="1313"/>
      <c r="AJ23" s="1418">
        <f t="shared" ca="1" si="5"/>
        <v>1</v>
      </c>
      <c r="AK23" s="1418">
        <f t="shared" ca="1" si="6"/>
        <v>1</v>
      </c>
      <c r="AL23" s="1419">
        <f t="shared" si="7"/>
        <v>0.2</v>
      </c>
      <c r="AM23" s="1420">
        <v>45663</v>
      </c>
      <c r="AN23" s="1421"/>
      <c r="AO23" s="1421"/>
      <c r="AP23" s="1421"/>
      <c r="AQ23" s="1421"/>
      <c r="AR23" s="1422" t="s">
        <v>1770</v>
      </c>
      <c r="AS23" s="1420">
        <v>45663</v>
      </c>
      <c r="AT23" s="11"/>
    </row>
    <row r="24" spans="1:46" s="271" customFormat="1" ht="10.5" customHeight="1" x14ac:dyDescent="0.35">
      <c r="A24" s="16"/>
      <c r="B24" s="1412" cm="1">
        <f t="array" ref="B24">+_xlfn.IFS(D24="In Touch - Positive",2,D24="Pending",1,D24="No Answer",4,D24="In Touch - Negative",3)</f>
        <v>1</v>
      </c>
      <c r="C24" s="16" t="s">
        <v>132</v>
      </c>
      <c r="D24" s="1412" t="str">
        <f t="shared" si="4"/>
        <v>Pending</v>
      </c>
      <c r="E24" s="1436" t="s">
        <v>5662</v>
      </c>
      <c r="F24" s="1315"/>
      <c r="G24" s="1411"/>
      <c r="H24" s="1316"/>
      <c r="I24" s="1316"/>
      <c r="J24" s="15" t="s">
        <v>132</v>
      </c>
      <c r="K24" s="15"/>
      <c r="L24" s="15"/>
      <c r="M24" s="1317"/>
      <c r="N24" s="1317"/>
      <c r="O24" s="1317"/>
      <c r="P24" s="1317"/>
      <c r="Q24" s="1317"/>
      <c r="R24" s="1313"/>
      <c r="S24" s="1318"/>
      <c r="T24" s="1316"/>
      <c r="U24" s="1265"/>
      <c r="V24" s="1265"/>
      <c r="W24" s="1320"/>
      <c r="X24" s="1265"/>
      <c r="Y24" s="1265"/>
      <c r="Z24" s="1313"/>
      <c r="AA24" s="1414" t="s">
        <v>140</v>
      </c>
      <c r="AB24" s="1319"/>
      <c r="AC24" s="21" t="s">
        <v>86</v>
      </c>
      <c r="AD24" s="1321"/>
      <c r="AE24" s="1321"/>
      <c r="AF24" s="1319"/>
      <c r="AG24" s="1317"/>
      <c r="AH24" s="1313"/>
      <c r="AI24" s="1313"/>
      <c r="AJ24" s="1418">
        <f t="shared" ca="1" si="5"/>
        <v>1</v>
      </c>
      <c r="AK24" s="1418">
        <f t="shared" ca="1" si="6"/>
        <v>1</v>
      </c>
      <c r="AL24" s="1419">
        <f t="shared" si="7"/>
        <v>0.2</v>
      </c>
      <c r="AM24" s="1420">
        <v>45663</v>
      </c>
      <c r="AN24" s="1421"/>
      <c r="AO24" s="1421"/>
      <c r="AP24" s="1421"/>
      <c r="AQ24" s="1421"/>
      <c r="AR24" s="1422" t="s">
        <v>1770</v>
      </c>
      <c r="AS24" s="1420">
        <v>45663</v>
      </c>
      <c r="AT24" s="11"/>
    </row>
    <row r="25" spans="1:46" s="271" customFormat="1" ht="10.5" customHeight="1" x14ac:dyDescent="0.35">
      <c r="A25" s="16"/>
      <c r="B25" s="1412" cm="1">
        <f t="array" ref="B25">+_xlfn.IFS(D25="In Touch - Positive",2,D25="Pending",1,D25="No Answer",4,D25="In Touch - Negative",3)</f>
        <v>1</v>
      </c>
      <c r="C25" s="16" t="s">
        <v>132</v>
      </c>
      <c r="D25" s="1412" t="str">
        <f t="shared" si="4"/>
        <v>Pending</v>
      </c>
      <c r="E25" s="1436" t="s">
        <v>5663</v>
      </c>
      <c r="F25" s="1315"/>
      <c r="G25" s="1411"/>
      <c r="H25" s="1316"/>
      <c r="I25" s="1316"/>
      <c r="J25" s="15" t="s">
        <v>132</v>
      </c>
      <c r="K25" s="15"/>
      <c r="L25" s="15"/>
      <c r="M25" s="1317"/>
      <c r="N25" s="1317"/>
      <c r="O25" s="1317"/>
      <c r="P25" s="1317"/>
      <c r="Q25" s="1317"/>
      <c r="R25" s="1313"/>
      <c r="S25" s="1318"/>
      <c r="T25" s="1316"/>
      <c r="U25" s="1265"/>
      <c r="V25" s="1265"/>
      <c r="W25" s="1320"/>
      <c r="X25" s="1265"/>
      <c r="Y25" s="1265"/>
      <c r="Z25" s="1313"/>
      <c r="AA25" s="1414" t="s">
        <v>140</v>
      </c>
      <c r="AB25" s="1319"/>
      <c r="AC25" s="21" t="s">
        <v>86</v>
      </c>
      <c r="AD25" s="1321"/>
      <c r="AE25" s="1321"/>
      <c r="AF25" s="1319"/>
      <c r="AG25" s="1317"/>
      <c r="AH25" s="1313"/>
      <c r="AI25" s="1313"/>
      <c r="AJ25" s="1418">
        <f t="shared" ca="1" si="5"/>
        <v>1</v>
      </c>
      <c r="AK25" s="1418">
        <f t="shared" ca="1" si="6"/>
        <v>1</v>
      </c>
      <c r="AL25" s="1419">
        <f t="shared" si="7"/>
        <v>0.2</v>
      </c>
      <c r="AM25" s="1420">
        <v>45663</v>
      </c>
      <c r="AN25" s="1421"/>
      <c r="AO25" s="1421"/>
      <c r="AP25" s="1421"/>
      <c r="AQ25" s="1421"/>
      <c r="AR25" s="1422" t="s">
        <v>1770</v>
      </c>
      <c r="AS25" s="1420">
        <v>45663</v>
      </c>
      <c r="AT25" s="11"/>
    </row>
    <row r="26" spans="1:46" s="271" customFormat="1" ht="10.5" customHeight="1" x14ac:dyDescent="0.35">
      <c r="A26" s="16"/>
      <c r="B26" s="1412" cm="1">
        <f t="array" ref="B26">+_xlfn.IFS(D26="In Touch - Positive",2,D26="Pending",1,D26="No Answer",4,D26="In Touch - Negative",3)</f>
        <v>1</v>
      </c>
      <c r="C26" s="16" t="s">
        <v>132</v>
      </c>
      <c r="D26" s="1412" t="str">
        <f t="shared" si="4"/>
        <v>Pending</v>
      </c>
      <c r="E26" s="1436" t="s">
        <v>5664</v>
      </c>
      <c r="F26" s="1315"/>
      <c r="G26" s="1411"/>
      <c r="H26" s="1316"/>
      <c r="I26" s="1316"/>
      <c r="J26" s="15" t="s">
        <v>132</v>
      </c>
      <c r="K26" s="15"/>
      <c r="L26" s="15"/>
      <c r="M26" s="1317"/>
      <c r="N26" s="1317"/>
      <c r="O26" s="1317"/>
      <c r="P26" s="1317"/>
      <c r="Q26" s="1317"/>
      <c r="R26" s="1313"/>
      <c r="S26" s="1318"/>
      <c r="T26" s="1316"/>
      <c r="U26" s="1265"/>
      <c r="V26" s="1265"/>
      <c r="W26" s="1320"/>
      <c r="X26" s="1265"/>
      <c r="Y26" s="1265"/>
      <c r="Z26" s="1313"/>
      <c r="AA26" s="1414" t="s">
        <v>140</v>
      </c>
      <c r="AB26" s="1319"/>
      <c r="AC26" s="21" t="s">
        <v>86</v>
      </c>
      <c r="AD26" s="1321"/>
      <c r="AE26" s="1321"/>
      <c r="AF26" s="1319"/>
      <c r="AG26" s="1317"/>
      <c r="AH26" s="1313"/>
      <c r="AI26" s="1313"/>
      <c r="AJ26" s="1418">
        <f t="shared" ca="1" si="5"/>
        <v>1</v>
      </c>
      <c r="AK26" s="1418">
        <f t="shared" ca="1" si="6"/>
        <v>1</v>
      </c>
      <c r="AL26" s="1419">
        <f t="shared" si="7"/>
        <v>0.2</v>
      </c>
      <c r="AM26" s="1420">
        <v>45663</v>
      </c>
      <c r="AN26" s="1421"/>
      <c r="AO26" s="1421"/>
      <c r="AP26" s="1421"/>
      <c r="AQ26" s="1421"/>
      <c r="AR26" s="1422" t="s">
        <v>1770</v>
      </c>
      <c r="AS26" s="1420">
        <v>45663</v>
      </c>
      <c r="AT26" s="11"/>
    </row>
    <row r="27" spans="1:46" s="271" customFormat="1" ht="10.5" customHeight="1" x14ac:dyDescent="0.35">
      <c r="A27" s="16"/>
      <c r="B27" s="1412" cm="1">
        <f t="array" ref="B27">+_xlfn.IFS(D27="In Touch - Positive",2,D27="Pending",1,D27="No Answer",4,D27="In Touch - Negative",3)</f>
        <v>1</v>
      </c>
      <c r="C27" s="16" t="s">
        <v>132</v>
      </c>
      <c r="D27" s="1412" t="str">
        <f t="shared" si="4"/>
        <v>Pending</v>
      </c>
      <c r="E27" s="1436" t="s">
        <v>5665</v>
      </c>
      <c r="F27" s="1315"/>
      <c r="G27" s="1411"/>
      <c r="H27" s="1316"/>
      <c r="I27" s="1316"/>
      <c r="J27" s="15" t="s">
        <v>132</v>
      </c>
      <c r="K27" s="15"/>
      <c r="L27" s="15"/>
      <c r="M27" s="1317"/>
      <c r="N27" s="1317"/>
      <c r="O27" s="1317"/>
      <c r="P27" s="1317"/>
      <c r="Q27" s="1317"/>
      <c r="R27" s="1313"/>
      <c r="S27" s="1318"/>
      <c r="T27" s="1316"/>
      <c r="U27" s="1265"/>
      <c r="V27" s="1265"/>
      <c r="W27" s="1320"/>
      <c r="X27" s="1265"/>
      <c r="Y27" s="1265"/>
      <c r="Z27" s="1313"/>
      <c r="AA27" s="1414" t="s">
        <v>140</v>
      </c>
      <c r="AB27" s="1319"/>
      <c r="AC27" s="21" t="s">
        <v>86</v>
      </c>
      <c r="AD27" s="1321"/>
      <c r="AE27" s="1321"/>
      <c r="AF27" s="1319"/>
      <c r="AG27" s="1317"/>
      <c r="AH27" s="1313"/>
      <c r="AI27" s="1313"/>
      <c r="AJ27" s="1418">
        <f t="shared" ca="1" si="5"/>
        <v>1</v>
      </c>
      <c r="AK27" s="1418">
        <f t="shared" ca="1" si="6"/>
        <v>1</v>
      </c>
      <c r="AL27" s="1419">
        <f t="shared" si="7"/>
        <v>0.2</v>
      </c>
      <c r="AM27" s="1420">
        <v>45663</v>
      </c>
      <c r="AN27" s="1421"/>
      <c r="AO27" s="1421"/>
      <c r="AP27" s="1421"/>
      <c r="AQ27" s="1421"/>
      <c r="AR27" s="1422" t="s">
        <v>1770</v>
      </c>
      <c r="AS27" s="1420">
        <v>45663</v>
      </c>
      <c r="AT27" s="11"/>
    </row>
    <row r="28" spans="1:46" s="271" customFormat="1" ht="10.5" customHeight="1" x14ac:dyDescent="0.35">
      <c r="A28" s="16"/>
      <c r="B28" s="1412" cm="1">
        <f t="array" ref="B28">+_xlfn.IFS(D28="In Touch - Positive",2,D28="Pending",1,D28="No Answer",4,D28="In Touch - Negative",3)</f>
        <v>1</v>
      </c>
      <c r="C28" s="16" t="s">
        <v>132</v>
      </c>
      <c r="D28" s="1412" t="str">
        <f t="shared" si="4"/>
        <v>Pending</v>
      </c>
      <c r="E28" s="1436" t="s">
        <v>5666</v>
      </c>
      <c r="F28" s="1315"/>
      <c r="G28" s="1411"/>
      <c r="H28" s="1316"/>
      <c r="I28" s="1316"/>
      <c r="J28" s="15" t="s">
        <v>132</v>
      </c>
      <c r="K28" s="15"/>
      <c r="L28" s="15"/>
      <c r="M28" s="1317"/>
      <c r="N28" s="1317"/>
      <c r="O28" s="1317"/>
      <c r="P28" s="1317"/>
      <c r="Q28" s="1317"/>
      <c r="R28" s="1313"/>
      <c r="S28" s="1318"/>
      <c r="T28" s="1316"/>
      <c r="U28" s="1265"/>
      <c r="V28" s="1265"/>
      <c r="W28" s="1320"/>
      <c r="X28" s="1265"/>
      <c r="Y28" s="1265"/>
      <c r="Z28" s="1313"/>
      <c r="AA28" s="1414" t="s">
        <v>140</v>
      </c>
      <c r="AB28" s="1319"/>
      <c r="AC28" s="21" t="s">
        <v>86</v>
      </c>
      <c r="AD28" s="1321"/>
      <c r="AE28" s="1321"/>
      <c r="AF28" s="1319"/>
      <c r="AG28" s="1317"/>
      <c r="AH28" s="1313"/>
      <c r="AI28" s="1313"/>
      <c r="AJ28" s="1418">
        <f t="shared" ca="1" si="5"/>
        <v>1</v>
      </c>
      <c r="AK28" s="1418">
        <f t="shared" ca="1" si="6"/>
        <v>1</v>
      </c>
      <c r="AL28" s="1419">
        <f t="shared" si="7"/>
        <v>0.2</v>
      </c>
      <c r="AM28" s="1420">
        <v>45663</v>
      </c>
      <c r="AN28" s="1421"/>
      <c r="AO28" s="1421"/>
      <c r="AP28" s="1421"/>
      <c r="AQ28" s="1421"/>
      <c r="AR28" s="1422" t="s">
        <v>1770</v>
      </c>
      <c r="AS28" s="1420">
        <v>45663</v>
      </c>
      <c r="AT28" s="11"/>
    </row>
    <row r="29" spans="1:46" s="271" customFormat="1" ht="10.5" customHeight="1" x14ac:dyDescent="0.35">
      <c r="A29" s="16"/>
      <c r="B29" s="1412" cm="1">
        <f t="array" ref="B29">+_xlfn.IFS(D29="In Touch - Positive",2,D29="Pending",1,D29="No Answer",4,D29="In Touch - Negative",3)</f>
        <v>1</v>
      </c>
      <c r="C29" s="16" t="s">
        <v>132</v>
      </c>
      <c r="D29" s="1412" t="str">
        <f t="shared" si="4"/>
        <v>Pending</v>
      </c>
      <c r="E29" s="1436" t="s">
        <v>5667</v>
      </c>
      <c r="F29" s="1315"/>
      <c r="G29" s="1411"/>
      <c r="H29" s="1316"/>
      <c r="I29" s="1316"/>
      <c r="J29" s="15" t="s">
        <v>132</v>
      </c>
      <c r="K29" s="15"/>
      <c r="L29" s="15"/>
      <c r="M29" s="1317"/>
      <c r="N29" s="1317"/>
      <c r="O29" s="1317"/>
      <c r="P29" s="1317"/>
      <c r="Q29" s="1317"/>
      <c r="R29" s="1313"/>
      <c r="S29" s="1318"/>
      <c r="T29" s="1316"/>
      <c r="U29" s="1265"/>
      <c r="V29" s="1265"/>
      <c r="W29" s="1320"/>
      <c r="X29" s="1265"/>
      <c r="Y29" s="1265"/>
      <c r="Z29" s="1313"/>
      <c r="AA29" s="1414" t="s">
        <v>140</v>
      </c>
      <c r="AB29" s="1319"/>
      <c r="AC29" s="21" t="s">
        <v>86</v>
      </c>
      <c r="AD29" s="1321"/>
      <c r="AE29" s="1321"/>
      <c r="AF29" s="1319"/>
      <c r="AG29" s="1317"/>
      <c r="AH29" s="1313"/>
      <c r="AI29" s="1313"/>
      <c r="AJ29" s="1418">
        <f t="shared" ca="1" si="5"/>
        <v>1</v>
      </c>
      <c r="AK29" s="1418">
        <f t="shared" ca="1" si="6"/>
        <v>1</v>
      </c>
      <c r="AL29" s="1419">
        <f t="shared" si="7"/>
        <v>0.2</v>
      </c>
      <c r="AM29" s="1420">
        <v>45663</v>
      </c>
      <c r="AN29" s="1421"/>
      <c r="AO29" s="1421"/>
      <c r="AP29" s="1421"/>
      <c r="AQ29" s="1421"/>
      <c r="AR29" s="1422" t="s">
        <v>1770</v>
      </c>
      <c r="AS29" s="1420">
        <v>45663</v>
      </c>
      <c r="AT29" s="11"/>
    </row>
    <row r="30" spans="1:46" s="271" customFormat="1" ht="10.5" customHeight="1" x14ac:dyDescent="0.35">
      <c r="A30" s="16"/>
      <c r="B30" s="1412" cm="1">
        <f t="array" ref="B30">+_xlfn.IFS(D30="In Touch - Positive",2,D30="Pending",1,D30="No Answer",4,D30="In Touch - Negative",3)</f>
        <v>1</v>
      </c>
      <c r="C30" s="16" t="s">
        <v>132</v>
      </c>
      <c r="D30" s="1412" t="str">
        <f t="shared" si="4"/>
        <v>Pending</v>
      </c>
      <c r="E30" s="1436" t="s">
        <v>5668</v>
      </c>
      <c r="F30" s="1315"/>
      <c r="G30" s="1411"/>
      <c r="H30" s="1316"/>
      <c r="I30" s="1316"/>
      <c r="J30" s="15" t="s">
        <v>132</v>
      </c>
      <c r="K30" s="15"/>
      <c r="L30" s="15"/>
      <c r="M30" s="1317"/>
      <c r="N30" s="1317"/>
      <c r="O30" s="1317"/>
      <c r="P30" s="1317"/>
      <c r="Q30" s="1317"/>
      <c r="R30" s="1313"/>
      <c r="S30" s="1318"/>
      <c r="T30" s="1316"/>
      <c r="U30" s="1265"/>
      <c r="V30" s="1265"/>
      <c r="W30" s="1320"/>
      <c r="X30" s="1265"/>
      <c r="Y30" s="1265"/>
      <c r="Z30" s="1313"/>
      <c r="AA30" s="1414" t="s">
        <v>140</v>
      </c>
      <c r="AB30" s="1319"/>
      <c r="AC30" s="21" t="s">
        <v>86</v>
      </c>
      <c r="AD30" s="1321"/>
      <c r="AE30" s="1321"/>
      <c r="AF30" s="1319"/>
      <c r="AG30" s="1317"/>
      <c r="AH30" s="1313"/>
      <c r="AI30" s="1313"/>
      <c r="AJ30" s="1418">
        <f t="shared" ca="1" si="5"/>
        <v>1</v>
      </c>
      <c r="AK30" s="1418">
        <f t="shared" ca="1" si="6"/>
        <v>1</v>
      </c>
      <c r="AL30" s="1419">
        <f t="shared" si="7"/>
        <v>0.2</v>
      </c>
      <c r="AM30" s="1420">
        <v>45663</v>
      </c>
      <c r="AN30" s="1421"/>
      <c r="AO30" s="1421"/>
      <c r="AP30" s="1421"/>
      <c r="AQ30" s="1421"/>
      <c r="AR30" s="1422" t="s">
        <v>1770</v>
      </c>
      <c r="AS30" s="1420">
        <v>45663</v>
      </c>
      <c r="AT30" s="11"/>
    </row>
    <row r="31" spans="1:46" s="271" customFormat="1" ht="10.5" customHeight="1" x14ac:dyDescent="0.35">
      <c r="A31" s="16"/>
      <c r="B31" s="1412" cm="1">
        <f t="array" ref="B31">+_xlfn.IFS(D31="In Touch - Positive",2,D31="Pending",1,D31="No Answer",4,D31="In Touch - Negative",3)</f>
        <v>1</v>
      </c>
      <c r="C31" s="16" t="s">
        <v>132</v>
      </c>
      <c r="D31" s="1412" t="str">
        <f t="shared" si="4"/>
        <v>Pending</v>
      </c>
      <c r="E31" s="1436" t="s">
        <v>5669</v>
      </c>
      <c r="F31" s="1315"/>
      <c r="G31" s="1411"/>
      <c r="H31" s="1316"/>
      <c r="I31" s="1316"/>
      <c r="J31" s="15" t="s">
        <v>132</v>
      </c>
      <c r="K31" s="15"/>
      <c r="L31" s="15"/>
      <c r="M31" s="1317"/>
      <c r="N31" s="1317"/>
      <c r="O31" s="1317"/>
      <c r="P31" s="1317"/>
      <c r="Q31" s="1317"/>
      <c r="R31" s="1313"/>
      <c r="S31" s="1318"/>
      <c r="T31" s="1316"/>
      <c r="U31" s="1265"/>
      <c r="V31" s="1265"/>
      <c r="W31" s="1320"/>
      <c r="X31" s="1265"/>
      <c r="Y31" s="1265"/>
      <c r="Z31" s="1313"/>
      <c r="AA31" s="1414" t="s">
        <v>140</v>
      </c>
      <c r="AB31" s="1319"/>
      <c r="AC31" s="21" t="s">
        <v>86</v>
      </c>
      <c r="AD31" s="1321"/>
      <c r="AE31" s="1321"/>
      <c r="AF31" s="1319"/>
      <c r="AG31" s="1317"/>
      <c r="AH31" s="1313"/>
      <c r="AI31" s="1313"/>
      <c r="AJ31" s="1418">
        <f t="shared" ca="1" si="5"/>
        <v>1</v>
      </c>
      <c r="AK31" s="1418">
        <f t="shared" ca="1" si="6"/>
        <v>1</v>
      </c>
      <c r="AL31" s="1419">
        <f t="shared" si="7"/>
        <v>0.2</v>
      </c>
      <c r="AM31" s="1420">
        <v>45663</v>
      </c>
      <c r="AN31" s="1421"/>
      <c r="AO31" s="1421"/>
      <c r="AP31" s="1421"/>
      <c r="AQ31" s="1421"/>
      <c r="AR31" s="1422" t="s">
        <v>1770</v>
      </c>
      <c r="AS31" s="1420">
        <v>45663</v>
      </c>
      <c r="AT31" s="11"/>
    </row>
    <row r="32" spans="1:46" s="271" customFormat="1" ht="10.5" customHeight="1" x14ac:dyDescent="0.35">
      <c r="A32" s="16"/>
      <c r="B32" s="1412" cm="1">
        <f t="array" ref="B32">+_xlfn.IFS(D32="In Touch - Positive",2,D32="Pending",1,D32="No Answer",4,D32="In Touch - Negative",3)</f>
        <v>1</v>
      </c>
      <c r="C32" s="16" t="s">
        <v>132</v>
      </c>
      <c r="D32" s="1412" t="str">
        <f t="shared" si="4"/>
        <v>Pending</v>
      </c>
      <c r="E32" s="1436" t="s">
        <v>5670</v>
      </c>
      <c r="F32" s="1315"/>
      <c r="G32" s="1411"/>
      <c r="H32" s="1316"/>
      <c r="I32" s="1316"/>
      <c r="J32" s="15" t="s">
        <v>132</v>
      </c>
      <c r="K32" s="15"/>
      <c r="L32" s="15"/>
      <c r="M32" s="1317"/>
      <c r="N32" s="1317"/>
      <c r="O32" s="1317"/>
      <c r="P32" s="1317"/>
      <c r="Q32" s="1317"/>
      <c r="R32" s="1313"/>
      <c r="S32" s="1318"/>
      <c r="T32" s="1316"/>
      <c r="U32" s="1265"/>
      <c r="V32" s="1265"/>
      <c r="W32" s="1320"/>
      <c r="X32" s="1265"/>
      <c r="Y32" s="1265"/>
      <c r="Z32" s="1313"/>
      <c r="AA32" s="1414" t="s">
        <v>140</v>
      </c>
      <c r="AB32" s="1319"/>
      <c r="AC32" s="21" t="s">
        <v>86</v>
      </c>
      <c r="AD32" s="1321"/>
      <c r="AE32" s="1321"/>
      <c r="AF32" s="1319"/>
      <c r="AG32" s="1317"/>
      <c r="AH32" s="1313"/>
      <c r="AI32" s="1313"/>
      <c r="AJ32" s="1418">
        <f t="shared" ca="1" si="5"/>
        <v>1</v>
      </c>
      <c r="AK32" s="1418">
        <f t="shared" ca="1" si="6"/>
        <v>1</v>
      </c>
      <c r="AL32" s="1419">
        <f t="shared" si="7"/>
        <v>0.2</v>
      </c>
      <c r="AM32" s="1420">
        <v>45663</v>
      </c>
      <c r="AN32" s="1421"/>
      <c r="AO32" s="1421"/>
      <c r="AP32" s="1421"/>
      <c r="AQ32" s="1421"/>
      <c r="AR32" s="1422" t="s">
        <v>1770</v>
      </c>
      <c r="AS32" s="1420">
        <v>45663</v>
      </c>
      <c r="AT32" s="11"/>
    </row>
    <row r="33" spans="1:55" s="271" customFormat="1" ht="10.5" customHeight="1" x14ac:dyDescent="0.35">
      <c r="B33" s="1412" cm="1">
        <f t="array" ref="B33">+_xlfn.IFS(D33="In Touch - Positive",2,D33="Pending",1,D33="No Answer",4,D33="In Touch - Negative",3)</f>
        <v>1</v>
      </c>
      <c r="C33" s="16" t="s">
        <v>5671</v>
      </c>
      <c r="D33" s="1412" t="str">
        <f t="shared" si="4"/>
        <v>Pending</v>
      </c>
      <c r="E33" s="12" t="s">
        <v>5673</v>
      </c>
      <c r="F33" s="1413"/>
      <c r="G33" s="13" t="s">
        <v>288</v>
      </c>
      <c r="H33" s="14" t="s">
        <v>5679</v>
      </c>
      <c r="I33" s="1411"/>
      <c r="J33" s="15" t="s">
        <v>2769</v>
      </c>
      <c r="K33" s="15" t="s">
        <v>5672</v>
      </c>
      <c r="L33" s="1414"/>
      <c r="M33" s="1414" t="s">
        <v>5681</v>
      </c>
      <c r="N33" s="1414"/>
      <c r="O33" s="1414" t="s">
        <v>5681</v>
      </c>
      <c r="P33" s="1414"/>
      <c r="Q33" s="1414"/>
      <c r="R33" s="1412"/>
      <c r="S33" s="1415" t="s">
        <v>77</v>
      </c>
      <c r="T33" s="1411">
        <v>2023</v>
      </c>
      <c r="U33" s="1416">
        <v>20.3</v>
      </c>
      <c r="V33" s="1416">
        <v>2.1</v>
      </c>
      <c r="W33" s="1417">
        <f t="shared" ref="W33:W64" si="8">+V33/U33</f>
        <v>0.10344827586206896</v>
      </c>
      <c r="X33" s="1416"/>
      <c r="Y33" s="1416">
        <v>1.69</v>
      </c>
      <c r="Z33" s="1412"/>
      <c r="AA33" s="1414" t="s">
        <v>140</v>
      </c>
      <c r="AB33" s="1416"/>
      <c r="AC33" s="21" t="s">
        <v>4423</v>
      </c>
      <c r="AD33" s="21" t="s">
        <v>61</v>
      </c>
      <c r="AE33" s="21" t="s">
        <v>79</v>
      </c>
      <c r="AF33" s="1416"/>
      <c r="AG33" s="1414"/>
      <c r="AH33" s="1412"/>
      <c r="AI33" s="1412"/>
      <c r="AJ33" s="1418">
        <f t="shared" ca="1" si="5"/>
        <v>23</v>
      </c>
      <c r="AK33" s="1418">
        <f t="shared" ca="1" si="6"/>
        <v>0</v>
      </c>
      <c r="AL33" s="1419">
        <f t="shared" si="7"/>
        <v>0.4</v>
      </c>
      <c r="AM33" s="1420">
        <v>45641</v>
      </c>
      <c r="AN33" s="1421">
        <v>45664</v>
      </c>
      <c r="AO33" s="1421"/>
      <c r="AP33" s="1421"/>
      <c r="AQ33" s="1421"/>
      <c r="AR33" s="1422" t="s">
        <v>1770</v>
      </c>
      <c r="AS33" s="1420">
        <v>45664</v>
      </c>
      <c r="AT33" s="1423"/>
      <c r="AU33" s="1424"/>
      <c r="AV33" s="1424"/>
      <c r="AW33" s="1424"/>
      <c r="AX33" s="1424"/>
      <c r="AY33" s="1424"/>
      <c r="AZ33" s="1424"/>
      <c r="BA33" s="1424"/>
      <c r="BB33" s="1424"/>
      <c r="BC33" s="1424"/>
    </row>
    <row r="34" spans="1:55" s="271" customFormat="1" ht="10.5" customHeight="1" x14ac:dyDescent="0.35">
      <c r="B34" s="1412" cm="1">
        <f t="array" ref="B34">+_xlfn.IFS(D34="In Touch - Positive",2,D34="Pending",1,D34="No Answer",4,D34="In Touch - Negative",3)</f>
        <v>1</v>
      </c>
      <c r="C34" s="16" t="s">
        <v>5671</v>
      </c>
      <c r="D34" s="1412" t="str">
        <f t="shared" si="4"/>
        <v>Pending</v>
      </c>
      <c r="E34" s="12" t="s">
        <v>5674</v>
      </c>
      <c r="F34" s="1413"/>
      <c r="G34" s="13" t="s">
        <v>340</v>
      </c>
      <c r="H34" s="14" t="s">
        <v>5680</v>
      </c>
      <c r="I34" s="1411"/>
      <c r="J34" s="15" t="s">
        <v>2769</v>
      </c>
      <c r="K34" s="15" t="s">
        <v>5672</v>
      </c>
      <c r="L34" s="1414"/>
      <c r="M34" s="1414" t="s">
        <v>5682</v>
      </c>
      <c r="N34" s="1414"/>
      <c r="O34" s="1414"/>
      <c r="P34" s="1414" t="s">
        <v>5682</v>
      </c>
      <c r="Q34" s="1414"/>
      <c r="R34" s="1412"/>
      <c r="S34" s="1415" t="s">
        <v>77</v>
      </c>
      <c r="T34" s="1411">
        <v>2023</v>
      </c>
      <c r="U34" s="1416">
        <v>4.2</v>
      </c>
      <c r="V34" s="1416">
        <v>1.2</v>
      </c>
      <c r="W34" s="1417">
        <f t="shared" si="8"/>
        <v>0.2857142857142857</v>
      </c>
      <c r="X34" s="1416"/>
      <c r="Y34" s="1416">
        <v>-2.19</v>
      </c>
      <c r="Z34" s="1412"/>
      <c r="AA34" s="1414" t="s">
        <v>140</v>
      </c>
      <c r="AB34" s="1416"/>
      <c r="AC34" s="21" t="s">
        <v>4423</v>
      </c>
      <c r="AD34" s="21" t="s">
        <v>61</v>
      </c>
      <c r="AE34" s="21" t="s">
        <v>79</v>
      </c>
      <c r="AF34" s="1416"/>
      <c r="AG34" s="1414"/>
      <c r="AH34" s="1412"/>
      <c r="AI34" s="1412"/>
      <c r="AJ34" s="1418">
        <f t="shared" ca="1" si="5"/>
        <v>23</v>
      </c>
      <c r="AK34" s="1418">
        <f t="shared" ca="1" si="6"/>
        <v>0</v>
      </c>
      <c r="AL34" s="1419">
        <f t="shared" si="7"/>
        <v>0.4</v>
      </c>
      <c r="AM34" s="1420">
        <v>45641</v>
      </c>
      <c r="AN34" s="1421">
        <v>45664</v>
      </c>
      <c r="AO34" s="1421"/>
      <c r="AP34" s="1421"/>
      <c r="AQ34" s="1421"/>
      <c r="AR34" s="1422" t="s">
        <v>1770</v>
      </c>
      <c r="AS34" s="1420">
        <v>45664</v>
      </c>
      <c r="AT34" s="1423"/>
      <c r="AU34" s="1424"/>
      <c r="AV34" s="1424"/>
      <c r="AW34" s="1424"/>
      <c r="AX34" s="1424"/>
      <c r="AY34" s="1424"/>
      <c r="AZ34" s="1424"/>
      <c r="BA34" s="1424"/>
      <c r="BB34" s="1424"/>
      <c r="BC34" s="1424"/>
    </row>
    <row r="35" spans="1:55" s="271" customFormat="1" ht="10.5" customHeight="1" x14ac:dyDescent="0.35">
      <c r="B35" s="1412" cm="1">
        <f t="array" ref="B35">+_xlfn.IFS(D35="In Touch - Positive",2,D35="Pending",1,D35="No Answer",4,D35="In Touch - Negative",3)</f>
        <v>1</v>
      </c>
      <c r="C35" s="16" t="s">
        <v>5671</v>
      </c>
      <c r="D35" s="1412" t="str">
        <f t="shared" si="4"/>
        <v>Pending</v>
      </c>
      <c r="E35" s="12" t="s">
        <v>5675</v>
      </c>
      <c r="F35" s="1413"/>
      <c r="G35" s="13" t="s">
        <v>413</v>
      </c>
      <c r="H35" s="14" t="s">
        <v>5678</v>
      </c>
      <c r="I35" s="1411"/>
      <c r="J35" s="15" t="s">
        <v>2769</v>
      </c>
      <c r="K35" s="15" t="s">
        <v>5672</v>
      </c>
      <c r="L35" s="1414"/>
      <c r="M35" s="1414" t="s">
        <v>5683</v>
      </c>
      <c r="N35" s="1414"/>
      <c r="O35" s="1414"/>
      <c r="P35" s="1414" t="s">
        <v>5683</v>
      </c>
      <c r="Q35" s="1414"/>
      <c r="R35" s="1412"/>
      <c r="S35" s="1415" t="s">
        <v>77</v>
      </c>
      <c r="T35" s="1411">
        <v>2023</v>
      </c>
      <c r="U35" s="1416">
        <v>32.700000000000003</v>
      </c>
      <c r="V35" s="1416">
        <v>5.2</v>
      </c>
      <c r="W35" s="1417">
        <f t="shared" si="8"/>
        <v>0.15902140672782875</v>
      </c>
      <c r="X35" s="1416"/>
      <c r="Y35" s="1416">
        <v>2.88</v>
      </c>
      <c r="Z35" s="1412"/>
      <c r="AA35" s="1414" t="s">
        <v>140</v>
      </c>
      <c r="AB35" s="1416"/>
      <c r="AC35" s="21" t="s">
        <v>4423</v>
      </c>
      <c r="AD35" s="21" t="s">
        <v>61</v>
      </c>
      <c r="AE35" s="21" t="s">
        <v>79</v>
      </c>
      <c r="AF35" s="1416"/>
      <c r="AG35" s="1414"/>
      <c r="AH35" s="1412"/>
      <c r="AI35" s="1412"/>
      <c r="AJ35" s="1418">
        <f t="shared" ca="1" si="5"/>
        <v>23</v>
      </c>
      <c r="AK35" s="1418">
        <f t="shared" ca="1" si="6"/>
        <v>0</v>
      </c>
      <c r="AL35" s="1419">
        <f t="shared" si="7"/>
        <v>0.4</v>
      </c>
      <c r="AM35" s="1420">
        <v>45641</v>
      </c>
      <c r="AN35" s="1421">
        <v>45664</v>
      </c>
      <c r="AO35" s="1421"/>
      <c r="AP35" s="1421"/>
      <c r="AQ35" s="1421"/>
      <c r="AR35" s="1422" t="s">
        <v>1770</v>
      </c>
      <c r="AS35" s="1420">
        <v>45664</v>
      </c>
      <c r="AT35" s="1423"/>
      <c r="AU35" s="1424"/>
      <c r="AV35" s="1424"/>
      <c r="AW35" s="1424"/>
      <c r="AX35" s="1424"/>
      <c r="AY35" s="1424"/>
      <c r="AZ35" s="1424"/>
      <c r="BA35" s="1424"/>
      <c r="BB35" s="1424"/>
      <c r="BC35" s="1424"/>
    </row>
    <row r="36" spans="1:55" s="271" customFormat="1" ht="10.5" customHeight="1" x14ac:dyDescent="0.35">
      <c r="B36" s="1412" cm="1">
        <f t="array" ref="B36">+_xlfn.IFS(D36="In Touch - Positive",2,D36="Pending",1,D36="No Answer",4,D36="In Touch - Negative",3)</f>
        <v>1</v>
      </c>
      <c r="C36" s="16" t="s">
        <v>5671</v>
      </c>
      <c r="D36" s="1412" t="str">
        <f t="shared" si="4"/>
        <v>Pending</v>
      </c>
      <c r="E36" s="1425" t="s">
        <v>5676</v>
      </c>
      <c r="F36" s="1413"/>
      <c r="G36" s="13" t="s">
        <v>288</v>
      </c>
      <c r="H36" s="14" t="s">
        <v>5677</v>
      </c>
      <c r="I36" s="1411"/>
      <c r="J36" s="15" t="s">
        <v>2769</v>
      </c>
      <c r="K36" s="15" t="s">
        <v>5672</v>
      </c>
      <c r="L36" s="1414"/>
      <c r="M36" s="1414" t="s">
        <v>5684</v>
      </c>
      <c r="N36" s="1414"/>
      <c r="O36" s="1414"/>
      <c r="P36" s="1414" t="s">
        <v>5685</v>
      </c>
      <c r="Q36" s="1414"/>
      <c r="R36" s="1412"/>
      <c r="S36" s="1415" t="s">
        <v>77</v>
      </c>
      <c r="T36" s="1411">
        <v>2023</v>
      </c>
      <c r="U36" s="1416">
        <v>4.0999999999999996</v>
      </c>
      <c r="V36" s="1416">
        <v>0.6</v>
      </c>
      <c r="W36" s="1417">
        <f t="shared" si="8"/>
        <v>0.14634146341463417</v>
      </c>
      <c r="X36" s="1416"/>
      <c r="Y36" s="1416">
        <v>-0.46</v>
      </c>
      <c r="Z36" s="1412"/>
      <c r="AA36" s="1414" t="s">
        <v>140</v>
      </c>
      <c r="AB36" s="1416"/>
      <c r="AC36" s="21" t="s">
        <v>4423</v>
      </c>
      <c r="AD36" s="21" t="s">
        <v>61</v>
      </c>
      <c r="AE36" s="21" t="s">
        <v>79</v>
      </c>
      <c r="AF36" s="1416"/>
      <c r="AG36" s="1414"/>
      <c r="AH36" s="1412"/>
      <c r="AI36" s="1412"/>
      <c r="AJ36" s="1418">
        <f t="shared" ca="1" si="5"/>
        <v>23</v>
      </c>
      <c r="AK36" s="1418">
        <f t="shared" ca="1" si="6"/>
        <v>0</v>
      </c>
      <c r="AL36" s="1419">
        <f t="shared" si="7"/>
        <v>0.4</v>
      </c>
      <c r="AM36" s="1420">
        <v>45641</v>
      </c>
      <c r="AN36" s="1421">
        <v>45664</v>
      </c>
      <c r="AO36" s="1421"/>
      <c r="AP36" s="1421"/>
      <c r="AQ36" s="1421"/>
      <c r="AR36" s="1422" t="s">
        <v>1770</v>
      </c>
      <c r="AS36" s="1420">
        <v>45664</v>
      </c>
      <c r="AT36" s="1423"/>
      <c r="AU36" s="1424"/>
      <c r="AV36" s="1424"/>
      <c r="AW36" s="1424"/>
      <c r="AX36" s="1424"/>
      <c r="AY36" s="1424"/>
      <c r="AZ36" s="1424"/>
      <c r="BA36" s="1424"/>
      <c r="BB36" s="1424"/>
      <c r="BC36" s="1424"/>
    </row>
    <row r="37" spans="1:55" s="271" customFormat="1" ht="10.5" customHeight="1" x14ac:dyDescent="0.35">
      <c r="B37" s="1412" cm="1">
        <f t="array" ref="B37">+_xlfn.IFS(D37="In Touch - Positive",2,D37="Pending",1,D37="No Answer",4,D37="In Touch - Negative",3)</f>
        <v>1</v>
      </c>
      <c r="C37" s="1412" t="s">
        <v>1864</v>
      </c>
      <c r="D37" s="1412" t="str">
        <f t="shared" si="4"/>
        <v>Pending</v>
      </c>
      <c r="E37" s="1425" t="s">
        <v>5639</v>
      </c>
      <c r="F37" s="1413"/>
      <c r="G37" s="1411" t="s">
        <v>103</v>
      </c>
      <c r="H37" s="1411"/>
      <c r="I37" s="1411"/>
      <c r="J37" s="1414" t="s">
        <v>57</v>
      </c>
      <c r="K37" s="1414" t="s">
        <v>5637</v>
      </c>
      <c r="L37" s="1414" t="s">
        <v>5640</v>
      </c>
      <c r="M37" s="1414"/>
      <c r="N37" s="1414"/>
      <c r="O37" s="1414"/>
      <c r="P37" s="1414"/>
      <c r="Q37" s="1414"/>
      <c r="R37" s="1412"/>
      <c r="S37" s="1415" t="s">
        <v>77</v>
      </c>
      <c r="T37" s="1411">
        <v>2023</v>
      </c>
      <c r="U37" s="1416">
        <v>3.7810000000000001</v>
      </c>
      <c r="V37" s="1416">
        <v>0.74399999999999999</v>
      </c>
      <c r="W37" s="1417">
        <f t="shared" si="8"/>
        <v>0.19677334038614122</v>
      </c>
      <c r="X37" s="1416"/>
      <c r="Y37" s="1416"/>
      <c r="Z37" s="1412"/>
      <c r="AA37" s="1414" t="s">
        <v>140</v>
      </c>
      <c r="AB37" s="1416"/>
      <c r="AC37" s="1426" t="s">
        <v>62</v>
      </c>
      <c r="AD37" s="1426" t="s">
        <v>62</v>
      </c>
      <c r="AE37" s="1426" t="s">
        <v>62</v>
      </c>
      <c r="AF37" s="1416"/>
      <c r="AG37" s="1414"/>
      <c r="AH37" s="1412"/>
      <c r="AI37" s="1412"/>
      <c r="AJ37" s="1418">
        <f t="shared" ca="1" si="5"/>
        <v>32</v>
      </c>
      <c r="AK37" s="1418">
        <f t="shared" ca="1" si="6"/>
        <v>32</v>
      </c>
      <c r="AL37" s="1419">
        <f t="shared" si="7"/>
        <v>0.6</v>
      </c>
      <c r="AM37" s="1420">
        <v>45632</v>
      </c>
      <c r="AN37" s="1421">
        <v>45632</v>
      </c>
      <c r="AO37" s="1421" t="s">
        <v>65</v>
      </c>
      <c r="AP37" s="1421"/>
      <c r="AQ37" s="1421"/>
      <c r="AR37" s="1422" t="s">
        <v>1770</v>
      </c>
      <c r="AS37" s="1420">
        <v>45632</v>
      </c>
      <c r="AT37" s="1423"/>
      <c r="AU37" s="1424"/>
      <c r="AV37" s="1424"/>
      <c r="AW37" s="1424"/>
      <c r="AX37" s="1424"/>
      <c r="AY37" s="1424"/>
      <c r="AZ37" s="1424"/>
      <c r="BA37" s="1424"/>
      <c r="BB37" s="1424"/>
      <c r="BC37" s="1424"/>
    </row>
    <row r="38" spans="1:55" s="271" customFormat="1" ht="10.5" customHeight="1" x14ac:dyDescent="0.35">
      <c r="A38" s="16"/>
      <c r="B38" s="1313" cm="1">
        <f t="array" ref="B38">+_xlfn.IFS(D38="In Touch - Positive",2,D38="Pending",1,D38="No Answer",4,D38="In Touch - Negative",3)</f>
        <v>1</v>
      </c>
      <c r="C38" s="16" t="s">
        <v>1864</v>
      </c>
      <c r="D38" s="16" t="str">
        <f t="shared" si="4"/>
        <v>Pending</v>
      </c>
      <c r="E38" s="1314" t="s">
        <v>5636</v>
      </c>
      <c r="F38" s="1315"/>
      <c r="G38" s="1411" t="s">
        <v>208</v>
      </c>
      <c r="H38" s="1316"/>
      <c r="I38" s="1316"/>
      <c r="J38" s="1317" t="s">
        <v>57</v>
      </c>
      <c r="K38" s="15" t="s">
        <v>5637</v>
      </c>
      <c r="L38" s="15" t="s">
        <v>5638</v>
      </c>
      <c r="M38" s="1317"/>
      <c r="N38" s="1317"/>
      <c r="O38" s="1317"/>
      <c r="P38" s="1317"/>
      <c r="Q38" s="1317"/>
      <c r="R38" s="1313"/>
      <c r="S38" s="1318" t="s">
        <v>77</v>
      </c>
      <c r="T38" s="1316">
        <v>2023</v>
      </c>
      <c r="U38" s="1265">
        <v>2.3050000000000002</v>
      </c>
      <c r="V38" s="1265">
        <v>0.68700000000000006</v>
      </c>
      <c r="W38" s="1320">
        <f t="shared" si="8"/>
        <v>0.29804772234273319</v>
      </c>
      <c r="X38" s="1265"/>
      <c r="Y38" s="1265"/>
      <c r="Z38" s="1313"/>
      <c r="AA38" s="1317" t="s">
        <v>140</v>
      </c>
      <c r="AB38" s="1319"/>
      <c r="AC38" s="1321" t="s">
        <v>62</v>
      </c>
      <c r="AD38" s="1321" t="s">
        <v>62</v>
      </c>
      <c r="AE38" s="1321" t="s">
        <v>62</v>
      </c>
      <c r="AF38" s="1319"/>
      <c r="AG38" s="1317"/>
      <c r="AH38" s="1313"/>
      <c r="AI38" s="1313"/>
      <c r="AJ38" s="1322">
        <f t="shared" ca="1" si="5"/>
        <v>32</v>
      </c>
      <c r="AK38" s="1322">
        <f t="shared" ca="1" si="6"/>
        <v>32</v>
      </c>
      <c r="AL38" s="1323">
        <f t="shared" si="7"/>
        <v>0.6</v>
      </c>
      <c r="AM38" s="1324">
        <v>45632</v>
      </c>
      <c r="AN38" s="1325">
        <v>45632</v>
      </c>
      <c r="AO38" s="1325" t="s">
        <v>65</v>
      </c>
      <c r="AP38" s="38"/>
      <c r="AQ38" s="1325"/>
      <c r="AR38" s="1326" t="s">
        <v>1770</v>
      </c>
      <c r="AS38" s="1324">
        <v>45632</v>
      </c>
      <c r="AT38" s="11"/>
    </row>
    <row r="39" spans="1:55" s="271" customFormat="1" ht="10.5" customHeight="1" x14ac:dyDescent="0.35">
      <c r="A39" s="16"/>
      <c r="B39" s="1313" cm="1">
        <f t="array" ref="B39">+_xlfn.IFS(D39="In Touch - Positive",2,D39="Pending",1,D39="No Answer",4,D39="In Touch - Negative",3)</f>
        <v>1</v>
      </c>
      <c r="C39" s="16" t="s">
        <v>5590</v>
      </c>
      <c r="D39" s="16" t="str">
        <f t="shared" si="4"/>
        <v>Pending</v>
      </c>
      <c r="E39" s="1314" t="s">
        <v>5614</v>
      </c>
      <c r="F39" s="1315"/>
      <c r="G39" s="1411" t="s">
        <v>103</v>
      </c>
      <c r="H39" s="1316"/>
      <c r="I39" s="1316"/>
      <c r="J39" s="1317" t="s">
        <v>1010</v>
      </c>
      <c r="K39" s="15" t="s">
        <v>5567</v>
      </c>
      <c r="L39" s="15" t="s">
        <v>5625</v>
      </c>
      <c r="M39" s="1317"/>
      <c r="N39" s="1317"/>
      <c r="O39" s="1317"/>
      <c r="P39" s="1317"/>
      <c r="Q39" s="1317"/>
      <c r="R39" s="1313"/>
      <c r="S39" s="1318" t="s">
        <v>77</v>
      </c>
      <c r="T39" s="1316">
        <v>2023</v>
      </c>
      <c r="U39" s="1265">
        <v>0.41299999999999998</v>
      </c>
      <c r="V39" s="1265">
        <v>0.24399999999999999</v>
      </c>
      <c r="W39" s="1320">
        <f t="shared" si="8"/>
        <v>0.59079903147699764</v>
      </c>
      <c r="X39" s="1265"/>
      <c r="Y39" s="1265"/>
      <c r="Z39" s="1313"/>
      <c r="AA39" s="1317" t="s">
        <v>140</v>
      </c>
      <c r="AB39" s="1319"/>
      <c r="AC39" s="1321" t="s">
        <v>62</v>
      </c>
      <c r="AD39" s="1321" t="s">
        <v>62</v>
      </c>
      <c r="AE39" s="1321" t="s">
        <v>62</v>
      </c>
      <c r="AF39" s="1319"/>
      <c r="AG39" s="1317"/>
      <c r="AH39" s="1313"/>
      <c r="AI39" s="1313"/>
      <c r="AJ39" s="1322">
        <f t="shared" ca="1" si="5"/>
        <v>34</v>
      </c>
      <c r="AK39" s="1322">
        <f t="shared" ca="1" si="6"/>
        <v>33</v>
      </c>
      <c r="AL39" s="1323">
        <f t="shared" si="7"/>
        <v>0.6</v>
      </c>
      <c r="AM39" s="1324">
        <v>45630</v>
      </c>
      <c r="AN39" s="1325">
        <v>45631</v>
      </c>
      <c r="AO39" s="1325" t="s">
        <v>65</v>
      </c>
      <c r="AP39" s="38"/>
      <c r="AQ39" s="1325"/>
      <c r="AR39" s="1326" t="s">
        <v>1770</v>
      </c>
      <c r="AS39" s="1324">
        <v>45631</v>
      </c>
      <c r="AT39" s="11"/>
    </row>
    <row r="40" spans="1:55" s="271" customFormat="1" ht="10.5" customHeight="1" x14ac:dyDescent="0.35">
      <c r="A40" s="16"/>
      <c r="B40" s="1313" cm="1">
        <f t="array" ref="B40">+_xlfn.IFS(D40="In Touch - Positive",2,D40="Pending",1,D40="No Answer",4,D40="In Touch - Negative",3)</f>
        <v>1</v>
      </c>
      <c r="C40" s="16" t="s">
        <v>5590</v>
      </c>
      <c r="D40" s="16" t="str">
        <f t="shared" si="4"/>
        <v>Pending</v>
      </c>
      <c r="E40" s="1314" t="s">
        <v>5613</v>
      </c>
      <c r="F40" s="1315"/>
      <c r="G40" s="1411" t="s">
        <v>308</v>
      </c>
      <c r="H40" s="1316"/>
      <c r="I40" s="1316"/>
      <c r="J40" s="1317" t="s">
        <v>1010</v>
      </c>
      <c r="K40" s="15" t="s">
        <v>5567</v>
      </c>
      <c r="L40" s="15" t="s">
        <v>5619</v>
      </c>
      <c r="M40" s="1317"/>
      <c r="N40" s="1317"/>
      <c r="O40" s="1317"/>
      <c r="P40" s="1317"/>
      <c r="Q40" s="1317"/>
      <c r="R40" s="1313"/>
      <c r="S40" s="1318" t="s">
        <v>77</v>
      </c>
      <c r="T40" s="1316">
        <v>2023</v>
      </c>
      <c r="U40" s="1265">
        <v>0.75</v>
      </c>
      <c r="V40" s="1265">
        <v>0.253</v>
      </c>
      <c r="W40" s="1320">
        <f t="shared" si="8"/>
        <v>0.33733333333333332</v>
      </c>
      <c r="X40" s="1265"/>
      <c r="Y40" s="1265"/>
      <c r="Z40" s="1313"/>
      <c r="AA40" s="1317" t="s">
        <v>140</v>
      </c>
      <c r="AB40" s="1319"/>
      <c r="AC40" s="1321" t="s">
        <v>62</v>
      </c>
      <c r="AD40" s="1321" t="s">
        <v>62</v>
      </c>
      <c r="AE40" s="1321" t="s">
        <v>62</v>
      </c>
      <c r="AF40" s="1319"/>
      <c r="AG40" s="1317"/>
      <c r="AH40" s="1313"/>
      <c r="AI40" s="1313"/>
      <c r="AJ40" s="1322">
        <f t="shared" ca="1" si="5"/>
        <v>34</v>
      </c>
      <c r="AK40" s="1322">
        <f t="shared" ca="1" si="6"/>
        <v>33</v>
      </c>
      <c r="AL40" s="1323">
        <f t="shared" si="7"/>
        <v>0.6</v>
      </c>
      <c r="AM40" s="1324">
        <v>45630</v>
      </c>
      <c r="AN40" s="1325">
        <v>45631</v>
      </c>
      <c r="AO40" s="1325" t="s">
        <v>65</v>
      </c>
      <c r="AP40" s="38"/>
      <c r="AQ40" s="1325"/>
      <c r="AR40" s="1326" t="s">
        <v>1770</v>
      </c>
      <c r="AS40" s="1324">
        <v>45631</v>
      </c>
      <c r="AT40" s="11"/>
    </row>
    <row r="41" spans="1:55" s="271" customFormat="1" ht="10.5" customHeight="1" x14ac:dyDescent="0.35">
      <c r="A41" s="16"/>
      <c r="B41" s="1313" cm="1">
        <f t="array" ref="B41">+_xlfn.IFS(D41="In Touch - Positive",2,D41="Pending",1,D41="No Answer",4,D41="In Touch - Negative",3)</f>
        <v>1</v>
      </c>
      <c r="C41" s="16" t="s">
        <v>5590</v>
      </c>
      <c r="D41" s="16" t="str">
        <f t="shared" si="4"/>
        <v>Pending</v>
      </c>
      <c r="E41" s="1314" t="s">
        <v>5606</v>
      </c>
      <c r="F41" s="1315"/>
      <c r="G41" s="1411" t="s">
        <v>103</v>
      </c>
      <c r="H41" s="1316"/>
      <c r="I41" s="1316"/>
      <c r="J41" s="1317" t="s">
        <v>1010</v>
      </c>
      <c r="K41" s="15" t="s">
        <v>5567</v>
      </c>
      <c r="L41" s="15" t="s">
        <v>5607</v>
      </c>
      <c r="M41" s="1317"/>
      <c r="N41" s="1317"/>
      <c r="O41" s="1317"/>
      <c r="P41" s="1317"/>
      <c r="Q41" s="1317"/>
      <c r="R41" s="1313"/>
      <c r="S41" s="1318" t="s">
        <v>77</v>
      </c>
      <c r="T41" s="1316">
        <v>2023</v>
      </c>
      <c r="U41" s="1265">
        <v>1.679</v>
      </c>
      <c r="V41" s="1265">
        <v>0.27</v>
      </c>
      <c r="W41" s="1320">
        <f t="shared" si="8"/>
        <v>0.16081000595592615</v>
      </c>
      <c r="X41" s="1265"/>
      <c r="Y41" s="1265"/>
      <c r="Z41" s="1313"/>
      <c r="AA41" s="1317" t="s">
        <v>140</v>
      </c>
      <c r="AB41" s="1319"/>
      <c r="AC41" s="1321" t="s">
        <v>62</v>
      </c>
      <c r="AD41" s="1321" t="s">
        <v>62</v>
      </c>
      <c r="AE41" s="1321" t="s">
        <v>62</v>
      </c>
      <c r="AF41" s="1319"/>
      <c r="AG41" s="1317"/>
      <c r="AH41" s="1313"/>
      <c r="AI41" s="1313"/>
      <c r="AJ41" s="1322">
        <f t="shared" ca="1" si="5"/>
        <v>34</v>
      </c>
      <c r="AK41" s="1322">
        <f t="shared" ca="1" si="6"/>
        <v>33</v>
      </c>
      <c r="AL41" s="1323">
        <f t="shared" si="7"/>
        <v>0.6</v>
      </c>
      <c r="AM41" s="1324">
        <v>45630</v>
      </c>
      <c r="AN41" s="1325">
        <v>45631</v>
      </c>
      <c r="AO41" s="1325" t="s">
        <v>65</v>
      </c>
      <c r="AP41" s="38"/>
      <c r="AQ41" s="1325"/>
      <c r="AR41" s="1326" t="s">
        <v>1770</v>
      </c>
      <c r="AS41" s="1324">
        <v>45631</v>
      </c>
      <c r="AT41" s="11"/>
    </row>
    <row r="42" spans="1:55" s="271" customFormat="1" ht="10.5" customHeight="1" x14ac:dyDescent="0.35">
      <c r="A42" s="16"/>
      <c r="B42" s="1313" cm="1">
        <f t="array" ref="B42">+_xlfn.IFS(D42="In Touch - Positive",2,D42="Pending",1,D42="No Answer",4,D42="In Touch - Negative",3)</f>
        <v>1</v>
      </c>
      <c r="C42" s="16" t="s">
        <v>5590</v>
      </c>
      <c r="D42" s="16" t="str">
        <f t="shared" si="4"/>
        <v>Pending</v>
      </c>
      <c r="E42" s="1314" t="s">
        <v>5602</v>
      </c>
      <c r="F42" s="1315"/>
      <c r="G42" s="1411" t="s">
        <v>137</v>
      </c>
      <c r="H42" s="1316"/>
      <c r="I42" s="1316"/>
      <c r="J42" s="1317" t="s">
        <v>1010</v>
      </c>
      <c r="K42" s="15" t="s">
        <v>5567</v>
      </c>
      <c r="L42" s="15" t="s">
        <v>5603</v>
      </c>
      <c r="M42" s="1317"/>
      <c r="N42" s="1317"/>
      <c r="O42" s="1317"/>
      <c r="P42" s="1317"/>
      <c r="Q42" s="1317"/>
      <c r="R42" s="1313"/>
      <c r="S42" s="1318" t="s">
        <v>77</v>
      </c>
      <c r="T42" s="1316">
        <v>2023</v>
      </c>
      <c r="U42" s="1265">
        <v>0.747</v>
      </c>
      <c r="V42" s="1265">
        <v>0.38200000000000001</v>
      </c>
      <c r="W42" s="1320">
        <f t="shared" si="8"/>
        <v>0.51137884872824635</v>
      </c>
      <c r="X42" s="1265"/>
      <c r="Y42" s="1265"/>
      <c r="Z42" s="1313"/>
      <c r="AA42" s="1317" t="s">
        <v>140</v>
      </c>
      <c r="AB42" s="1319"/>
      <c r="AC42" s="1321" t="s">
        <v>62</v>
      </c>
      <c r="AD42" s="1321" t="s">
        <v>62</v>
      </c>
      <c r="AE42" s="1321" t="s">
        <v>62</v>
      </c>
      <c r="AF42" s="1319"/>
      <c r="AG42" s="1317"/>
      <c r="AH42" s="1313"/>
      <c r="AI42" s="1313"/>
      <c r="AJ42" s="1322">
        <f t="shared" ca="1" si="5"/>
        <v>34</v>
      </c>
      <c r="AK42" s="1322">
        <f t="shared" ca="1" si="6"/>
        <v>33</v>
      </c>
      <c r="AL42" s="1323">
        <f t="shared" si="7"/>
        <v>0.6</v>
      </c>
      <c r="AM42" s="1324">
        <v>45630</v>
      </c>
      <c r="AN42" s="1325">
        <v>45631</v>
      </c>
      <c r="AO42" s="1325" t="s">
        <v>65</v>
      </c>
      <c r="AP42" s="38"/>
      <c r="AQ42" s="1325"/>
      <c r="AR42" s="1326" t="s">
        <v>1770</v>
      </c>
      <c r="AS42" s="1324">
        <v>45631</v>
      </c>
      <c r="AT42" s="11"/>
    </row>
    <row r="43" spans="1:55" s="271" customFormat="1" ht="10.5" customHeight="1" x14ac:dyDescent="0.35">
      <c r="A43" s="16"/>
      <c r="B43" s="1313" cm="1">
        <f t="array" ref="B43">+_xlfn.IFS(D43="In Touch - Positive",2,D43="Pending",1,D43="No Answer",4,D43="In Touch - Negative",3)</f>
        <v>1</v>
      </c>
      <c r="C43" s="16" t="s">
        <v>5590</v>
      </c>
      <c r="D43" s="16" t="str">
        <f t="shared" si="4"/>
        <v>Pending</v>
      </c>
      <c r="E43" s="1314" t="s">
        <v>5600</v>
      </c>
      <c r="F43" s="1315"/>
      <c r="G43" s="1411" t="s">
        <v>1446</v>
      </c>
      <c r="H43" s="1316"/>
      <c r="I43" s="1316"/>
      <c r="J43" s="1317" t="s">
        <v>1010</v>
      </c>
      <c r="K43" s="15" t="s">
        <v>5567</v>
      </c>
      <c r="L43" s="15" t="s">
        <v>5601</v>
      </c>
      <c r="M43" s="1317"/>
      <c r="N43" s="1317"/>
      <c r="O43" s="1317"/>
      <c r="P43" s="1317"/>
      <c r="Q43" s="1317"/>
      <c r="R43" s="1313"/>
      <c r="S43" s="1318" t="s">
        <v>77</v>
      </c>
      <c r="T43" s="1316">
        <v>2023</v>
      </c>
      <c r="U43" s="1265">
        <v>0.46500000000000002</v>
      </c>
      <c r="V43" s="1265">
        <v>0.40100000000000002</v>
      </c>
      <c r="W43" s="1320">
        <f t="shared" si="8"/>
        <v>0.86236559139784952</v>
      </c>
      <c r="X43" s="1265"/>
      <c r="Y43" s="1265"/>
      <c r="Z43" s="1313"/>
      <c r="AA43" s="1317" t="s">
        <v>140</v>
      </c>
      <c r="AB43" s="1319"/>
      <c r="AC43" s="1321" t="s">
        <v>62</v>
      </c>
      <c r="AD43" s="1321" t="s">
        <v>62</v>
      </c>
      <c r="AE43" s="1321" t="s">
        <v>62</v>
      </c>
      <c r="AF43" s="1319"/>
      <c r="AG43" s="1317"/>
      <c r="AH43" s="1313"/>
      <c r="AI43" s="1313"/>
      <c r="AJ43" s="1322">
        <f t="shared" ca="1" si="5"/>
        <v>34</v>
      </c>
      <c r="AK43" s="1322">
        <f t="shared" ca="1" si="6"/>
        <v>33</v>
      </c>
      <c r="AL43" s="1323">
        <f t="shared" si="7"/>
        <v>0.6</v>
      </c>
      <c r="AM43" s="1324">
        <v>45630</v>
      </c>
      <c r="AN43" s="1325">
        <v>45631</v>
      </c>
      <c r="AO43" s="1325" t="s">
        <v>65</v>
      </c>
      <c r="AP43" s="38"/>
      <c r="AQ43" s="1325"/>
      <c r="AR43" s="1326" t="s">
        <v>1770</v>
      </c>
      <c r="AS43" s="1324">
        <v>45631</v>
      </c>
      <c r="AT43" s="11"/>
    </row>
    <row r="44" spans="1:55" s="271" customFormat="1" ht="10.5" customHeight="1" x14ac:dyDescent="0.35">
      <c r="A44" s="16"/>
      <c r="B44" s="1313" cm="1">
        <f t="array" ref="B44">+_xlfn.IFS(D44="In Touch - Positive",2,D44="Pending",1,D44="No Answer",4,D44="In Touch - Negative",3)</f>
        <v>1</v>
      </c>
      <c r="C44" s="16" t="s">
        <v>5590</v>
      </c>
      <c r="D44" s="16" t="str">
        <f t="shared" ref="D44:D75" si="9">+AR44</f>
        <v>Pending</v>
      </c>
      <c r="E44" s="1314" t="s">
        <v>5596</v>
      </c>
      <c r="F44" s="1315"/>
      <c r="G44" s="1411" t="s">
        <v>166</v>
      </c>
      <c r="H44" s="1316"/>
      <c r="I44" s="1316"/>
      <c r="J44" s="1317" t="s">
        <v>1010</v>
      </c>
      <c r="K44" s="15" t="s">
        <v>5567</v>
      </c>
      <c r="L44" s="15" t="s">
        <v>5597</v>
      </c>
      <c r="M44" s="1317"/>
      <c r="N44" s="1317"/>
      <c r="O44" s="1317"/>
      <c r="P44" s="1317"/>
      <c r="Q44" s="1317"/>
      <c r="R44" s="1313"/>
      <c r="S44" s="1318" t="s">
        <v>77</v>
      </c>
      <c r="T44" s="1316">
        <v>2023</v>
      </c>
      <c r="U44" s="1265">
        <v>1.974</v>
      </c>
      <c r="V44" s="1265">
        <v>0.5</v>
      </c>
      <c r="W44" s="1320">
        <f t="shared" si="8"/>
        <v>0.25329280648429586</v>
      </c>
      <c r="X44" s="1265"/>
      <c r="Y44" s="1265"/>
      <c r="Z44" s="1313"/>
      <c r="AA44" s="1317" t="s">
        <v>140</v>
      </c>
      <c r="AB44" s="1319"/>
      <c r="AC44" s="1321" t="s">
        <v>62</v>
      </c>
      <c r="AD44" s="1321" t="s">
        <v>62</v>
      </c>
      <c r="AE44" s="1321" t="s">
        <v>62</v>
      </c>
      <c r="AF44" s="1319"/>
      <c r="AG44" s="1317"/>
      <c r="AH44" s="1313"/>
      <c r="AI44" s="1313"/>
      <c r="AJ44" s="1322">
        <f t="shared" ca="1" si="5"/>
        <v>34</v>
      </c>
      <c r="AK44" s="1322">
        <f t="shared" ca="1" si="6"/>
        <v>34</v>
      </c>
      <c r="AL44" s="1323">
        <f t="shared" si="7"/>
        <v>0.6</v>
      </c>
      <c r="AM44" s="1324">
        <v>45630</v>
      </c>
      <c r="AN44" s="1325">
        <v>45630</v>
      </c>
      <c r="AO44" s="1325" t="s">
        <v>65</v>
      </c>
      <c r="AP44" s="38"/>
      <c r="AQ44" s="1325"/>
      <c r="AR44" s="1326" t="s">
        <v>1770</v>
      </c>
      <c r="AS44" s="1324">
        <v>45630</v>
      </c>
      <c r="AT44" s="11"/>
    </row>
    <row r="45" spans="1:55" s="271" customFormat="1" ht="10.5" customHeight="1" x14ac:dyDescent="0.35">
      <c r="A45" s="16"/>
      <c r="B45" s="1313" cm="1">
        <f t="array" ref="B45">+_xlfn.IFS(D45="In Touch - Positive",2,D45="Pending",1,D45="No Answer",4,D45="In Touch - Negative",3)</f>
        <v>1</v>
      </c>
      <c r="C45" s="16" t="s">
        <v>5590</v>
      </c>
      <c r="D45" s="16" t="str">
        <f t="shared" si="9"/>
        <v>Pending</v>
      </c>
      <c r="E45" s="1314" t="s">
        <v>5594</v>
      </c>
      <c r="F45" s="1315"/>
      <c r="G45" s="1411" t="s">
        <v>103</v>
      </c>
      <c r="H45" s="1316"/>
      <c r="I45" s="1316"/>
      <c r="J45" s="1317" t="s">
        <v>1010</v>
      </c>
      <c r="K45" s="15" t="s">
        <v>5567</v>
      </c>
      <c r="L45" s="15" t="s">
        <v>5595</v>
      </c>
      <c r="M45" s="1317"/>
      <c r="N45" s="1317"/>
      <c r="O45" s="1317"/>
      <c r="P45" s="1317"/>
      <c r="Q45" s="1317"/>
      <c r="R45" s="1313"/>
      <c r="S45" s="1318" t="s">
        <v>77</v>
      </c>
      <c r="T45" s="1316">
        <v>2023</v>
      </c>
      <c r="U45" s="1265">
        <v>1.075</v>
      </c>
      <c r="V45" s="1265">
        <v>0.65100000000000002</v>
      </c>
      <c r="W45" s="1320">
        <f t="shared" si="8"/>
        <v>0.60558139534883726</v>
      </c>
      <c r="X45" s="1265"/>
      <c r="Y45" s="1265"/>
      <c r="Z45" s="1313"/>
      <c r="AA45" s="1317" t="s">
        <v>140</v>
      </c>
      <c r="AB45" s="1319"/>
      <c r="AC45" s="1321" t="s">
        <v>62</v>
      </c>
      <c r="AD45" s="1321" t="s">
        <v>62</v>
      </c>
      <c r="AE45" s="1321" t="s">
        <v>62</v>
      </c>
      <c r="AF45" s="1319"/>
      <c r="AG45" s="1317"/>
      <c r="AH45" s="1313"/>
      <c r="AI45" s="1313"/>
      <c r="AJ45" s="1322">
        <f t="shared" ca="1" si="5"/>
        <v>34</v>
      </c>
      <c r="AK45" s="1322">
        <f t="shared" ca="1" si="6"/>
        <v>34</v>
      </c>
      <c r="AL45" s="1323">
        <f t="shared" si="7"/>
        <v>0.6</v>
      </c>
      <c r="AM45" s="1324">
        <v>45630</v>
      </c>
      <c r="AN45" s="1325">
        <v>45630</v>
      </c>
      <c r="AO45" s="1325" t="s">
        <v>65</v>
      </c>
      <c r="AP45" s="38"/>
      <c r="AQ45" s="1325"/>
      <c r="AR45" s="1326" t="s">
        <v>1770</v>
      </c>
      <c r="AS45" s="1324">
        <v>45630</v>
      </c>
      <c r="AT45" s="11"/>
    </row>
    <row r="46" spans="1:55" s="271" customFormat="1" ht="10.5" customHeight="1" x14ac:dyDescent="0.35">
      <c r="A46" s="16"/>
      <c r="B46" s="1313" cm="1">
        <f t="array" ref="B46">+_xlfn.IFS(D46="In Touch - Positive",2,D46="Pending",1,D46="No Answer",4,D46="In Touch - Negative",3)</f>
        <v>1</v>
      </c>
      <c r="C46" s="16" t="s">
        <v>5590</v>
      </c>
      <c r="D46" s="16" t="str">
        <f t="shared" si="9"/>
        <v>Pending</v>
      </c>
      <c r="E46" s="1314" t="s">
        <v>5592</v>
      </c>
      <c r="F46" s="1315"/>
      <c r="G46" s="1411" t="s">
        <v>2679</v>
      </c>
      <c r="H46" s="1316"/>
      <c r="I46" s="1316"/>
      <c r="J46" s="1317" t="s">
        <v>1010</v>
      </c>
      <c r="K46" s="15" t="s">
        <v>5567</v>
      </c>
      <c r="L46" s="15" t="s">
        <v>5593</v>
      </c>
      <c r="M46" s="1317"/>
      <c r="N46" s="1317"/>
      <c r="O46" s="1317"/>
      <c r="P46" s="1317"/>
      <c r="Q46" s="1317"/>
      <c r="R46" s="1313"/>
      <c r="S46" s="1318" t="s">
        <v>77</v>
      </c>
      <c r="T46" s="1316">
        <v>2023</v>
      </c>
      <c r="U46" s="1265">
        <v>1.966</v>
      </c>
      <c r="V46" s="1265">
        <v>0.79900000000000004</v>
      </c>
      <c r="W46" s="1320">
        <f t="shared" si="8"/>
        <v>0.40640895218718215</v>
      </c>
      <c r="X46" s="1265"/>
      <c r="Y46" s="1265"/>
      <c r="Z46" s="1313"/>
      <c r="AA46" s="1317" t="s">
        <v>140</v>
      </c>
      <c r="AB46" s="1319"/>
      <c r="AC46" s="1321" t="s">
        <v>62</v>
      </c>
      <c r="AD46" s="1321" t="s">
        <v>62</v>
      </c>
      <c r="AE46" s="1321" t="s">
        <v>62</v>
      </c>
      <c r="AF46" s="1319"/>
      <c r="AG46" s="1317"/>
      <c r="AH46" s="1313"/>
      <c r="AI46" s="1313"/>
      <c r="AJ46" s="1322">
        <f t="shared" ca="1" si="5"/>
        <v>34</v>
      </c>
      <c r="AK46" s="1322">
        <f t="shared" ca="1" si="6"/>
        <v>34</v>
      </c>
      <c r="AL46" s="1323">
        <f t="shared" si="7"/>
        <v>0.6</v>
      </c>
      <c r="AM46" s="1324">
        <v>45630</v>
      </c>
      <c r="AN46" s="1325">
        <v>45630</v>
      </c>
      <c r="AO46" s="1325" t="s">
        <v>65</v>
      </c>
      <c r="AP46" s="38"/>
      <c r="AQ46" s="1325"/>
      <c r="AR46" s="1326" t="s">
        <v>1770</v>
      </c>
      <c r="AS46" s="1324">
        <v>45630</v>
      </c>
      <c r="AT46" s="11"/>
    </row>
    <row r="47" spans="1:55" s="271" customFormat="1" ht="10.5" customHeight="1" x14ac:dyDescent="0.35">
      <c r="A47" s="16"/>
      <c r="B47" s="1313" cm="1">
        <f t="array" ref="B47">+_xlfn.IFS(D47="In Touch - Positive",2,D47="Pending",1,D47="No Answer",4,D47="In Touch - Negative",3)</f>
        <v>1</v>
      </c>
      <c r="C47" s="1313" t="s">
        <v>5341</v>
      </c>
      <c r="D47" s="16" t="str">
        <f t="shared" si="9"/>
        <v>Pending</v>
      </c>
      <c r="E47" s="1314" t="s">
        <v>5588</v>
      </c>
      <c r="F47" s="1315"/>
      <c r="G47" s="13" t="s">
        <v>386</v>
      </c>
      <c r="H47" s="1316"/>
      <c r="I47" s="1316"/>
      <c r="J47" s="1317" t="s">
        <v>5343</v>
      </c>
      <c r="K47" s="1317" t="s">
        <v>5344</v>
      </c>
      <c r="L47" s="15" t="s">
        <v>5589</v>
      </c>
      <c r="M47" s="1317"/>
      <c r="N47" s="1317"/>
      <c r="O47" s="1317"/>
      <c r="P47" s="1317"/>
      <c r="Q47" s="1317"/>
      <c r="R47" s="1313"/>
      <c r="S47" s="1318" t="s">
        <v>77</v>
      </c>
      <c r="T47" s="1316">
        <v>2023</v>
      </c>
      <c r="U47" s="1265">
        <v>4.5999999999999996</v>
      </c>
      <c r="V47" s="1265">
        <v>0.45</v>
      </c>
      <c r="W47" s="1320">
        <f t="shared" si="8"/>
        <v>9.7826086956521743E-2</v>
      </c>
      <c r="X47" s="1265"/>
      <c r="Y47" s="1265"/>
      <c r="Z47" s="1313"/>
      <c r="AA47" s="1317" t="s">
        <v>140</v>
      </c>
      <c r="AB47" s="1319"/>
      <c r="AC47" s="1321" t="s">
        <v>62</v>
      </c>
      <c r="AD47" s="1321" t="s">
        <v>62</v>
      </c>
      <c r="AE47" s="1321" t="s">
        <v>62</v>
      </c>
      <c r="AF47" s="1319"/>
      <c r="AG47" s="1317"/>
      <c r="AH47" s="1313"/>
      <c r="AI47" s="1313"/>
      <c r="AJ47" s="1322">
        <f t="shared" ca="1" si="5"/>
        <v>50</v>
      </c>
      <c r="AK47" s="1322">
        <f t="shared" ca="1" si="6"/>
        <v>43</v>
      </c>
      <c r="AL47" s="1323">
        <f t="shared" si="7"/>
        <v>0.6</v>
      </c>
      <c r="AM47" s="37">
        <v>45614</v>
      </c>
      <c r="AN47" s="1325">
        <v>45618</v>
      </c>
      <c r="AO47" s="1325" t="s">
        <v>65</v>
      </c>
      <c r="AP47" s="38"/>
      <c r="AQ47" s="1325"/>
      <c r="AR47" s="1326" t="s">
        <v>1770</v>
      </c>
      <c r="AS47" s="1324">
        <v>45621</v>
      </c>
      <c r="AT47" s="11"/>
    </row>
    <row r="48" spans="1:55" s="271" customFormat="1" ht="10.5" customHeight="1" x14ac:dyDescent="0.35">
      <c r="B48" s="1266" cm="1">
        <f t="array" ref="B48">+_xlfn.IFS(D48="In Touch - Positive",2,D48="Pending",1,D48="No Answer",4,D48="In Touch - Negative",3)</f>
        <v>1</v>
      </c>
      <c r="C48" s="16" t="s">
        <v>5331</v>
      </c>
      <c r="D48" s="1266" t="str">
        <f t="shared" si="9"/>
        <v>Pending</v>
      </c>
      <c r="E48" s="1268" t="s">
        <v>5608</v>
      </c>
      <c r="F48" s="1267"/>
      <c r="G48" s="13" t="s">
        <v>103</v>
      </c>
      <c r="H48" s="1269" t="s">
        <v>5615</v>
      </c>
      <c r="I48" s="1270"/>
      <c r="J48" s="15" t="s">
        <v>473</v>
      </c>
      <c r="K48" s="15" t="s">
        <v>5620</v>
      </c>
      <c r="L48" s="1271"/>
      <c r="M48" s="1271" t="s">
        <v>5626</v>
      </c>
      <c r="N48" s="1271" t="s">
        <v>5627</v>
      </c>
      <c r="O48" s="1271"/>
      <c r="P48" s="1271"/>
      <c r="Q48" s="15"/>
      <c r="R48" s="1266"/>
      <c r="S48" s="35" t="s">
        <v>77</v>
      </c>
      <c r="T48" s="1316">
        <v>2023</v>
      </c>
      <c r="U48" s="1265">
        <v>21.238057000000001</v>
      </c>
      <c r="V48" s="1265">
        <v>13.423318999999999</v>
      </c>
      <c r="W48" s="1320">
        <f t="shared" si="8"/>
        <v>0.63204082181340782</v>
      </c>
      <c r="X48" s="1265">
        <v>11.318200999999998</v>
      </c>
      <c r="Y48" s="1265">
        <v>-8.530460999999999</v>
      </c>
      <c r="Z48" s="1266"/>
      <c r="AA48" s="1271" t="s">
        <v>140</v>
      </c>
      <c r="AB48" s="1265"/>
      <c r="AC48" s="21" t="s">
        <v>4423</v>
      </c>
      <c r="AD48" s="21" t="s">
        <v>78</v>
      </c>
      <c r="AE48" s="21" t="s">
        <v>4423</v>
      </c>
      <c r="AF48" s="1265"/>
      <c r="AG48" s="1271"/>
      <c r="AH48" s="1266"/>
      <c r="AI48" s="1266"/>
      <c r="AJ48" s="1273">
        <f t="shared" ca="1" si="5"/>
        <v>22</v>
      </c>
      <c r="AK48" s="1273">
        <f t="shared" ca="1" si="6"/>
        <v>22</v>
      </c>
      <c r="AL48" s="1293">
        <f t="shared" si="7"/>
        <v>0.2</v>
      </c>
      <c r="AM48" s="37">
        <v>45642</v>
      </c>
      <c r="AN48" s="1275"/>
      <c r="AO48" s="1275"/>
      <c r="AP48" s="1275"/>
      <c r="AQ48" s="1275"/>
      <c r="AR48" s="1294" t="s">
        <v>1770</v>
      </c>
      <c r="AS48" s="1274">
        <v>45642</v>
      </c>
      <c r="AT48" s="11"/>
    </row>
    <row r="49" spans="1:55" s="271" customFormat="1" ht="10.5" customHeight="1" x14ac:dyDescent="0.35">
      <c r="A49" s="16"/>
      <c r="B49" s="1266" cm="1">
        <f t="array" ref="B49">+_xlfn.IFS(D49="In Touch - Positive",2,D49="Pending",1,D49="No Answer",4,D49="In Touch - Negative",3)</f>
        <v>1</v>
      </c>
      <c r="C49" s="16" t="s">
        <v>5331</v>
      </c>
      <c r="D49" s="1266" t="str">
        <f t="shared" si="9"/>
        <v>Pending</v>
      </c>
      <c r="E49" s="1268" t="s">
        <v>5609</v>
      </c>
      <c r="F49" s="1267"/>
      <c r="G49" s="13" t="s">
        <v>988</v>
      </c>
      <c r="H49" s="1269" t="s">
        <v>2422</v>
      </c>
      <c r="I49" s="1270"/>
      <c r="J49" s="15" t="s">
        <v>750</v>
      </c>
      <c r="K49" s="15" t="s">
        <v>5621</v>
      </c>
      <c r="L49" s="1271"/>
      <c r="M49" s="1271" t="s">
        <v>5628</v>
      </c>
      <c r="N49" s="1271" t="s">
        <v>5629</v>
      </c>
      <c r="O49" s="1271"/>
      <c r="P49" s="1271"/>
      <c r="Q49" s="15"/>
      <c r="R49" s="1266"/>
      <c r="S49" s="35" t="s">
        <v>144</v>
      </c>
      <c r="T49" s="1316">
        <v>2023</v>
      </c>
      <c r="U49" s="1265">
        <v>77.528940000000006</v>
      </c>
      <c r="V49" s="1265">
        <v>11.828580000000001</v>
      </c>
      <c r="W49" s="1320">
        <f t="shared" si="8"/>
        <v>0.15256986616868487</v>
      </c>
      <c r="X49" s="1265">
        <v>5.0398750000000003</v>
      </c>
      <c r="Y49" s="1265">
        <v>24.305701000000003</v>
      </c>
      <c r="Z49" s="1266"/>
      <c r="AA49" s="1271" t="s">
        <v>140</v>
      </c>
      <c r="AB49" s="1265"/>
      <c r="AC49" s="21" t="s">
        <v>4423</v>
      </c>
      <c r="AD49" s="21" t="s">
        <v>78</v>
      </c>
      <c r="AE49" s="21" t="s">
        <v>4423</v>
      </c>
      <c r="AF49" s="1265"/>
      <c r="AG49" s="1271"/>
      <c r="AH49" s="1266"/>
      <c r="AI49" s="1266"/>
      <c r="AJ49" s="1273">
        <f t="shared" ca="1" si="5"/>
        <v>22</v>
      </c>
      <c r="AK49" s="1273">
        <f t="shared" ca="1" si="6"/>
        <v>22</v>
      </c>
      <c r="AL49" s="1293">
        <f t="shared" si="7"/>
        <v>0.2</v>
      </c>
      <c r="AM49" s="37">
        <v>45642</v>
      </c>
      <c r="AN49" s="1275"/>
      <c r="AO49" s="1275"/>
      <c r="AP49" s="1275"/>
      <c r="AQ49" s="1275"/>
      <c r="AR49" s="1294" t="s">
        <v>1770</v>
      </c>
      <c r="AS49" s="1274">
        <v>45642</v>
      </c>
      <c r="AT49" s="11"/>
    </row>
    <row r="50" spans="1:55" s="271" customFormat="1" ht="10.5" customHeight="1" x14ac:dyDescent="0.35">
      <c r="A50" s="16"/>
      <c r="B50" s="1266" cm="1">
        <f t="array" ref="B50">+_xlfn.IFS(D50="In Touch - Positive",2,D50="Pending",1,D50="No Answer",4,D50="In Touch - Negative",3)</f>
        <v>1</v>
      </c>
      <c r="C50" s="16" t="s">
        <v>5331</v>
      </c>
      <c r="D50" s="1266" t="str">
        <f t="shared" si="9"/>
        <v>Pending</v>
      </c>
      <c r="E50" s="1268" t="s">
        <v>5610</v>
      </c>
      <c r="F50" s="1267"/>
      <c r="G50" s="13" t="s">
        <v>386</v>
      </c>
      <c r="H50" s="1269" t="s">
        <v>5616</v>
      </c>
      <c r="I50" s="1270"/>
      <c r="J50" s="15" t="s">
        <v>2769</v>
      </c>
      <c r="K50" s="15" t="s">
        <v>5622</v>
      </c>
      <c r="L50" s="1271"/>
      <c r="M50" s="1271" t="s">
        <v>5630</v>
      </c>
      <c r="N50" s="1271" t="s">
        <v>5631</v>
      </c>
      <c r="O50" s="1271"/>
      <c r="P50" s="1271"/>
      <c r="Q50" s="15"/>
      <c r="R50" s="1266"/>
      <c r="S50" s="35" t="s">
        <v>77</v>
      </c>
      <c r="T50" s="1316">
        <v>2023</v>
      </c>
      <c r="U50" s="1265">
        <v>65.406658000000007</v>
      </c>
      <c r="V50" s="1265">
        <v>11.016575999999999</v>
      </c>
      <c r="W50" s="1320">
        <f t="shared" si="8"/>
        <v>0.16843202721044084</v>
      </c>
      <c r="X50" s="1265">
        <v>5.8917489999999999</v>
      </c>
      <c r="Y50" s="1265">
        <v>-13.177834000000001</v>
      </c>
      <c r="Z50" s="1266"/>
      <c r="AA50" s="1271" t="s">
        <v>140</v>
      </c>
      <c r="AB50" s="1265"/>
      <c r="AC50" s="21" t="s">
        <v>4423</v>
      </c>
      <c r="AD50" s="21" t="s">
        <v>78</v>
      </c>
      <c r="AE50" s="21" t="s">
        <v>4423</v>
      </c>
      <c r="AF50" s="1265"/>
      <c r="AG50" s="1271"/>
      <c r="AH50" s="1266"/>
      <c r="AI50" s="1266"/>
      <c r="AJ50" s="1273">
        <f t="shared" ca="1" si="5"/>
        <v>22</v>
      </c>
      <c r="AK50" s="1273">
        <f t="shared" ca="1" si="6"/>
        <v>22</v>
      </c>
      <c r="AL50" s="1293">
        <f t="shared" si="7"/>
        <v>0.2</v>
      </c>
      <c r="AM50" s="37">
        <v>45642</v>
      </c>
      <c r="AN50" s="1275"/>
      <c r="AO50" s="1275"/>
      <c r="AP50" s="1275"/>
      <c r="AQ50" s="1275"/>
      <c r="AR50" s="1294" t="s">
        <v>1770</v>
      </c>
      <c r="AS50" s="1274">
        <v>45642</v>
      </c>
      <c r="AT50" s="11"/>
    </row>
    <row r="51" spans="1:55" s="271" customFormat="1" x14ac:dyDescent="0.35">
      <c r="A51" s="1313"/>
      <c r="B51" s="1266" cm="1">
        <f t="array" ref="B51">+_xlfn.IFS(D51="In Touch - Positive",2,D51="Pending",1,D51="No Answer",4,D51="In Touch - Negative",3)</f>
        <v>1</v>
      </c>
      <c r="C51" s="16" t="s">
        <v>5331</v>
      </c>
      <c r="D51" s="1266" t="str">
        <f t="shared" si="9"/>
        <v>Pending</v>
      </c>
      <c r="E51" s="1268" t="s">
        <v>5611</v>
      </c>
      <c r="F51" s="1267"/>
      <c r="G51" s="13" t="s">
        <v>340</v>
      </c>
      <c r="H51" s="1269" t="s">
        <v>5617</v>
      </c>
      <c r="I51" s="1270"/>
      <c r="J51" s="15" t="s">
        <v>2769</v>
      </c>
      <c r="K51" s="15" t="s">
        <v>5623</v>
      </c>
      <c r="L51" s="1271"/>
      <c r="M51" s="1271" t="s">
        <v>5632</v>
      </c>
      <c r="N51" s="1271" t="s">
        <v>5633</v>
      </c>
      <c r="O51" s="1271"/>
      <c r="P51" s="1271"/>
      <c r="Q51" s="15"/>
      <c r="R51" s="1266"/>
      <c r="S51" s="35" t="s">
        <v>77</v>
      </c>
      <c r="T51" s="1316">
        <v>2023</v>
      </c>
      <c r="U51" s="1265">
        <v>55.700043000000001</v>
      </c>
      <c r="V51" s="1265">
        <v>10.710388</v>
      </c>
      <c r="W51" s="1320">
        <f t="shared" si="8"/>
        <v>0.19228688925787724</v>
      </c>
      <c r="X51" s="1265">
        <v>6.8965719999999999</v>
      </c>
      <c r="Y51" s="1265">
        <v>2.5736750000000002</v>
      </c>
      <c r="Z51" s="1266"/>
      <c r="AA51" s="1271" t="s">
        <v>140</v>
      </c>
      <c r="AB51" s="1265"/>
      <c r="AC51" s="21" t="s">
        <v>4423</v>
      </c>
      <c r="AD51" s="21" t="s">
        <v>78</v>
      </c>
      <c r="AE51" s="21" t="s">
        <v>4423</v>
      </c>
      <c r="AF51" s="1265"/>
      <c r="AG51" s="1271"/>
      <c r="AH51" s="1266"/>
      <c r="AI51" s="1266"/>
      <c r="AJ51" s="1273">
        <f t="shared" ca="1" si="5"/>
        <v>22</v>
      </c>
      <c r="AK51" s="1273">
        <f t="shared" ca="1" si="6"/>
        <v>22</v>
      </c>
      <c r="AL51" s="1293">
        <f t="shared" si="7"/>
        <v>0.2</v>
      </c>
      <c r="AM51" s="37">
        <v>45642</v>
      </c>
      <c r="AN51" s="1275"/>
      <c r="AO51" s="1275"/>
      <c r="AP51" s="1275"/>
      <c r="AQ51" s="1275"/>
      <c r="AR51" s="1294" t="s">
        <v>1770</v>
      </c>
      <c r="AS51" s="1274">
        <v>45642</v>
      </c>
      <c r="AT51" s="1327"/>
      <c r="AU51" s="1328"/>
      <c r="AV51" s="1328"/>
      <c r="AW51" s="1328"/>
      <c r="AX51" s="1328"/>
      <c r="AY51" s="1328"/>
      <c r="AZ51" s="1328"/>
      <c r="BA51" s="1328"/>
      <c r="BB51" s="1328"/>
      <c r="BC51" s="1328"/>
    </row>
    <row r="52" spans="1:55" s="271" customFormat="1" x14ac:dyDescent="0.35">
      <c r="A52" s="1313"/>
      <c r="B52" s="1266" cm="1">
        <f t="array" ref="B52">+_xlfn.IFS(D52="In Touch - Positive",2,D52="Pending",1,D52="No Answer",4,D52="In Touch - Negative",3)</f>
        <v>1</v>
      </c>
      <c r="C52" s="16" t="s">
        <v>5331</v>
      </c>
      <c r="D52" s="1266" t="str">
        <f t="shared" si="9"/>
        <v>Pending</v>
      </c>
      <c r="E52" s="1268" t="s">
        <v>5612</v>
      </c>
      <c r="F52" s="1267"/>
      <c r="G52" s="13" t="s">
        <v>4187</v>
      </c>
      <c r="H52" s="1269" t="s">
        <v>5618</v>
      </c>
      <c r="I52" s="1270"/>
      <c r="J52" s="15" t="s">
        <v>202</v>
      </c>
      <c r="K52" s="15" t="s">
        <v>5624</v>
      </c>
      <c r="L52" s="1271"/>
      <c r="M52" s="1271" t="s">
        <v>5634</v>
      </c>
      <c r="N52" s="1271" t="s">
        <v>5635</v>
      </c>
      <c r="O52" s="1271"/>
      <c r="P52" s="1271"/>
      <c r="Q52" s="15"/>
      <c r="R52" s="1266"/>
      <c r="S52" s="35" t="s">
        <v>77</v>
      </c>
      <c r="T52" s="1316">
        <v>2023</v>
      </c>
      <c r="U52" s="1265">
        <v>80.925899000000001</v>
      </c>
      <c r="V52" s="1265">
        <v>10.634332000000001</v>
      </c>
      <c r="W52" s="1320">
        <f t="shared" si="8"/>
        <v>0.13140826523286445</v>
      </c>
      <c r="X52" s="1265">
        <v>6.0585950000000004</v>
      </c>
      <c r="Y52" s="1265">
        <v>-4.9944809999999995</v>
      </c>
      <c r="Z52" s="1266"/>
      <c r="AA52" s="1271" t="s">
        <v>140</v>
      </c>
      <c r="AB52" s="1265"/>
      <c r="AC52" s="21" t="s">
        <v>4423</v>
      </c>
      <c r="AD52" s="21" t="s">
        <v>78</v>
      </c>
      <c r="AE52" s="21" t="s">
        <v>4423</v>
      </c>
      <c r="AF52" s="1265"/>
      <c r="AG52" s="1271"/>
      <c r="AH52" s="1266"/>
      <c r="AI52" s="1266"/>
      <c r="AJ52" s="1273">
        <f t="shared" ca="1" si="5"/>
        <v>22</v>
      </c>
      <c r="AK52" s="1273">
        <f t="shared" ca="1" si="6"/>
        <v>22</v>
      </c>
      <c r="AL52" s="1293">
        <f t="shared" si="7"/>
        <v>0.2</v>
      </c>
      <c r="AM52" s="37">
        <v>45642</v>
      </c>
      <c r="AN52" s="1275"/>
      <c r="AO52" s="1275"/>
      <c r="AP52" s="1275"/>
      <c r="AQ52" s="1275"/>
      <c r="AR52" s="1294" t="s">
        <v>1770</v>
      </c>
      <c r="AS52" s="1274">
        <v>45642</v>
      </c>
      <c r="AT52" s="1327"/>
      <c r="AU52" s="1328"/>
      <c r="AV52" s="1328"/>
      <c r="AW52" s="1328"/>
      <c r="AX52" s="1328"/>
      <c r="AY52" s="1328"/>
      <c r="AZ52" s="1328"/>
      <c r="BA52" s="1328"/>
      <c r="BB52" s="1328"/>
      <c r="BC52" s="1328"/>
    </row>
    <row r="53" spans="1:55" s="271" customFormat="1" x14ac:dyDescent="0.35">
      <c r="A53" s="1313"/>
      <c r="B53" s="16" cm="1">
        <f t="array" ref="B53">+_xlfn.IFS(D53="In Touch - Positive",2,D53="Pending",1,D53="No Answer",4,D53="In Touch - Negative",3)</f>
        <v>1</v>
      </c>
      <c r="C53" s="16" t="s">
        <v>5564</v>
      </c>
      <c r="D53" s="16" t="str">
        <f t="shared" si="9"/>
        <v>Pending</v>
      </c>
      <c r="E53" s="20" t="s">
        <v>5512</v>
      </c>
      <c r="F53" s="13"/>
      <c r="G53" s="13" t="s">
        <v>288</v>
      </c>
      <c r="H53" s="13" t="s">
        <v>5514</v>
      </c>
      <c r="I53" s="15"/>
      <c r="J53" s="15" t="s">
        <v>4414</v>
      </c>
      <c r="K53" s="15"/>
      <c r="L53" s="15" t="s">
        <v>5516</v>
      </c>
      <c r="M53" s="15"/>
      <c r="N53" s="15"/>
      <c r="O53" s="15"/>
      <c r="P53" s="15"/>
      <c r="Q53" s="15"/>
      <c r="R53" s="1381"/>
      <c r="S53" s="1316" t="s">
        <v>77</v>
      </c>
      <c r="T53" s="1316">
        <v>2023</v>
      </c>
      <c r="U53" s="1265">
        <v>62.9</v>
      </c>
      <c r="V53" s="1265">
        <v>8.99</v>
      </c>
      <c r="W53" s="1320">
        <f t="shared" si="8"/>
        <v>0.14292527821939588</v>
      </c>
      <c r="X53" s="1265">
        <v>5.6</v>
      </c>
      <c r="Y53" s="1265">
        <v>19.8</v>
      </c>
      <c r="Z53" s="24"/>
      <c r="AA53" s="15" t="s">
        <v>140</v>
      </c>
      <c r="AB53" s="21"/>
      <c r="AC53" s="21" t="s">
        <v>153</v>
      </c>
      <c r="AD53" s="21" t="s">
        <v>153</v>
      </c>
      <c r="AE53" s="21" t="s">
        <v>153</v>
      </c>
      <c r="AF53" s="15"/>
      <c r="AG53" s="15"/>
      <c r="AH53" s="16"/>
      <c r="AI53" s="1382"/>
      <c r="AJ53" s="42">
        <f t="shared" ca="1" si="5"/>
        <v>29</v>
      </c>
      <c r="AK53" s="42">
        <f t="shared" ca="1" si="6"/>
        <v>29</v>
      </c>
      <c r="AL53" s="130">
        <f t="shared" si="7"/>
        <v>0.6</v>
      </c>
      <c r="AM53" s="37">
        <v>45635</v>
      </c>
      <c r="AN53" s="38">
        <v>45636</v>
      </c>
      <c r="AO53" s="38">
        <v>45670</v>
      </c>
      <c r="AP53" s="38"/>
      <c r="AQ53" s="101"/>
      <c r="AR53" s="101" t="s">
        <v>1770</v>
      </c>
      <c r="AS53" s="37">
        <v>45635</v>
      </c>
      <c r="AT53" s="1327"/>
      <c r="AU53" s="1328"/>
      <c r="AV53" s="1328"/>
      <c r="AW53" s="1328"/>
      <c r="AX53" s="1328"/>
      <c r="AY53" s="1328"/>
      <c r="AZ53" s="1328"/>
      <c r="BA53" s="1328"/>
      <c r="BB53" s="1328"/>
      <c r="BC53" s="1328"/>
    </row>
    <row r="54" spans="1:55" s="271" customFormat="1" x14ac:dyDescent="0.35">
      <c r="A54" s="1313"/>
      <c r="B54" s="16" cm="1">
        <f t="array" ref="B54">+_xlfn.IFS(D54="In Touch - Positive",2,D54="Pending",1,D54="No Answer",4,D54="In Touch - Negative",3)</f>
        <v>1</v>
      </c>
      <c r="C54" s="16" t="s">
        <v>5564</v>
      </c>
      <c r="D54" s="16" t="str">
        <f t="shared" si="9"/>
        <v>Pending</v>
      </c>
      <c r="E54" s="20" t="s">
        <v>5513</v>
      </c>
      <c r="F54" s="13"/>
      <c r="G54" s="13" t="s">
        <v>271</v>
      </c>
      <c r="H54" s="13" t="s">
        <v>5515</v>
      </c>
      <c r="I54" s="15"/>
      <c r="J54" s="15" t="s">
        <v>4414</v>
      </c>
      <c r="K54" s="15"/>
      <c r="L54" s="15" t="s">
        <v>5517</v>
      </c>
      <c r="M54" s="15"/>
      <c r="N54" s="15"/>
      <c r="O54" s="15"/>
      <c r="P54" s="15"/>
      <c r="Q54" s="15"/>
      <c r="R54" s="1381"/>
      <c r="S54" s="1316" t="s">
        <v>77</v>
      </c>
      <c r="T54" s="1316">
        <v>2023</v>
      </c>
      <c r="U54" s="1265">
        <v>33.700000000000003</v>
      </c>
      <c r="V54" s="1265">
        <v>8.6</v>
      </c>
      <c r="W54" s="1320">
        <f t="shared" si="8"/>
        <v>0.25519287833827892</v>
      </c>
      <c r="X54" s="1265">
        <v>5.5</v>
      </c>
      <c r="Y54" s="1265">
        <v>-4.5</v>
      </c>
      <c r="Z54" s="24"/>
      <c r="AA54" s="15" t="s">
        <v>140</v>
      </c>
      <c r="AB54" s="21"/>
      <c r="AC54" s="21" t="s">
        <v>153</v>
      </c>
      <c r="AD54" s="21" t="s">
        <v>153</v>
      </c>
      <c r="AE54" s="21" t="s">
        <v>153</v>
      </c>
      <c r="AF54" s="15"/>
      <c r="AG54" s="15"/>
      <c r="AH54" s="16"/>
      <c r="AI54" s="1382"/>
      <c r="AJ54" s="42">
        <f t="shared" ca="1" si="5"/>
        <v>29</v>
      </c>
      <c r="AK54" s="42">
        <f t="shared" ca="1" si="6"/>
        <v>29</v>
      </c>
      <c r="AL54" s="130">
        <f t="shared" si="7"/>
        <v>0.6</v>
      </c>
      <c r="AM54" s="37">
        <v>45635</v>
      </c>
      <c r="AN54" s="38">
        <v>45636</v>
      </c>
      <c r="AO54" s="38">
        <v>45670</v>
      </c>
      <c r="AP54" s="38"/>
      <c r="AQ54" s="101"/>
      <c r="AR54" s="101" t="s">
        <v>1770</v>
      </c>
      <c r="AS54" s="37">
        <v>45635</v>
      </c>
      <c r="AT54" s="1327"/>
      <c r="AU54" s="1328"/>
      <c r="AV54" s="1328"/>
      <c r="AW54" s="1328"/>
      <c r="AX54" s="1328"/>
      <c r="AY54" s="1328"/>
      <c r="AZ54" s="1328"/>
      <c r="BA54" s="1328"/>
      <c r="BB54" s="1328"/>
      <c r="BC54" s="1328"/>
    </row>
    <row r="55" spans="1:55" s="271" customFormat="1" x14ac:dyDescent="0.35">
      <c r="A55" s="1313"/>
      <c r="B55" s="16" cm="1">
        <f t="array" ref="B55">+_xlfn.IFS(D55="In Touch - Positive",2,D55="Pending",1,D55="No Answer",4,D55="In Touch - Negative",3)</f>
        <v>1</v>
      </c>
      <c r="C55" s="16" t="s">
        <v>5564</v>
      </c>
      <c r="D55" s="16" t="str">
        <f t="shared" si="9"/>
        <v>Pending</v>
      </c>
      <c r="E55" s="20" t="s">
        <v>5518</v>
      </c>
      <c r="F55" s="13"/>
      <c r="G55" s="13" t="s">
        <v>103</v>
      </c>
      <c r="H55" s="13" t="s">
        <v>5533</v>
      </c>
      <c r="I55" s="15"/>
      <c r="J55" s="15" t="s">
        <v>4414</v>
      </c>
      <c r="K55" s="15"/>
      <c r="L55" s="15" t="s">
        <v>5549</v>
      </c>
      <c r="M55" s="15"/>
      <c r="N55" s="15"/>
      <c r="O55" s="15"/>
      <c r="P55" s="15"/>
      <c r="Q55" s="15"/>
      <c r="R55" s="1381"/>
      <c r="S55" s="1316" t="s">
        <v>77</v>
      </c>
      <c r="T55" s="1316">
        <v>2023</v>
      </c>
      <c r="U55" s="1265">
        <v>86.6</v>
      </c>
      <c r="V55" s="1265">
        <v>10.3</v>
      </c>
      <c r="W55" s="1320">
        <f t="shared" si="8"/>
        <v>0.1189376443418014</v>
      </c>
      <c r="X55" s="1265">
        <v>4.5999999999999996</v>
      </c>
      <c r="Y55" s="1265">
        <v>14.7</v>
      </c>
      <c r="Z55" s="24"/>
      <c r="AA55" s="15" t="s">
        <v>140</v>
      </c>
      <c r="AB55" s="21"/>
      <c r="AC55" s="21" t="s">
        <v>273</v>
      </c>
      <c r="AD55" s="21" t="s">
        <v>273</v>
      </c>
      <c r="AE55" s="21" t="s">
        <v>273</v>
      </c>
      <c r="AF55" s="15"/>
      <c r="AG55" s="15"/>
      <c r="AH55" s="16"/>
      <c r="AI55" s="1382"/>
      <c r="AJ55" s="42">
        <f t="shared" ca="1" si="5"/>
        <v>29</v>
      </c>
      <c r="AK55" s="42">
        <f t="shared" ca="1" si="6"/>
        <v>29</v>
      </c>
      <c r="AL55" s="130">
        <f t="shared" si="7"/>
        <v>0.6</v>
      </c>
      <c r="AM55" s="37">
        <v>45635</v>
      </c>
      <c r="AN55" s="38">
        <v>45636</v>
      </c>
      <c r="AO55" s="38">
        <v>45670</v>
      </c>
      <c r="AP55" s="38"/>
      <c r="AQ55" s="101"/>
      <c r="AR55" s="101" t="s">
        <v>1770</v>
      </c>
      <c r="AS55" s="37">
        <v>45635</v>
      </c>
      <c r="AT55" s="1327"/>
      <c r="AU55" s="1328"/>
      <c r="AV55" s="1328"/>
      <c r="AW55" s="1328"/>
      <c r="AX55" s="1328"/>
      <c r="AY55" s="1328"/>
      <c r="AZ55" s="1328"/>
      <c r="BA55" s="1328"/>
      <c r="BB55" s="1328"/>
      <c r="BC55" s="1328"/>
    </row>
    <row r="56" spans="1:55" s="271" customFormat="1" ht="10.5" customHeight="1" x14ac:dyDescent="0.35">
      <c r="A56" s="16"/>
      <c r="B56" s="16" cm="1">
        <f t="array" ref="B56">+_xlfn.IFS(D56="In Touch - Positive",2,D56="Pending",1,D56="No Answer",4,D56="In Touch - Negative",3)</f>
        <v>1</v>
      </c>
      <c r="C56" s="16" t="s">
        <v>5564</v>
      </c>
      <c r="D56" s="16" t="str">
        <f t="shared" si="9"/>
        <v>Pending</v>
      </c>
      <c r="E56" s="20" t="s">
        <v>5519</v>
      </c>
      <c r="F56" s="13"/>
      <c r="G56" s="13" t="s">
        <v>1961</v>
      </c>
      <c r="H56" s="13" t="s">
        <v>5534</v>
      </c>
      <c r="I56" s="15"/>
      <c r="J56" s="15" t="s">
        <v>4414</v>
      </c>
      <c r="K56" s="15"/>
      <c r="L56" s="15" t="s">
        <v>5550</v>
      </c>
      <c r="M56" s="15"/>
      <c r="N56" s="15"/>
      <c r="O56" s="15"/>
      <c r="P56" s="15"/>
      <c r="Q56" s="15"/>
      <c r="R56" s="1318"/>
      <c r="S56" s="1316" t="s">
        <v>77</v>
      </c>
      <c r="T56" s="1316">
        <v>2023</v>
      </c>
      <c r="U56" s="1265">
        <v>107.9</v>
      </c>
      <c r="V56" s="1265">
        <v>9.6</v>
      </c>
      <c r="W56" s="1320">
        <f t="shared" si="8"/>
        <v>8.8971269694161248E-2</v>
      </c>
      <c r="X56" s="1265">
        <v>5.7</v>
      </c>
      <c r="Y56" s="1265">
        <v>23.1</v>
      </c>
      <c r="Z56" s="15"/>
      <c r="AA56" s="15" t="s">
        <v>140</v>
      </c>
      <c r="AB56" s="21"/>
      <c r="AC56" s="21" t="s">
        <v>273</v>
      </c>
      <c r="AD56" s="21" t="s">
        <v>273</v>
      </c>
      <c r="AE56" s="21" t="s">
        <v>273</v>
      </c>
      <c r="AF56" s="15"/>
      <c r="AG56" s="15"/>
      <c r="AH56" s="16"/>
      <c r="AI56" s="42"/>
      <c r="AJ56" s="42">
        <f t="shared" ca="1" si="5"/>
        <v>29</v>
      </c>
      <c r="AK56" s="42">
        <f t="shared" ca="1" si="6"/>
        <v>29</v>
      </c>
      <c r="AL56" s="130">
        <f t="shared" si="7"/>
        <v>0.6</v>
      </c>
      <c r="AM56" s="37">
        <v>45635</v>
      </c>
      <c r="AN56" s="38">
        <v>45636</v>
      </c>
      <c r="AO56" s="38">
        <v>45670</v>
      </c>
      <c r="AP56" s="38"/>
      <c r="AQ56" s="101"/>
      <c r="AR56" s="101" t="s">
        <v>1770</v>
      </c>
      <c r="AS56" s="37">
        <v>45635</v>
      </c>
      <c r="AT56" s="11"/>
    </row>
    <row r="57" spans="1:55" s="271" customFormat="1" ht="10.5" customHeight="1" x14ac:dyDescent="0.35">
      <c r="A57" s="16"/>
      <c r="B57" s="16" cm="1">
        <f t="array" ref="B57">+_xlfn.IFS(D57="In Touch - Positive",2,D57="Pending",1,D57="No Answer",4,D57="In Touch - Negative",3)</f>
        <v>1</v>
      </c>
      <c r="C57" s="16" t="s">
        <v>5564</v>
      </c>
      <c r="D57" s="16" t="str">
        <f t="shared" si="9"/>
        <v>Pending</v>
      </c>
      <c r="E57" s="20" t="s">
        <v>5520</v>
      </c>
      <c r="F57" s="13"/>
      <c r="G57" s="13" t="s">
        <v>270</v>
      </c>
      <c r="H57" s="13" t="s">
        <v>5535</v>
      </c>
      <c r="I57" s="15"/>
      <c r="J57" s="15" t="s">
        <v>4414</v>
      </c>
      <c r="K57" s="15"/>
      <c r="L57" s="15" t="s">
        <v>5551</v>
      </c>
      <c r="M57" s="15"/>
      <c r="N57" s="15"/>
      <c r="O57" s="15"/>
      <c r="P57" s="15"/>
      <c r="Q57" s="15"/>
      <c r="R57" s="1318"/>
      <c r="S57" s="1316" t="s">
        <v>77</v>
      </c>
      <c r="T57" s="1316">
        <v>2023</v>
      </c>
      <c r="U57" s="1265">
        <v>105.6</v>
      </c>
      <c r="V57" s="1265">
        <v>9.4</v>
      </c>
      <c r="W57" s="1320">
        <f t="shared" si="8"/>
        <v>8.9015151515151519E-2</v>
      </c>
      <c r="X57" s="1265">
        <v>5.5</v>
      </c>
      <c r="Y57" s="1265">
        <v>16.100000000000001</v>
      </c>
      <c r="Z57" s="15"/>
      <c r="AA57" s="15" t="s">
        <v>140</v>
      </c>
      <c r="AB57" s="21"/>
      <c r="AC57" s="21" t="s">
        <v>273</v>
      </c>
      <c r="AD57" s="21" t="s">
        <v>273</v>
      </c>
      <c r="AE57" s="21" t="s">
        <v>273</v>
      </c>
      <c r="AF57" s="15"/>
      <c r="AG57" s="15"/>
      <c r="AH57" s="16"/>
      <c r="AI57" s="42"/>
      <c r="AJ57" s="42">
        <f t="shared" ca="1" si="5"/>
        <v>29</v>
      </c>
      <c r="AK57" s="42">
        <f t="shared" ca="1" si="6"/>
        <v>29</v>
      </c>
      <c r="AL57" s="130">
        <f t="shared" si="7"/>
        <v>0.6</v>
      </c>
      <c r="AM57" s="37">
        <v>45635</v>
      </c>
      <c r="AN57" s="38">
        <v>45636</v>
      </c>
      <c r="AO57" s="38">
        <v>45670</v>
      </c>
      <c r="AP57" s="38"/>
      <c r="AQ57" s="101"/>
      <c r="AR57" s="101" t="s">
        <v>1770</v>
      </c>
      <c r="AS57" s="37">
        <v>45635</v>
      </c>
      <c r="AT57" s="11"/>
    </row>
    <row r="58" spans="1:55" s="271" customFormat="1" ht="10.5" customHeight="1" x14ac:dyDescent="0.35">
      <c r="A58" s="16"/>
      <c r="B58" s="16" cm="1">
        <f t="array" ref="B58">+_xlfn.IFS(D58="In Touch - Positive",2,D58="Pending",1,D58="No Answer",4,D58="In Touch - Negative",3)</f>
        <v>1</v>
      </c>
      <c r="C58" s="16" t="s">
        <v>5564</v>
      </c>
      <c r="D58" s="16" t="str">
        <f t="shared" si="9"/>
        <v>Pending</v>
      </c>
      <c r="E58" s="20" t="s">
        <v>5521</v>
      </c>
      <c r="F58" s="13"/>
      <c r="G58" s="13" t="s">
        <v>288</v>
      </c>
      <c r="H58" s="13" t="s">
        <v>5536</v>
      </c>
      <c r="I58" s="15"/>
      <c r="J58" s="15" t="s">
        <v>4414</v>
      </c>
      <c r="K58" s="15"/>
      <c r="L58" s="15" t="s">
        <v>5552</v>
      </c>
      <c r="M58" s="15"/>
      <c r="N58" s="15"/>
      <c r="O58" s="15"/>
      <c r="P58" s="15"/>
      <c r="Q58" s="15"/>
      <c r="R58" s="1318"/>
      <c r="S58" s="1316" t="s">
        <v>77</v>
      </c>
      <c r="T58" s="1316">
        <v>2023</v>
      </c>
      <c r="U58" s="1265">
        <v>32.799999999999997</v>
      </c>
      <c r="V58" s="1265">
        <v>8.6999999999999993</v>
      </c>
      <c r="W58" s="1320">
        <f t="shared" si="8"/>
        <v>0.2652439024390244</v>
      </c>
      <c r="X58" s="1265">
        <v>6.1</v>
      </c>
      <c r="Y58" s="1265">
        <v>-12.6</v>
      </c>
      <c r="Z58" s="15"/>
      <c r="AA58" s="15" t="s">
        <v>140</v>
      </c>
      <c r="AB58" s="21"/>
      <c r="AC58" s="21" t="s">
        <v>273</v>
      </c>
      <c r="AD58" s="21" t="s">
        <v>273</v>
      </c>
      <c r="AE58" s="21" t="s">
        <v>273</v>
      </c>
      <c r="AF58" s="15"/>
      <c r="AG58" s="15"/>
      <c r="AH58" s="16"/>
      <c r="AI58" s="42"/>
      <c r="AJ58" s="42">
        <f t="shared" ca="1" si="5"/>
        <v>29</v>
      </c>
      <c r="AK58" s="42">
        <f t="shared" ca="1" si="6"/>
        <v>29</v>
      </c>
      <c r="AL58" s="130">
        <f t="shared" si="7"/>
        <v>0.6</v>
      </c>
      <c r="AM58" s="37">
        <v>45635</v>
      </c>
      <c r="AN58" s="38">
        <v>45636</v>
      </c>
      <c r="AO58" s="38">
        <v>45670</v>
      </c>
      <c r="AP58" s="38"/>
      <c r="AQ58" s="101"/>
      <c r="AR58" s="101" t="s">
        <v>1770</v>
      </c>
      <c r="AS58" s="37">
        <v>45635</v>
      </c>
      <c r="AT58" s="11"/>
    </row>
    <row r="59" spans="1:55" s="271" customFormat="1" ht="10.5" customHeight="1" x14ac:dyDescent="0.35">
      <c r="A59" s="16"/>
      <c r="B59" s="16" cm="1">
        <f t="array" ref="B59">+_xlfn.IFS(D59="In Touch - Positive",2,D59="Pending",1,D59="No Answer",4,D59="In Touch - Negative",3)</f>
        <v>1</v>
      </c>
      <c r="C59" s="16" t="s">
        <v>5564</v>
      </c>
      <c r="D59" s="16" t="str">
        <f t="shared" si="9"/>
        <v>Pending</v>
      </c>
      <c r="E59" s="20" t="s">
        <v>5522</v>
      </c>
      <c r="F59" s="13"/>
      <c r="G59" s="13" t="s">
        <v>1961</v>
      </c>
      <c r="H59" s="13" t="s">
        <v>5537</v>
      </c>
      <c r="I59" s="15"/>
      <c r="J59" s="15" t="s">
        <v>4414</v>
      </c>
      <c r="K59" s="15"/>
      <c r="L59" s="15" t="s">
        <v>5553</v>
      </c>
      <c r="M59" s="15"/>
      <c r="N59" s="15"/>
      <c r="O59" s="15"/>
      <c r="P59" s="15"/>
      <c r="Q59" s="15"/>
      <c r="R59" s="1318"/>
      <c r="S59" s="1316" t="s">
        <v>77</v>
      </c>
      <c r="T59" s="1316">
        <v>2023</v>
      </c>
      <c r="U59" s="1265">
        <v>38.6</v>
      </c>
      <c r="V59" s="1265">
        <v>7.6</v>
      </c>
      <c r="W59" s="1320">
        <f t="shared" si="8"/>
        <v>0.19689119170984454</v>
      </c>
      <c r="X59" s="1265">
        <v>4.07</v>
      </c>
      <c r="Y59" s="1265">
        <v>-6</v>
      </c>
      <c r="Z59" s="15"/>
      <c r="AA59" s="15" t="s">
        <v>140</v>
      </c>
      <c r="AB59" s="21"/>
      <c r="AC59" s="21" t="s">
        <v>273</v>
      </c>
      <c r="AD59" s="21" t="s">
        <v>273</v>
      </c>
      <c r="AE59" s="21" t="s">
        <v>273</v>
      </c>
      <c r="AF59" s="15"/>
      <c r="AG59" s="15"/>
      <c r="AH59" s="16"/>
      <c r="AI59" s="42"/>
      <c r="AJ59" s="42">
        <f t="shared" ca="1" si="5"/>
        <v>29</v>
      </c>
      <c r="AK59" s="42">
        <f t="shared" ca="1" si="6"/>
        <v>29</v>
      </c>
      <c r="AL59" s="130">
        <f t="shared" si="7"/>
        <v>0.6</v>
      </c>
      <c r="AM59" s="37">
        <v>45635</v>
      </c>
      <c r="AN59" s="38">
        <v>45636</v>
      </c>
      <c r="AO59" s="38">
        <v>45670</v>
      </c>
      <c r="AP59" s="38"/>
      <c r="AQ59" s="101"/>
      <c r="AR59" s="101" t="s">
        <v>1770</v>
      </c>
      <c r="AS59" s="37">
        <v>45635</v>
      </c>
      <c r="AT59" s="11"/>
    </row>
    <row r="60" spans="1:55" s="271" customFormat="1" ht="11.25" customHeight="1" x14ac:dyDescent="0.35">
      <c r="A60" s="16"/>
      <c r="B60" s="16" cm="1">
        <f t="array" ref="B60">+_xlfn.IFS(D60="In Touch - Positive",2,D60="Pending",1,D60="No Answer",4,D60="In Touch - Negative",3)</f>
        <v>1</v>
      </c>
      <c r="C60" s="16" t="s">
        <v>5564</v>
      </c>
      <c r="D60" s="16" t="str">
        <f t="shared" si="9"/>
        <v>Pending</v>
      </c>
      <c r="E60" s="20" t="s">
        <v>5523</v>
      </c>
      <c r="F60" s="13"/>
      <c r="G60" s="13" t="s">
        <v>159</v>
      </c>
      <c r="H60" s="13" t="s">
        <v>5538</v>
      </c>
      <c r="I60" s="15"/>
      <c r="J60" s="15" t="s">
        <v>4414</v>
      </c>
      <c r="K60" s="15"/>
      <c r="L60" s="15" t="s">
        <v>5554</v>
      </c>
      <c r="M60" s="15"/>
      <c r="N60" s="15"/>
      <c r="O60" s="15"/>
      <c r="P60" s="15"/>
      <c r="Q60" s="15"/>
      <c r="R60" s="1318"/>
      <c r="S60" s="1316" t="s">
        <v>77</v>
      </c>
      <c r="T60" s="1316">
        <v>2023</v>
      </c>
      <c r="U60" s="1265">
        <v>28.2</v>
      </c>
      <c r="V60" s="1265">
        <v>6.7</v>
      </c>
      <c r="W60" s="1320">
        <f t="shared" si="8"/>
        <v>0.23758865248226951</v>
      </c>
      <c r="X60" s="1265">
        <v>4.66</v>
      </c>
      <c r="Y60" s="1265">
        <v>-11.3</v>
      </c>
      <c r="Z60" s="15"/>
      <c r="AA60" s="15" t="s">
        <v>140</v>
      </c>
      <c r="AB60" s="21"/>
      <c r="AC60" s="21" t="s">
        <v>273</v>
      </c>
      <c r="AD60" s="21" t="s">
        <v>273</v>
      </c>
      <c r="AE60" s="21" t="s">
        <v>273</v>
      </c>
      <c r="AF60" s="15"/>
      <c r="AG60" s="15"/>
      <c r="AH60" s="16"/>
      <c r="AI60" s="42"/>
      <c r="AJ60" s="42">
        <f t="shared" ca="1" si="5"/>
        <v>29</v>
      </c>
      <c r="AK60" s="42">
        <f t="shared" ca="1" si="6"/>
        <v>29</v>
      </c>
      <c r="AL60" s="130">
        <f t="shared" si="7"/>
        <v>0.6</v>
      </c>
      <c r="AM60" s="37">
        <v>45635</v>
      </c>
      <c r="AN60" s="38">
        <v>45636</v>
      </c>
      <c r="AO60" s="38">
        <v>45670</v>
      </c>
      <c r="AP60" s="38"/>
      <c r="AQ60" s="101"/>
      <c r="AR60" s="101" t="s">
        <v>1770</v>
      </c>
      <c r="AS60" s="37">
        <v>45635</v>
      </c>
      <c r="AT60" s="11"/>
    </row>
    <row r="61" spans="1:55" s="271" customFormat="1" ht="11.25" customHeight="1" x14ac:dyDescent="0.35">
      <c r="A61" s="16"/>
      <c r="B61" s="16" cm="1">
        <f t="array" ref="B61">+_xlfn.IFS(D61="In Touch - Positive",2,D61="Pending",1,D61="No Answer",4,D61="In Touch - Negative",3)</f>
        <v>1</v>
      </c>
      <c r="C61" s="16" t="s">
        <v>5564</v>
      </c>
      <c r="D61" s="16" t="str">
        <f t="shared" si="9"/>
        <v>Pending</v>
      </c>
      <c r="E61" s="20" t="s">
        <v>5524</v>
      </c>
      <c r="F61" s="13"/>
      <c r="G61" s="13" t="s">
        <v>130</v>
      </c>
      <c r="H61" s="13" t="s">
        <v>5539</v>
      </c>
      <c r="I61" s="15"/>
      <c r="J61" s="15" t="s">
        <v>4414</v>
      </c>
      <c r="K61" s="15"/>
      <c r="L61" s="15" t="s">
        <v>5555</v>
      </c>
      <c r="M61" s="15"/>
      <c r="N61" s="15"/>
      <c r="O61" s="15"/>
      <c r="P61" s="15"/>
      <c r="Q61" s="15"/>
      <c r="R61" s="1318"/>
      <c r="S61" s="1316" t="s">
        <v>77</v>
      </c>
      <c r="T61" s="1316">
        <v>2023</v>
      </c>
      <c r="U61" s="1265">
        <v>32.1</v>
      </c>
      <c r="V61" s="1265">
        <v>6.2</v>
      </c>
      <c r="W61" s="1320">
        <f t="shared" si="8"/>
        <v>0.19314641744548286</v>
      </c>
      <c r="X61" s="1265">
        <v>3.9</v>
      </c>
      <c r="Y61" s="1265">
        <v>0.7</v>
      </c>
      <c r="Z61" s="15"/>
      <c r="AA61" s="15" t="s">
        <v>140</v>
      </c>
      <c r="AB61" s="21"/>
      <c r="AC61" s="21" t="s">
        <v>273</v>
      </c>
      <c r="AD61" s="21" t="s">
        <v>273</v>
      </c>
      <c r="AE61" s="21" t="s">
        <v>273</v>
      </c>
      <c r="AF61" s="15"/>
      <c r="AG61" s="15"/>
      <c r="AH61" s="16"/>
      <c r="AI61" s="42"/>
      <c r="AJ61" s="42">
        <f t="shared" ca="1" si="5"/>
        <v>29</v>
      </c>
      <c r="AK61" s="42">
        <f t="shared" ca="1" si="6"/>
        <v>29</v>
      </c>
      <c r="AL61" s="130">
        <f t="shared" si="7"/>
        <v>0.6</v>
      </c>
      <c r="AM61" s="37">
        <v>45635</v>
      </c>
      <c r="AN61" s="38">
        <v>45636</v>
      </c>
      <c r="AO61" s="38">
        <v>45670</v>
      </c>
      <c r="AP61" s="38"/>
      <c r="AQ61" s="101"/>
      <c r="AR61" s="101" t="s">
        <v>1770</v>
      </c>
      <c r="AS61" s="37">
        <v>45635</v>
      </c>
      <c r="AT61" s="11"/>
    </row>
    <row r="62" spans="1:55" s="271" customFormat="1" ht="11.25" customHeight="1" x14ac:dyDescent="0.35">
      <c r="A62" s="16"/>
      <c r="B62" s="16" cm="1">
        <f t="array" ref="B62">+_xlfn.IFS(D62="In Touch - Positive",2,D62="Pending",1,D62="No Answer",4,D62="In Touch - Negative",3)</f>
        <v>1</v>
      </c>
      <c r="C62" s="16" t="s">
        <v>5564</v>
      </c>
      <c r="D62" s="16" t="str">
        <f t="shared" si="9"/>
        <v>Pending</v>
      </c>
      <c r="E62" s="20" t="s">
        <v>5525</v>
      </c>
      <c r="F62" s="13"/>
      <c r="G62" s="13" t="s">
        <v>288</v>
      </c>
      <c r="H62" s="13" t="s">
        <v>5540</v>
      </c>
      <c r="I62" s="15"/>
      <c r="J62" s="15" t="s">
        <v>4414</v>
      </c>
      <c r="K62" s="15"/>
      <c r="L62" s="15" t="s">
        <v>5556</v>
      </c>
      <c r="M62" s="15"/>
      <c r="N62" s="15"/>
      <c r="O62" s="15"/>
      <c r="P62" s="15"/>
      <c r="Q62" s="15"/>
      <c r="R62" s="1318"/>
      <c r="S62" s="1316" t="s">
        <v>77</v>
      </c>
      <c r="T62" s="1316">
        <v>2023</v>
      </c>
      <c r="U62" s="1265">
        <v>19</v>
      </c>
      <c r="V62" s="1265">
        <v>5.29</v>
      </c>
      <c r="W62" s="1320">
        <f t="shared" si="8"/>
        <v>0.27842105263157896</v>
      </c>
      <c r="X62" s="1265">
        <v>3.7</v>
      </c>
      <c r="Y62" s="1265">
        <v>-0.3</v>
      </c>
      <c r="Z62" s="15"/>
      <c r="AA62" s="15" t="s">
        <v>140</v>
      </c>
      <c r="AB62" s="21"/>
      <c r="AC62" s="21" t="s">
        <v>273</v>
      </c>
      <c r="AD62" s="21" t="s">
        <v>273</v>
      </c>
      <c r="AE62" s="21" t="s">
        <v>273</v>
      </c>
      <c r="AF62" s="15"/>
      <c r="AG62" s="15"/>
      <c r="AH62" s="16"/>
      <c r="AI62" s="42"/>
      <c r="AJ62" s="42">
        <f t="shared" ca="1" si="5"/>
        <v>29</v>
      </c>
      <c r="AK62" s="42">
        <f t="shared" ca="1" si="6"/>
        <v>29</v>
      </c>
      <c r="AL62" s="130">
        <f t="shared" si="7"/>
        <v>0.6</v>
      </c>
      <c r="AM62" s="37">
        <v>45635</v>
      </c>
      <c r="AN62" s="38">
        <v>45636</v>
      </c>
      <c r="AO62" s="38">
        <v>45670</v>
      </c>
      <c r="AP62" s="38"/>
      <c r="AQ62" s="101"/>
      <c r="AR62" s="101" t="s">
        <v>1770</v>
      </c>
      <c r="AS62" s="37">
        <v>45635</v>
      </c>
      <c r="AT62" s="11"/>
    </row>
    <row r="63" spans="1:55" s="271" customFormat="1" ht="11.25" customHeight="1" x14ac:dyDescent="0.35">
      <c r="A63" s="16"/>
      <c r="B63" s="16" cm="1">
        <f t="array" ref="B63">+_xlfn.IFS(D63="In Touch - Positive",2,D63="Pending",1,D63="No Answer",4,D63="In Touch - Negative",3)</f>
        <v>1</v>
      </c>
      <c r="C63" s="16" t="s">
        <v>5564</v>
      </c>
      <c r="D63" s="16" t="str">
        <f t="shared" si="9"/>
        <v>Pending</v>
      </c>
      <c r="E63" s="20" t="s">
        <v>1996</v>
      </c>
      <c r="F63" s="13"/>
      <c r="G63" s="13" t="s">
        <v>137</v>
      </c>
      <c r="H63" s="13" t="s">
        <v>5541</v>
      </c>
      <c r="I63" s="15"/>
      <c r="J63" s="15" t="s">
        <v>4414</v>
      </c>
      <c r="K63" s="15"/>
      <c r="L63" s="15" t="s">
        <v>5557</v>
      </c>
      <c r="M63" s="15"/>
      <c r="N63" s="15"/>
      <c r="O63" s="15"/>
      <c r="P63" s="15"/>
      <c r="Q63" s="15"/>
      <c r="R63" s="1318"/>
      <c r="S63" s="1316" t="s">
        <v>77</v>
      </c>
      <c r="T63" s="1316">
        <v>2023</v>
      </c>
      <c r="U63" s="1265">
        <v>30.4</v>
      </c>
      <c r="V63" s="1265">
        <v>5.0999999999999996</v>
      </c>
      <c r="W63" s="1320">
        <f t="shared" si="8"/>
        <v>0.16776315789473684</v>
      </c>
      <c r="X63" s="1265">
        <v>2.8</v>
      </c>
      <c r="Y63" s="1265">
        <v>-5.9</v>
      </c>
      <c r="Z63" s="15"/>
      <c r="AA63" s="15" t="s">
        <v>140</v>
      </c>
      <c r="AB63" s="21"/>
      <c r="AC63" s="21" t="s">
        <v>273</v>
      </c>
      <c r="AD63" s="21" t="s">
        <v>273</v>
      </c>
      <c r="AE63" s="21" t="s">
        <v>273</v>
      </c>
      <c r="AF63" s="15"/>
      <c r="AG63" s="15"/>
      <c r="AH63" s="16"/>
      <c r="AI63" s="42"/>
      <c r="AJ63" s="42">
        <f t="shared" ca="1" si="5"/>
        <v>29</v>
      </c>
      <c r="AK63" s="42">
        <f t="shared" ca="1" si="6"/>
        <v>29</v>
      </c>
      <c r="AL63" s="130">
        <f t="shared" si="7"/>
        <v>0.6</v>
      </c>
      <c r="AM63" s="37">
        <v>45635</v>
      </c>
      <c r="AN63" s="38">
        <v>45636</v>
      </c>
      <c r="AO63" s="38">
        <v>45670</v>
      </c>
      <c r="AP63" s="38"/>
      <c r="AQ63" s="101"/>
      <c r="AR63" s="101" t="s">
        <v>1770</v>
      </c>
      <c r="AS63" s="37">
        <v>45635</v>
      </c>
      <c r="AT63" s="11"/>
    </row>
    <row r="64" spans="1:55" s="271" customFormat="1" ht="11.25" customHeight="1" x14ac:dyDescent="0.35">
      <c r="A64" s="16"/>
      <c r="B64" s="16" cm="1">
        <f t="array" ref="B64">+_xlfn.IFS(D64="In Touch - Positive",2,D64="Pending",1,D64="No Answer",4,D64="In Touch - Negative",3)</f>
        <v>1</v>
      </c>
      <c r="C64" s="16" t="s">
        <v>5564</v>
      </c>
      <c r="D64" s="16" t="str">
        <f t="shared" si="9"/>
        <v>Pending</v>
      </c>
      <c r="E64" s="20" t="s">
        <v>5526</v>
      </c>
      <c r="F64" s="13"/>
      <c r="G64" s="13" t="s">
        <v>208</v>
      </c>
      <c r="H64" s="13" t="s">
        <v>5542</v>
      </c>
      <c r="I64" s="15"/>
      <c r="J64" s="15" t="s">
        <v>4414</v>
      </c>
      <c r="K64" s="15"/>
      <c r="L64" s="15" t="s">
        <v>5558</v>
      </c>
      <c r="M64" s="15"/>
      <c r="N64" s="15"/>
      <c r="O64" s="15"/>
      <c r="P64" s="15"/>
      <c r="Q64" s="15"/>
      <c r="R64" s="1318"/>
      <c r="S64" s="1316" t="s">
        <v>77</v>
      </c>
      <c r="T64" s="1316">
        <v>2023</v>
      </c>
      <c r="U64" s="1265">
        <v>39</v>
      </c>
      <c r="V64" s="1265">
        <v>4.9000000000000004</v>
      </c>
      <c r="W64" s="1320">
        <f t="shared" si="8"/>
        <v>0.12564102564102564</v>
      </c>
      <c r="X64" s="1265">
        <v>2.8</v>
      </c>
      <c r="Y64" s="1265">
        <v>2.9</v>
      </c>
      <c r="Z64" s="15"/>
      <c r="AA64" s="15" t="s">
        <v>140</v>
      </c>
      <c r="AB64" s="21"/>
      <c r="AC64" s="21" t="s">
        <v>273</v>
      </c>
      <c r="AD64" s="21" t="s">
        <v>273</v>
      </c>
      <c r="AE64" s="21" t="s">
        <v>273</v>
      </c>
      <c r="AF64" s="15"/>
      <c r="AG64" s="15"/>
      <c r="AH64" s="16"/>
      <c r="AI64" s="42"/>
      <c r="AJ64" s="42">
        <f t="shared" ca="1" si="5"/>
        <v>29</v>
      </c>
      <c r="AK64" s="42">
        <f t="shared" ca="1" si="6"/>
        <v>29</v>
      </c>
      <c r="AL64" s="130">
        <f t="shared" si="7"/>
        <v>0.6</v>
      </c>
      <c r="AM64" s="37">
        <v>45635</v>
      </c>
      <c r="AN64" s="38">
        <v>45636</v>
      </c>
      <c r="AO64" s="38">
        <v>45670</v>
      </c>
      <c r="AP64" s="38"/>
      <c r="AQ64" s="101"/>
      <c r="AR64" s="101" t="s">
        <v>1770</v>
      </c>
      <c r="AS64" s="37">
        <v>45635</v>
      </c>
      <c r="AT64" s="11"/>
    </row>
    <row r="65" spans="1:55" s="271" customFormat="1" ht="11.25" customHeight="1" x14ac:dyDescent="0.35">
      <c r="A65" s="16"/>
      <c r="B65" s="16" cm="1">
        <f t="array" ref="B65">+_xlfn.IFS(D65="In Touch - Positive",2,D65="Pending",1,D65="No Answer",4,D65="In Touch - Negative",3)</f>
        <v>1</v>
      </c>
      <c r="C65" s="16" t="s">
        <v>5564</v>
      </c>
      <c r="D65" s="16" t="str">
        <f t="shared" si="9"/>
        <v>Pending</v>
      </c>
      <c r="E65" s="20" t="s">
        <v>5527</v>
      </c>
      <c r="F65" s="13"/>
      <c r="G65" s="13" t="s">
        <v>103</v>
      </c>
      <c r="H65" s="13" t="s">
        <v>5543</v>
      </c>
      <c r="I65" s="15"/>
      <c r="J65" s="15" t="s">
        <v>4414</v>
      </c>
      <c r="K65" s="15"/>
      <c r="L65" s="15" t="s">
        <v>5559</v>
      </c>
      <c r="M65" s="15"/>
      <c r="N65" s="15"/>
      <c r="O65" s="15"/>
      <c r="P65" s="15"/>
      <c r="Q65" s="15"/>
      <c r="R65" s="1318"/>
      <c r="S65" s="1316" t="s">
        <v>77</v>
      </c>
      <c r="T65" s="1316">
        <v>2023</v>
      </c>
      <c r="U65" s="1265">
        <v>27.3</v>
      </c>
      <c r="V65" s="1265">
        <v>4.59</v>
      </c>
      <c r="W65" s="1320">
        <f t="shared" ref="W65:W96" si="10">+V65/U65</f>
        <v>0.16813186813186812</v>
      </c>
      <c r="X65" s="1265">
        <v>2.8</v>
      </c>
      <c r="Y65" s="1265">
        <v>2.9</v>
      </c>
      <c r="Z65" s="15"/>
      <c r="AA65" s="15" t="s">
        <v>140</v>
      </c>
      <c r="AB65" s="21"/>
      <c r="AC65" s="21" t="s">
        <v>273</v>
      </c>
      <c r="AD65" s="21" t="s">
        <v>273</v>
      </c>
      <c r="AE65" s="21" t="s">
        <v>273</v>
      </c>
      <c r="AF65" s="15"/>
      <c r="AG65" s="15"/>
      <c r="AH65" s="16"/>
      <c r="AI65" s="42"/>
      <c r="AJ65" s="42">
        <f t="shared" ca="1" si="5"/>
        <v>29</v>
      </c>
      <c r="AK65" s="42">
        <f t="shared" ca="1" si="6"/>
        <v>29</v>
      </c>
      <c r="AL65" s="130">
        <f t="shared" si="7"/>
        <v>0.6</v>
      </c>
      <c r="AM65" s="37">
        <v>45635</v>
      </c>
      <c r="AN65" s="38">
        <v>45636</v>
      </c>
      <c r="AO65" s="38">
        <v>45670</v>
      </c>
      <c r="AP65" s="38"/>
      <c r="AQ65" s="101"/>
      <c r="AR65" s="101" t="s">
        <v>1770</v>
      </c>
      <c r="AS65" s="37">
        <v>45635</v>
      </c>
      <c r="AT65" s="11"/>
    </row>
    <row r="66" spans="1:55" s="271" customFormat="1" ht="11.25" customHeight="1" x14ac:dyDescent="0.35">
      <c r="A66" s="16"/>
      <c r="B66" s="16" cm="1">
        <f t="array" ref="B66">+_xlfn.IFS(D66="In Touch - Positive",2,D66="Pending",1,D66="No Answer",4,D66="In Touch - Negative",3)</f>
        <v>1</v>
      </c>
      <c r="C66" s="16" t="s">
        <v>5564</v>
      </c>
      <c r="D66" s="16" t="str">
        <f t="shared" si="9"/>
        <v>Pending</v>
      </c>
      <c r="E66" s="20" t="s">
        <v>5528</v>
      </c>
      <c r="F66" s="13"/>
      <c r="G66" s="13" t="s">
        <v>838</v>
      </c>
      <c r="H66" s="13" t="s">
        <v>5544</v>
      </c>
      <c r="I66" s="15"/>
      <c r="J66" s="15" t="s">
        <v>4414</v>
      </c>
      <c r="K66" s="15"/>
      <c r="L66" s="15" t="s">
        <v>5560</v>
      </c>
      <c r="M66" s="15"/>
      <c r="N66" s="15"/>
      <c r="O66" s="15"/>
      <c r="P66" s="15"/>
      <c r="Q66" s="15"/>
      <c r="R66" s="1318"/>
      <c r="S66" s="1316" t="s">
        <v>77</v>
      </c>
      <c r="T66" s="1316">
        <v>2023</v>
      </c>
      <c r="U66" s="1265">
        <v>26.5</v>
      </c>
      <c r="V66" s="1265">
        <v>4.5</v>
      </c>
      <c r="W66" s="1320">
        <f t="shared" si="10"/>
        <v>0.16981132075471697</v>
      </c>
      <c r="X66" s="1265">
        <v>2.4</v>
      </c>
      <c r="Y66" s="1265">
        <v>-2.2000000000000002</v>
      </c>
      <c r="Z66" s="15"/>
      <c r="AA66" s="15" t="s">
        <v>140</v>
      </c>
      <c r="AB66" s="21"/>
      <c r="AC66" s="21" t="s">
        <v>273</v>
      </c>
      <c r="AD66" s="21" t="s">
        <v>273</v>
      </c>
      <c r="AE66" s="21" t="s">
        <v>273</v>
      </c>
      <c r="AF66" s="15"/>
      <c r="AG66" s="15"/>
      <c r="AH66" s="16"/>
      <c r="AI66" s="42"/>
      <c r="AJ66" s="42">
        <f t="shared" ca="1" si="5"/>
        <v>29</v>
      </c>
      <c r="AK66" s="42">
        <f t="shared" ca="1" si="6"/>
        <v>29</v>
      </c>
      <c r="AL66" s="130">
        <f t="shared" si="7"/>
        <v>0.6</v>
      </c>
      <c r="AM66" s="37">
        <v>45635</v>
      </c>
      <c r="AN66" s="38">
        <v>45636</v>
      </c>
      <c r="AO66" s="38">
        <v>45670</v>
      </c>
      <c r="AP66" s="38"/>
      <c r="AQ66" s="101"/>
      <c r="AR66" s="101" t="s">
        <v>1770</v>
      </c>
      <c r="AS66" s="37">
        <v>45635</v>
      </c>
      <c r="AT66" s="11"/>
    </row>
    <row r="67" spans="1:55" s="271" customFormat="1" ht="11.25" customHeight="1" x14ac:dyDescent="0.35">
      <c r="A67" s="16"/>
      <c r="B67" s="16" cm="1">
        <f t="array" ref="B67">+_xlfn.IFS(D67="In Touch - Positive",2,D67="Pending",1,D67="No Answer",4,D67="In Touch - Negative",3)</f>
        <v>1</v>
      </c>
      <c r="C67" s="16" t="s">
        <v>5564</v>
      </c>
      <c r="D67" s="16" t="str">
        <f t="shared" si="9"/>
        <v>Pending</v>
      </c>
      <c r="E67" s="20" t="s">
        <v>5529</v>
      </c>
      <c r="F67" s="13"/>
      <c r="G67" s="13" t="s">
        <v>259</v>
      </c>
      <c r="H67" s="13" t="s">
        <v>5545</v>
      </c>
      <c r="I67" s="15"/>
      <c r="J67" s="15" t="s">
        <v>4414</v>
      </c>
      <c r="K67" s="15"/>
      <c r="L67" s="15" t="s">
        <v>56</v>
      </c>
      <c r="M67" s="15"/>
      <c r="N67" s="15"/>
      <c r="O67" s="15"/>
      <c r="P67" s="15"/>
      <c r="Q67" s="15"/>
      <c r="R67" s="1318"/>
      <c r="S67" s="1316" t="s">
        <v>77</v>
      </c>
      <c r="T67" s="1316">
        <v>2023</v>
      </c>
      <c r="U67" s="1265">
        <v>26.4</v>
      </c>
      <c r="V67" s="1265">
        <v>3.87</v>
      </c>
      <c r="W67" s="1320">
        <f t="shared" si="10"/>
        <v>0.14659090909090911</v>
      </c>
      <c r="X67" s="1265">
        <v>2.2999999999999998</v>
      </c>
      <c r="Y67" s="1265">
        <v>0.7</v>
      </c>
      <c r="Z67" s="15"/>
      <c r="AA67" s="15" t="s">
        <v>140</v>
      </c>
      <c r="AB67" s="21"/>
      <c r="AC67" s="21" t="s">
        <v>273</v>
      </c>
      <c r="AD67" s="21" t="s">
        <v>273</v>
      </c>
      <c r="AE67" s="21" t="s">
        <v>273</v>
      </c>
      <c r="AF67" s="15"/>
      <c r="AG67" s="15"/>
      <c r="AH67" s="16"/>
      <c r="AI67" s="42"/>
      <c r="AJ67" s="42">
        <f t="shared" ca="1" si="5"/>
        <v>29</v>
      </c>
      <c r="AK67" s="42">
        <f t="shared" ca="1" si="6"/>
        <v>29</v>
      </c>
      <c r="AL67" s="130">
        <f t="shared" si="7"/>
        <v>0.6</v>
      </c>
      <c r="AM67" s="37">
        <v>45635</v>
      </c>
      <c r="AN67" s="38">
        <v>45636</v>
      </c>
      <c r="AO67" s="38">
        <v>45670</v>
      </c>
      <c r="AP67" s="38"/>
      <c r="AQ67" s="101"/>
      <c r="AR67" s="101" t="s">
        <v>1770</v>
      </c>
      <c r="AS67" s="37">
        <v>45635</v>
      </c>
      <c r="AT67" s="11"/>
    </row>
    <row r="68" spans="1:55" s="271" customFormat="1" ht="11.25" customHeight="1" x14ac:dyDescent="0.35">
      <c r="A68" s="16"/>
      <c r="B68" s="16" cm="1">
        <f t="array" ref="B68">+_xlfn.IFS(D68="In Touch - Positive",2,D68="Pending",1,D68="No Answer",4,D68="In Touch - Negative",3)</f>
        <v>1</v>
      </c>
      <c r="C68" s="16" t="s">
        <v>5564</v>
      </c>
      <c r="D68" s="16" t="str">
        <f t="shared" si="9"/>
        <v>Pending</v>
      </c>
      <c r="E68" s="20" t="s">
        <v>5530</v>
      </c>
      <c r="F68" s="13"/>
      <c r="G68" s="13" t="s">
        <v>208</v>
      </c>
      <c r="H68" s="13" t="s">
        <v>5546</v>
      </c>
      <c r="I68" s="15"/>
      <c r="J68" s="15" t="s">
        <v>4414</v>
      </c>
      <c r="K68" s="15"/>
      <c r="L68" s="15" t="s">
        <v>5561</v>
      </c>
      <c r="M68" s="15"/>
      <c r="N68" s="15"/>
      <c r="O68" s="15"/>
      <c r="P68" s="15"/>
      <c r="Q68" s="15"/>
      <c r="R68" s="1318"/>
      <c r="S68" s="1316" t="s">
        <v>77</v>
      </c>
      <c r="T68" s="1316">
        <v>2023</v>
      </c>
      <c r="U68" s="1265">
        <v>25.7</v>
      </c>
      <c r="V68" s="1265">
        <v>3.7</v>
      </c>
      <c r="W68" s="1320">
        <f t="shared" si="10"/>
        <v>0.14396887159533076</v>
      </c>
      <c r="X68" s="1265">
        <v>-1.3</v>
      </c>
      <c r="Y68" s="1265">
        <v>20.8</v>
      </c>
      <c r="Z68" s="15"/>
      <c r="AA68" s="15" t="s">
        <v>140</v>
      </c>
      <c r="AB68" s="21"/>
      <c r="AC68" s="21" t="s">
        <v>273</v>
      </c>
      <c r="AD68" s="21" t="s">
        <v>273</v>
      </c>
      <c r="AE68" s="21" t="s">
        <v>273</v>
      </c>
      <c r="AF68" s="15"/>
      <c r="AG68" s="15"/>
      <c r="AH68" s="16"/>
      <c r="AI68" s="42"/>
      <c r="AJ68" s="42">
        <f t="shared" ca="1" si="5"/>
        <v>29</v>
      </c>
      <c r="AK68" s="42">
        <f t="shared" ca="1" si="6"/>
        <v>29</v>
      </c>
      <c r="AL68" s="130">
        <f t="shared" si="7"/>
        <v>0.6</v>
      </c>
      <c r="AM68" s="37">
        <v>45635</v>
      </c>
      <c r="AN68" s="38">
        <v>45636</v>
      </c>
      <c r="AO68" s="38">
        <v>45670</v>
      </c>
      <c r="AP68" s="38"/>
      <c r="AQ68" s="101"/>
      <c r="AR68" s="101" t="s">
        <v>1770</v>
      </c>
      <c r="AS68" s="37">
        <v>45635</v>
      </c>
      <c r="AT68" s="11"/>
    </row>
    <row r="69" spans="1:55" s="271" customFormat="1" ht="11.25" customHeight="1" x14ac:dyDescent="0.35">
      <c r="A69" s="16"/>
      <c r="B69" s="16" cm="1">
        <f t="array" ref="B69">+_xlfn.IFS(D69="In Touch - Positive",2,D69="Pending",1,D69="No Answer",4,D69="In Touch - Negative",3)</f>
        <v>1</v>
      </c>
      <c r="C69" s="16" t="s">
        <v>5564</v>
      </c>
      <c r="D69" s="16" t="str">
        <f t="shared" si="9"/>
        <v>Pending</v>
      </c>
      <c r="E69" s="20" t="s">
        <v>5531</v>
      </c>
      <c r="F69" s="13"/>
      <c r="G69" s="13" t="s">
        <v>232</v>
      </c>
      <c r="H69" s="13" t="s">
        <v>5547</v>
      </c>
      <c r="I69" s="15"/>
      <c r="J69" s="15" t="s">
        <v>4414</v>
      </c>
      <c r="K69" s="15"/>
      <c r="L69" s="15" t="s">
        <v>5562</v>
      </c>
      <c r="M69" s="15"/>
      <c r="N69" s="15"/>
      <c r="O69" s="15"/>
      <c r="P69" s="15"/>
      <c r="Q69" s="15"/>
      <c r="R69" s="1318"/>
      <c r="S69" s="1316" t="s">
        <v>77</v>
      </c>
      <c r="T69" s="1316">
        <v>2023</v>
      </c>
      <c r="U69" s="1265">
        <v>14.5</v>
      </c>
      <c r="V69" s="1265">
        <v>3.1</v>
      </c>
      <c r="W69" s="1320">
        <f t="shared" si="10"/>
        <v>0.21379310344827587</v>
      </c>
      <c r="X69" s="1265">
        <v>2</v>
      </c>
      <c r="Y69" s="1265">
        <v>-2.9</v>
      </c>
      <c r="Z69" s="15"/>
      <c r="AA69" s="15" t="s">
        <v>140</v>
      </c>
      <c r="AB69" s="21"/>
      <c r="AC69" s="21" t="s">
        <v>273</v>
      </c>
      <c r="AD69" s="21" t="s">
        <v>273</v>
      </c>
      <c r="AE69" s="21" t="s">
        <v>273</v>
      </c>
      <c r="AF69" s="15"/>
      <c r="AG69" s="15"/>
      <c r="AH69" s="16"/>
      <c r="AI69" s="42"/>
      <c r="AJ69" s="42">
        <f t="shared" ca="1" si="5"/>
        <v>29</v>
      </c>
      <c r="AK69" s="42">
        <f t="shared" ca="1" si="6"/>
        <v>29</v>
      </c>
      <c r="AL69" s="130">
        <f t="shared" si="7"/>
        <v>0.6</v>
      </c>
      <c r="AM69" s="37">
        <v>45635</v>
      </c>
      <c r="AN69" s="38">
        <v>45636</v>
      </c>
      <c r="AO69" s="38">
        <v>45670</v>
      </c>
      <c r="AP69" s="38"/>
      <c r="AQ69" s="101"/>
      <c r="AR69" s="101" t="s">
        <v>1770</v>
      </c>
      <c r="AS69" s="37">
        <v>45635</v>
      </c>
      <c r="AT69" s="11"/>
    </row>
    <row r="70" spans="1:55" s="271" customFormat="1" ht="11.25" customHeight="1" x14ac:dyDescent="0.35">
      <c r="A70" s="16"/>
      <c r="B70" s="16" cm="1">
        <f t="array" ref="B70">+_xlfn.IFS(D70="In Touch - Positive",2,D70="Pending",1,D70="No Answer",4,D70="In Touch - Negative",3)</f>
        <v>1</v>
      </c>
      <c r="C70" s="16" t="s">
        <v>5564</v>
      </c>
      <c r="D70" s="16" t="str">
        <f t="shared" si="9"/>
        <v>Pending</v>
      </c>
      <c r="E70" s="20" t="s">
        <v>5532</v>
      </c>
      <c r="F70" s="13"/>
      <c r="G70" s="13" t="s">
        <v>288</v>
      </c>
      <c r="H70" s="13" t="s">
        <v>5548</v>
      </c>
      <c r="I70" s="15"/>
      <c r="J70" s="15" t="s">
        <v>4414</v>
      </c>
      <c r="K70" s="15"/>
      <c r="L70" s="15" t="s">
        <v>5563</v>
      </c>
      <c r="M70" s="15"/>
      <c r="N70" s="15"/>
      <c r="O70" s="15"/>
      <c r="P70" s="15"/>
      <c r="Q70" s="15"/>
      <c r="R70" s="1318"/>
      <c r="S70" s="1316" t="s">
        <v>77</v>
      </c>
      <c r="T70" s="1316">
        <v>2023</v>
      </c>
      <c r="U70" s="1265">
        <v>15.2</v>
      </c>
      <c r="V70" s="1265">
        <v>2.9</v>
      </c>
      <c r="W70" s="1320">
        <f t="shared" si="10"/>
        <v>0.19078947368421054</v>
      </c>
      <c r="X70" s="1265">
        <v>1.8</v>
      </c>
      <c r="Y70" s="1265">
        <v>-0.7</v>
      </c>
      <c r="Z70" s="15"/>
      <c r="AA70" s="15" t="s">
        <v>140</v>
      </c>
      <c r="AB70" s="21"/>
      <c r="AC70" s="21" t="s">
        <v>273</v>
      </c>
      <c r="AD70" s="21" t="s">
        <v>273</v>
      </c>
      <c r="AE70" s="21" t="s">
        <v>273</v>
      </c>
      <c r="AF70" s="15"/>
      <c r="AG70" s="15"/>
      <c r="AH70" s="16"/>
      <c r="AI70" s="42"/>
      <c r="AJ70" s="42">
        <f t="shared" ca="1" si="5"/>
        <v>29</v>
      </c>
      <c r="AK70" s="42">
        <f t="shared" ca="1" si="6"/>
        <v>29</v>
      </c>
      <c r="AL70" s="130">
        <f t="shared" si="7"/>
        <v>0.6</v>
      </c>
      <c r="AM70" s="37">
        <v>45635</v>
      </c>
      <c r="AN70" s="38">
        <v>45636</v>
      </c>
      <c r="AO70" s="38">
        <v>45670</v>
      </c>
      <c r="AP70" s="38"/>
      <c r="AQ70" s="101"/>
      <c r="AR70" s="101" t="s">
        <v>1770</v>
      </c>
      <c r="AS70" s="37">
        <v>45635</v>
      </c>
      <c r="AT70" s="11"/>
    </row>
    <row r="71" spans="1:55" s="271" customFormat="1" ht="11.25" customHeight="1" x14ac:dyDescent="0.35">
      <c r="A71" s="16"/>
      <c r="B71" s="16" cm="1">
        <f t="array" ref="B71">+_xlfn.IFS(D71="In Touch - Positive",2,D71="Pending",1,D71="No Answer",4,D71="In Touch - Negative",3)</f>
        <v>1</v>
      </c>
      <c r="C71" s="16" t="s">
        <v>5196</v>
      </c>
      <c r="D71" s="16" t="str">
        <f t="shared" si="9"/>
        <v>Pending</v>
      </c>
      <c r="E71" s="20" t="s">
        <v>5427</v>
      </c>
      <c r="F71" s="13"/>
      <c r="G71" s="13" t="s">
        <v>278</v>
      </c>
      <c r="H71" s="13" t="s">
        <v>5430</v>
      </c>
      <c r="I71" s="15"/>
      <c r="J71" s="15" t="s">
        <v>3207</v>
      </c>
      <c r="K71" s="15" t="s">
        <v>5432</v>
      </c>
      <c r="L71" s="15" t="s">
        <v>5434</v>
      </c>
      <c r="M71" s="15"/>
      <c r="N71" s="15"/>
      <c r="O71" s="15"/>
      <c r="P71" s="15"/>
      <c r="Q71" s="15"/>
      <c r="R71" s="1318"/>
      <c r="S71" s="1316" t="s">
        <v>77</v>
      </c>
      <c r="T71" s="1316">
        <v>2023</v>
      </c>
      <c r="U71" s="1265">
        <v>2.17</v>
      </c>
      <c r="V71" s="1265">
        <v>-0.2</v>
      </c>
      <c r="W71" s="1320">
        <f t="shared" si="10"/>
        <v>-9.2165898617511524E-2</v>
      </c>
      <c r="X71" s="1265">
        <v>0.01</v>
      </c>
      <c r="Y71" s="1265">
        <v>-0.08</v>
      </c>
      <c r="Z71" s="15"/>
      <c r="AA71" s="15" t="s">
        <v>140</v>
      </c>
      <c r="AB71" s="21"/>
      <c r="AC71" s="21" t="s">
        <v>273</v>
      </c>
      <c r="AD71" s="21" t="s">
        <v>273</v>
      </c>
      <c r="AE71" s="21" t="s">
        <v>273</v>
      </c>
      <c r="AF71" s="15"/>
      <c r="AG71" s="15"/>
      <c r="AH71" s="16"/>
      <c r="AI71" s="42"/>
      <c r="AJ71" s="42">
        <f t="shared" ca="1" si="5"/>
        <v>98</v>
      </c>
      <c r="AK71" s="42">
        <f t="shared" ca="1" si="6"/>
        <v>34</v>
      </c>
      <c r="AL71" s="130">
        <f t="shared" si="7"/>
        <v>0.4</v>
      </c>
      <c r="AM71" s="37">
        <v>45566</v>
      </c>
      <c r="AN71" s="38">
        <v>45630</v>
      </c>
      <c r="AO71" s="38"/>
      <c r="AP71" s="38"/>
      <c r="AQ71" s="101"/>
      <c r="AR71" s="101" t="s">
        <v>1770</v>
      </c>
      <c r="AS71" s="37">
        <v>45630</v>
      </c>
      <c r="AT71" s="11"/>
    </row>
    <row r="72" spans="1:55" s="271" customFormat="1" ht="11.25" customHeight="1" x14ac:dyDescent="0.35">
      <c r="A72" s="16"/>
      <c r="B72" s="16" cm="1">
        <f t="array" ref="B72">+_xlfn.IFS(D72="In Touch - Positive",2,D72="Pending",1,D72="No Answer",4,D72="In Touch - Negative",3)</f>
        <v>1</v>
      </c>
      <c r="C72" s="16" t="s">
        <v>5196</v>
      </c>
      <c r="D72" s="16" t="str">
        <f t="shared" si="9"/>
        <v>Pending</v>
      </c>
      <c r="E72" s="20" t="s">
        <v>5428</v>
      </c>
      <c r="F72" s="13"/>
      <c r="G72" s="13" t="s">
        <v>333</v>
      </c>
      <c r="H72" s="13" t="s">
        <v>5431</v>
      </c>
      <c r="I72" s="15"/>
      <c r="J72" s="15" t="s">
        <v>3207</v>
      </c>
      <c r="K72" s="15" t="s">
        <v>5432</v>
      </c>
      <c r="L72" s="15" t="s">
        <v>5435</v>
      </c>
      <c r="M72" s="15"/>
      <c r="N72" s="15"/>
      <c r="O72" s="15"/>
      <c r="P72" s="15"/>
      <c r="Q72" s="15"/>
      <c r="R72" s="1318"/>
      <c r="S72" s="1316" t="s">
        <v>77</v>
      </c>
      <c r="T72" s="1316">
        <v>2023</v>
      </c>
      <c r="U72" s="1265">
        <v>2.35</v>
      </c>
      <c r="V72" s="1265">
        <v>7.0000000000000007E-2</v>
      </c>
      <c r="W72" s="1320">
        <f t="shared" si="10"/>
        <v>2.9787234042553193E-2</v>
      </c>
      <c r="X72" s="1265">
        <v>0.02</v>
      </c>
      <c r="Y72" s="1265">
        <v>7.0000000000000007E-2</v>
      </c>
      <c r="Z72" s="15"/>
      <c r="AA72" s="15" t="s">
        <v>140</v>
      </c>
      <c r="AB72" s="21"/>
      <c r="AC72" s="21" t="s">
        <v>273</v>
      </c>
      <c r="AD72" s="21" t="s">
        <v>273</v>
      </c>
      <c r="AE72" s="21" t="s">
        <v>273</v>
      </c>
      <c r="AF72" s="15"/>
      <c r="AG72" s="15"/>
      <c r="AH72" s="16"/>
      <c r="AI72" s="42"/>
      <c r="AJ72" s="42">
        <f t="shared" ca="1" si="5"/>
        <v>98</v>
      </c>
      <c r="AK72" s="42">
        <f t="shared" ca="1" si="6"/>
        <v>34</v>
      </c>
      <c r="AL72" s="130">
        <f t="shared" si="7"/>
        <v>0.4</v>
      </c>
      <c r="AM72" s="37">
        <v>45566</v>
      </c>
      <c r="AN72" s="38">
        <v>45630</v>
      </c>
      <c r="AO72" s="38"/>
      <c r="AP72" s="38"/>
      <c r="AQ72" s="101"/>
      <c r="AR72" s="101" t="s">
        <v>1770</v>
      </c>
      <c r="AS72" s="37">
        <v>45630</v>
      </c>
      <c r="AT72" s="11"/>
    </row>
    <row r="73" spans="1:55" s="271" customFormat="1" ht="11.25" customHeight="1" x14ac:dyDescent="0.35">
      <c r="A73" s="16"/>
      <c r="B73" s="16" cm="1">
        <f t="array" ref="B73">+_xlfn.IFS(D73="In Touch - Positive",2,D73="Pending",1,D73="No Answer",4,D73="In Touch - Negative",3)</f>
        <v>1</v>
      </c>
      <c r="C73" s="16" t="s">
        <v>5341</v>
      </c>
      <c r="D73" s="16" t="str">
        <f t="shared" si="9"/>
        <v>Pending</v>
      </c>
      <c r="E73" s="12" t="s">
        <v>5363</v>
      </c>
      <c r="F73" s="20"/>
      <c r="G73" s="13" t="s">
        <v>103</v>
      </c>
      <c r="H73" s="13"/>
      <c r="I73" s="13"/>
      <c r="J73" s="15" t="s">
        <v>5343</v>
      </c>
      <c r="K73" s="15" t="s">
        <v>5344</v>
      </c>
      <c r="L73" s="15" t="s">
        <v>5364</v>
      </c>
      <c r="M73" s="15"/>
      <c r="N73" s="15"/>
      <c r="O73" s="15"/>
      <c r="P73" s="15"/>
      <c r="Q73" s="15"/>
      <c r="R73" s="20"/>
      <c r="S73" s="1318" t="s">
        <v>77</v>
      </c>
      <c r="T73" s="1316">
        <v>2023</v>
      </c>
      <c r="U73" s="1319">
        <v>2.282</v>
      </c>
      <c r="V73" s="1319">
        <v>1.139</v>
      </c>
      <c r="W73" s="1320">
        <f t="shared" si="10"/>
        <v>0.49912357581069239</v>
      </c>
      <c r="X73" s="1319"/>
      <c r="Y73" s="1319"/>
      <c r="Z73" s="20"/>
      <c r="AA73" s="15" t="s">
        <v>140</v>
      </c>
      <c r="AB73" s="17"/>
      <c r="AC73" s="21" t="s">
        <v>62</v>
      </c>
      <c r="AD73" s="21" t="s">
        <v>62</v>
      </c>
      <c r="AE73" s="21" t="s">
        <v>62</v>
      </c>
      <c r="AF73" s="17"/>
      <c r="AG73" s="15"/>
      <c r="AH73" s="16"/>
      <c r="AI73" s="20"/>
      <c r="AJ73" s="42">
        <f t="shared" ca="1" si="5"/>
        <v>50</v>
      </c>
      <c r="AK73" s="42">
        <f t="shared" ca="1" si="6"/>
        <v>41</v>
      </c>
      <c r="AL73" s="130">
        <f t="shared" si="7"/>
        <v>0.4</v>
      </c>
      <c r="AM73" s="37">
        <v>45614</v>
      </c>
      <c r="AN73" s="38">
        <v>45623</v>
      </c>
      <c r="AO73" s="38"/>
      <c r="AP73" s="38"/>
      <c r="AQ73" s="38"/>
      <c r="AR73" s="101" t="s">
        <v>1770</v>
      </c>
      <c r="AS73" s="37">
        <v>45623</v>
      </c>
      <c r="AT73" s="11"/>
    </row>
    <row r="74" spans="1:55" s="271" customFormat="1" ht="12" customHeight="1" x14ac:dyDescent="0.35">
      <c r="B74" s="16" cm="1">
        <f t="array" ref="B74">+_xlfn.IFS(D74="In Touch - Positive",2,D74="Pending",1,D74="No Answer",4,D74="In Touch - Negative",3)</f>
        <v>1</v>
      </c>
      <c r="C74" s="16" t="s">
        <v>5341</v>
      </c>
      <c r="D74" s="16" t="str">
        <f t="shared" si="9"/>
        <v>Pending</v>
      </c>
      <c r="E74" s="12" t="s">
        <v>5349</v>
      </c>
      <c r="F74" s="20"/>
      <c r="G74" s="13" t="s">
        <v>326</v>
      </c>
      <c r="H74" s="13"/>
      <c r="I74" s="13"/>
      <c r="J74" s="15" t="s">
        <v>5343</v>
      </c>
      <c r="K74" s="15" t="s">
        <v>5344</v>
      </c>
      <c r="L74" s="15" t="s">
        <v>5350</v>
      </c>
      <c r="M74" s="15"/>
      <c r="N74" s="15"/>
      <c r="O74" s="15"/>
      <c r="P74" s="15"/>
      <c r="Q74" s="15"/>
      <c r="R74" s="20"/>
      <c r="S74" s="1318" t="s">
        <v>77</v>
      </c>
      <c r="T74" s="1316">
        <v>2023</v>
      </c>
      <c r="U74" s="1319">
        <v>3.7970000000000002</v>
      </c>
      <c r="V74" s="1319">
        <v>0.56799999999999995</v>
      </c>
      <c r="W74" s="1320">
        <f t="shared" si="10"/>
        <v>0.14959178298656833</v>
      </c>
      <c r="X74" s="1319"/>
      <c r="Y74" s="1319">
        <v>4.4470000000000001</v>
      </c>
      <c r="Z74" s="20"/>
      <c r="AA74" s="15" t="s">
        <v>140</v>
      </c>
      <c r="AB74" s="17"/>
      <c r="AC74" s="21" t="s">
        <v>62</v>
      </c>
      <c r="AD74" s="21" t="s">
        <v>62</v>
      </c>
      <c r="AE74" s="21" t="s">
        <v>62</v>
      </c>
      <c r="AF74" s="17"/>
      <c r="AG74" s="15"/>
      <c r="AH74" s="16"/>
      <c r="AI74" s="20"/>
      <c r="AJ74" s="42">
        <f t="shared" ca="1" si="5"/>
        <v>50</v>
      </c>
      <c r="AK74" s="42">
        <f t="shared" ca="1" si="6"/>
        <v>46</v>
      </c>
      <c r="AL74" s="130">
        <f t="shared" si="7"/>
        <v>0.4</v>
      </c>
      <c r="AM74" s="37">
        <v>45614</v>
      </c>
      <c r="AN74" s="38">
        <v>45618</v>
      </c>
      <c r="AO74" s="38"/>
      <c r="AP74" s="38"/>
      <c r="AQ74" s="38"/>
      <c r="AR74" s="101" t="s">
        <v>1770</v>
      </c>
      <c r="AS74" s="37">
        <v>45618</v>
      </c>
      <c r="AT74" s="11"/>
    </row>
    <row r="75" spans="1:55" s="271" customFormat="1" ht="12" customHeight="1" x14ac:dyDescent="0.35">
      <c r="A75" s="16"/>
      <c r="B75" s="1266" cm="1">
        <f t="array" ref="B75">+_xlfn.IFS(D75="In Touch - Positive",2,D75="Pending",1,D75="No Answer",4,D75="In Touch - Negative",3)</f>
        <v>1</v>
      </c>
      <c r="C75" s="1266" t="s">
        <v>5312</v>
      </c>
      <c r="D75" s="1266" t="str">
        <f t="shared" si="9"/>
        <v>Pending</v>
      </c>
      <c r="E75" s="1268" t="s">
        <v>5313</v>
      </c>
      <c r="F75" s="1267"/>
      <c r="G75" s="1270"/>
      <c r="H75" s="1270"/>
      <c r="I75" s="1270"/>
      <c r="J75" s="1271" t="s">
        <v>132</v>
      </c>
      <c r="K75" s="1271"/>
      <c r="L75" s="1271" t="s">
        <v>5314</v>
      </c>
      <c r="M75" s="1271"/>
      <c r="N75" s="1271"/>
      <c r="O75" s="1271"/>
      <c r="P75" s="1271"/>
      <c r="Q75" s="1271"/>
      <c r="R75" s="1266"/>
      <c r="S75" s="1272"/>
      <c r="T75" s="1270"/>
      <c r="U75" s="1265"/>
      <c r="V75" s="1265"/>
      <c r="W75" s="1292" t="e">
        <f t="shared" si="10"/>
        <v>#DIV/0!</v>
      </c>
      <c r="X75" s="1265"/>
      <c r="Y75" s="1265"/>
      <c r="Z75" s="1266"/>
      <c r="AA75" s="1271" t="s">
        <v>140</v>
      </c>
      <c r="AB75" s="1265"/>
      <c r="AC75" s="1264" t="s">
        <v>62</v>
      </c>
      <c r="AD75" s="1264" t="s">
        <v>62</v>
      </c>
      <c r="AE75" s="1264" t="s">
        <v>62</v>
      </c>
      <c r="AF75" s="1265"/>
      <c r="AG75" s="1271"/>
      <c r="AH75" s="1266"/>
      <c r="AI75" s="1266"/>
      <c r="AJ75" s="1273">
        <f t="shared" ca="1" si="5"/>
        <v>50</v>
      </c>
      <c r="AK75" s="1273">
        <f t="shared" ca="1" si="6"/>
        <v>50</v>
      </c>
      <c r="AL75" s="1293">
        <f t="shared" si="7"/>
        <v>0.4</v>
      </c>
      <c r="AM75" s="1274">
        <v>45614</v>
      </c>
      <c r="AN75" s="1275">
        <v>45614</v>
      </c>
      <c r="AO75" s="1275"/>
      <c r="AP75" s="1275"/>
      <c r="AQ75" s="1275"/>
      <c r="AR75" s="1294" t="s">
        <v>1770</v>
      </c>
      <c r="AS75" s="1274">
        <v>45614</v>
      </c>
      <c r="AT75" s="11"/>
    </row>
    <row r="76" spans="1:55" s="271" customFormat="1" ht="12" customHeight="1" x14ac:dyDescent="0.35">
      <c r="A76" s="16"/>
      <c r="B76" s="1266" cm="1">
        <f t="array" ref="B76">+_xlfn.IFS(D76="In Touch - Positive",2,D76="Pending",1,D76="No Answer",4,D76="In Touch - Negative",3)</f>
        <v>1</v>
      </c>
      <c r="C76" s="16" t="s">
        <v>5331</v>
      </c>
      <c r="D76" s="1266" t="str">
        <f t="shared" ref="D76:D91" si="11">+AR76</f>
        <v>Pending</v>
      </c>
      <c r="E76" s="1268" t="s">
        <v>5449</v>
      </c>
      <c r="F76" s="1267"/>
      <c r="G76" s="13" t="s">
        <v>760</v>
      </c>
      <c r="H76" s="1269" t="s">
        <v>5452</v>
      </c>
      <c r="I76" s="1270"/>
      <c r="J76" s="15" t="s">
        <v>83</v>
      </c>
      <c r="K76" s="15" t="s">
        <v>5456</v>
      </c>
      <c r="L76" s="1271" t="s">
        <v>5464</v>
      </c>
      <c r="M76" s="1271" t="s">
        <v>5457</v>
      </c>
      <c r="N76" s="1271" t="s">
        <v>5461</v>
      </c>
      <c r="O76" s="1271"/>
      <c r="P76" s="1271" t="s">
        <v>5464</v>
      </c>
      <c r="Q76" s="15"/>
      <c r="R76" s="1266"/>
      <c r="S76" s="35" t="s">
        <v>77</v>
      </c>
      <c r="T76" s="1316">
        <v>2023</v>
      </c>
      <c r="U76" s="1265">
        <v>154.95708300000001</v>
      </c>
      <c r="V76" s="1265">
        <v>17.307323</v>
      </c>
      <c r="W76" s="1292">
        <f t="shared" si="10"/>
        <v>0.11169107384397522</v>
      </c>
      <c r="X76" s="1265">
        <v>11.940548000000001</v>
      </c>
      <c r="Y76" s="1265">
        <v>-1.22644</v>
      </c>
      <c r="Z76" s="1266"/>
      <c r="AA76" s="1271" t="s">
        <v>140</v>
      </c>
      <c r="AB76" s="1265"/>
      <c r="AC76" s="21" t="s">
        <v>4423</v>
      </c>
      <c r="AD76" s="21" t="s">
        <v>78</v>
      </c>
      <c r="AE76" s="21" t="s">
        <v>4423</v>
      </c>
      <c r="AF76" s="1265"/>
      <c r="AG76" s="1271"/>
      <c r="AH76" s="1266"/>
      <c r="AI76" s="1266"/>
      <c r="AJ76" s="1273">
        <f t="shared" ref="AJ76:AJ139" ca="1" si="12">+TODAY()-AM76</f>
        <v>29</v>
      </c>
      <c r="AK76" s="1273">
        <f t="shared" ref="AK76:AK139" ca="1" si="13">+TODAY()-AS76</f>
        <v>22</v>
      </c>
      <c r="AL76" s="1293">
        <f t="shared" ref="AL76:AL139" si="14">+IF(D76="Pending",COUNTA(AM76:AQ76)/5,D76)</f>
        <v>0.4</v>
      </c>
      <c r="AM76" s="1274">
        <v>45635</v>
      </c>
      <c r="AN76" s="1275">
        <v>45642</v>
      </c>
      <c r="AO76" s="1275"/>
      <c r="AP76" s="1275"/>
      <c r="AQ76" s="1275"/>
      <c r="AR76" s="1294" t="s">
        <v>1770</v>
      </c>
      <c r="AS76" s="1274">
        <v>45642</v>
      </c>
      <c r="AT76" s="11"/>
    </row>
    <row r="77" spans="1:55" s="271" customFormat="1" ht="12" customHeight="1" x14ac:dyDescent="0.35">
      <c r="B77" s="1266" cm="1">
        <f t="array" ref="B77">+_xlfn.IFS(D77="In Touch - Positive",2,D77="Pending",1,D77="No Answer",4,D77="In Touch - Negative",3)</f>
        <v>1</v>
      </c>
      <c r="C77" s="16" t="s">
        <v>5331</v>
      </c>
      <c r="D77" s="1266" t="str">
        <f t="shared" si="11"/>
        <v>Pending</v>
      </c>
      <c r="E77" s="1268" t="s">
        <v>5450</v>
      </c>
      <c r="F77" s="1267"/>
      <c r="G77" s="13" t="s">
        <v>554</v>
      </c>
      <c r="H77" s="1269" t="s">
        <v>5453</v>
      </c>
      <c r="I77" s="1270"/>
      <c r="J77" s="15" t="s">
        <v>750</v>
      </c>
      <c r="K77" s="15" t="s">
        <v>5455</v>
      </c>
      <c r="L77" s="1271" t="s">
        <v>5465</v>
      </c>
      <c r="M77" s="15" t="s">
        <v>5458</v>
      </c>
      <c r="N77" s="15" t="s">
        <v>5462</v>
      </c>
      <c r="O77" s="1271"/>
      <c r="P77" s="1271" t="s">
        <v>5465</v>
      </c>
      <c r="Q77" s="15"/>
      <c r="R77" s="1266"/>
      <c r="S77" s="35" t="s">
        <v>77</v>
      </c>
      <c r="T77" s="1316">
        <v>2023</v>
      </c>
      <c r="U77" s="1265">
        <v>78.596618000000007</v>
      </c>
      <c r="V77" s="1265">
        <v>15.347507</v>
      </c>
      <c r="W77" s="1292">
        <f t="shared" si="10"/>
        <v>0.19526930535357132</v>
      </c>
      <c r="X77" s="1265">
        <v>8.7349770000000007</v>
      </c>
      <c r="Y77" s="1265">
        <v>-22.406753000000002</v>
      </c>
      <c r="Z77" s="1266"/>
      <c r="AA77" s="1271" t="s">
        <v>140</v>
      </c>
      <c r="AB77" s="1265"/>
      <c r="AC77" s="21" t="s">
        <v>4423</v>
      </c>
      <c r="AD77" s="21" t="s">
        <v>78</v>
      </c>
      <c r="AE77" s="21" t="s">
        <v>4423</v>
      </c>
      <c r="AF77" s="1265"/>
      <c r="AG77" s="1271"/>
      <c r="AH77" s="1266"/>
      <c r="AI77" s="1266"/>
      <c r="AJ77" s="1273">
        <f t="shared" ca="1" si="12"/>
        <v>29</v>
      </c>
      <c r="AK77" s="1273">
        <f t="shared" ca="1" si="13"/>
        <v>22</v>
      </c>
      <c r="AL77" s="1293">
        <f t="shared" si="14"/>
        <v>0.4</v>
      </c>
      <c r="AM77" s="1274">
        <v>45635</v>
      </c>
      <c r="AN77" s="1275">
        <v>45642</v>
      </c>
      <c r="AO77" s="1275"/>
      <c r="AP77" s="1275"/>
      <c r="AQ77" s="1275"/>
      <c r="AR77" s="1294" t="s">
        <v>1770</v>
      </c>
      <c r="AS77" s="1274">
        <v>45642</v>
      </c>
      <c r="AT77" s="11"/>
    </row>
    <row r="78" spans="1:55" s="271" customFormat="1" x14ac:dyDescent="0.35">
      <c r="A78" s="1329"/>
      <c r="B78" s="1266" cm="1">
        <f t="array" ref="B78">+_xlfn.IFS(D78="In Touch - Positive",2,D78="Pending",1,D78="No Answer",4,D78="In Touch - Negative",3)</f>
        <v>1</v>
      </c>
      <c r="C78" s="16" t="s">
        <v>5331</v>
      </c>
      <c r="D78" s="1266" t="str">
        <f t="shared" si="11"/>
        <v>Pending</v>
      </c>
      <c r="E78" s="1268" t="s">
        <v>5451</v>
      </c>
      <c r="F78" s="1267"/>
      <c r="G78" s="13" t="s">
        <v>572</v>
      </c>
      <c r="H78" s="1269" t="s">
        <v>5454</v>
      </c>
      <c r="I78" s="1270"/>
      <c r="J78" s="15" t="s">
        <v>4615</v>
      </c>
      <c r="K78" s="15" t="s">
        <v>4432</v>
      </c>
      <c r="L78" s="1271" t="s">
        <v>5459</v>
      </c>
      <c r="M78" s="15" t="s">
        <v>5459</v>
      </c>
      <c r="N78" s="1271" t="s">
        <v>240</v>
      </c>
      <c r="O78" s="1271"/>
      <c r="P78" s="1271" t="s">
        <v>5459</v>
      </c>
      <c r="Q78" s="15"/>
      <c r="R78" s="1266"/>
      <c r="S78" s="35" t="s">
        <v>144</v>
      </c>
      <c r="T78" s="1316">
        <v>2023</v>
      </c>
      <c r="U78" s="1265">
        <v>81.44</v>
      </c>
      <c r="V78" s="1265">
        <v>12.27</v>
      </c>
      <c r="W78" s="1292">
        <f t="shared" si="10"/>
        <v>0.1506630648330059</v>
      </c>
      <c r="X78" s="1265">
        <v>3.589</v>
      </c>
      <c r="Y78" s="1265">
        <v>-16.946999999999999</v>
      </c>
      <c r="Z78" s="1266"/>
      <c r="AA78" s="1271" t="s">
        <v>140</v>
      </c>
      <c r="AB78" s="1265"/>
      <c r="AC78" s="21" t="s">
        <v>4423</v>
      </c>
      <c r="AD78" s="21" t="s">
        <v>78</v>
      </c>
      <c r="AE78" s="21" t="s">
        <v>4423</v>
      </c>
      <c r="AF78" s="1265"/>
      <c r="AG78" s="1271"/>
      <c r="AH78" s="1266"/>
      <c r="AI78" s="1266"/>
      <c r="AJ78" s="1273">
        <f t="shared" ca="1" si="12"/>
        <v>29</v>
      </c>
      <c r="AK78" s="1273">
        <f t="shared" ca="1" si="13"/>
        <v>22</v>
      </c>
      <c r="AL78" s="1293">
        <f t="shared" si="14"/>
        <v>0.4</v>
      </c>
      <c r="AM78" s="1274">
        <v>45635</v>
      </c>
      <c r="AN78" s="1275">
        <v>45642</v>
      </c>
      <c r="AO78" s="1275"/>
      <c r="AP78" s="1275"/>
      <c r="AQ78" s="1275"/>
      <c r="AR78" s="1294" t="s">
        <v>1770</v>
      </c>
      <c r="AS78" s="1274">
        <v>45642</v>
      </c>
      <c r="AT78" s="11"/>
    </row>
    <row r="79" spans="1:55" s="271" customFormat="1" x14ac:dyDescent="0.35">
      <c r="A79" s="1329"/>
      <c r="B79" s="1266" cm="1">
        <f t="array" ref="B79">+_xlfn.IFS(D79="In Touch - Positive",2,D79="Pending",1,D79="No Answer",4,D79="In Touch - Negative",3)</f>
        <v>1</v>
      </c>
      <c r="C79" s="16" t="s">
        <v>5331</v>
      </c>
      <c r="D79" s="1267" t="str">
        <f t="shared" si="11"/>
        <v>Pending</v>
      </c>
      <c r="E79" s="1268" t="s">
        <v>5446</v>
      </c>
      <c r="F79" s="1267"/>
      <c r="G79" s="13" t="s">
        <v>174</v>
      </c>
      <c r="H79" s="1269" t="s">
        <v>5448</v>
      </c>
      <c r="I79" s="1270"/>
      <c r="J79" s="1271" t="s">
        <v>2769</v>
      </c>
      <c r="K79" s="15" t="s">
        <v>5447</v>
      </c>
      <c r="L79" s="1271" t="s">
        <v>5463</v>
      </c>
      <c r="M79" s="15" t="s">
        <v>5460</v>
      </c>
      <c r="N79" s="1271"/>
      <c r="O79" s="1271"/>
      <c r="P79" s="1271" t="s">
        <v>5463</v>
      </c>
      <c r="Q79" s="15"/>
      <c r="R79" s="1266"/>
      <c r="S79" s="35" t="s">
        <v>144</v>
      </c>
      <c r="T79" s="1270">
        <v>2023</v>
      </c>
      <c r="U79" s="1265">
        <v>129.244</v>
      </c>
      <c r="V79" s="1265">
        <v>18.484999999999999</v>
      </c>
      <c r="W79" s="1292">
        <f t="shared" si="10"/>
        <v>0.14302404753799017</v>
      </c>
      <c r="X79" s="1265">
        <v>11.714</v>
      </c>
      <c r="Y79" s="1265">
        <v>-6.3129999999999997</v>
      </c>
      <c r="Z79" s="1266"/>
      <c r="AA79" s="1271" t="s">
        <v>140</v>
      </c>
      <c r="AB79" s="1265"/>
      <c r="AC79" s="21" t="s">
        <v>4423</v>
      </c>
      <c r="AD79" s="21" t="s">
        <v>78</v>
      </c>
      <c r="AE79" s="21" t="s">
        <v>4423</v>
      </c>
      <c r="AF79" s="1265"/>
      <c r="AG79" s="1271"/>
      <c r="AH79" s="1266"/>
      <c r="AI79" s="1266"/>
      <c r="AJ79" s="1273">
        <f t="shared" ca="1" si="12"/>
        <v>29</v>
      </c>
      <c r="AK79" s="1273">
        <f t="shared" ca="1" si="13"/>
        <v>22</v>
      </c>
      <c r="AL79" s="1293">
        <f t="shared" si="14"/>
        <v>0.4</v>
      </c>
      <c r="AM79" s="1274">
        <v>45635</v>
      </c>
      <c r="AN79" s="1275">
        <v>45642</v>
      </c>
      <c r="AO79" s="1275"/>
      <c r="AP79" s="1275"/>
      <c r="AQ79" s="1275"/>
      <c r="AR79" s="1294" t="s">
        <v>1770</v>
      </c>
      <c r="AS79" s="1274">
        <v>45642</v>
      </c>
      <c r="AT79" s="1327"/>
      <c r="AU79" s="1328"/>
      <c r="AV79" s="1328"/>
      <c r="AW79" s="1328"/>
      <c r="AX79" s="1328"/>
      <c r="AY79" s="1328"/>
      <c r="AZ79" s="1328"/>
      <c r="BA79" s="1328"/>
      <c r="BB79" s="1328"/>
      <c r="BC79" s="1328"/>
    </row>
    <row r="80" spans="1:55" s="271" customFormat="1" x14ac:dyDescent="0.35">
      <c r="A80" s="1313"/>
      <c r="B80" s="1266" cm="1">
        <f t="array" ref="B80">+_xlfn.IFS(D80="In Touch - Positive",2,D80="Pending",1,D80="No Answer",4,D80="In Touch - Negative",3)</f>
        <v>1</v>
      </c>
      <c r="C80" s="16" t="s">
        <v>5331</v>
      </c>
      <c r="D80" s="1266" t="str">
        <f t="shared" si="11"/>
        <v>Pending</v>
      </c>
      <c r="E80" s="1268" t="s">
        <v>3750</v>
      </c>
      <c r="F80" s="1267"/>
      <c r="G80" s="13" t="s">
        <v>147</v>
      </c>
      <c r="H80" s="1269" t="s">
        <v>5333</v>
      </c>
      <c r="I80" s="1270"/>
      <c r="J80" s="15" t="s">
        <v>1010</v>
      </c>
      <c r="K80" s="15" t="s">
        <v>5335</v>
      </c>
      <c r="L80" s="1271" t="s">
        <v>5337</v>
      </c>
      <c r="M80" s="1271" t="s">
        <v>5337</v>
      </c>
      <c r="N80" s="1271" t="s">
        <v>5338</v>
      </c>
      <c r="O80" s="15" t="s">
        <v>5337</v>
      </c>
      <c r="P80" s="1271"/>
      <c r="Q80" s="1271"/>
      <c r="R80" s="1266"/>
      <c r="S80" s="1272" t="s">
        <v>77</v>
      </c>
      <c r="T80" s="1270">
        <v>2023</v>
      </c>
      <c r="U80" s="1265">
        <v>41.458235999999999</v>
      </c>
      <c r="V80" s="1265">
        <v>18.683499000000001</v>
      </c>
      <c r="W80" s="1292">
        <f t="shared" si="10"/>
        <v>0.45065832033953401</v>
      </c>
      <c r="X80" s="1265">
        <v>14.071492000000001</v>
      </c>
      <c r="Y80" s="1265">
        <v>-8.2181290000000011</v>
      </c>
      <c r="Z80" s="1266"/>
      <c r="AA80" s="1271" t="s">
        <v>140</v>
      </c>
      <c r="AB80" s="1265"/>
      <c r="AC80" s="21" t="s">
        <v>4423</v>
      </c>
      <c r="AD80" s="21" t="s">
        <v>78</v>
      </c>
      <c r="AE80" s="21" t="s">
        <v>4423</v>
      </c>
      <c r="AF80" s="1265"/>
      <c r="AG80" s="1271"/>
      <c r="AH80" s="1266"/>
      <c r="AI80" s="1266"/>
      <c r="AJ80" s="1273">
        <f t="shared" ca="1" si="12"/>
        <v>37</v>
      </c>
      <c r="AK80" s="1273">
        <f t="shared" ca="1" si="13"/>
        <v>22</v>
      </c>
      <c r="AL80" s="1293">
        <f t="shared" si="14"/>
        <v>0.6</v>
      </c>
      <c r="AM80" s="1274">
        <v>45627</v>
      </c>
      <c r="AN80" s="1275">
        <v>45635</v>
      </c>
      <c r="AO80" s="1275">
        <v>45642</v>
      </c>
      <c r="AP80" s="1275"/>
      <c r="AQ80" s="1275"/>
      <c r="AR80" s="1294" t="s">
        <v>1770</v>
      </c>
      <c r="AS80" s="1274">
        <v>45642</v>
      </c>
      <c r="AT80" s="1327"/>
      <c r="AU80" s="1328"/>
      <c r="AV80" s="1328"/>
      <c r="AW80" s="1328"/>
      <c r="AX80" s="1328"/>
      <c r="AY80" s="1328"/>
      <c r="AZ80" s="1328"/>
      <c r="BA80" s="1328"/>
      <c r="BB80" s="1328"/>
      <c r="BC80" s="1328"/>
    </row>
    <row r="81" spans="1:55" s="271" customFormat="1" x14ac:dyDescent="0.35">
      <c r="A81" s="1361"/>
      <c r="B81" s="1266" cm="1">
        <f t="array" ref="B81">+_xlfn.IFS(D81="In Touch - Positive",2,D81="Pending",1,D81="No Answer",4,D81="In Touch - Negative",3)</f>
        <v>1</v>
      </c>
      <c r="C81" s="16" t="s">
        <v>5331</v>
      </c>
      <c r="D81" s="1266" t="str">
        <f t="shared" si="11"/>
        <v>Pending</v>
      </c>
      <c r="E81" s="1268" t="s">
        <v>5332</v>
      </c>
      <c r="F81" s="1267"/>
      <c r="G81" s="13" t="s">
        <v>292</v>
      </c>
      <c r="H81" s="1269" t="s">
        <v>5334</v>
      </c>
      <c r="I81" s="1270"/>
      <c r="J81" s="15" t="s">
        <v>327</v>
      </c>
      <c r="K81" s="15" t="s">
        <v>5336</v>
      </c>
      <c r="L81" s="1271" t="s">
        <v>5339</v>
      </c>
      <c r="M81" s="1271" t="s">
        <v>5339</v>
      </c>
      <c r="N81" s="1271" t="s">
        <v>5340</v>
      </c>
      <c r="O81" s="15" t="s">
        <v>5347</v>
      </c>
      <c r="P81" s="1271" t="s">
        <v>5339</v>
      </c>
      <c r="Q81" s="15" t="s">
        <v>5348</v>
      </c>
      <c r="R81" s="1266"/>
      <c r="S81" s="1272" t="s">
        <v>77</v>
      </c>
      <c r="T81" s="1270">
        <v>2023</v>
      </c>
      <c r="U81" s="1265">
        <v>82.871051999999992</v>
      </c>
      <c r="V81" s="1265">
        <v>18.374400000000001</v>
      </c>
      <c r="W81" s="1292">
        <f t="shared" si="10"/>
        <v>0.22172277962635256</v>
      </c>
      <c r="X81" s="1265">
        <v>12.765036</v>
      </c>
      <c r="Y81" s="1265">
        <v>-25.747962000000001</v>
      </c>
      <c r="Z81" s="1266"/>
      <c r="AA81" s="1271" t="s">
        <v>140</v>
      </c>
      <c r="AB81" s="1265"/>
      <c r="AC81" s="21" t="s">
        <v>4423</v>
      </c>
      <c r="AD81" s="21" t="s">
        <v>78</v>
      </c>
      <c r="AE81" s="21" t="s">
        <v>4423</v>
      </c>
      <c r="AF81" s="1265"/>
      <c r="AG81" s="1271"/>
      <c r="AH81" s="1266"/>
      <c r="AI81" s="1266"/>
      <c r="AJ81" s="1273">
        <f t="shared" ca="1" si="12"/>
        <v>37</v>
      </c>
      <c r="AK81" s="1273">
        <f t="shared" ca="1" si="13"/>
        <v>22</v>
      </c>
      <c r="AL81" s="1293">
        <f t="shared" si="14"/>
        <v>0.6</v>
      </c>
      <c r="AM81" s="1274">
        <v>45627</v>
      </c>
      <c r="AN81" s="1275">
        <v>45635</v>
      </c>
      <c r="AO81" s="1275">
        <v>45642</v>
      </c>
      <c r="AP81" s="1275"/>
      <c r="AQ81" s="1275"/>
      <c r="AR81" s="1294" t="s">
        <v>1770</v>
      </c>
      <c r="AS81" s="1274">
        <v>45642</v>
      </c>
      <c r="AT81" s="1372"/>
      <c r="AU81" s="1379"/>
      <c r="AV81" s="1379"/>
      <c r="AW81" s="1379"/>
      <c r="AX81" s="1379"/>
      <c r="AY81" s="1379"/>
      <c r="AZ81" s="1379"/>
      <c r="BA81" s="1379"/>
      <c r="BB81" s="1379"/>
      <c r="BC81" s="1379"/>
    </row>
    <row r="82" spans="1:55" s="271" customFormat="1" x14ac:dyDescent="0.35">
      <c r="A82" s="1361"/>
      <c r="B82" s="16" cm="1">
        <f t="array" ref="B82">+_xlfn.IFS(D82="In Touch - Positive",2,D82="Pending",1,D82="No Answer",4,D82="In Touch - Negative",3)</f>
        <v>1</v>
      </c>
      <c r="C82" s="16" t="s">
        <v>5196</v>
      </c>
      <c r="D82" s="16" t="str">
        <f t="shared" si="11"/>
        <v>Pending</v>
      </c>
      <c r="E82" s="12" t="s">
        <v>5198</v>
      </c>
      <c r="F82" s="20"/>
      <c r="G82" s="13" t="s">
        <v>159</v>
      </c>
      <c r="H82" s="14" t="s">
        <v>5201</v>
      </c>
      <c r="I82" s="13"/>
      <c r="J82" s="15" t="s">
        <v>3207</v>
      </c>
      <c r="K82" s="15" t="s">
        <v>5204</v>
      </c>
      <c r="L82" s="15" t="s">
        <v>5206</v>
      </c>
      <c r="M82" s="15" t="s">
        <v>5208</v>
      </c>
      <c r="N82" s="15" t="s">
        <v>5209</v>
      </c>
      <c r="O82" s="15"/>
      <c r="P82" s="15"/>
      <c r="Q82" s="15"/>
      <c r="R82" s="16"/>
      <c r="S82" s="35" t="s">
        <v>77</v>
      </c>
      <c r="T82" s="13">
        <v>2023</v>
      </c>
      <c r="U82" s="17">
        <v>13.5</v>
      </c>
      <c r="V82" s="17">
        <v>1.73</v>
      </c>
      <c r="W82" s="248">
        <f t="shared" si="10"/>
        <v>0.12814814814814815</v>
      </c>
      <c r="X82" s="17"/>
      <c r="Y82" s="17">
        <v>-4.24</v>
      </c>
      <c r="Z82" s="16"/>
      <c r="AA82" s="15" t="s">
        <v>140</v>
      </c>
      <c r="AB82" s="17"/>
      <c r="AC82" s="21" t="s">
        <v>153</v>
      </c>
      <c r="AD82" s="21" t="s">
        <v>273</v>
      </c>
      <c r="AE82" s="21" t="s">
        <v>273</v>
      </c>
      <c r="AF82" s="17"/>
      <c r="AG82" s="15"/>
      <c r="AH82" s="16"/>
      <c r="AI82" s="16"/>
      <c r="AJ82" s="42">
        <f t="shared" ca="1" si="12"/>
        <v>62</v>
      </c>
      <c r="AK82" s="42">
        <f t="shared" ca="1" si="13"/>
        <v>62</v>
      </c>
      <c r="AL82" s="130">
        <f t="shared" si="14"/>
        <v>0.4</v>
      </c>
      <c r="AM82" s="37">
        <v>45602</v>
      </c>
      <c r="AN82" s="38">
        <v>45615</v>
      </c>
      <c r="AO82" s="38"/>
      <c r="AP82" s="38"/>
      <c r="AQ82" s="38"/>
      <c r="AR82" s="1221" t="s">
        <v>1770</v>
      </c>
      <c r="AS82" s="37">
        <v>45602</v>
      </c>
      <c r="AT82" s="1372"/>
      <c r="AU82" s="1379"/>
      <c r="AV82" s="1379"/>
      <c r="AW82" s="1379"/>
      <c r="AX82" s="1379"/>
      <c r="AY82" s="1379"/>
      <c r="AZ82" s="1379"/>
      <c r="BA82" s="1379"/>
      <c r="BB82" s="1379"/>
      <c r="BC82" s="1379"/>
    </row>
    <row r="83" spans="1:55" s="271" customFormat="1" x14ac:dyDescent="0.35">
      <c r="A83" s="1361"/>
      <c r="B83" s="1206" cm="1">
        <f t="array" ref="B83">+_xlfn.IFS(D83="In Touch - Positive",2,D83="Pending",1,D83="No Answer",4,D83="In Touch - Negative",3)</f>
        <v>1</v>
      </c>
      <c r="C83" s="16" t="s">
        <v>83</v>
      </c>
      <c r="D83" s="1380" t="str">
        <f t="shared" si="11"/>
        <v>Pending</v>
      </c>
      <c r="E83" s="12" t="s">
        <v>5439</v>
      </c>
      <c r="F83" s="1209"/>
      <c r="G83" s="13" t="s">
        <v>340</v>
      </c>
      <c r="H83" s="14" t="s">
        <v>5440</v>
      </c>
      <c r="I83" s="1210"/>
      <c r="J83" s="15" t="s">
        <v>83</v>
      </c>
      <c r="K83" s="15" t="s">
        <v>5441</v>
      </c>
      <c r="L83" s="15" t="s">
        <v>5442</v>
      </c>
      <c r="M83" s="15" t="s">
        <v>5442</v>
      </c>
      <c r="N83" s="15" t="s">
        <v>5443</v>
      </c>
      <c r="O83" s="1212"/>
      <c r="P83" s="1212"/>
      <c r="Q83" s="1212"/>
      <c r="R83" s="1206"/>
      <c r="S83" s="35" t="s">
        <v>77</v>
      </c>
      <c r="T83" s="1210">
        <v>2023</v>
      </c>
      <c r="U83" s="1214">
        <v>17.600000000000001</v>
      </c>
      <c r="V83" s="1214">
        <v>4.2</v>
      </c>
      <c r="W83" s="1215">
        <f t="shared" si="10"/>
        <v>0.23863636363636362</v>
      </c>
      <c r="X83" s="1214">
        <v>2.786</v>
      </c>
      <c r="Y83" s="1214">
        <v>-6.1710000000000003</v>
      </c>
      <c r="Z83" s="1206"/>
      <c r="AA83" s="1212" t="s">
        <v>140</v>
      </c>
      <c r="AB83" s="1214"/>
      <c r="AC83" s="21" t="s">
        <v>78</v>
      </c>
      <c r="AD83" s="1216" t="s">
        <v>128</v>
      </c>
      <c r="AE83" s="1216" t="s">
        <v>128</v>
      </c>
      <c r="AF83" s="1214"/>
      <c r="AG83" s="1212"/>
      <c r="AH83" s="1206"/>
      <c r="AI83" s="1206"/>
      <c r="AJ83" s="1217">
        <f t="shared" ca="1" si="12"/>
        <v>61</v>
      </c>
      <c r="AK83" s="1217">
        <f t="shared" ca="1" si="13"/>
        <v>32</v>
      </c>
      <c r="AL83" s="1218">
        <f t="shared" si="14"/>
        <v>0.6</v>
      </c>
      <c r="AM83" s="1219">
        <v>45603</v>
      </c>
      <c r="AN83" s="38">
        <v>45632</v>
      </c>
      <c r="AO83" s="1220">
        <v>45664</v>
      </c>
      <c r="AP83" s="1125"/>
      <c r="AQ83" s="1220"/>
      <c r="AR83" s="1221" t="s">
        <v>1770</v>
      </c>
      <c r="AS83" s="1219">
        <v>45632</v>
      </c>
      <c r="AT83" s="1372"/>
      <c r="AU83" s="1379"/>
      <c r="AV83" s="1379"/>
      <c r="AW83" s="1379"/>
      <c r="AX83" s="1379"/>
      <c r="AY83" s="1379"/>
      <c r="AZ83" s="1379"/>
      <c r="BA83" s="1379"/>
      <c r="BB83" s="1379"/>
      <c r="BC83" s="1379"/>
    </row>
    <row r="84" spans="1:55" s="271" customFormat="1" x14ac:dyDescent="0.35">
      <c r="A84" s="16"/>
      <c r="B84" s="16" cm="1">
        <f t="array" ref="B84">+_xlfn.IFS(D84="In Touch - Positive",2,D84="Pending",1,D84="No Answer",4,D84="In Touch - Negative",3)</f>
        <v>1</v>
      </c>
      <c r="C84" s="16" t="s">
        <v>5220</v>
      </c>
      <c r="D84" s="1152" t="str">
        <f t="shared" si="11"/>
        <v>Pending</v>
      </c>
      <c r="E84" s="12" t="s">
        <v>5221</v>
      </c>
      <c r="F84" s="20"/>
      <c r="G84" s="13" t="s">
        <v>166</v>
      </c>
      <c r="H84" s="14"/>
      <c r="I84" s="13"/>
      <c r="J84" s="15"/>
      <c r="K84" s="15"/>
      <c r="L84" s="15"/>
      <c r="M84" s="15"/>
      <c r="N84" s="15"/>
      <c r="O84" s="15"/>
      <c r="P84" s="15"/>
      <c r="Q84" s="15"/>
      <c r="R84" s="16"/>
      <c r="S84" s="35" t="s">
        <v>77</v>
      </c>
      <c r="T84" s="13">
        <v>2023</v>
      </c>
      <c r="U84" s="17">
        <v>44.7</v>
      </c>
      <c r="V84" s="17">
        <v>11.2</v>
      </c>
      <c r="W84" s="248">
        <f t="shared" si="10"/>
        <v>0.25055928411633105</v>
      </c>
      <c r="X84" s="17"/>
      <c r="Y84" s="17">
        <v>-10.199999999999999</v>
      </c>
      <c r="Z84" s="16"/>
      <c r="AA84" s="15" t="s">
        <v>140</v>
      </c>
      <c r="AB84" s="17"/>
      <c r="AC84" s="21" t="s">
        <v>153</v>
      </c>
      <c r="AD84" s="21" t="s">
        <v>273</v>
      </c>
      <c r="AE84" s="21"/>
      <c r="AF84" s="17"/>
      <c r="AG84" s="15"/>
      <c r="AH84" s="16"/>
      <c r="AI84" s="16"/>
      <c r="AJ84" s="42">
        <f t="shared" ca="1" si="12"/>
        <v>64</v>
      </c>
      <c r="AK84" s="42">
        <f t="shared" ca="1" si="13"/>
        <v>64</v>
      </c>
      <c r="AL84" s="130">
        <f t="shared" si="14"/>
        <v>0.2</v>
      </c>
      <c r="AM84" s="37">
        <v>45600</v>
      </c>
      <c r="AN84" s="38"/>
      <c r="AO84" s="38"/>
      <c r="AP84" s="38"/>
      <c r="AQ84" s="38"/>
      <c r="AR84" s="101" t="s">
        <v>1770</v>
      </c>
      <c r="AS84" s="37">
        <v>45600</v>
      </c>
      <c r="AT84" s="11"/>
    </row>
    <row r="85" spans="1:55" s="271" customFormat="1" x14ac:dyDescent="0.35">
      <c r="A85" s="16"/>
      <c r="B85" s="16" cm="1">
        <f t="array" ref="B85">+_xlfn.IFS(D85="In Touch - Positive",2,D85="Pending",1,D85="No Answer",4,D85="In Touch - Negative",3)</f>
        <v>1</v>
      </c>
      <c r="C85" s="16" t="s">
        <v>5220</v>
      </c>
      <c r="D85" s="1152" t="str">
        <f t="shared" si="11"/>
        <v>Pending</v>
      </c>
      <c r="E85" s="12" t="s">
        <v>5222</v>
      </c>
      <c r="F85" s="20"/>
      <c r="G85" s="13" t="s">
        <v>508</v>
      </c>
      <c r="H85" s="14"/>
      <c r="I85" s="13"/>
      <c r="J85" s="15"/>
      <c r="K85" s="15"/>
      <c r="L85" s="15"/>
      <c r="M85" s="15"/>
      <c r="N85" s="15"/>
      <c r="O85" s="15"/>
      <c r="P85" s="15"/>
      <c r="Q85" s="15"/>
      <c r="R85" s="16"/>
      <c r="S85" s="35" t="s">
        <v>77</v>
      </c>
      <c r="T85" s="13">
        <v>2023</v>
      </c>
      <c r="U85" s="17">
        <v>31.8</v>
      </c>
      <c r="V85" s="17">
        <v>10.7</v>
      </c>
      <c r="W85" s="248">
        <f t="shared" si="10"/>
        <v>0.33647798742138363</v>
      </c>
      <c r="X85" s="17"/>
      <c r="Y85" s="17"/>
      <c r="Z85" s="16"/>
      <c r="AA85" s="15" t="s">
        <v>140</v>
      </c>
      <c r="AB85" s="17"/>
      <c r="AC85" s="21" t="s">
        <v>153</v>
      </c>
      <c r="AD85" s="21" t="s">
        <v>273</v>
      </c>
      <c r="AE85" s="21"/>
      <c r="AF85" s="17"/>
      <c r="AG85" s="15"/>
      <c r="AH85" s="16"/>
      <c r="AI85" s="16"/>
      <c r="AJ85" s="42">
        <f t="shared" ca="1" si="12"/>
        <v>64</v>
      </c>
      <c r="AK85" s="42">
        <f t="shared" ca="1" si="13"/>
        <v>64</v>
      </c>
      <c r="AL85" s="130">
        <f t="shared" si="14"/>
        <v>0.2</v>
      </c>
      <c r="AM85" s="37">
        <v>45600</v>
      </c>
      <c r="AN85" s="38"/>
      <c r="AO85" s="38"/>
      <c r="AP85" s="38"/>
      <c r="AQ85" s="38"/>
      <c r="AR85" s="101" t="s">
        <v>1770</v>
      </c>
      <c r="AS85" s="37">
        <v>45600</v>
      </c>
      <c r="AT85" s="1276"/>
      <c r="AU85" s="1295"/>
      <c r="AV85" s="1295"/>
      <c r="AW85" s="1295"/>
      <c r="AX85" s="1295"/>
      <c r="AY85" s="1295"/>
      <c r="AZ85" s="1295"/>
      <c r="BA85" s="1295"/>
      <c r="BB85" s="1295"/>
      <c r="BC85" s="1295"/>
    </row>
    <row r="86" spans="1:55" s="271" customFormat="1" x14ac:dyDescent="0.35">
      <c r="A86" s="1266"/>
      <c r="B86" s="16" cm="1">
        <f t="array" ref="B86">+_xlfn.IFS(D86="In Touch - Positive",2,D86="Pending",1,D86="No Answer",4,D86="In Touch - Negative",3)</f>
        <v>1</v>
      </c>
      <c r="C86" s="16" t="s">
        <v>5220</v>
      </c>
      <c r="D86" s="1152" t="str">
        <f t="shared" si="11"/>
        <v>Pending</v>
      </c>
      <c r="E86" s="12" t="s">
        <v>5223</v>
      </c>
      <c r="F86" s="20"/>
      <c r="G86" s="13" t="s">
        <v>68</v>
      </c>
      <c r="H86" s="14"/>
      <c r="I86" s="13"/>
      <c r="J86" s="15"/>
      <c r="K86" s="15"/>
      <c r="L86" s="15"/>
      <c r="M86" s="15"/>
      <c r="N86" s="15"/>
      <c r="O86" s="15"/>
      <c r="P86" s="15"/>
      <c r="Q86" s="15"/>
      <c r="R86" s="16"/>
      <c r="S86" s="35" t="s">
        <v>77</v>
      </c>
      <c r="T86" s="13">
        <v>2023</v>
      </c>
      <c r="U86" s="17">
        <v>36.799999999999997</v>
      </c>
      <c r="V86" s="17">
        <v>10.199999999999999</v>
      </c>
      <c r="W86" s="248">
        <f t="shared" si="10"/>
        <v>0.27717391304347827</v>
      </c>
      <c r="X86" s="17"/>
      <c r="Y86" s="17">
        <v>-10.1</v>
      </c>
      <c r="Z86" s="16"/>
      <c r="AA86" s="15" t="s">
        <v>140</v>
      </c>
      <c r="AB86" s="17"/>
      <c r="AC86" s="21" t="s">
        <v>153</v>
      </c>
      <c r="AD86" s="21" t="s">
        <v>273</v>
      </c>
      <c r="AE86" s="21"/>
      <c r="AF86" s="17"/>
      <c r="AG86" s="15"/>
      <c r="AH86" s="16"/>
      <c r="AI86" s="16"/>
      <c r="AJ86" s="42">
        <f t="shared" ca="1" si="12"/>
        <v>64</v>
      </c>
      <c r="AK86" s="42">
        <f t="shared" ca="1" si="13"/>
        <v>64</v>
      </c>
      <c r="AL86" s="130">
        <f t="shared" si="14"/>
        <v>0.2</v>
      </c>
      <c r="AM86" s="37">
        <v>45600</v>
      </c>
      <c r="AN86" s="38"/>
      <c r="AO86" s="38"/>
      <c r="AP86" s="38"/>
      <c r="AQ86" s="38"/>
      <c r="AR86" s="101" t="s">
        <v>1770</v>
      </c>
      <c r="AS86" s="37">
        <v>45600</v>
      </c>
      <c r="AT86" s="1276"/>
      <c r="AU86" s="1295"/>
      <c r="AV86" s="1295"/>
      <c r="AW86" s="1295"/>
      <c r="AX86" s="1295"/>
      <c r="AY86" s="1295"/>
      <c r="AZ86" s="1295"/>
      <c r="BA86" s="1295"/>
      <c r="BB86" s="1295"/>
      <c r="BC86" s="1295"/>
    </row>
    <row r="87" spans="1:55" s="271" customFormat="1" x14ac:dyDescent="0.35">
      <c r="A87" s="1266"/>
      <c r="B87" s="16" cm="1">
        <f t="array" ref="B87">+_xlfn.IFS(D87="In Touch - Positive",2,D87="Pending",1,D87="No Answer",4,D87="In Touch - Negative",3)</f>
        <v>1</v>
      </c>
      <c r="C87" s="16" t="s">
        <v>5220</v>
      </c>
      <c r="D87" s="1152" t="str">
        <f t="shared" si="11"/>
        <v>Pending</v>
      </c>
      <c r="E87" s="12" t="s">
        <v>5224</v>
      </c>
      <c r="F87" s="20"/>
      <c r="G87" s="13" t="s">
        <v>308</v>
      </c>
      <c r="H87" s="14"/>
      <c r="I87" s="13"/>
      <c r="J87" s="15"/>
      <c r="K87" s="15"/>
      <c r="L87" s="15"/>
      <c r="M87" s="15"/>
      <c r="N87" s="15"/>
      <c r="O87" s="15"/>
      <c r="P87" s="15"/>
      <c r="Q87" s="15"/>
      <c r="R87" s="16"/>
      <c r="S87" s="35" t="s">
        <v>77</v>
      </c>
      <c r="T87" s="13">
        <v>2023</v>
      </c>
      <c r="U87" s="17">
        <v>43.3</v>
      </c>
      <c r="V87" s="17">
        <v>9.6999999999999993</v>
      </c>
      <c r="W87" s="248">
        <f t="shared" si="10"/>
        <v>0.22401847575057737</v>
      </c>
      <c r="X87" s="17"/>
      <c r="Y87" s="17">
        <v>1.2</v>
      </c>
      <c r="Z87" s="16"/>
      <c r="AA87" s="15" t="s">
        <v>140</v>
      </c>
      <c r="AB87" s="17"/>
      <c r="AC87" s="21" t="s">
        <v>153</v>
      </c>
      <c r="AD87" s="21" t="s">
        <v>273</v>
      </c>
      <c r="AE87" s="21"/>
      <c r="AF87" s="17"/>
      <c r="AG87" s="15"/>
      <c r="AH87" s="16"/>
      <c r="AI87" s="16"/>
      <c r="AJ87" s="42">
        <f t="shared" ca="1" si="12"/>
        <v>64</v>
      </c>
      <c r="AK87" s="42">
        <f t="shared" ca="1" si="13"/>
        <v>64</v>
      </c>
      <c r="AL87" s="130">
        <f t="shared" si="14"/>
        <v>0.2</v>
      </c>
      <c r="AM87" s="37">
        <v>45600</v>
      </c>
      <c r="AN87" s="38"/>
      <c r="AO87" s="38"/>
      <c r="AP87" s="38"/>
      <c r="AQ87" s="38"/>
      <c r="AR87" s="101" t="s">
        <v>1770</v>
      </c>
      <c r="AS87" s="37">
        <v>45600</v>
      </c>
      <c r="AT87" s="1276"/>
      <c r="AU87" s="1295"/>
      <c r="AV87" s="1295"/>
      <c r="AW87" s="1295"/>
      <c r="AX87" s="1295"/>
      <c r="AY87" s="1295"/>
      <c r="AZ87" s="1295"/>
      <c r="BA87" s="1295"/>
      <c r="BB87" s="1295"/>
      <c r="BC87" s="1295"/>
    </row>
    <row r="88" spans="1:55" s="271" customFormat="1" x14ac:dyDescent="0.35">
      <c r="A88" s="1266"/>
      <c r="B88" s="16" cm="1">
        <f t="array" ref="B88">+_xlfn.IFS(D88="In Touch - Positive",2,D88="Pending",1,D88="No Answer",4,D88="In Touch - Negative",3)</f>
        <v>1</v>
      </c>
      <c r="C88" s="16" t="s">
        <v>5220</v>
      </c>
      <c r="D88" s="1152" t="str">
        <f t="shared" si="11"/>
        <v>Pending</v>
      </c>
      <c r="E88" s="12" t="s">
        <v>5225</v>
      </c>
      <c r="F88" s="20"/>
      <c r="G88" s="13" t="s">
        <v>272</v>
      </c>
      <c r="H88" s="14"/>
      <c r="I88" s="13"/>
      <c r="J88" s="15"/>
      <c r="K88" s="15"/>
      <c r="L88" s="15"/>
      <c r="M88" s="15"/>
      <c r="N88" s="15"/>
      <c r="O88" s="15"/>
      <c r="P88" s="15"/>
      <c r="Q88" s="15"/>
      <c r="R88" s="16"/>
      <c r="S88" s="35" t="s">
        <v>77</v>
      </c>
      <c r="T88" s="13">
        <v>2023</v>
      </c>
      <c r="U88" s="17">
        <v>45.2</v>
      </c>
      <c r="V88" s="17">
        <v>9.1999999999999993</v>
      </c>
      <c r="W88" s="248">
        <f t="shared" si="10"/>
        <v>0.20353982300884954</v>
      </c>
      <c r="X88" s="17"/>
      <c r="Y88" s="17">
        <v>0.6</v>
      </c>
      <c r="Z88" s="16"/>
      <c r="AA88" s="15" t="s">
        <v>140</v>
      </c>
      <c r="AB88" s="17"/>
      <c r="AC88" s="21" t="s">
        <v>153</v>
      </c>
      <c r="AD88" s="21" t="s">
        <v>273</v>
      </c>
      <c r="AE88" s="21"/>
      <c r="AF88" s="17"/>
      <c r="AG88" s="15"/>
      <c r="AH88" s="16"/>
      <c r="AI88" s="16"/>
      <c r="AJ88" s="42">
        <f t="shared" ca="1" si="12"/>
        <v>64</v>
      </c>
      <c r="AK88" s="42">
        <f t="shared" ca="1" si="13"/>
        <v>64</v>
      </c>
      <c r="AL88" s="130">
        <f t="shared" si="14"/>
        <v>0.2</v>
      </c>
      <c r="AM88" s="37">
        <v>45600</v>
      </c>
      <c r="AN88" s="38"/>
      <c r="AO88" s="38"/>
      <c r="AP88" s="38"/>
      <c r="AQ88" s="38"/>
      <c r="AR88" s="101" t="s">
        <v>1770</v>
      </c>
      <c r="AS88" s="37">
        <v>45600</v>
      </c>
      <c r="AT88" s="1276"/>
      <c r="AU88" s="1295"/>
      <c r="AV88" s="1295"/>
      <c r="AW88" s="1295"/>
      <c r="AX88" s="1295"/>
      <c r="AY88" s="1295"/>
      <c r="AZ88" s="1295"/>
      <c r="BA88" s="1295"/>
      <c r="BB88" s="1295"/>
      <c r="BC88" s="1295"/>
    </row>
    <row r="89" spans="1:55" s="271" customFormat="1" x14ac:dyDescent="0.35">
      <c r="A89" s="1266"/>
      <c r="B89" s="16" cm="1">
        <f t="array" ref="B89">+_xlfn.IFS(D89="In Touch - Positive",2,D89="Pending",1,D89="No Answer",4,D89="In Touch - Negative",3)</f>
        <v>1</v>
      </c>
      <c r="C89" s="16" t="s">
        <v>5220</v>
      </c>
      <c r="D89" s="1152" t="str">
        <f t="shared" si="11"/>
        <v>Pending</v>
      </c>
      <c r="E89" s="12" t="s">
        <v>5226</v>
      </c>
      <c r="F89" s="20"/>
      <c r="G89" s="13" t="s">
        <v>308</v>
      </c>
      <c r="H89" s="14"/>
      <c r="I89" s="13"/>
      <c r="J89" s="15"/>
      <c r="K89" s="15"/>
      <c r="L89" s="15"/>
      <c r="M89" s="15"/>
      <c r="N89" s="15"/>
      <c r="O89" s="15"/>
      <c r="P89" s="15"/>
      <c r="Q89" s="15"/>
      <c r="R89" s="16"/>
      <c r="S89" s="35" t="s">
        <v>77</v>
      </c>
      <c r="T89" s="13">
        <v>2023</v>
      </c>
      <c r="U89" s="17">
        <v>34.799999999999997</v>
      </c>
      <c r="V89" s="17">
        <v>9</v>
      </c>
      <c r="W89" s="248">
        <f t="shared" si="10"/>
        <v>0.25862068965517243</v>
      </c>
      <c r="X89" s="17"/>
      <c r="Y89" s="17">
        <v>-20.100000000000001</v>
      </c>
      <c r="Z89" s="16"/>
      <c r="AA89" s="15" t="s">
        <v>140</v>
      </c>
      <c r="AB89" s="17"/>
      <c r="AC89" s="21" t="s">
        <v>153</v>
      </c>
      <c r="AD89" s="21" t="s">
        <v>273</v>
      </c>
      <c r="AE89" s="21"/>
      <c r="AF89" s="17"/>
      <c r="AG89" s="15"/>
      <c r="AH89" s="16"/>
      <c r="AI89" s="16"/>
      <c r="AJ89" s="42">
        <f t="shared" ca="1" si="12"/>
        <v>64</v>
      </c>
      <c r="AK89" s="42">
        <f t="shared" ca="1" si="13"/>
        <v>64</v>
      </c>
      <c r="AL89" s="130">
        <f t="shared" si="14"/>
        <v>0.2</v>
      </c>
      <c r="AM89" s="37">
        <v>45600</v>
      </c>
      <c r="AN89" s="38"/>
      <c r="AO89" s="38"/>
      <c r="AP89" s="38"/>
      <c r="AQ89" s="38"/>
      <c r="AR89" s="101" t="s">
        <v>1770</v>
      </c>
      <c r="AS89" s="37">
        <v>45600</v>
      </c>
      <c r="AT89" s="1276"/>
      <c r="AU89" s="1295"/>
      <c r="AV89" s="1295"/>
      <c r="AW89" s="1295"/>
      <c r="AX89" s="1295"/>
      <c r="AY89" s="1295"/>
      <c r="AZ89" s="1295"/>
      <c r="BA89" s="1295"/>
      <c r="BB89" s="1295"/>
      <c r="BC89" s="1295"/>
    </row>
    <row r="90" spans="1:55" s="271" customFormat="1" x14ac:dyDescent="0.35">
      <c r="A90" s="1266"/>
      <c r="B90" s="16" cm="1">
        <f t="array" ref="B90">+_xlfn.IFS(D90="In Touch - Positive",2,D90="Pending",1,D90="No Answer",4,D90="In Touch - Negative",3)</f>
        <v>1</v>
      </c>
      <c r="C90" s="16" t="s">
        <v>5220</v>
      </c>
      <c r="D90" s="1152" t="str">
        <f t="shared" si="11"/>
        <v>Pending</v>
      </c>
      <c r="E90" s="12" t="s">
        <v>5227</v>
      </c>
      <c r="F90" s="20"/>
      <c r="G90" s="13" t="s">
        <v>166</v>
      </c>
      <c r="H90" s="14"/>
      <c r="I90" s="13"/>
      <c r="J90" s="15"/>
      <c r="K90" s="15"/>
      <c r="L90" s="15"/>
      <c r="M90" s="15"/>
      <c r="N90" s="15"/>
      <c r="O90" s="15"/>
      <c r="P90" s="15"/>
      <c r="Q90" s="15"/>
      <c r="R90" s="16"/>
      <c r="S90" s="35" t="s">
        <v>77</v>
      </c>
      <c r="T90" s="13">
        <v>2023</v>
      </c>
      <c r="U90" s="17">
        <v>42.6</v>
      </c>
      <c r="V90" s="17">
        <v>7.3</v>
      </c>
      <c r="W90" s="248">
        <f t="shared" si="10"/>
        <v>0.17136150234741784</v>
      </c>
      <c r="X90" s="17"/>
      <c r="Y90" s="17">
        <v>-10.199999999999999</v>
      </c>
      <c r="Z90" s="16"/>
      <c r="AA90" s="15" t="s">
        <v>140</v>
      </c>
      <c r="AB90" s="17"/>
      <c r="AC90" s="21" t="s">
        <v>153</v>
      </c>
      <c r="AD90" s="21" t="s">
        <v>273</v>
      </c>
      <c r="AE90" s="21"/>
      <c r="AF90" s="17"/>
      <c r="AG90" s="15"/>
      <c r="AH90" s="16"/>
      <c r="AI90" s="16"/>
      <c r="AJ90" s="42">
        <f t="shared" ca="1" si="12"/>
        <v>64</v>
      </c>
      <c r="AK90" s="42">
        <f t="shared" ca="1" si="13"/>
        <v>64</v>
      </c>
      <c r="AL90" s="130">
        <f t="shared" si="14"/>
        <v>0.2</v>
      </c>
      <c r="AM90" s="37">
        <v>45600</v>
      </c>
      <c r="AN90" s="38"/>
      <c r="AO90" s="38"/>
      <c r="AP90" s="1125"/>
      <c r="AQ90" s="38"/>
      <c r="AR90" s="101" t="s">
        <v>1770</v>
      </c>
      <c r="AS90" s="37">
        <v>45600</v>
      </c>
      <c r="AT90" s="1276"/>
      <c r="AU90" s="1295"/>
      <c r="AV90" s="1295"/>
      <c r="AW90" s="1295"/>
      <c r="AX90" s="1295"/>
      <c r="AY90" s="1295"/>
      <c r="AZ90" s="1295"/>
      <c r="BA90" s="1295"/>
      <c r="BB90" s="1295"/>
      <c r="BC90" s="1295"/>
    </row>
    <row r="91" spans="1:55" s="271" customFormat="1" x14ac:dyDescent="0.35">
      <c r="A91" s="1266"/>
      <c r="B91" s="16" cm="1">
        <f t="array" ref="B91">+_xlfn.IFS(D91="In Touch - Positive",2,D91="Pending",1,D91="No Answer",4,D91="In Touch - Negative",3)</f>
        <v>1</v>
      </c>
      <c r="C91" s="16" t="s">
        <v>5067</v>
      </c>
      <c r="D91" s="1152" t="str">
        <f t="shared" si="11"/>
        <v>Pending</v>
      </c>
      <c r="E91" s="12" t="s">
        <v>4899</v>
      </c>
      <c r="F91" s="20"/>
      <c r="G91" s="13" t="s">
        <v>103</v>
      </c>
      <c r="H91" s="14" t="s">
        <v>4911</v>
      </c>
      <c r="I91" s="13"/>
      <c r="J91" s="15" t="s">
        <v>4907</v>
      </c>
      <c r="K91" s="15" t="s">
        <v>4908</v>
      </c>
      <c r="L91" s="15"/>
      <c r="M91" s="15" t="s">
        <v>4921</v>
      </c>
      <c r="N91" s="15" t="s">
        <v>4922</v>
      </c>
      <c r="O91" s="15"/>
      <c r="P91" s="15"/>
      <c r="Q91" s="15"/>
      <c r="R91" s="16"/>
      <c r="S91" s="35" t="s">
        <v>77</v>
      </c>
      <c r="T91" s="13">
        <v>2023</v>
      </c>
      <c r="U91" s="17">
        <v>5.4874589999999994</v>
      </c>
      <c r="V91" s="17">
        <v>1.13262</v>
      </c>
      <c r="W91" s="248">
        <f t="shared" si="10"/>
        <v>0.20640154213452894</v>
      </c>
      <c r="X91" s="17">
        <v>0.70360900000000004</v>
      </c>
      <c r="Y91" s="17">
        <v>-0.33996499999999996</v>
      </c>
      <c r="Z91" s="16"/>
      <c r="AA91" s="15" t="s">
        <v>140</v>
      </c>
      <c r="AB91" s="17"/>
      <c r="AC91" s="21" t="s">
        <v>61</v>
      </c>
      <c r="AD91" s="21" t="s">
        <v>62</v>
      </c>
      <c r="AE91" s="21" t="s">
        <v>62</v>
      </c>
      <c r="AF91" s="17"/>
      <c r="AG91" s="15"/>
      <c r="AH91" s="16"/>
      <c r="AI91" s="16"/>
      <c r="AJ91" s="42">
        <f t="shared" ca="1" si="12"/>
        <v>78</v>
      </c>
      <c r="AK91" s="42">
        <f t="shared" ca="1" si="13"/>
        <v>69</v>
      </c>
      <c r="AL91" s="130">
        <f t="shared" si="14"/>
        <v>0.6</v>
      </c>
      <c r="AM91" s="37">
        <v>45586</v>
      </c>
      <c r="AN91" s="38">
        <v>45595</v>
      </c>
      <c r="AO91" s="38">
        <v>45609</v>
      </c>
      <c r="AP91" s="38"/>
      <c r="AQ91" s="38"/>
      <c r="AR91" s="101" t="s">
        <v>1770</v>
      </c>
      <c r="AS91" s="37">
        <v>45595</v>
      </c>
      <c r="AT91" s="1276"/>
      <c r="AU91" s="1295"/>
      <c r="AV91" s="1295"/>
      <c r="AW91" s="1295"/>
      <c r="AX91" s="1295"/>
      <c r="AY91" s="1295"/>
      <c r="AZ91" s="1295"/>
      <c r="BA91" s="1295"/>
      <c r="BB91" s="1295"/>
      <c r="BC91" s="1295"/>
    </row>
    <row r="92" spans="1:55" s="271" customFormat="1" x14ac:dyDescent="0.35">
      <c r="A92" s="1266"/>
      <c r="B92" s="16">
        <v>1</v>
      </c>
      <c r="C92" s="16" t="s">
        <v>4439</v>
      </c>
      <c r="D92" s="1152" t="str">
        <f t="shared" ref="D92:D123" si="15">AR92</f>
        <v>In touch - Positive</v>
      </c>
      <c r="E92" s="12" t="s">
        <v>4656</v>
      </c>
      <c r="F92" s="20"/>
      <c r="G92" s="13" t="s">
        <v>271</v>
      </c>
      <c r="H92" s="14" t="s">
        <v>4810</v>
      </c>
      <c r="I92" s="13"/>
      <c r="J92" s="15" t="s">
        <v>274</v>
      </c>
      <c r="K92" s="1016"/>
      <c r="L92" s="15" t="s">
        <v>4665</v>
      </c>
      <c r="M92" s="15"/>
      <c r="N92" s="15"/>
      <c r="O92" s="15"/>
      <c r="P92" s="15"/>
      <c r="Q92" s="15"/>
      <c r="R92" s="16"/>
      <c r="S92" s="35" t="s">
        <v>77</v>
      </c>
      <c r="T92" s="13">
        <v>2023</v>
      </c>
      <c r="U92" s="17">
        <v>18.8</v>
      </c>
      <c r="V92" s="17">
        <v>3.7</v>
      </c>
      <c r="W92" s="898">
        <f t="shared" si="10"/>
        <v>0.19680851063829788</v>
      </c>
      <c r="X92" s="17"/>
      <c r="Y92" s="17"/>
      <c r="Z92" s="16"/>
      <c r="AA92" s="1016" t="s">
        <v>140</v>
      </c>
      <c r="AB92" s="17"/>
      <c r="AC92" s="21" t="s">
        <v>273</v>
      </c>
      <c r="AD92" s="21" t="s">
        <v>153</v>
      </c>
      <c r="AE92" s="21" t="s">
        <v>273</v>
      </c>
      <c r="AF92" s="17"/>
      <c r="AG92" s="15"/>
      <c r="AH92" s="16"/>
      <c r="AI92" s="16"/>
      <c r="AJ92" s="42">
        <f t="shared" ca="1" si="12"/>
        <v>92</v>
      </c>
      <c r="AK92" s="42">
        <f t="shared" ca="1" si="13"/>
        <v>91</v>
      </c>
      <c r="AL92" s="130" t="str">
        <f t="shared" si="14"/>
        <v>In touch - Positive</v>
      </c>
      <c r="AM92" s="37">
        <v>45572</v>
      </c>
      <c r="AN92" s="38">
        <v>45573</v>
      </c>
      <c r="AO92" s="38"/>
      <c r="AP92" s="38"/>
      <c r="AQ92" s="38"/>
      <c r="AR92" s="101" t="s">
        <v>1818</v>
      </c>
      <c r="AS92" s="37">
        <v>45573</v>
      </c>
      <c r="AT92" s="1276"/>
      <c r="AU92" s="1295"/>
      <c r="AV92" s="1295"/>
      <c r="AW92" s="1295"/>
      <c r="AX92" s="1295"/>
      <c r="AY92" s="1295"/>
      <c r="AZ92" s="1295"/>
      <c r="BA92" s="1295"/>
      <c r="BB92" s="1295"/>
      <c r="BC92" s="1295"/>
    </row>
    <row r="93" spans="1:55" s="271" customFormat="1" x14ac:dyDescent="0.35">
      <c r="A93" s="1266"/>
      <c r="B93" s="16">
        <v>1</v>
      </c>
      <c r="C93" s="16" t="s">
        <v>5124</v>
      </c>
      <c r="D93" s="1152" t="str">
        <f t="shared" si="15"/>
        <v>No Answer</v>
      </c>
      <c r="E93" s="12" t="s">
        <v>5128</v>
      </c>
      <c r="F93" s="20"/>
      <c r="G93" s="13" t="s">
        <v>386</v>
      </c>
      <c r="H93" s="14" t="s">
        <v>5111</v>
      </c>
      <c r="I93" s="13" t="s">
        <v>5140</v>
      </c>
      <c r="J93" s="15" t="s">
        <v>2769</v>
      </c>
      <c r="K93" s="15" t="s">
        <v>5139</v>
      </c>
      <c r="L93" s="15" t="s">
        <v>5163</v>
      </c>
      <c r="M93" s="15"/>
      <c r="N93" s="15"/>
      <c r="O93" s="15"/>
      <c r="P93" s="15"/>
      <c r="Q93" s="15"/>
      <c r="R93" s="16"/>
      <c r="S93" s="35" t="s">
        <v>77</v>
      </c>
      <c r="T93" s="13">
        <v>2023</v>
      </c>
      <c r="U93" s="17">
        <v>2.2999999999999998</v>
      </c>
      <c r="V93" s="17"/>
      <c r="W93" s="248">
        <f t="shared" si="10"/>
        <v>0</v>
      </c>
      <c r="X93" s="17"/>
      <c r="Y93" s="17"/>
      <c r="Z93" s="16"/>
      <c r="AA93" s="1016" t="s">
        <v>140</v>
      </c>
      <c r="AB93" s="17"/>
      <c r="AC93" s="21" t="s">
        <v>154</v>
      </c>
      <c r="AD93" s="21"/>
      <c r="AE93" s="21"/>
      <c r="AF93" s="17"/>
      <c r="AG93" s="15"/>
      <c r="AH93" s="16"/>
      <c r="AI93" s="16"/>
      <c r="AJ93" s="42">
        <f t="shared" ca="1" si="12"/>
        <v>64</v>
      </c>
      <c r="AK93" s="42">
        <f t="shared" ca="1" si="13"/>
        <v>61</v>
      </c>
      <c r="AL93" s="130" t="str">
        <f t="shared" si="14"/>
        <v>No Answer</v>
      </c>
      <c r="AM93" s="37">
        <v>45600</v>
      </c>
      <c r="AN93" s="38">
        <v>45600</v>
      </c>
      <c r="AO93" s="38"/>
      <c r="AP93" s="38"/>
      <c r="AQ93" s="38"/>
      <c r="AR93" s="101" t="s">
        <v>1763</v>
      </c>
      <c r="AS93" s="37">
        <v>45603</v>
      </c>
      <c r="AT93" s="1276"/>
      <c r="AU93" s="1295"/>
      <c r="AV93" s="1295"/>
      <c r="AW93" s="1295"/>
      <c r="AX93" s="1295"/>
      <c r="AY93" s="1295"/>
      <c r="AZ93" s="1295"/>
      <c r="BA93" s="1295"/>
      <c r="BB93" s="1295"/>
      <c r="BC93" s="1295"/>
    </row>
    <row r="94" spans="1:55" s="271" customFormat="1" x14ac:dyDescent="0.35">
      <c r="A94" s="1266"/>
      <c r="B94" s="16">
        <v>1</v>
      </c>
      <c r="C94" s="16" t="s">
        <v>5124</v>
      </c>
      <c r="D94" s="1152" t="str">
        <f t="shared" si="15"/>
        <v>No Answer</v>
      </c>
      <c r="E94" s="12" t="s">
        <v>5126</v>
      </c>
      <c r="F94" s="20"/>
      <c r="G94" s="13" t="s">
        <v>271</v>
      </c>
      <c r="H94" s="14" t="s">
        <v>5112</v>
      </c>
      <c r="I94" s="13" t="s">
        <v>5142</v>
      </c>
      <c r="J94" s="15" t="s">
        <v>2769</v>
      </c>
      <c r="K94" s="15" t="s">
        <v>5141</v>
      </c>
      <c r="L94" s="15" t="s">
        <v>5164</v>
      </c>
      <c r="M94" s="15"/>
      <c r="N94" s="15"/>
      <c r="O94" s="15"/>
      <c r="P94" s="15"/>
      <c r="Q94" s="15"/>
      <c r="R94" s="16"/>
      <c r="S94" s="35" t="s">
        <v>77</v>
      </c>
      <c r="T94" s="13">
        <v>2023</v>
      </c>
      <c r="U94" s="17">
        <v>53.4</v>
      </c>
      <c r="V94" s="17"/>
      <c r="W94" s="248">
        <f t="shared" si="10"/>
        <v>0</v>
      </c>
      <c r="X94" s="17"/>
      <c r="Y94" s="17"/>
      <c r="Z94" s="16"/>
      <c r="AA94" s="1016" t="s">
        <v>140</v>
      </c>
      <c r="AB94" s="17"/>
      <c r="AC94" s="21" t="s">
        <v>154</v>
      </c>
      <c r="AD94" s="21"/>
      <c r="AE94" s="21"/>
      <c r="AF94" s="17"/>
      <c r="AG94" s="15"/>
      <c r="AH94" s="16"/>
      <c r="AI94" s="16"/>
      <c r="AJ94" s="42">
        <f t="shared" ca="1" si="12"/>
        <v>64</v>
      </c>
      <c r="AK94" s="42">
        <f t="shared" ca="1" si="13"/>
        <v>61</v>
      </c>
      <c r="AL94" s="130" t="str">
        <f t="shared" si="14"/>
        <v>No Answer</v>
      </c>
      <c r="AM94" s="37">
        <v>45600</v>
      </c>
      <c r="AN94" s="38">
        <v>45600</v>
      </c>
      <c r="AO94" s="38"/>
      <c r="AP94" s="38"/>
      <c r="AQ94" s="38"/>
      <c r="AR94" s="101" t="s">
        <v>1763</v>
      </c>
      <c r="AS94" s="37">
        <v>45603</v>
      </c>
      <c r="AT94" s="1276"/>
      <c r="AU94" s="1295"/>
      <c r="AV94" s="1295"/>
      <c r="AW94" s="1295"/>
      <c r="AX94" s="1295"/>
      <c r="AY94" s="1295"/>
      <c r="AZ94" s="1295"/>
      <c r="BA94" s="1295"/>
      <c r="BB94" s="1295"/>
      <c r="BC94" s="1295"/>
    </row>
    <row r="95" spans="1:55" s="271" customFormat="1" x14ac:dyDescent="0.35">
      <c r="A95" s="1266"/>
      <c r="B95" s="16">
        <v>1</v>
      </c>
      <c r="C95" s="16" t="s">
        <v>5124</v>
      </c>
      <c r="D95" s="1152" t="str">
        <f t="shared" si="15"/>
        <v>In touch - Negative</v>
      </c>
      <c r="E95" s="12" t="s">
        <v>5127</v>
      </c>
      <c r="F95" s="20"/>
      <c r="G95" s="13" t="s">
        <v>4750</v>
      </c>
      <c r="H95" s="14" t="s">
        <v>5113</v>
      </c>
      <c r="I95" s="13" t="s">
        <v>5144</v>
      </c>
      <c r="J95" s="15" t="s">
        <v>327</v>
      </c>
      <c r="K95" s="15" t="s">
        <v>5143</v>
      </c>
      <c r="L95" s="15" t="s">
        <v>5165</v>
      </c>
      <c r="M95" s="15"/>
      <c r="N95" s="15"/>
      <c r="O95" s="15"/>
      <c r="P95" s="15"/>
      <c r="Q95" s="15"/>
      <c r="R95" s="16"/>
      <c r="S95" s="35" t="s">
        <v>77</v>
      </c>
      <c r="T95" s="13">
        <v>2023</v>
      </c>
      <c r="U95" s="17">
        <v>17.8</v>
      </c>
      <c r="V95" s="17"/>
      <c r="W95" s="248">
        <f t="shared" si="10"/>
        <v>0</v>
      </c>
      <c r="X95" s="17"/>
      <c r="Y95" s="17"/>
      <c r="Z95" s="16"/>
      <c r="AA95" s="1016" t="s">
        <v>140</v>
      </c>
      <c r="AB95" s="17"/>
      <c r="AC95" s="21" t="s">
        <v>154</v>
      </c>
      <c r="AD95" s="21"/>
      <c r="AE95" s="21"/>
      <c r="AF95" s="17"/>
      <c r="AG95" s="15"/>
      <c r="AH95" s="16"/>
      <c r="AI95" s="16"/>
      <c r="AJ95" s="42">
        <f t="shared" ca="1" si="12"/>
        <v>64</v>
      </c>
      <c r="AK95" s="42">
        <f t="shared" ca="1" si="13"/>
        <v>61</v>
      </c>
      <c r="AL95" s="130" t="str">
        <f t="shared" si="14"/>
        <v>In touch - Negative</v>
      </c>
      <c r="AM95" s="37">
        <v>45600</v>
      </c>
      <c r="AN95" s="38">
        <v>45600</v>
      </c>
      <c r="AO95" s="38"/>
      <c r="AP95" s="38"/>
      <c r="AQ95" s="38"/>
      <c r="AR95" s="101" t="s">
        <v>1963</v>
      </c>
      <c r="AS95" s="37">
        <v>45603</v>
      </c>
      <c r="AT95" s="11"/>
    </row>
    <row r="96" spans="1:55" s="271" customFormat="1" x14ac:dyDescent="0.35">
      <c r="A96" s="16"/>
      <c r="B96" s="16">
        <v>1</v>
      </c>
      <c r="C96" s="16" t="s">
        <v>5124</v>
      </c>
      <c r="D96" s="1152" t="str">
        <f t="shared" si="15"/>
        <v>No Answer</v>
      </c>
      <c r="E96" s="12" t="s">
        <v>5176</v>
      </c>
      <c r="F96" s="20"/>
      <c r="G96" s="13" t="s">
        <v>838</v>
      </c>
      <c r="H96" s="14" t="s">
        <v>2719</v>
      </c>
      <c r="I96" s="13" t="s">
        <v>5146</v>
      </c>
      <c r="J96" s="15" t="s">
        <v>2769</v>
      </c>
      <c r="K96" s="15" t="s">
        <v>5145</v>
      </c>
      <c r="L96" s="15" t="s">
        <v>5166</v>
      </c>
      <c r="M96" s="15"/>
      <c r="N96" s="15"/>
      <c r="O96" s="15"/>
      <c r="P96" s="15"/>
      <c r="Q96" s="15"/>
      <c r="R96" s="16"/>
      <c r="S96" s="35" t="s">
        <v>77</v>
      </c>
      <c r="T96" s="13">
        <v>2023</v>
      </c>
      <c r="U96" s="17">
        <v>198.7</v>
      </c>
      <c r="V96" s="17"/>
      <c r="W96" s="248">
        <f t="shared" si="10"/>
        <v>0</v>
      </c>
      <c r="X96" s="17"/>
      <c r="Y96" s="17"/>
      <c r="Z96" s="16"/>
      <c r="AA96" s="1016" t="s">
        <v>140</v>
      </c>
      <c r="AB96" s="17"/>
      <c r="AC96" s="21" t="s">
        <v>154</v>
      </c>
      <c r="AD96" s="21"/>
      <c r="AE96" s="21"/>
      <c r="AF96" s="17"/>
      <c r="AG96" s="15"/>
      <c r="AH96" s="16"/>
      <c r="AI96" s="16"/>
      <c r="AJ96" s="42">
        <f t="shared" ca="1" si="12"/>
        <v>64</v>
      </c>
      <c r="AK96" s="42">
        <f t="shared" ca="1" si="13"/>
        <v>61</v>
      </c>
      <c r="AL96" s="130" t="str">
        <f t="shared" si="14"/>
        <v>No Answer</v>
      </c>
      <c r="AM96" s="37">
        <v>45600</v>
      </c>
      <c r="AN96" s="38">
        <v>45600</v>
      </c>
      <c r="AO96" s="38"/>
      <c r="AP96" s="38"/>
      <c r="AQ96" s="38"/>
      <c r="AR96" s="101" t="s">
        <v>1763</v>
      </c>
      <c r="AS96" s="37">
        <v>45603</v>
      </c>
      <c r="AT96" s="11"/>
    </row>
    <row r="97" spans="1:55" s="271" customFormat="1" x14ac:dyDescent="0.35">
      <c r="A97" s="16"/>
      <c r="B97" s="16">
        <v>1</v>
      </c>
      <c r="C97" s="16" t="s">
        <v>5124</v>
      </c>
      <c r="D97" s="99" t="str">
        <f t="shared" si="15"/>
        <v>In touch - Negative</v>
      </c>
      <c r="E97" s="12" t="s">
        <v>5129</v>
      </c>
      <c r="F97" s="20"/>
      <c r="G97" s="13" t="s">
        <v>271</v>
      </c>
      <c r="H97" s="14" t="s">
        <v>5114</v>
      </c>
      <c r="I97" s="13" t="s">
        <v>5148</v>
      </c>
      <c r="J97" s="15" t="s">
        <v>2769</v>
      </c>
      <c r="K97" s="15" t="s">
        <v>5147</v>
      </c>
      <c r="L97" s="15" t="s">
        <v>5167</v>
      </c>
      <c r="M97" s="15"/>
      <c r="N97" s="15"/>
      <c r="O97" s="15"/>
      <c r="P97" s="15"/>
      <c r="Q97" s="15"/>
      <c r="R97" s="16"/>
      <c r="S97" s="35" t="s">
        <v>77</v>
      </c>
      <c r="T97" s="13">
        <v>2023</v>
      </c>
      <c r="U97" s="17">
        <v>22.8</v>
      </c>
      <c r="V97" s="17"/>
      <c r="W97" s="248">
        <f t="shared" ref="W97:W128" si="16">+V97/U97</f>
        <v>0</v>
      </c>
      <c r="X97" s="17"/>
      <c r="Y97" s="17"/>
      <c r="Z97" s="16"/>
      <c r="AA97" s="1016" t="s">
        <v>140</v>
      </c>
      <c r="AB97" s="17"/>
      <c r="AC97" s="21" t="s">
        <v>154</v>
      </c>
      <c r="AD97" s="21"/>
      <c r="AE97" s="21"/>
      <c r="AF97" s="17"/>
      <c r="AG97" s="15"/>
      <c r="AH97" s="16"/>
      <c r="AI97" s="16"/>
      <c r="AJ97" s="42">
        <f t="shared" ca="1" si="12"/>
        <v>64</v>
      </c>
      <c r="AK97" s="42">
        <f t="shared" ca="1" si="13"/>
        <v>61</v>
      </c>
      <c r="AL97" s="130" t="str">
        <f t="shared" si="14"/>
        <v>In touch - Negative</v>
      </c>
      <c r="AM97" s="37">
        <v>45600</v>
      </c>
      <c r="AN97" s="38">
        <v>45600</v>
      </c>
      <c r="AO97" s="38"/>
      <c r="AP97" s="38"/>
      <c r="AQ97" s="38"/>
      <c r="AR97" s="101" t="s">
        <v>1963</v>
      </c>
      <c r="AS97" s="37">
        <v>45603</v>
      </c>
      <c r="AT97" s="11"/>
    </row>
    <row r="98" spans="1:55" s="271" customFormat="1" x14ac:dyDescent="0.35">
      <c r="A98" s="16"/>
      <c r="B98" s="16">
        <v>1</v>
      </c>
      <c r="C98" s="16" t="s">
        <v>5124</v>
      </c>
      <c r="D98" s="99" t="str">
        <f t="shared" si="15"/>
        <v>No Answer</v>
      </c>
      <c r="E98" s="12" t="s">
        <v>5130</v>
      </c>
      <c r="F98" s="20"/>
      <c r="G98" s="13" t="s">
        <v>838</v>
      </c>
      <c r="H98" s="14" t="s">
        <v>5115</v>
      </c>
      <c r="I98" s="13" t="s">
        <v>5048</v>
      </c>
      <c r="J98" s="15" t="s">
        <v>2769</v>
      </c>
      <c r="K98" s="15" t="s">
        <v>5149</v>
      </c>
      <c r="L98" s="139" t="s">
        <v>5168</v>
      </c>
      <c r="M98" s="15"/>
      <c r="N98" s="15"/>
      <c r="O98" s="15"/>
      <c r="P98" s="15"/>
      <c r="Q98" s="15"/>
      <c r="R98" s="16"/>
      <c r="S98" s="35" t="s">
        <v>77</v>
      </c>
      <c r="T98" s="13">
        <v>2023</v>
      </c>
      <c r="U98" s="17">
        <v>21.6</v>
      </c>
      <c r="V98" s="17"/>
      <c r="W98" s="248">
        <f t="shared" si="16"/>
        <v>0</v>
      </c>
      <c r="X98" s="17"/>
      <c r="Y98" s="17"/>
      <c r="Z98" s="16"/>
      <c r="AA98" s="1016" t="s">
        <v>140</v>
      </c>
      <c r="AB98" s="17"/>
      <c r="AC98" s="21" t="s">
        <v>154</v>
      </c>
      <c r="AD98" s="21"/>
      <c r="AE98" s="21"/>
      <c r="AF98" s="17"/>
      <c r="AG98" s="15"/>
      <c r="AH98" s="16"/>
      <c r="AI98" s="16"/>
      <c r="AJ98" s="42">
        <f t="shared" ca="1" si="12"/>
        <v>64</v>
      </c>
      <c r="AK98" s="42">
        <f t="shared" ca="1" si="13"/>
        <v>61</v>
      </c>
      <c r="AL98" s="130" t="str">
        <f t="shared" si="14"/>
        <v>No Answer</v>
      </c>
      <c r="AM98" s="37">
        <v>45600</v>
      </c>
      <c r="AN98" s="38">
        <v>45600</v>
      </c>
      <c r="AO98" s="38"/>
      <c r="AP98" s="38"/>
      <c r="AQ98" s="38"/>
      <c r="AR98" s="101" t="s">
        <v>1763</v>
      </c>
      <c r="AS98" s="37">
        <v>45603</v>
      </c>
      <c r="AT98" s="11"/>
    </row>
    <row r="99" spans="1:55" s="271" customFormat="1" x14ac:dyDescent="0.35">
      <c r="A99" s="16"/>
      <c r="B99" s="16">
        <v>1</v>
      </c>
      <c r="C99" s="16" t="s">
        <v>5124</v>
      </c>
      <c r="D99" s="99" t="str">
        <f t="shared" si="15"/>
        <v>No Answer</v>
      </c>
      <c r="E99" s="12" t="s">
        <v>5131</v>
      </c>
      <c r="F99" s="20"/>
      <c r="G99" s="13" t="s">
        <v>271</v>
      </c>
      <c r="H99" s="14" t="s">
        <v>5116</v>
      </c>
      <c r="I99" s="13" t="s">
        <v>5150</v>
      </c>
      <c r="J99" s="15" t="s">
        <v>2769</v>
      </c>
      <c r="K99" s="15" t="s">
        <v>5151</v>
      </c>
      <c r="L99" s="15" t="s">
        <v>5169</v>
      </c>
      <c r="M99" s="15"/>
      <c r="N99" s="15"/>
      <c r="O99" s="15"/>
      <c r="P99" s="15"/>
      <c r="Q99" s="15"/>
      <c r="R99" s="16"/>
      <c r="S99" s="35" t="s">
        <v>77</v>
      </c>
      <c r="T99" s="13">
        <v>2023</v>
      </c>
      <c r="U99" s="17">
        <v>8.5</v>
      </c>
      <c r="V99" s="17"/>
      <c r="W99" s="248">
        <f t="shared" si="16"/>
        <v>0</v>
      </c>
      <c r="X99" s="17"/>
      <c r="Y99" s="17"/>
      <c r="Z99" s="16"/>
      <c r="AA99" s="1016" t="s">
        <v>140</v>
      </c>
      <c r="AB99" s="17"/>
      <c r="AC99" s="21" t="s">
        <v>154</v>
      </c>
      <c r="AD99" s="21"/>
      <c r="AE99" s="21"/>
      <c r="AF99" s="17"/>
      <c r="AG99" s="15"/>
      <c r="AH99" s="16"/>
      <c r="AI99" s="16"/>
      <c r="AJ99" s="42">
        <f t="shared" ca="1" si="12"/>
        <v>64</v>
      </c>
      <c r="AK99" s="42">
        <f t="shared" ca="1" si="13"/>
        <v>61</v>
      </c>
      <c r="AL99" s="130" t="str">
        <f t="shared" si="14"/>
        <v>No Answer</v>
      </c>
      <c r="AM99" s="37">
        <v>45600</v>
      </c>
      <c r="AN99" s="38">
        <v>45600</v>
      </c>
      <c r="AO99" s="38"/>
      <c r="AP99" s="38"/>
      <c r="AQ99" s="38"/>
      <c r="AR99" s="101" t="s">
        <v>1763</v>
      </c>
      <c r="AS99" s="37">
        <v>45603</v>
      </c>
      <c r="AT99" s="11"/>
    </row>
    <row r="100" spans="1:55" s="271" customFormat="1" x14ac:dyDescent="0.35">
      <c r="A100" s="16"/>
      <c r="B100" s="16">
        <v>1</v>
      </c>
      <c r="C100" s="16" t="s">
        <v>5124</v>
      </c>
      <c r="D100" s="99" t="str">
        <f t="shared" si="15"/>
        <v>In touch - Negative</v>
      </c>
      <c r="E100" s="12" t="s">
        <v>5132</v>
      </c>
      <c r="F100" s="20"/>
      <c r="G100" s="13" t="s">
        <v>386</v>
      </c>
      <c r="H100" s="14" t="s">
        <v>5117</v>
      </c>
      <c r="I100" s="13" t="s">
        <v>5148</v>
      </c>
      <c r="J100" s="15" t="s">
        <v>2769</v>
      </c>
      <c r="K100" s="15" t="s">
        <v>5147</v>
      </c>
      <c r="L100" s="15" t="s">
        <v>5170</v>
      </c>
      <c r="M100" s="15"/>
      <c r="N100" s="15"/>
      <c r="O100" s="15"/>
      <c r="P100" s="15"/>
      <c r="Q100" s="15"/>
      <c r="R100" s="16"/>
      <c r="S100" s="35" t="s">
        <v>77</v>
      </c>
      <c r="T100" s="13">
        <v>2023</v>
      </c>
      <c r="U100" s="17">
        <v>11.1</v>
      </c>
      <c r="V100" s="17"/>
      <c r="W100" s="248">
        <f t="shared" si="16"/>
        <v>0</v>
      </c>
      <c r="X100" s="17"/>
      <c r="Y100" s="17"/>
      <c r="Z100" s="16"/>
      <c r="AA100" s="1016" t="s">
        <v>140</v>
      </c>
      <c r="AB100" s="17"/>
      <c r="AC100" s="21" t="s">
        <v>154</v>
      </c>
      <c r="AD100" s="21"/>
      <c r="AE100" s="21"/>
      <c r="AF100" s="17"/>
      <c r="AG100" s="15"/>
      <c r="AH100" s="16"/>
      <c r="AI100" s="16"/>
      <c r="AJ100" s="42">
        <f t="shared" ca="1" si="12"/>
        <v>64</v>
      </c>
      <c r="AK100" s="42">
        <f t="shared" ca="1" si="13"/>
        <v>61</v>
      </c>
      <c r="AL100" s="130" t="str">
        <f t="shared" si="14"/>
        <v>In touch - Negative</v>
      </c>
      <c r="AM100" s="37">
        <v>45600</v>
      </c>
      <c r="AN100" s="38">
        <v>45600</v>
      </c>
      <c r="AO100" s="38"/>
      <c r="AP100" s="38"/>
      <c r="AQ100" s="38"/>
      <c r="AR100" s="101" t="s">
        <v>1963</v>
      </c>
      <c r="AS100" s="37">
        <v>45603</v>
      </c>
      <c r="AT100" s="11"/>
    </row>
    <row r="101" spans="1:55" s="271" customFormat="1" x14ac:dyDescent="0.35">
      <c r="A101" s="16"/>
      <c r="B101" s="16">
        <v>1</v>
      </c>
      <c r="C101" s="16" t="s">
        <v>5124</v>
      </c>
      <c r="D101" s="99" t="str">
        <f t="shared" si="15"/>
        <v>In touch - Negative</v>
      </c>
      <c r="E101" s="12" t="s">
        <v>5133</v>
      </c>
      <c r="F101" s="20"/>
      <c r="G101" s="13" t="s">
        <v>1224</v>
      </c>
      <c r="H101" s="14" t="s">
        <v>5118</v>
      </c>
      <c r="I101" s="13" t="s">
        <v>5140</v>
      </c>
      <c r="J101" s="15" t="s">
        <v>2769</v>
      </c>
      <c r="K101" s="15" t="s">
        <v>5139</v>
      </c>
      <c r="L101" s="15" t="s">
        <v>5170</v>
      </c>
      <c r="M101" s="15"/>
      <c r="N101" s="15"/>
      <c r="O101" s="15"/>
      <c r="P101" s="15"/>
      <c r="Q101" s="15"/>
      <c r="R101" s="16"/>
      <c r="S101" s="35" t="s">
        <v>77</v>
      </c>
      <c r="T101" s="13">
        <v>2023</v>
      </c>
      <c r="U101" s="17">
        <v>20.3</v>
      </c>
      <c r="V101" s="17"/>
      <c r="W101" s="248">
        <f t="shared" si="16"/>
        <v>0</v>
      </c>
      <c r="X101" s="17"/>
      <c r="Y101" s="17"/>
      <c r="Z101" s="16"/>
      <c r="AA101" s="1016" t="s">
        <v>140</v>
      </c>
      <c r="AB101" s="17"/>
      <c r="AC101" s="21" t="s">
        <v>154</v>
      </c>
      <c r="AD101" s="21"/>
      <c r="AE101" s="21"/>
      <c r="AF101" s="17"/>
      <c r="AG101" s="15"/>
      <c r="AH101" s="16"/>
      <c r="AI101" s="16"/>
      <c r="AJ101" s="42">
        <f t="shared" ca="1" si="12"/>
        <v>64</v>
      </c>
      <c r="AK101" s="42">
        <f t="shared" ca="1" si="13"/>
        <v>61</v>
      </c>
      <c r="AL101" s="130" t="str">
        <f t="shared" si="14"/>
        <v>In touch - Negative</v>
      </c>
      <c r="AM101" s="37">
        <v>45600</v>
      </c>
      <c r="AN101" s="38">
        <v>45600</v>
      </c>
      <c r="AO101" s="38"/>
      <c r="AP101" s="38"/>
      <c r="AQ101" s="38"/>
      <c r="AR101" s="101" t="s">
        <v>1963</v>
      </c>
      <c r="AS101" s="37">
        <v>45603</v>
      </c>
      <c r="AT101" s="11"/>
    </row>
    <row r="102" spans="1:55" s="271" customFormat="1" x14ac:dyDescent="0.35">
      <c r="A102" s="16"/>
      <c r="B102" s="16">
        <v>1</v>
      </c>
      <c r="C102" s="16" t="s">
        <v>5124</v>
      </c>
      <c r="D102" s="99" t="str">
        <f t="shared" si="15"/>
        <v>In touch - Negative</v>
      </c>
      <c r="E102" s="12" t="s">
        <v>5134</v>
      </c>
      <c r="F102" s="20"/>
      <c r="G102" s="13" t="s">
        <v>2197</v>
      </c>
      <c r="H102" s="14" t="s">
        <v>5119</v>
      </c>
      <c r="I102" s="13" t="s">
        <v>5153</v>
      </c>
      <c r="J102" s="15" t="s">
        <v>5162</v>
      </c>
      <c r="K102" s="15" t="s">
        <v>5152</v>
      </c>
      <c r="L102" s="15" t="s">
        <v>5171</v>
      </c>
      <c r="M102" s="15"/>
      <c r="N102" s="15"/>
      <c r="O102" s="15"/>
      <c r="P102" s="15"/>
      <c r="Q102" s="15"/>
      <c r="R102" s="16"/>
      <c r="S102" s="35" t="s">
        <v>77</v>
      </c>
      <c r="T102" s="13">
        <v>2023</v>
      </c>
      <c r="U102" s="17">
        <v>91.9</v>
      </c>
      <c r="V102" s="17"/>
      <c r="W102" s="248">
        <f t="shared" si="16"/>
        <v>0</v>
      </c>
      <c r="X102" s="17"/>
      <c r="Y102" s="17"/>
      <c r="Z102" s="16"/>
      <c r="AA102" s="1016" t="s">
        <v>140</v>
      </c>
      <c r="AB102" s="17"/>
      <c r="AC102" s="21" t="s">
        <v>154</v>
      </c>
      <c r="AD102" s="21"/>
      <c r="AE102" s="21"/>
      <c r="AF102" s="17"/>
      <c r="AG102" s="15"/>
      <c r="AH102" s="16"/>
      <c r="AI102" s="16"/>
      <c r="AJ102" s="42">
        <f t="shared" ca="1" si="12"/>
        <v>64</v>
      </c>
      <c r="AK102" s="42">
        <f t="shared" ca="1" si="13"/>
        <v>61</v>
      </c>
      <c r="AL102" s="130" t="str">
        <f t="shared" si="14"/>
        <v>In touch - Negative</v>
      </c>
      <c r="AM102" s="37">
        <v>45600</v>
      </c>
      <c r="AN102" s="38">
        <v>45600</v>
      </c>
      <c r="AO102" s="38"/>
      <c r="AP102" s="38"/>
      <c r="AQ102" s="38"/>
      <c r="AR102" s="101" t="s">
        <v>1963</v>
      </c>
      <c r="AS102" s="37">
        <v>45603</v>
      </c>
      <c r="AT102" s="11"/>
    </row>
    <row r="103" spans="1:55" s="271" customFormat="1" x14ac:dyDescent="0.35">
      <c r="A103" s="16"/>
      <c r="B103" s="16">
        <v>1</v>
      </c>
      <c r="C103" s="16" t="s">
        <v>5124</v>
      </c>
      <c r="D103" s="99" t="str">
        <f t="shared" si="15"/>
        <v>No Answer</v>
      </c>
      <c r="E103" s="12" t="s">
        <v>5135</v>
      </c>
      <c r="F103" s="20"/>
      <c r="G103" s="13" t="s">
        <v>508</v>
      </c>
      <c r="H103" s="14" t="s">
        <v>5120</v>
      </c>
      <c r="I103" s="13" t="s">
        <v>5155</v>
      </c>
      <c r="J103" s="15" t="s">
        <v>5162</v>
      </c>
      <c r="K103" s="15" t="s">
        <v>5154</v>
      </c>
      <c r="L103" s="15" t="s">
        <v>5172</v>
      </c>
      <c r="M103" s="15"/>
      <c r="N103" s="15"/>
      <c r="O103" s="15"/>
      <c r="P103" s="15"/>
      <c r="Q103" s="15"/>
      <c r="R103" s="16"/>
      <c r="S103" s="35" t="s">
        <v>77</v>
      </c>
      <c r="T103" s="13">
        <v>2023</v>
      </c>
      <c r="U103" s="17">
        <v>52</v>
      </c>
      <c r="V103" s="17"/>
      <c r="W103" s="248">
        <f t="shared" si="16"/>
        <v>0</v>
      </c>
      <c r="X103" s="17"/>
      <c r="Y103" s="17"/>
      <c r="Z103" s="16"/>
      <c r="AA103" s="1016" t="s">
        <v>140</v>
      </c>
      <c r="AB103" s="17"/>
      <c r="AC103" s="21" t="s">
        <v>154</v>
      </c>
      <c r="AD103" s="21"/>
      <c r="AE103" s="21"/>
      <c r="AF103" s="17"/>
      <c r="AG103" s="15"/>
      <c r="AH103" s="16"/>
      <c r="AI103" s="16"/>
      <c r="AJ103" s="42">
        <f t="shared" ca="1" si="12"/>
        <v>64</v>
      </c>
      <c r="AK103" s="42">
        <f t="shared" ca="1" si="13"/>
        <v>61</v>
      </c>
      <c r="AL103" s="130" t="str">
        <f t="shared" si="14"/>
        <v>No Answer</v>
      </c>
      <c r="AM103" s="37">
        <v>45600</v>
      </c>
      <c r="AN103" s="38">
        <v>45600</v>
      </c>
      <c r="AO103" s="38"/>
      <c r="AP103" s="38"/>
      <c r="AQ103" s="38"/>
      <c r="AR103" s="101" t="s">
        <v>1763</v>
      </c>
      <c r="AS103" s="37">
        <v>45603</v>
      </c>
      <c r="AT103" s="11"/>
    </row>
    <row r="104" spans="1:55" s="271" customFormat="1" x14ac:dyDescent="0.35">
      <c r="A104" s="16"/>
      <c r="B104" s="16">
        <v>1</v>
      </c>
      <c r="C104" s="16" t="s">
        <v>5124</v>
      </c>
      <c r="D104" s="99" t="str">
        <f t="shared" si="15"/>
        <v>No Answer</v>
      </c>
      <c r="E104" s="12" t="s">
        <v>5136</v>
      </c>
      <c r="F104" s="20"/>
      <c r="G104" s="13" t="s">
        <v>391</v>
      </c>
      <c r="H104" s="14" t="s">
        <v>5121</v>
      </c>
      <c r="I104" s="13" t="s">
        <v>5157</v>
      </c>
      <c r="J104" s="15" t="s">
        <v>327</v>
      </c>
      <c r="K104" s="15" t="s">
        <v>5156</v>
      </c>
      <c r="L104" s="15" t="s">
        <v>5173</v>
      </c>
      <c r="M104" s="15"/>
      <c r="N104" s="15"/>
      <c r="O104" s="15"/>
      <c r="P104" s="15"/>
      <c r="Q104" s="15"/>
      <c r="R104" s="16"/>
      <c r="S104" s="35" t="s">
        <v>77</v>
      </c>
      <c r="T104" s="13">
        <v>2023</v>
      </c>
      <c r="U104" s="17">
        <v>278.3</v>
      </c>
      <c r="V104" s="17"/>
      <c r="W104" s="248">
        <f t="shared" si="16"/>
        <v>0</v>
      </c>
      <c r="X104" s="17"/>
      <c r="Y104" s="17"/>
      <c r="Z104" s="16"/>
      <c r="AA104" s="1016" t="s">
        <v>140</v>
      </c>
      <c r="AB104" s="17"/>
      <c r="AC104" s="21" t="s">
        <v>154</v>
      </c>
      <c r="AD104" s="21"/>
      <c r="AE104" s="21"/>
      <c r="AF104" s="17"/>
      <c r="AG104" s="15"/>
      <c r="AH104" s="16"/>
      <c r="AI104" s="16"/>
      <c r="AJ104" s="42">
        <f t="shared" ca="1" si="12"/>
        <v>64</v>
      </c>
      <c r="AK104" s="42">
        <f t="shared" ca="1" si="13"/>
        <v>61</v>
      </c>
      <c r="AL104" s="130" t="str">
        <f t="shared" si="14"/>
        <v>No Answer</v>
      </c>
      <c r="AM104" s="37">
        <v>45600</v>
      </c>
      <c r="AN104" s="38">
        <v>45600</v>
      </c>
      <c r="AO104" s="38"/>
      <c r="AP104" s="38"/>
      <c r="AQ104" s="38"/>
      <c r="AR104" s="101" t="s">
        <v>1763</v>
      </c>
      <c r="AS104" s="37">
        <v>45603</v>
      </c>
      <c r="AT104" s="11"/>
    </row>
    <row r="105" spans="1:55" s="271" customFormat="1" x14ac:dyDescent="0.35">
      <c r="A105" s="16"/>
      <c r="B105" s="16">
        <v>1</v>
      </c>
      <c r="C105" s="16" t="s">
        <v>5124</v>
      </c>
      <c r="D105" s="99" t="str">
        <f t="shared" si="15"/>
        <v>No Answer</v>
      </c>
      <c r="E105" s="12" t="s">
        <v>5137</v>
      </c>
      <c r="F105" s="20"/>
      <c r="G105" s="13" t="s">
        <v>94</v>
      </c>
      <c r="H105" s="14" t="s">
        <v>5122</v>
      </c>
      <c r="I105" s="13" t="s">
        <v>5159</v>
      </c>
      <c r="J105" s="15" t="s">
        <v>1589</v>
      </c>
      <c r="K105" s="15" t="s">
        <v>5158</v>
      </c>
      <c r="L105" s="15" t="s">
        <v>5174</v>
      </c>
      <c r="M105" s="15"/>
      <c r="N105" s="15"/>
      <c r="O105" s="15"/>
      <c r="P105" s="15"/>
      <c r="Q105" s="15"/>
      <c r="R105" s="16"/>
      <c r="S105" s="35" t="s">
        <v>77</v>
      </c>
      <c r="T105" s="13">
        <v>2023</v>
      </c>
      <c r="U105" s="17">
        <v>20.9</v>
      </c>
      <c r="V105" s="17"/>
      <c r="W105" s="248">
        <f t="shared" si="16"/>
        <v>0</v>
      </c>
      <c r="X105" s="17"/>
      <c r="Y105" s="17"/>
      <c r="Z105" s="16"/>
      <c r="AA105" s="1016" t="s">
        <v>140</v>
      </c>
      <c r="AB105" s="17"/>
      <c r="AC105" s="21" t="s">
        <v>154</v>
      </c>
      <c r="AD105" s="21"/>
      <c r="AE105" s="21"/>
      <c r="AF105" s="17"/>
      <c r="AG105" s="15"/>
      <c r="AH105" s="16"/>
      <c r="AI105" s="16"/>
      <c r="AJ105" s="42">
        <f t="shared" ca="1" si="12"/>
        <v>64</v>
      </c>
      <c r="AK105" s="42">
        <f t="shared" ca="1" si="13"/>
        <v>61</v>
      </c>
      <c r="AL105" s="130" t="str">
        <f t="shared" si="14"/>
        <v>No Answer</v>
      </c>
      <c r="AM105" s="37">
        <v>45600</v>
      </c>
      <c r="AN105" s="38">
        <v>45600</v>
      </c>
      <c r="AO105" s="38"/>
      <c r="AP105" s="38"/>
      <c r="AQ105" s="38"/>
      <c r="AR105" s="101" t="s">
        <v>1763</v>
      </c>
      <c r="AS105" s="37">
        <v>45603</v>
      </c>
      <c r="AT105" s="11"/>
    </row>
    <row r="106" spans="1:55" s="271" customFormat="1" x14ac:dyDescent="0.35">
      <c r="A106" s="16"/>
      <c r="B106" s="16">
        <v>1</v>
      </c>
      <c r="C106" s="16" t="s">
        <v>5124</v>
      </c>
      <c r="D106" s="99" t="str">
        <f t="shared" si="15"/>
        <v>No Answer</v>
      </c>
      <c r="E106" s="12" t="s">
        <v>5138</v>
      </c>
      <c r="F106" s="20"/>
      <c r="G106" s="13" t="s">
        <v>838</v>
      </c>
      <c r="H106" s="14" t="s">
        <v>5123</v>
      </c>
      <c r="I106" s="13" t="s">
        <v>5161</v>
      </c>
      <c r="J106" s="15" t="s">
        <v>2769</v>
      </c>
      <c r="K106" s="15" t="s">
        <v>5160</v>
      </c>
      <c r="L106" s="15" t="s">
        <v>5175</v>
      </c>
      <c r="M106" s="15"/>
      <c r="N106" s="15"/>
      <c r="O106" s="15"/>
      <c r="P106" s="15"/>
      <c r="Q106" s="15"/>
      <c r="R106" s="16"/>
      <c r="S106" s="35" t="s">
        <v>77</v>
      </c>
      <c r="T106" s="13">
        <v>2023</v>
      </c>
      <c r="U106" s="17">
        <v>80.400000000000006</v>
      </c>
      <c r="V106" s="17"/>
      <c r="W106" s="248">
        <f t="shared" si="16"/>
        <v>0</v>
      </c>
      <c r="X106" s="17"/>
      <c r="Y106" s="17"/>
      <c r="Z106" s="16"/>
      <c r="AA106" s="1016" t="s">
        <v>140</v>
      </c>
      <c r="AB106" s="17"/>
      <c r="AC106" s="21" t="s">
        <v>154</v>
      </c>
      <c r="AD106" s="21"/>
      <c r="AE106" s="21"/>
      <c r="AF106" s="17"/>
      <c r="AG106" s="15"/>
      <c r="AH106" s="16"/>
      <c r="AI106" s="16"/>
      <c r="AJ106" s="42">
        <f t="shared" ca="1" si="12"/>
        <v>64</v>
      </c>
      <c r="AK106" s="42">
        <f t="shared" ca="1" si="13"/>
        <v>61</v>
      </c>
      <c r="AL106" s="130" t="str">
        <f t="shared" si="14"/>
        <v>No Answer</v>
      </c>
      <c r="AM106" s="37">
        <v>45600</v>
      </c>
      <c r="AN106" s="38">
        <v>45600</v>
      </c>
      <c r="AO106" s="38"/>
      <c r="AP106" s="1075"/>
      <c r="AQ106" s="38"/>
      <c r="AR106" s="101" t="s">
        <v>1763</v>
      </c>
      <c r="AS106" s="37">
        <v>45603</v>
      </c>
      <c r="AT106" s="11"/>
    </row>
    <row r="107" spans="1:55" s="271" customFormat="1" x14ac:dyDescent="0.35">
      <c r="B107" s="1061">
        <v>1</v>
      </c>
      <c r="C107" s="16" t="s">
        <v>4834</v>
      </c>
      <c r="D107" s="1434" t="str">
        <f t="shared" si="15"/>
        <v>Pending</v>
      </c>
      <c r="E107" s="12" t="s">
        <v>4954</v>
      </c>
      <c r="F107" s="1064"/>
      <c r="G107" s="13" t="s">
        <v>109</v>
      </c>
      <c r="H107" s="14" t="s">
        <v>4837</v>
      </c>
      <c r="I107" s="14" t="s">
        <v>4838</v>
      </c>
      <c r="J107" s="15" t="s">
        <v>4835</v>
      </c>
      <c r="K107" s="1067" t="str">
        <f>+J107</f>
        <v>Produzione carta</v>
      </c>
      <c r="L107" s="1067" t="s">
        <v>4836</v>
      </c>
      <c r="M107" s="1067"/>
      <c r="N107" s="1067"/>
      <c r="O107" s="1067"/>
      <c r="P107" s="1067"/>
      <c r="Q107" s="1067"/>
      <c r="R107" s="1061"/>
      <c r="S107" s="1068" t="s">
        <v>77</v>
      </c>
      <c r="T107" s="13">
        <v>2023</v>
      </c>
      <c r="U107" s="1069">
        <v>512</v>
      </c>
      <c r="V107" s="1069"/>
      <c r="W107" s="1070">
        <f t="shared" si="16"/>
        <v>0</v>
      </c>
      <c r="X107" s="1069"/>
      <c r="Y107" s="1069"/>
      <c r="Z107" s="1061"/>
      <c r="AA107" s="1067" t="s">
        <v>140</v>
      </c>
      <c r="AB107" s="1069"/>
      <c r="AC107" s="21" t="s">
        <v>154</v>
      </c>
      <c r="AD107" s="1071"/>
      <c r="AE107" s="1071"/>
      <c r="AF107" s="1069"/>
      <c r="AG107" s="1067"/>
      <c r="AH107" s="1061"/>
      <c r="AI107" s="1061"/>
      <c r="AJ107" s="1072">
        <f t="shared" ca="1" si="12"/>
        <v>62</v>
      </c>
      <c r="AK107" s="1072">
        <f t="shared" ca="1" si="13"/>
        <v>62</v>
      </c>
      <c r="AL107" s="1073">
        <f t="shared" si="14"/>
        <v>0.4</v>
      </c>
      <c r="AM107" s="1074">
        <v>45602</v>
      </c>
      <c r="AN107" s="1075">
        <v>45589</v>
      </c>
      <c r="AO107" s="1075"/>
      <c r="AP107" s="1075"/>
      <c r="AQ107" s="1075"/>
      <c r="AR107" s="1076" t="s">
        <v>1770</v>
      </c>
      <c r="AS107" s="1074">
        <v>45602</v>
      </c>
      <c r="AT107" s="11"/>
    </row>
    <row r="108" spans="1:55" s="271" customFormat="1" x14ac:dyDescent="0.35">
      <c r="A108" s="16"/>
      <c r="B108" s="1061">
        <v>1</v>
      </c>
      <c r="C108" s="16" t="s">
        <v>4834</v>
      </c>
      <c r="D108" s="1434" t="str">
        <f t="shared" si="15"/>
        <v>In touch - Negative</v>
      </c>
      <c r="E108" s="12" t="s">
        <v>4951</v>
      </c>
      <c r="F108" s="1064"/>
      <c r="G108" s="13" t="s">
        <v>272</v>
      </c>
      <c r="H108" s="14" t="s">
        <v>4974</v>
      </c>
      <c r="I108" s="14" t="s">
        <v>4975</v>
      </c>
      <c r="J108" s="15" t="s">
        <v>2769</v>
      </c>
      <c r="K108" s="15" t="s">
        <v>4976</v>
      </c>
      <c r="L108" s="1067" t="s">
        <v>4977</v>
      </c>
      <c r="M108" s="1067"/>
      <c r="N108" s="1067"/>
      <c r="O108" s="1067"/>
      <c r="P108" s="1067"/>
      <c r="Q108" s="1067"/>
      <c r="R108" s="1061"/>
      <c r="S108" s="1068" t="s">
        <v>77</v>
      </c>
      <c r="T108" s="13">
        <v>2023</v>
      </c>
      <c r="U108" s="1069">
        <v>1142</v>
      </c>
      <c r="V108" s="1069"/>
      <c r="W108" s="1070">
        <f t="shared" si="16"/>
        <v>0</v>
      </c>
      <c r="X108" s="1069"/>
      <c r="Y108" s="1069"/>
      <c r="Z108" s="1061"/>
      <c r="AA108" s="1067" t="s">
        <v>140</v>
      </c>
      <c r="AB108" s="1069"/>
      <c r="AC108" s="21" t="s">
        <v>154</v>
      </c>
      <c r="AD108" s="1071"/>
      <c r="AE108" s="1071"/>
      <c r="AF108" s="1069"/>
      <c r="AG108" s="1067"/>
      <c r="AH108" s="1061"/>
      <c r="AI108" s="1061"/>
      <c r="AJ108" s="1072">
        <f t="shared" ca="1" si="12"/>
        <v>62</v>
      </c>
      <c r="AK108" s="1072">
        <f t="shared" ca="1" si="13"/>
        <v>62</v>
      </c>
      <c r="AL108" s="1073" t="str">
        <f t="shared" si="14"/>
        <v>In touch - Negative</v>
      </c>
      <c r="AM108" s="1074">
        <v>45602</v>
      </c>
      <c r="AN108" s="1075">
        <v>45589</v>
      </c>
      <c r="AO108" s="1075"/>
      <c r="AP108" s="1075"/>
      <c r="AQ108" s="1075"/>
      <c r="AR108" s="1076" t="s">
        <v>1963</v>
      </c>
      <c r="AS108" s="1074">
        <v>45602</v>
      </c>
      <c r="AT108" s="11"/>
    </row>
    <row r="109" spans="1:55" s="271" customFormat="1" x14ac:dyDescent="0.35">
      <c r="A109" s="16"/>
      <c r="B109" s="1061">
        <v>1</v>
      </c>
      <c r="C109" s="16" t="s">
        <v>4834</v>
      </c>
      <c r="D109" s="1434" t="str">
        <f t="shared" si="15"/>
        <v>No Answer</v>
      </c>
      <c r="E109" s="12" t="s">
        <v>4980</v>
      </c>
      <c r="F109" s="1064"/>
      <c r="G109" s="13" t="s">
        <v>838</v>
      </c>
      <c r="H109" s="14" t="s">
        <v>4978</v>
      </c>
      <c r="I109" s="13" t="s">
        <v>4981</v>
      </c>
      <c r="J109" s="15" t="s">
        <v>750</v>
      </c>
      <c r="K109" s="15" t="s">
        <v>4990</v>
      </c>
      <c r="L109" s="1067" t="s">
        <v>4979</v>
      </c>
      <c r="M109" s="1067"/>
      <c r="N109" s="1067"/>
      <c r="O109" s="1067"/>
      <c r="P109" s="1067"/>
      <c r="Q109" s="1067"/>
      <c r="R109" s="1061"/>
      <c r="S109" s="1068" t="s">
        <v>77</v>
      </c>
      <c r="T109" s="13">
        <v>2023</v>
      </c>
      <c r="U109" s="1069">
        <v>335.6</v>
      </c>
      <c r="V109" s="1069"/>
      <c r="W109" s="1070">
        <f t="shared" si="16"/>
        <v>0</v>
      </c>
      <c r="X109" s="1069"/>
      <c r="Y109" s="1069"/>
      <c r="Z109" s="1061"/>
      <c r="AA109" s="1067" t="s">
        <v>140</v>
      </c>
      <c r="AB109" s="1069"/>
      <c r="AC109" s="21" t="s">
        <v>154</v>
      </c>
      <c r="AD109" s="1071"/>
      <c r="AE109" s="1071"/>
      <c r="AF109" s="1069"/>
      <c r="AG109" s="1067"/>
      <c r="AH109" s="1061"/>
      <c r="AI109" s="1061"/>
      <c r="AJ109" s="1072">
        <f t="shared" ca="1" si="12"/>
        <v>62</v>
      </c>
      <c r="AK109" s="1072">
        <f t="shared" ca="1" si="13"/>
        <v>62</v>
      </c>
      <c r="AL109" s="1073" t="str">
        <f t="shared" si="14"/>
        <v>No Answer</v>
      </c>
      <c r="AM109" s="1074">
        <v>45602</v>
      </c>
      <c r="AN109" s="1075">
        <v>45589</v>
      </c>
      <c r="AO109" s="1075"/>
      <c r="AP109" s="1075"/>
      <c r="AQ109" s="1075"/>
      <c r="AR109" s="1357" t="s">
        <v>1763</v>
      </c>
      <c r="AS109" s="1074">
        <v>45602</v>
      </c>
      <c r="AT109" s="11"/>
    </row>
    <row r="110" spans="1:55" s="271" customFormat="1" x14ac:dyDescent="0.35">
      <c r="A110" s="16"/>
      <c r="B110" s="1061">
        <v>1</v>
      </c>
      <c r="C110" s="16" t="s">
        <v>4834</v>
      </c>
      <c r="D110" s="1434" t="str">
        <f t="shared" si="15"/>
        <v>No Answer</v>
      </c>
      <c r="E110" s="12" t="s">
        <v>4952</v>
      </c>
      <c r="F110" s="1064"/>
      <c r="G110" s="13" t="s">
        <v>715</v>
      </c>
      <c r="H110" s="14" t="s">
        <v>4984</v>
      </c>
      <c r="I110" s="14" t="s">
        <v>4983</v>
      </c>
      <c r="J110" s="15" t="s">
        <v>473</v>
      </c>
      <c r="K110" s="15" t="s">
        <v>4985</v>
      </c>
      <c r="L110" s="1067" t="s">
        <v>4982</v>
      </c>
      <c r="M110" s="1067"/>
      <c r="N110" s="1067"/>
      <c r="O110" s="1067"/>
      <c r="P110" s="1067"/>
      <c r="Q110" s="1067"/>
      <c r="R110" s="1061"/>
      <c r="S110" s="1068" t="s">
        <v>77</v>
      </c>
      <c r="T110" s="13">
        <v>2023</v>
      </c>
      <c r="U110" s="1069">
        <v>138.9</v>
      </c>
      <c r="V110" s="1069"/>
      <c r="W110" s="1070">
        <f t="shared" si="16"/>
        <v>0</v>
      </c>
      <c r="X110" s="1069"/>
      <c r="Y110" s="1069"/>
      <c r="Z110" s="1061"/>
      <c r="AA110" s="1067" t="s">
        <v>140</v>
      </c>
      <c r="AB110" s="1069"/>
      <c r="AC110" s="21" t="s">
        <v>154</v>
      </c>
      <c r="AD110" s="1071"/>
      <c r="AE110" s="1071"/>
      <c r="AF110" s="1069"/>
      <c r="AG110" s="1067"/>
      <c r="AH110" s="1061"/>
      <c r="AI110" s="1061"/>
      <c r="AJ110" s="1072">
        <f t="shared" ca="1" si="12"/>
        <v>62</v>
      </c>
      <c r="AK110" s="1072">
        <f t="shared" ca="1" si="13"/>
        <v>62</v>
      </c>
      <c r="AL110" s="1073" t="str">
        <f t="shared" si="14"/>
        <v>No Answer</v>
      </c>
      <c r="AM110" s="1074">
        <v>45602</v>
      </c>
      <c r="AN110" s="1075">
        <v>45589</v>
      </c>
      <c r="AO110" s="1075"/>
      <c r="AP110" s="1075"/>
      <c r="AQ110" s="1075"/>
      <c r="AR110" s="1357" t="s">
        <v>1763</v>
      </c>
      <c r="AS110" s="1074">
        <v>45602</v>
      </c>
      <c r="AT110" s="11"/>
    </row>
    <row r="111" spans="1:55" s="271" customFormat="1" x14ac:dyDescent="0.35">
      <c r="A111" s="97"/>
      <c r="B111" s="1061">
        <v>1</v>
      </c>
      <c r="C111" s="16" t="s">
        <v>4834</v>
      </c>
      <c r="D111" s="1062" t="str">
        <f t="shared" si="15"/>
        <v>No Answer</v>
      </c>
      <c r="E111" s="12" t="s">
        <v>4953</v>
      </c>
      <c r="F111" s="1064"/>
      <c r="G111" s="13" t="s">
        <v>1141</v>
      </c>
      <c r="H111" s="14" t="s">
        <v>4987</v>
      </c>
      <c r="I111" s="14" t="s">
        <v>4988</v>
      </c>
      <c r="J111" s="15" t="s">
        <v>779</v>
      </c>
      <c r="K111" s="15" t="s">
        <v>4989</v>
      </c>
      <c r="L111" s="1067" t="s">
        <v>4986</v>
      </c>
      <c r="M111" s="1067"/>
      <c r="N111" s="1067"/>
      <c r="O111" s="1067"/>
      <c r="P111" s="1067"/>
      <c r="Q111" s="1067"/>
      <c r="R111" s="1061"/>
      <c r="S111" s="1068" t="s">
        <v>77</v>
      </c>
      <c r="T111" s="13">
        <v>2023</v>
      </c>
      <c r="U111" s="1069">
        <v>14.6</v>
      </c>
      <c r="V111" s="1069"/>
      <c r="W111" s="1070">
        <f t="shared" si="16"/>
        <v>0</v>
      </c>
      <c r="X111" s="1069"/>
      <c r="Y111" s="1069"/>
      <c r="Z111" s="1061"/>
      <c r="AA111" s="1067" t="s">
        <v>140</v>
      </c>
      <c r="AB111" s="1069"/>
      <c r="AC111" s="21" t="s">
        <v>154</v>
      </c>
      <c r="AD111" s="1071"/>
      <c r="AE111" s="1071"/>
      <c r="AF111" s="1069"/>
      <c r="AG111" s="1067"/>
      <c r="AH111" s="1061"/>
      <c r="AI111" s="1061"/>
      <c r="AJ111" s="1072">
        <f t="shared" ca="1" si="12"/>
        <v>62</v>
      </c>
      <c r="AK111" s="1072">
        <f t="shared" ca="1" si="13"/>
        <v>62</v>
      </c>
      <c r="AL111" s="1073" t="str">
        <f t="shared" si="14"/>
        <v>No Answer</v>
      </c>
      <c r="AM111" s="1074">
        <v>45602</v>
      </c>
      <c r="AN111" s="1075">
        <v>45589</v>
      </c>
      <c r="AO111" s="1075"/>
      <c r="AP111" s="1075"/>
      <c r="AQ111" s="1075"/>
      <c r="AR111" s="1076" t="s">
        <v>1763</v>
      </c>
      <c r="AS111" s="1074">
        <v>45602</v>
      </c>
      <c r="AT111" s="11"/>
    </row>
    <row r="112" spans="1:55" s="271" customFormat="1" x14ac:dyDescent="0.35">
      <c r="A112" s="1205"/>
      <c r="B112" s="1061">
        <v>1</v>
      </c>
      <c r="C112" s="16" t="s">
        <v>4834</v>
      </c>
      <c r="D112" s="1062" t="str">
        <f t="shared" si="15"/>
        <v>No Answer</v>
      </c>
      <c r="E112" s="12" t="s">
        <v>4955</v>
      </c>
      <c r="F112" s="1064"/>
      <c r="G112" s="13" t="s">
        <v>715</v>
      </c>
      <c r="H112" s="14" t="s">
        <v>4991</v>
      </c>
      <c r="I112" s="14" t="s">
        <v>4992</v>
      </c>
      <c r="J112" s="15" t="s">
        <v>779</v>
      </c>
      <c r="K112" s="15" t="s">
        <v>4993</v>
      </c>
      <c r="L112" s="15" t="s">
        <v>4994</v>
      </c>
      <c r="M112" s="1067"/>
      <c r="N112" s="1067"/>
      <c r="O112" s="1067"/>
      <c r="P112" s="1067"/>
      <c r="Q112" s="1067"/>
      <c r="R112" s="1061"/>
      <c r="S112" s="1068" t="s">
        <v>77</v>
      </c>
      <c r="T112" s="13">
        <v>2023</v>
      </c>
      <c r="U112" s="1069">
        <v>38.6</v>
      </c>
      <c r="V112" s="1069"/>
      <c r="W112" s="1070">
        <f t="shared" si="16"/>
        <v>0</v>
      </c>
      <c r="X112" s="1069"/>
      <c r="Y112" s="1069"/>
      <c r="Z112" s="1061"/>
      <c r="AA112" s="1067" t="s">
        <v>140</v>
      </c>
      <c r="AB112" s="1069"/>
      <c r="AC112" s="21" t="s">
        <v>154</v>
      </c>
      <c r="AD112" s="1071"/>
      <c r="AE112" s="1071"/>
      <c r="AF112" s="1069"/>
      <c r="AG112" s="1067"/>
      <c r="AH112" s="1061"/>
      <c r="AI112" s="1061"/>
      <c r="AJ112" s="1072">
        <f t="shared" ca="1" si="12"/>
        <v>62</v>
      </c>
      <c r="AK112" s="1072">
        <f t="shared" ca="1" si="13"/>
        <v>62</v>
      </c>
      <c r="AL112" s="1073" t="str">
        <f t="shared" si="14"/>
        <v>No Answer</v>
      </c>
      <c r="AM112" s="1074">
        <v>45602</v>
      </c>
      <c r="AN112" s="1075">
        <v>45589</v>
      </c>
      <c r="AO112" s="1075"/>
      <c r="AP112" s="1075"/>
      <c r="AQ112" s="1075"/>
      <c r="AR112" s="1076" t="s">
        <v>1763</v>
      </c>
      <c r="AS112" s="1074">
        <v>45602</v>
      </c>
      <c r="AT112" s="1222"/>
      <c r="AU112" s="1223"/>
      <c r="AV112" s="1223"/>
      <c r="AW112" s="1223"/>
      <c r="AX112" s="1223"/>
      <c r="AY112" s="1223"/>
      <c r="AZ112" s="1223"/>
      <c r="BA112" s="1223"/>
      <c r="BB112" s="1223"/>
      <c r="BC112" s="1223"/>
    </row>
    <row r="113" spans="1:55" s="271" customFormat="1" x14ac:dyDescent="0.35">
      <c r="A113" s="97"/>
      <c r="B113" s="1061">
        <v>1</v>
      </c>
      <c r="C113" s="16" t="s">
        <v>4834</v>
      </c>
      <c r="D113" s="1062" t="str">
        <f t="shared" si="15"/>
        <v>No Answer</v>
      </c>
      <c r="E113" s="12" t="s">
        <v>4956</v>
      </c>
      <c r="F113" s="1064"/>
      <c r="G113" s="13" t="s">
        <v>1224</v>
      </c>
      <c r="H113" s="14" t="s">
        <v>4999</v>
      </c>
      <c r="I113" s="13" t="s">
        <v>4998</v>
      </c>
      <c r="J113" s="15" t="s">
        <v>2769</v>
      </c>
      <c r="K113" s="15" t="s">
        <v>4997</v>
      </c>
      <c r="L113" s="1067" t="s">
        <v>4996</v>
      </c>
      <c r="M113" s="1067"/>
      <c r="N113" s="1067"/>
      <c r="O113" s="1067"/>
      <c r="P113" s="1067"/>
      <c r="Q113" s="1067"/>
      <c r="R113" s="1061"/>
      <c r="S113" s="1068" t="s">
        <v>77</v>
      </c>
      <c r="T113" s="13">
        <v>2023</v>
      </c>
      <c r="U113" s="1069">
        <v>14.9</v>
      </c>
      <c r="V113" s="1069"/>
      <c r="W113" s="1070">
        <f t="shared" si="16"/>
        <v>0</v>
      </c>
      <c r="X113" s="1069"/>
      <c r="Y113" s="1069"/>
      <c r="Z113" s="1061"/>
      <c r="AA113" s="1067" t="s">
        <v>140</v>
      </c>
      <c r="AB113" s="1069"/>
      <c r="AC113" s="21" t="s">
        <v>154</v>
      </c>
      <c r="AD113" s="1071"/>
      <c r="AE113" s="1071"/>
      <c r="AF113" s="1069"/>
      <c r="AG113" s="1067"/>
      <c r="AH113" s="1061"/>
      <c r="AI113" s="1061"/>
      <c r="AJ113" s="1072">
        <f t="shared" ca="1" si="12"/>
        <v>62</v>
      </c>
      <c r="AK113" s="1072">
        <f t="shared" ca="1" si="13"/>
        <v>62</v>
      </c>
      <c r="AL113" s="1073" t="str">
        <f t="shared" si="14"/>
        <v>No Answer</v>
      </c>
      <c r="AM113" s="1074">
        <v>45602</v>
      </c>
      <c r="AN113" s="1075">
        <v>45589</v>
      </c>
      <c r="AO113" s="1075"/>
      <c r="AP113" s="1075"/>
      <c r="AQ113" s="1075"/>
      <c r="AR113" s="1076" t="s">
        <v>1763</v>
      </c>
      <c r="AS113" s="1074">
        <v>45602</v>
      </c>
      <c r="AT113" s="23"/>
    </row>
    <row r="114" spans="1:55" s="271" customFormat="1" x14ac:dyDescent="0.35">
      <c r="A114" s="97"/>
      <c r="B114" s="1061">
        <v>1</v>
      </c>
      <c r="C114" s="16" t="s">
        <v>4834</v>
      </c>
      <c r="D114" s="1062" t="str">
        <f t="shared" si="15"/>
        <v>No Answer</v>
      </c>
      <c r="E114" s="12" t="s">
        <v>4957</v>
      </c>
      <c r="F114" s="1064"/>
      <c r="G114" s="13" t="s">
        <v>677</v>
      </c>
      <c r="H114" s="14" t="s">
        <v>5001</v>
      </c>
      <c r="I114" s="13" t="s">
        <v>5002</v>
      </c>
      <c r="J114" s="15" t="s">
        <v>2769</v>
      </c>
      <c r="K114" s="15" t="s">
        <v>5003</v>
      </c>
      <c r="L114" s="15" t="s">
        <v>5000</v>
      </c>
      <c r="M114" s="1067"/>
      <c r="N114" s="1067"/>
      <c r="O114" s="1067"/>
      <c r="P114" s="1067"/>
      <c r="Q114" s="1067"/>
      <c r="R114" s="1061"/>
      <c r="S114" s="1068" t="s">
        <v>77</v>
      </c>
      <c r="T114" s="13">
        <v>2023</v>
      </c>
      <c r="U114" s="1069">
        <v>23.5</v>
      </c>
      <c r="V114" s="1069"/>
      <c r="W114" s="1070">
        <f t="shared" si="16"/>
        <v>0</v>
      </c>
      <c r="X114" s="1069"/>
      <c r="Y114" s="1069"/>
      <c r="Z114" s="1061"/>
      <c r="AA114" s="1067" t="s">
        <v>140</v>
      </c>
      <c r="AB114" s="1069"/>
      <c r="AC114" s="21" t="s">
        <v>154</v>
      </c>
      <c r="AD114" s="1071"/>
      <c r="AE114" s="1071"/>
      <c r="AF114" s="1069"/>
      <c r="AG114" s="1067"/>
      <c r="AH114" s="1061"/>
      <c r="AI114" s="1061"/>
      <c r="AJ114" s="1072">
        <f t="shared" ca="1" si="12"/>
        <v>62</v>
      </c>
      <c r="AK114" s="1072">
        <f t="shared" ca="1" si="13"/>
        <v>62</v>
      </c>
      <c r="AL114" s="1073" t="str">
        <f t="shared" si="14"/>
        <v>No Answer</v>
      </c>
      <c r="AM114" s="1074">
        <v>45602</v>
      </c>
      <c r="AN114" s="1075">
        <v>45589</v>
      </c>
      <c r="AO114" s="1075"/>
      <c r="AP114" s="1075"/>
      <c r="AQ114" s="1075"/>
      <c r="AR114" s="1076" t="s">
        <v>1763</v>
      </c>
      <c r="AS114" s="1074">
        <v>45602</v>
      </c>
      <c r="AT114" s="23"/>
    </row>
    <row r="115" spans="1:55" s="271" customFormat="1" x14ac:dyDescent="0.35">
      <c r="A115" s="97"/>
      <c r="B115" s="1061">
        <v>1</v>
      </c>
      <c r="C115" s="16" t="s">
        <v>4834</v>
      </c>
      <c r="D115" s="1062" t="str">
        <f t="shared" si="15"/>
        <v>In touch - Positive</v>
      </c>
      <c r="E115" s="12" t="s">
        <v>4958</v>
      </c>
      <c r="F115" s="1064"/>
      <c r="G115" s="13" t="s">
        <v>2200</v>
      </c>
      <c r="H115" s="14" t="s">
        <v>5006</v>
      </c>
      <c r="I115" s="13" t="s">
        <v>5007</v>
      </c>
      <c r="J115" s="15" t="s">
        <v>149</v>
      </c>
      <c r="K115" s="15" t="s">
        <v>5005</v>
      </c>
      <c r="L115" s="15" t="s">
        <v>5004</v>
      </c>
      <c r="M115" s="1067"/>
      <c r="N115" s="1067"/>
      <c r="O115" s="1067"/>
      <c r="P115" s="1067"/>
      <c r="Q115" s="1067"/>
      <c r="R115" s="1061"/>
      <c r="S115" s="1068" t="s">
        <v>77</v>
      </c>
      <c r="T115" s="13">
        <v>2023</v>
      </c>
      <c r="U115" s="1069">
        <v>28.4</v>
      </c>
      <c r="V115" s="1069"/>
      <c r="W115" s="1070">
        <f t="shared" si="16"/>
        <v>0</v>
      </c>
      <c r="X115" s="1069"/>
      <c r="Y115" s="1069"/>
      <c r="Z115" s="1061"/>
      <c r="AA115" s="1067" t="s">
        <v>140</v>
      </c>
      <c r="AB115" s="1069"/>
      <c r="AC115" s="21" t="s">
        <v>154</v>
      </c>
      <c r="AD115" s="1071"/>
      <c r="AE115" s="1071"/>
      <c r="AF115" s="1069"/>
      <c r="AG115" s="1067"/>
      <c r="AH115" s="1061"/>
      <c r="AI115" s="1061"/>
      <c r="AJ115" s="1072">
        <f t="shared" ca="1" si="12"/>
        <v>62</v>
      </c>
      <c r="AK115" s="1072">
        <f t="shared" ca="1" si="13"/>
        <v>62</v>
      </c>
      <c r="AL115" s="1073" t="str">
        <f t="shared" si="14"/>
        <v>In touch - Positive</v>
      </c>
      <c r="AM115" s="1074">
        <v>45602</v>
      </c>
      <c r="AN115" s="1075">
        <v>45589</v>
      </c>
      <c r="AO115" s="1075"/>
      <c r="AP115" s="1075"/>
      <c r="AQ115" s="1075"/>
      <c r="AR115" s="1076" t="s">
        <v>1818</v>
      </c>
      <c r="AS115" s="1074">
        <v>45602</v>
      </c>
      <c r="AT115" s="23"/>
    </row>
    <row r="116" spans="1:55" s="271" customFormat="1" x14ac:dyDescent="0.35">
      <c r="A116" s="97"/>
      <c r="B116" s="1061">
        <v>1</v>
      </c>
      <c r="C116" s="16" t="s">
        <v>4834</v>
      </c>
      <c r="D116" s="1062" t="str">
        <f t="shared" si="15"/>
        <v>In touch - Positive</v>
      </c>
      <c r="E116" s="12" t="s">
        <v>4959</v>
      </c>
      <c r="F116" s="1064"/>
      <c r="G116" s="13" t="s">
        <v>856</v>
      </c>
      <c r="H116" s="14" t="s">
        <v>857</v>
      </c>
      <c r="I116" s="14" t="s">
        <v>5008</v>
      </c>
      <c r="J116" s="15" t="s">
        <v>779</v>
      </c>
      <c r="K116" s="15" t="s">
        <v>5009</v>
      </c>
      <c r="L116" s="15" t="s">
        <v>1082</v>
      </c>
      <c r="M116" s="15"/>
      <c r="N116" s="15"/>
      <c r="O116" s="15"/>
      <c r="P116" s="15"/>
      <c r="Q116" s="15"/>
      <c r="R116" s="1061"/>
      <c r="S116" s="1068" t="s">
        <v>77</v>
      </c>
      <c r="T116" s="13">
        <v>2023</v>
      </c>
      <c r="U116" s="1069">
        <v>26.2</v>
      </c>
      <c r="V116" s="1069"/>
      <c r="W116" s="1070">
        <f t="shared" si="16"/>
        <v>0</v>
      </c>
      <c r="X116" s="1069"/>
      <c r="Y116" s="1069"/>
      <c r="Z116" s="1061"/>
      <c r="AA116" s="1067" t="s">
        <v>140</v>
      </c>
      <c r="AB116" s="1069"/>
      <c r="AC116" s="21" t="s">
        <v>154</v>
      </c>
      <c r="AD116" s="1071"/>
      <c r="AE116" s="1071"/>
      <c r="AF116" s="1069"/>
      <c r="AG116" s="1067"/>
      <c r="AH116" s="1061"/>
      <c r="AI116" s="1061"/>
      <c r="AJ116" s="1072">
        <f t="shared" ca="1" si="12"/>
        <v>62</v>
      </c>
      <c r="AK116" s="1072">
        <f t="shared" ca="1" si="13"/>
        <v>62</v>
      </c>
      <c r="AL116" s="1073" t="str">
        <f t="shared" si="14"/>
        <v>In touch - Positive</v>
      </c>
      <c r="AM116" s="1074">
        <v>45602</v>
      </c>
      <c r="AN116" s="1075">
        <v>45589</v>
      </c>
      <c r="AO116" s="1075"/>
      <c r="AP116" s="1075"/>
      <c r="AQ116" s="1075"/>
      <c r="AR116" s="1076" t="s">
        <v>1818</v>
      </c>
      <c r="AS116" s="1074">
        <v>45602</v>
      </c>
      <c r="AT116" s="23"/>
    </row>
    <row r="117" spans="1:55" s="271" customFormat="1" x14ac:dyDescent="0.35">
      <c r="A117" s="97"/>
      <c r="B117" s="1061">
        <v>1</v>
      </c>
      <c r="C117" s="16" t="s">
        <v>4834</v>
      </c>
      <c r="D117" s="1062" t="str">
        <f t="shared" si="15"/>
        <v>No Answer</v>
      </c>
      <c r="E117" s="12" t="s">
        <v>4960</v>
      </c>
      <c r="F117" s="1064"/>
      <c r="G117" s="13" t="s">
        <v>508</v>
      </c>
      <c r="H117" s="14" t="s">
        <v>5011</v>
      </c>
      <c r="I117" s="13" t="s">
        <v>5012</v>
      </c>
      <c r="J117" s="15" t="s">
        <v>779</v>
      </c>
      <c r="K117" s="15" t="s">
        <v>5013</v>
      </c>
      <c r="L117" s="15" t="s">
        <v>5010</v>
      </c>
      <c r="M117" s="1067"/>
      <c r="N117" s="1067"/>
      <c r="O117" s="1067"/>
      <c r="P117" s="1067"/>
      <c r="Q117" s="1067"/>
      <c r="R117" s="1061"/>
      <c r="S117" s="1068" t="s">
        <v>77</v>
      </c>
      <c r="T117" s="13">
        <v>2023</v>
      </c>
      <c r="U117" s="1069">
        <v>280</v>
      </c>
      <c r="V117" s="1069"/>
      <c r="W117" s="1070">
        <f t="shared" si="16"/>
        <v>0</v>
      </c>
      <c r="X117" s="1069"/>
      <c r="Y117" s="1069"/>
      <c r="Z117" s="1061"/>
      <c r="AA117" s="1067" t="s">
        <v>140</v>
      </c>
      <c r="AB117" s="1069"/>
      <c r="AC117" s="21" t="s">
        <v>154</v>
      </c>
      <c r="AD117" s="1071"/>
      <c r="AE117" s="1071"/>
      <c r="AF117" s="1069"/>
      <c r="AG117" s="1067"/>
      <c r="AH117" s="1061"/>
      <c r="AI117" s="1061"/>
      <c r="AJ117" s="1072">
        <f t="shared" ca="1" si="12"/>
        <v>62</v>
      </c>
      <c r="AK117" s="1072">
        <f t="shared" ca="1" si="13"/>
        <v>62</v>
      </c>
      <c r="AL117" s="1073" t="str">
        <f t="shared" si="14"/>
        <v>No Answer</v>
      </c>
      <c r="AM117" s="1074">
        <v>45602</v>
      </c>
      <c r="AN117" s="1075">
        <v>45589</v>
      </c>
      <c r="AO117" s="1075"/>
      <c r="AP117" s="1075"/>
      <c r="AQ117" s="1075"/>
      <c r="AR117" s="1357" t="s">
        <v>1763</v>
      </c>
      <c r="AS117" s="1074">
        <v>45602</v>
      </c>
      <c r="AT117" s="23"/>
    </row>
    <row r="118" spans="1:55" s="271" customFormat="1" x14ac:dyDescent="0.35">
      <c r="A118" s="97"/>
      <c r="B118" s="1061">
        <v>1</v>
      </c>
      <c r="C118" s="16" t="s">
        <v>4834</v>
      </c>
      <c r="D118" s="1062" t="str">
        <f t="shared" si="15"/>
        <v>No Answer</v>
      </c>
      <c r="E118" s="12" t="s">
        <v>4961</v>
      </c>
      <c r="F118" s="1064"/>
      <c r="G118" s="13" t="s">
        <v>5015</v>
      </c>
      <c r="H118" s="14" t="s">
        <v>5017</v>
      </c>
      <c r="I118" s="13" t="s">
        <v>5018</v>
      </c>
      <c r="J118" s="15" t="s">
        <v>779</v>
      </c>
      <c r="K118" s="15" t="s">
        <v>5016</v>
      </c>
      <c r="L118" s="15" t="s">
        <v>5014</v>
      </c>
      <c r="M118" s="1067"/>
      <c r="N118" s="1067"/>
      <c r="O118" s="1067"/>
      <c r="P118" s="1067"/>
      <c r="Q118" s="1067"/>
      <c r="R118" s="1061"/>
      <c r="S118" s="1068" t="s">
        <v>77</v>
      </c>
      <c r="T118" s="13">
        <v>2023</v>
      </c>
      <c r="U118" s="1069">
        <v>39.299999999999997</v>
      </c>
      <c r="V118" s="1069"/>
      <c r="W118" s="1070">
        <f t="shared" si="16"/>
        <v>0</v>
      </c>
      <c r="X118" s="1069"/>
      <c r="Y118" s="1069"/>
      <c r="Z118" s="1061"/>
      <c r="AA118" s="1067" t="s">
        <v>140</v>
      </c>
      <c r="AB118" s="1069"/>
      <c r="AC118" s="21" t="s">
        <v>154</v>
      </c>
      <c r="AD118" s="1071"/>
      <c r="AE118" s="1071"/>
      <c r="AF118" s="1069"/>
      <c r="AG118" s="1067"/>
      <c r="AH118" s="1061"/>
      <c r="AI118" s="1061"/>
      <c r="AJ118" s="1072">
        <f t="shared" ca="1" si="12"/>
        <v>62</v>
      </c>
      <c r="AK118" s="1072">
        <f t="shared" ca="1" si="13"/>
        <v>62</v>
      </c>
      <c r="AL118" s="1073" t="str">
        <f t="shared" si="14"/>
        <v>No Answer</v>
      </c>
      <c r="AM118" s="1074">
        <v>45602</v>
      </c>
      <c r="AN118" s="1075">
        <v>45589</v>
      </c>
      <c r="AO118" s="1075"/>
      <c r="AP118" s="1075"/>
      <c r="AQ118" s="1075"/>
      <c r="AR118" s="1076" t="s">
        <v>1763</v>
      </c>
      <c r="AS118" s="1074">
        <v>45602</v>
      </c>
      <c r="AT118" s="23"/>
    </row>
    <row r="119" spans="1:55" s="271" customFormat="1" x14ac:dyDescent="0.35">
      <c r="A119" s="97"/>
      <c r="B119" s="1061">
        <v>1</v>
      </c>
      <c r="C119" s="16" t="s">
        <v>4834</v>
      </c>
      <c r="D119" s="1062" t="str">
        <f t="shared" si="15"/>
        <v>In touch - Positive</v>
      </c>
      <c r="E119" s="12" t="s">
        <v>4962</v>
      </c>
      <c r="F119" s="1064"/>
      <c r="G119" s="13" t="s">
        <v>270</v>
      </c>
      <c r="H119" s="14" t="s">
        <v>5020</v>
      </c>
      <c r="I119" s="13" t="s">
        <v>5008</v>
      </c>
      <c r="J119" s="15" t="s">
        <v>779</v>
      </c>
      <c r="K119" s="15" t="s">
        <v>5021</v>
      </c>
      <c r="L119" s="15" t="s">
        <v>5019</v>
      </c>
      <c r="M119" s="1067"/>
      <c r="N119" s="1067"/>
      <c r="O119" s="1067"/>
      <c r="P119" s="1067"/>
      <c r="Q119" s="1067"/>
      <c r="R119" s="1061"/>
      <c r="S119" s="1068" t="s">
        <v>77</v>
      </c>
      <c r="T119" s="13">
        <v>2023</v>
      </c>
      <c r="U119" s="1069">
        <v>59</v>
      </c>
      <c r="V119" s="1069"/>
      <c r="W119" s="1070">
        <f t="shared" si="16"/>
        <v>0</v>
      </c>
      <c r="X119" s="1069"/>
      <c r="Y119" s="1069"/>
      <c r="Z119" s="1061"/>
      <c r="AA119" s="1067" t="s">
        <v>140</v>
      </c>
      <c r="AB119" s="1069"/>
      <c r="AC119" s="21" t="s">
        <v>154</v>
      </c>
      <c r="AD119" s="1071"/>
      <c r="AE119" s="1071"/>
      <c r="AF119" s="1069"/>
      <c r="AG119" s="1067"/>
      <c r="AH119" s="1061"/>
      <c r="AI119" s="1061"/>
      <c r="AJ119" s="1072">
        <f t="shared" ca="1" si="12"/>
        <v>62</v>
      </c>
      <c r="AK119" s="1072">
        <f t="shared" ca="1" si="13"/>
        <v>62</v>
      </c>
      <c r="AL119" s="1073" t="str">
        <f t="shared" si="14"/>
        <v>In touch - Positive</v>
      </c>
      <c r="AM119" s="1074">
        <v>45602</v>
      </c>
      <c r="AN119" s="1075">
        <v>45589</v>
      </c>
      <c r="AO119" s="1075"/>
      <c r="AP119" s="1075"/>
      <c r="AQ119" s="1075"/>
      <c r="AR119" s="1076" t="s">
        <v>1818</v>
      </c>
      <c r="AS119" s="1074">
        <v>45602</v>
      </c>
      <c r="AT119" s="23"/>
    </row>
    <row r="120" spans="1:55" s="271" customFormat="1" x14ac:dyDescent="0.35">
      <c r="A120" s="97"/>
      <c r="B120" s="1061">
        <v>1</v>
      </c>
      <c r="C120" s="16" t="s">
        <v>4834</v>
      </c>
      <c r="D120" s="1062" t="str">
        <f t="shared" si="15"/>
        <v>No Answer</v>
      </c>
      <c r="E120" s="12" t="s">
        <v>4963</v>
      </c>
      <c r="F120" s="1064"/>
      <c r="G120" s="13" t="s">
        <v>137</v>
      </c>
      <c r="H120" s="14" t="s">
        <v>5024</v>
      </c>
      <c r="I120" s="13" t="s">
        <v>5025</v>
      </c>
      <c r="J120" s="15" t="s">
        <v>779</v>
      </c>
      <c r="K120" s="15" t="s">
        <v>5023</v>
      </c>
      <c r="L120" s="15" t="s">
        <v>5022</v>
      </c>
      <c r="M120" s="1067"/>
      <c r="N120" s="1067"/>
      <c r="O120" s="1067"/>
      <c r="P120" s="1067"/>
      <c r="Q120" s="1067"/>
      <c r="R120" s="1061"/>
      <c r="S120" s="1068" t="s">
        <v>77</v>
      </c>
      <c r="T120" s="13">
        <v>2023</v>
      </c>
      <c r="U120" s="1069">
        <v>23.7</v>
      </c>
      <c r="V120" s="1069"/>
      <c r="W120" s="1070">
        <f t="shared" si="16"/>
        <v>0</v>
      </c>
      <c r="X120" s="1069"/>
      <c r="Y120" s="1069"/>
      <c r="Z120" s="1061"/>
      <c r="AA120" s="1067" t="s">
        <v>140</v>
      </c>
      <c r="AB120" s="1069"/>
      <c r="AC120" s="21" t="s">
        <v>154</v>
      </c>
      <c r="AD120" s="1071"/>
      <c r="AE120" s="1071"/>
      <c r="AF120" s="1069"/>
      <c r="AG120" s="1067"/>
      <c r="AH120" s="1061"/>
      <c r="AI120" s="1061"/>
      <c r="AJ120" s="1072">
        <f t="shared" ca="1" si="12"/>
        <v>62</v>
      </c>
      <c r="AK120" s="1072">
        <f t="shared" ca="1" si="13"/>
        <v>62</v>
      </c>
      <c r="AL120" s="1073" t="str">
        <f t="shared" si="14"/>
        <v>No Answer</v>
      </c>
      <c r="AM120" s="1074">
        <v>45602</v>
      </c>
      <c r="AN120" s="1075">
        <v>45589</v>
      </c>
      <c r="AO120" s="1075"/>
      <c r="AP120" s="1075"/>
      <c r="AQ120" s="1075"/>
      <c r="AR120" s="1076" t="s">
        <v>1763</v>
      </c>
      <c r="AS120" s="1074">
        <v>45602</v>
      </c>
      <c r="AT120" s="23"/>
    </row>
    <row r="121" spans="1:55" s="271" customFormat="1" x14ac:dyDescent="0.35">
      <c r="A121" s="97"/>
      <c r="B121" s="1061">
        <v>1</v>
      </c>
      <c r="C121" s="16" t="s">
        <v>4834</v>
      </c>
      <c r="D121" s="1062" t="str">
        <f t="shared" si="15"/>
        <v>No Answer</v>
      </c>
      <c r="E121" s="12" t="s">
        <v>4964</v>
      </c>
      <c r="F121" s="1064"/>
      <c r="G121" s="13" t="s">
        <v>272</v>
      </c>
      <c r="H121" s="14" t="s">
        <v>5028</v>
      </c>
      <c r="I121" s="13" t="s">
        <v>5029</v>
      </c>
      <c r="J121" s="15" t="s">
        <v>473</v>
      </c>
      <c r="K121" s="15" t="s">
        <v>5027</v>
      </c>
      <c r="L121" s="15" t="s">
        <v>5026</v>
      </c>
      <c r="M121" s="1067"/>
      <c r="N121" s="1067"/>
      <c r="O121" s="1067"/>
      <c r="P121" s="1067"/>
      <c r="Q121" s="1067"/>
      <c r="R121" s="1061"/>
      <c r="S121" s="1068" t="s">
        <v>77</v>
      </c>
      <c r="T121" s="13">
        <v>2023</v>
      </c>
      <c r="U121" s="1069">
        <v>95.2</v>
      </c>
      <c r="V121" s="1069"/>
      <c r="W121" s="1070">
        <f t="shared" si="16"/>
        <v>0</v>
      </c>
      <c r="X121" s="1069"/>
      <c r="Y121" s="1069"/>
      <c r="Z121" s="1061"/>
      <c r="AA121" s="1067" t="s">
        <v>140</v>
      </c>
      <c r="AB121" s="1069"/>
      <c r="AC121" s="21" t="s">
        <v>154</v>
      </c>
      <c r="AD121" s="1071"/>
      <c r="AE121" s="1071"/>
      <c r="AF121" s="1069"/>
      <c r="AG121" s="1067"/>
      <c r="AH121" s="1061"/>
      <c r="AI121" s="1061"/>
      <c r="AJ121" s="1072">
        <f t="shared" ca="1" si="12"/>
        <v>62</v>
      </c>
      <c r="AK121" s="1072">
        <f t="shared" ca="1" si="13"/>
        <v>62</v>
      </c>
      <c r="AL121" s="1073" t="str">
        <f t="shared" si="14"/>
        <v>No Answer</v>
      </c>
      <c r="AM121" s="1074">
        <v>45602</v>
      </c>
      <c r="AN121" s="1075">
        <v>45589</v>
      </c>
      <c r="AO121" s="1075"/>
      <c r="AP121" s="1075"/>
      <c r="AQ121" s="1075"/>
      <c r="AR121" s="1357" t="s">
        <v>1763</v>
      </c>
      <c r="AS121" s="1074">
        <v>45602</v>
      </c>
      <c r="AT121" s="23"/>
    </row>
    <row r="122" spans="1:55" s="271" customFormat="1" x14ac:dyDescent="0.35">
      <c r="A122" s="1173"/>
      <c r="B122" s="1061">
        <v>1</v>
      </c>
      <c r="C122" s="16" t="s">
        <v>4834</v>
      </c>
      <c r="D122" s="1062" t="str">
        <f t="shared" si="15"/>
        <v>No Answer</v>
      </c>
      <c r="E122" s="12" t="s">
        <v>4965</v>
      </c>
      <c r="F122" s="1064"/>
      <c r="G122" s="13" t="s">
        <v>677</v>
      </c>
      <c r="H122" s="14" t="s">
        <v>5032</v>
      </c>
      <c r="I122" s="13" t="s">
        <v>5033</v>
      </c>
      <c r="J122" s="15" t="s">
        <v>2769</v>
      </c>
      <c r="K122" s="15" t="s">
        <v>5031</v>
      </c>
      <c r="L122" s="15" t="s">
        <v>5030</v>
      </c>
      <c r="M122" s="1067"/>
      <c r="N122" s="1067"/>
      <c r="O122" s="1067"/>
      <c r="P122" s="1067"/>
      <c r="Q122" s="1067"/>
      <c r="R122" s="1061"/>
      <c r="S122" s="1068" t="s">
        <v>77</v>
      </c>
      <c r="T122" s="13">
        <v>2023</v>
      </c>
      <c r="U122" s="1069">
        <v>15.3</v>
      </c>
      <c r="V122" s="1069"/>
      <c r="W122" s="1070">
        <f t="shared" si="16"/>
        <v>0</v>
      </c>
      <c r="X122" s="1069"/>
      <c r="Y122" s="1069"/>
      <c r="Z122" s="1061"/>
      <c r="AA122" s="1067" t="s">
        <v>140</v>
      </c>
      <c r="AB122" s="1069"/>
      <c r="AC122" s="21" t="s">
        <v>154</v>
      </c>
      <c r="AD122" s="1071"/>
      <c r="AE122" s="1071"/>
      <c r="AF122" s="1069"/>
      <c r="AG122" s="1067"/>
      <c r="AH122" s="1061"/>
      <c r="AI122" s="1061"/>
      <c r="AJ122" s="1072">
        <f t="shared" ca="1" si="12"/>
        <v>62</v>
      </c>
      <c r="AK122" s="1072">
        <f t="shared" ca="1" si="13"/>
        <v>62</v>
      </c>
      <c r="AL122" s="1073" t="str">
        <f t="shared" si="14"/>
        <v>No Answer</v>
      </c>
      <c r="AM122" s="1074">
        <v>45602</v>
      </c>
      <c r="AN122" s="1075">
        <v>45589</v>
      </c>
      <c r="AO122" s="1075"/>
      <c r="AP122" s="1075"/>
      <c r="AQ122" s="1075"/>
      <c r="AR122" s="1076" t="s">
        <v>1763</v>
      </c>
      <c r="AS122" s="1074">
        <v>45602</v>
      </c>
      <c r="AT122" s="1172"/>
      <c r="AU122" s="1174"/>
      <c r="AV122" s="1174"/>
      <c r="AW122" s="1174"/>
      <c r="AX122" s="1174"/>
      <c r="AY122" s="1174"/>
      <c r="AZ122" s="1174"/>
      <c r="BA122" s="1174"/>
      <c r="BB122" s="1174"/>
      <c r="BC122" s="1174"/>
    </row>
    <row r="123" spans="1:55" s="271" customFormat="1" x14ac:dyDescent="0.35">
      <c r="A123" s="1173"/>
      <c r="B123" s="1061">
        <v>1</v>
      </c>
      <c r="C123" s="16" t="s">
        <v>4834</v>
      </c>
      <c r="D123" s="1062" t="str">
        <f t="shared" si="15"/>
        <v>No Answer</v>
      </c>
      <c r="E123" s="12" t="s">
        <v>4966</v>
      </c>
      <c r="F123" s="1064"/>
      <c r="G123" s="13" t="s">
        <v>386</v>
      </c>
      <c r="H123" s="14" t="s">
        <v>5036</v>
      </c>
      <c r="I123" s="13" t="s">
        <v>5037</v>
      </c>
      <c r="J123" s="15" t="s">
        <v>779</v>
      </c>
      <c r="K123" s="15" t="s">
        <v>5035</v>
      </c>
      <c r="L123" s="15" t="s">
        <v>5034</v>
      </c>
      <c r="M123" s="1067"/>
      <c r="N123" s="1067"/>
      <c r="O123" s="1067"/>
      <c r="P123" s="1067"/>
      <c r="Q123" s="1067"/>
      <c r="R123" s="1061"/>
      <c r="S123" s="1068" t="s">
        <v>77</v>
      </c>
      <c r="T123" s="13">
        <v>2023</v>
      </c>
      <c r="U123" s="1069">
        <v>54.5</v>
      </c>
      <c r="V123" s="1069"/>
      <c r="W123" s="1070">
        <f t="shared" si="16"/>
        <v>0</v>
      </c>
      <c r="X123" s="1069"/>
      <c r="Y123" s="1069"/>
      <c r="Z123" s="1061"/>
      <c r="AA123" s="1067" t="s">
        <v>140</v>
      </c>
      <c r="AB123" s="1069"/>
      <c r="AC123" s="21" t="s">
        <v>154</v>
      </c>
      <c r="AD123" s="1071"/>
      <c r="AE123" s="1071"/>
      <c r="AF123" s="1069"/>
      <c r="AG123" s="1067"/>
      <c r="AH123" s="1061"/>
      <c r="AI123" s="1061"/>
      <c r="AJ123" s="1072">
        <f t="shared" ca="1" si="12"/>
        <v>62</v>
      </c>
      <c r="AK123" s="1072">
        <f t="shared" ca="1" si="13"/>
        <v>62</v>
      </c>
      <c r="AL123" s="1073" t="str">
        <f t="shared" si="14"/>
        <v>No Answer</v>
      </c>
      <c r="AM123" s="1074">
        <v>45602</v>
      </c>
      <c r="AN123" s="1075">
        <v>45589</v>
      </c>
      <c r="AO123" s="1075"/>
      <c r="AP123" s="1075"/>
      <c r="AQ123" s="1075"/>
      <c r="AR123" s="1357" t="s">
        <v>1763</v>
      </c>
      <c r="AS123" s="1074">
        <v>45602</v>
      </c>
      <c r="AT123" s="1172"/>
      <c r="AU123" s="1174"/>
      <c r="AV123" s="1174"/>
      <c r="AW123" s="1174"/>
      <c r="AX123" s="1174"/>
      <c r="AY123" s="1174"/>
      <c r="AZ123" s="1174"/>
      <c r="BA123" s="1174"/>
      <c r="BB123" s="1174"/>
      <c r="BC123" s="1174"/>
    </row>
    <row r="124" spans="1:55" s="271" customFormat="1" x14ac:dyDescent="0.35">
      <c r="A124" s="1173"/>
      <c r="B124" s="1061">
        <v>1</v>
      </c>
      <c r="C124" s="16" t="s">
        <v>4834</v>
      </c>
      <c r="D124" s="1062" t="str">
        <f t="shared" ref="D124:D141" si="17">AR124</f>
        <v>No Answer</v>
      </c>
      <c r="E124" s="12" t="s">
        <v>4967</v>
      </c>
      <c r="F124" s="1064"/>
      <c r="G124" s="13" t="s">
        <v>270</v>
      </c>
      <c r="H124" s="14" t="s">
        <v>5040</v>
      </c>
      <c r="I124" s="13" t="s">
        <v>4981</v>
      </c>
      <c r="J124" s="15" t="s">
        <v>750</v>
      </c>
      <c r="K124" s="15" t="s">
        <v>5039</v>
      </c>
      <c r="L124" s="15" t="s">
        <v>5038</v>
      </c>
      <c r="M124" s="1067"/>
      <c r="N124" s="1067"/>
      <c r="O124" s="1067"/>
      <c r="P124" s="1067"/>
      <c r="Q124" s="1067"/>
      <c r="R124" s="1061"/>
      <c r="S124" s="1068" t="s">
        <v>77</v>
      </c>
      <c r="T124" s="13">
        <v>2023</v>
      </c>
      <c r="U124" s="1069">
        <v>62</v>
      </c>
      <c r="V124" s="1069"/>
      <c r="W124" s="1070">
        <f t="shared" si="16"/>
        <v>0</v>
      </c>
      <c r="X124" s="1069"/>
      <c r="Y124" s="1069"/>
      <c r="Z124" s="1061"/>
      <c r="AA124" s="1067" t="s">
        <v>140</v>
      </c>
      <c r="AB124" s="1069"/>
      <c r="AC124" s="21" t="s">
        <v>154</v>
      </c>
      <c r="AD124" s="1071"/>
      <c r="AE124" s="1071"/>
      <c r="AF124" s="1069"/>
      <c r="AG124" s="1067"/>
      <c r="AH124" s="1061"/>
      <c r="AI124" s="1061"/>
      <c r="AJ124" s="1072">
        <f t="shared" ca="1" si="12"/>
        <v>62</v>
      </c>
      <c r="AK124" s="1072">
        <f t="shared" ca="1" si="13"/>
        <v>62</v>
      </c>
      <c r="AL124" s="1073" t="str">
        <f t="shared" si="14"/>
        <v>No Answer</v>
      </c>
      <c r="AM124" s="1074">
        <v>45602</v>
      </c>
      <c r="AN124" s="1075">
        <v>45589</v>
      </c>
      <c r="AO124" s="1075"/>
      <c r="AP124" s="1075"/>
      <c r="AQ124" s="1075"/>
      <c r="AR124" s="1076" t="s">
        <v>1763</v>
      </c>
      <c r="AS124" s="1074">
        <v>45602</v>
      </c>
      <c r="AT124" s="1172"/>
      <c r="AU124" s="1174"/>
      <c r="AV124" s="1174"/>
      <c r="AW124" s="1174"/>
      <c r="AX124" s="1174"/>
      <c r="AY124" s="1174"/>
      <c r="AZ124" s="1174"/>
      <c r="BA124" s="1174"/>
      <c r="BB124" s="1174"/>
      <c r="BC124" s="1174"/>
    </row>
    <row r="125" spans="1:55" s="271" customFormat="1" x14ac:dyDescent="0.35">
      <c r="A125" s="1173"/>
      <c r="B125" s="1061">
        <v>1</v>
      </c>
      <c r="C125" s="16" t="s">
        <v>4834</v>
      </c>
      <c r="D125" s="1062" t="str">
        <f t="shared" si="17"/>
        <v>No Answer</v>
      </c>
      <c r="E125" s="12" t="s">
        <v>4968</v>
      </c>
      <c r="F125" s="1064"/>
      <c r="G125" s="13" t="s">
        <v>271</v>
      </c>
      <c r="H125" s="14" t="s">
        <v>5043</v>
      </c>
      <c r="I125" s="13" t="s">
        <v>5044</v>
      </c>
      <c r="J125" s="15" t="s">
        <v>149</v>
      </c>
      <c r="K125" s="15" t="s">
        <v>5042</v>
      </c>
      <c r="L125" s="15" t="s">
        <v>5041</v>
      </c>
      <c r="M125" s="1067"/>
      <c r="N125" s="1067"/>
      <c r="O125" s="1067"/>
      <c r="P125" s="1067"/>
      <c r="Q125" s="1067"/>
      <c r="R125" s="1061"/>
      <c r="S125" s="1068" t="s">
        <v>77</v>
      </c>
      <c r="T125" s="13">
        <v>2023</v>
      </c>
      <c r="U125" s="1069">
        <v>134.5</v>
      </c>
      <c r="V125" s="1069"/>
      <c r="W125" s="1070">
        <f t="shared" si="16"/>
        <v>0</v>
      </c>
      <c r="X125" s="1069"/>
      <c r="Y125" s="1069"/>
      <c r="Z125" s="1061"/>
      <c r="AA125" s="1067" t="s">
        <v>140</v>
      </c>
      <c r="AB125" s="1069"/>
      <c r="AC125" s="21" t="s">
        <v>154</v>
      </c>
      <c r="AD125" s="1071"/>
      <c r="AE125" s="1071"/>
      <c r="AF125" s="1069"/>
      <c r="AG125" s="1067"/>
      <c r="AH125" s="1061"/>
      <c r="AI125" s="1061"/>
      <c r="AJ125" s="1072">
        <f t="shared" ca="1" si="12"/>
        <v>62</v>
      </c>
      <c r="AK125" s="1072">
        <f t="shared" ca="1" si="13"/>
        <v>62</v>
      </c>
      <c r="AL125" s="1073" t="str">
        <f t="shared" si="14"/>
        <v>No Answer</v>
      </c>
      <c r="AM125" s="1074">
        <v>45602</v>
      </c>
      <c r="AN125" s="1075">
        <v>45589</v>
      </c>
      <c r="AO125" s="1075"/>
      <c r="AP125" s="1075"/>
      <c r="AQ125" s="1075"/>
      <c r="AR125" s="1076" t="s">
        <v>1763</v>
      </c>
      <c r="AS125" s="1074">
        <v>45602</v>
      </c>
      <c r="AT125" s="1172"/>
      <c r="AU125" s="1174"/>
      <c r="AV125" s="1174"/>
      <c r="AW125" s="1174"/>
      <c r="AX125" s="1174"/>
      <c r="AY125" s="1174"/>
      <c r="AZ125" s="1174"/>
      <c r="BA125" s="1174"/>
      <c r="BB125" s="1174"/>
      <c r="BC125" s="1174"/>
    </row>
    <row r="126" spans="1:55" s="271" customFormat="1" x14ac:dyDescent="0.35">
      <c r="A126" s="1173"/>
      <c r="B126" s="1061">
        <v>1</v>
      </c>
      <c r="C126" s="16" t="s">
        <v>4834</v>
      </c>
      <c r="D126" s="1062" t="str">
        <f t="shared" si="17"/>
        <v>No Answer</v>
      </c>
      <c r="E126" s="12" t="s">
        <v>4969</v>
      </c>
      <c r="F126" s="1064"/>
      <c r="G126" s="13" t="s">
        <v>677</v>
      </c>
      <c r="H126" s="14" t="s">
        <v>5047</v>
      </c>
      <c r="I126" s="13" t="s">
        <v>5048</v>
      </c>
      <c r="J126" s="15" t="s">
        <v>2769</v>
      </c>
      <c r="K126" s="15" t="s">
        <v>5046</v>
      </c>
      <c r="L126" s="15" t="s">
        <v>5045</v>
      </c>
      <c r="M126" s="1067"/>
      <c r="N126" s="1067"/>
      <c r="O126" s="1067"/>
      <c r="P126" s="1067"/>
      <c r="Q126" s="1067"/>
      <c r="R126" s="1061"/>
      <c r="S126" s="1068" t="s">
        <v>77</v>
      </c>
      <c r="T126" s="13">
        <v>2023</v>
      </c>
      <c r="U126" s="1069">
        <v>26.2</v>
      </c>
      <c r="V126" s="1069"/>
      <c r="W126" s="1070">
        <f t="shared" si="16"/>
        <v>0</v>
      </c>
      <c r="X126" s="1069"/>
      <c r="Y126" s="1069"/>
      <c r="Z126" s="1061"/>
      <c r="AA126" s="1067" t="s">
        <v>140</v>
      </c>
      <c r="AB126" s="1069"/>
      <c r="AC126" s="21" t="s">
        <v>154</v>
      </c>
      <c r="AD126" s="1071"/>
      <c r="AE126" s="1071"/>
      <c r="AF126" s="1069"/>
      <c r="AG126" s="1067"/>
      <c r="AH126" s="1061"/>
      <c r="AI126" s="1061"/>
      <c r="AJ126" s="1072">
        <f t="shared" ca="1" si="12"/>
        <v>62</v>
      </c>
      <c r="AK126" s="1072">
        <f t="shared" ca="1" si="13"/>
        <v>62</v>
      </c>
      <c r="AL126" s="1073" t="str">
        <f t="shared" si="14"/>
        <v>No Answer</v>
      </c>
      <c r="AM126" s="1074">
        <v>45602</v>
      </c>
      <c r="AN126" s="1075">
        <v>45589</v>
      </c>
      <c r="AO126" s="1075"/>
      <c r="AP126" s="1075"/>
      <c r="AQ126" s="1075"/>
      <c r="AR126" s="1076" t="s">
        <v>1763</v>
      </c>
      <c r="AS126" s="1074">
        <v>45602</v>
      </c>
      <c r="AT126" s="1172"/>
      <c r="AU126" s="1174"/>
      <c r="AV126" s="1174"/>
      <c r="AW126" s="1174"/>
      <c r="AX126" s="1174"/>
      <c r="AY126" s="1174"/>
      <c r="AZ126" s="1174"/>
      <c r="BA126" s="1174"/>
      <c r="BB126" s="1174"/>
      <c r="BC126" s="1174"/>
    </row>
    <row r="127" spans="1:55" s="271" customFormat="1" x14ac:dyDescent="0.35">
      <c r="A127" s="97"/>
      <c r="B127" s="1061">
        <v>1</v>
      </c>
      <c r="C127" s="16" t="s">
        <v>4834</v>
      </c>
      <c r="D127" s="1062" t="str">
        <f t="shared" si="17"/>
        <v>No Answer</v>
      </c>
      <c r="E127" s="12" t="s">
        <v>1048</v>
      </c>
      <c r="F127" s="1064"/>
      <c r="G127" s="13" t="s">
        <v>109</v>
      </c>
      <c r="H127" s="14" t="s">
        <v>5051</v>
      </c>
      <c r="I127" s="13" t="s">
        <v>5052</v>
      </c>
      <c r="J127" s="15" t="s">
        <v>779</v>
      </c>
      <c r="K127" s="15" t="s">
        <v>5050</v>
      </c>
      <c r="L127" s="15" t="s">
        <v>5049</v>
      </c>
      <c r="M127" s="1067"/>
      <c r="N127" s="1067"/>
      <c r="O127" s="1067"/>
      <c r="P127" s="1067"/>
      <c r="Q127" s="1067"/>
      <c r="R127" s="1061"/>
      <c r="S127" s="1068" t="s">
        <v>77</v>
      </c>
      <c r="T127" s="13">
        <v>2023</v>
      </c>
      <c r="U127" s="1069">
        <v>28.6</v>
      </c>
      <c r="V127" s="1069"/>
      <c r="W127" s="1070">
        <f t="shared" si="16"/>
        <v>0</v>
      </c>
      <c r="X127" s="1069"/>
      <c r="Y127" s="1069"/>
      <c r="Z127" s="1061"/>
      <c r="AA127" s="1067" t="s">
        <v>140</v>
      </c>
      <c r="AB127" s="1069"/>
      <c r="AC127" s="21" t="s">
        <v>154</v>
      </c>
      <c r="AD127" s="1071"/>
      <c r="AE127" s="1071"/>
      <c r="AF127" s="1069"/>
      <c r="AG127" s="1067"/>
      <c r="AH127" s="1061"/>
      <c r="AI127" s="1061"/>
      <c r="AJ127" s="1072">
        <f t="shared" ca="1" si="12"/>
        <v>62</v>
      </c>
      <c r="AK127" s="1072">
        <f t="shared" ca="1" si="13"/>
        <v>62</v>
      </c>
      <c r="AL127" s="1073" t="str">
        <f t="shared" si="14"/>
        <v>No Answer</v>
      </c>
      <c r="AM127" s="1074">
        <v>45602</v>
      </c>
      <c r="AN127" s="1075">
        <v>45589</v>
      </c>
      <c r="AO127" s="1075"/>
      <c r="AP127" s="1075"/>
      <c r="AQ127" s="1075"/>
      <c r="AR127" s="1076" t="s">
        <v>1763</v>
      </c>
      <c r="AS127" s="1074">
        <v>45602</v>
      </c>
      <c r="AT127" s="23"/>
    </row>
    <row r="128" spans="1:55" s="271" customFormat="1" x14ac:dyDescent="0.35">
      <c r="A128" s="97"/>
      <c r="B128" s="1061">
        <v>1</v>
      </c>
      <c r="C128" s="16" t="s">
        <v>4834</v>
      </c>
      <c r="D128" s="1062" t="str">
        <f t="shared" si="17"/>
        <v>In touch - Negative</v>
      </c>
      <c r="E128" s="12" t="s">
        <v>4995</v>
      </c>
      <c r="F128" s="1064"/>
      <c r="G128" s="13" t="s">
        <v>109</v>
      </c>
      <c r="H128" s="14" t="s">
        <v>4690</v>
      </c>
      <c r="I128" s="13" t="s">
        <v>4838</v>
      </c>
      <c r="J128" s="15" t="s">
        <v>819</v>
      </c>
      <c r="K128" s="15" t="s">
        <v>4695</v>
      </c>
      <c r="L128" s="15" t="s">
        <v>4699</v>
      </c>
      <c r="M128" s="15"/>
      <c r="N128" s="15"/>
      <c r="O128" s="15"/>
      <c r="P128" s="15"/>
      <c r="Q128" s="15"/>
      <c r="R128" s="1061"/>
      <c r="S128" s="1068" t="s">
        <v>77</v>
      </c>
      <c r="T128" s="13">
        <v>2023</v>
      </c>
      <c r="U128" s="1069">
        <v>14.7</v>
      </c>
      <c r="V128" s="1069"/>
      <c r="W128" s="1070">
        <f t="shared" si="16"/>
        <v>0</v>
      </c>
      <c r="X128" s="1069"/>
      <c r="Y128" s="1069"/>
      <c r="Z128" s="1061"/>
      <c r="AA128" s="1067" t="s">
        <v>140</v>
      </c>
      <c r="AB128" s="1069"/>
      <c r="AC128" s="21" t="s">
        <v>154</v>
      </c>
      <c r="AD128" s="1071"/>
      <c r="AE128" s="1071"/>
      <c r="AF128" s="1069"/>
      <c r="AG128" s="1067"/>
      <c r="AH128" s="1061"/>
      <c r="AI128" s="1061"/>
      <c r="AJ128" s="1072">
        <f t="shared" ca="1" si="12"/>
        <v>62</v>
      </c>
      <c r="AK128" s="1072">
        <f t="shared" ca="1" si="13"/>
        <v>62</v>
      </c>
      <c r="AL128" s="1073" t="str">
        <f t="shared" si="14"/>
        <v>In touch - Negative</v>
      </c>
      <c r="AM128" s="1074">
        <v>45602</v>
      </c>
      <c r="AN128" s="1075">
        <v>45589</v>
      </c>
      <c r="AO128" s="1075"/>
      <c r="AP128" s="1075"/>
      <c r="AQ128" s="1075"/>
      <c r="AR128" s="1076" t="s">
        <v>1963</v>
      </c>
      <c r="AS128" s="1074">
        <v>45602</v>
      </c>
      <c r="AT128" s="23"/>
    </row>
    <row r="129" spans="1:55" s="271" customFormat="1" x14ac:dyDescent="0.35">
      <c r="A129" s="97"/>
      <c r="B129" s="1061">
        <v>1</v>
      </c>
      <c r="C129" s="16" t="s">
        <v>4834</v>
      </c>
      <c r="D129" s="1062" t="str">
        <f t="shared" si="17"/>
        <v>No Answer</v>
      </c>
      <c r="E129" s="12" t="s">
        <v>4970</v>
      </c>
      <c r="F129" s="1064"/>
      <c r="G129" s="13" t="s">
        <v>2656</v>
      </c>
      <c r="H129" s="14" t="s">
        <v>5055</v>
      </c>
      <c r="I129" s="13" t="s">
        <v>5056</v>
      </c>
      <c r="J129" s="15" t="s">
        <v>473</v>
      </c>
      <c r="K129" s="15" t="s">
        <v>5054</v>
      </c>
      <c r="L129" s="15" t="s">
        <v>5053</v>
      </c>
      <c r="M129" s="1067"/>
      <c r="N129" s="1067"/>
      <c r="O129" s="1067"/>
      <c r="P129" s="1067"/>
      <c r="Q129" s="1067"/>
      <c r="R129" s="1061"/>
      <c r="S129" s="1068" t="s">
        <v>77</v>
      </c>
      <c r="T129" s="13">
        <v>2023</v>
      </c>
      <c r="U129" s="1069">
        <v>1578</v>
      </c>
      <c r="V129" s="1069"/>
      <c r="W129" s="1070">
        <f t="shared" ref="W129:W160" si="18">+V129/U129</f>
        <v>0</v>
      </c>
      <c r="X129" s="1069"/>
      <c r="Y129" s="1069"/>
      <c r="Z129" s="1061"/>
      <c r="AA129" s="1067" t="s">
        <v>140</v>
      </c>
      <c r="AB129" s="1069"/>
      <c r="AC129" s="21" t="s">
        <v>154</v>
      </c>
      <c r="AD129" s="1071"/>
      <c r="AE129" s="1071"/>
      <c r="AF129" s="1069"/>
      <c r="AG129" s="1067"/>
      <c r="AH129" s="1061"/>
      <c r="AI129" s="1061"/>
      <c r="AJ129" s="1072">
        <f t="shared" ca="1" si="12"/>
        <v>62</v>
      </c>
      <c r="AK129" s="1072">
        <f t="shared" ca="1" si="13"/>
        <v>62</v>
      </c>
      <c r="AL129" s="1073" t="str">
        <f t="shared" si="14"/>
        <v>No Answer</v>
      </c>
      <c r="AM129" s="1074">
        <v>45602</v>
      </c>
      <c r="AN129" s="1075">
        <v>45589</v>
      </c>
      <c r="AO129" s="1075"/>
      <c r="AP129" s="1075"/>
      <c r="AQ129" s="1075"/>
      <c r="AR129" s="1357" t="s">
        <v>1763</v>
      </c>
      <c r="AS129" s="1074">
        <v>45602</v>
      </c>
      <c r="AT129" s="23"/>
    </row>
    <row r="130" spans="1:55" s="271" customFormat="1" x14ac:dyDescent="0.35">
      <c r="A130" s="97"/>
      <c r="B130" s="1061">
        <v>1</v>
      </c>
      <c r="C130" s="16" t="s">
        <v>4834</v>
      </c>
      <c r="D130" s="1062" t="str">
        <f t="shared" si="17"/>
        <v>No Answer</v>
      </c>
      <c r="E130" s="12" t="s">
        <v>4971</v>
      </c>
      <c r="F130" s="1064"/>
      <c r="G130" s="13" t="s">
        <v>677</v>
      </c>
      <c r="H130" s="14" t="s">
        <v>5059</v>
      </c>
      <c r="I130" s="13" t="s">
        <v>4998</v>
      </c>
      <c r="J130" s="15" t="s">
        <v>779</v>
      </c>
      <c r="K130" s="15" t="s">
        <v>5058</v>
      </c>
      <c r="L130" s="15" t="s">
        <v>5057</v>
      </c>
      <c r="M130" s="1067"/>
      <c r="N130" s="1067"/>
      <c r="O130" s="1067"/>
      <c r="P130" s="1067"/>
      <c r="Q130" s="1067"/>
      <c r="R130" s="1061"/>
      <c r="S130" s="1068" t="s">
        <v>77</v>
      </c>
      <c r="T130" s="13">
        <v>2023</v>
      </c>
      <c r="U130" s="1069">
        <v>15.8</v>
      </c>
      <c r="V130" s="1069"/>
      <c r="W130" s="1070">
        <f t="shared" si="18"/>
        <v>0</v>
      </c>
      <c r="X130" s="1069"/>
      <c r="Y130" s="1069"/>
      <c r="Z130" s="1061"/>
      <c r="AA130" s="1067" t="s">
        <v>140</v>
      </c>
      <c r="AB130" s="1069"/>
      <c r="AC130" s="21" t="s">
        <v>154</v>
      </c>
      <c r="AD130" s="1071"/>
      <c r="AE130" s="1071"/>
      <c r="AF130" s="1069"/>
      <c r="AG130" s="1067"/>
      <c r="AH130" s="1061"/>
      <c r="AI130" s="1061"/>
      <c r="AJ130" s="1072">
        <f t="shared" ca="1" si="12"/>
        <v>62</v>
      </c>
      <c r="AK130" s="1072">
        <f t="shared" ca="1" si="13"/>
        <v>62</v>
      </c>
      <c r="AL130" s="1073" t="str">
        <f t="shared" si="14"/>
        <v>No Answer</v>
      </c>
      <c r="AM130" s="1074">
        <v>45602</v>
      </c>
      <c r="AN130" s="1075">
        <v>45589</v>
      </c>
      <c r="AO130" s="1075"/>
      <c r="AP130" s="1075"/>
      <c r="AQ130" s="1075"/>
      <c r="AR130" s="1076" t="s">
        <v>1763</v>
      </c>
      <c r="AS130" s="1074">
        <v>45602</v>
      </c>
      <c r="AT130" s="23"/>
    </row>
    <row r="131" spans="1:55" s="271" customFormat="1" x14ac:dyDescent="0.35">
      <c r="A131" s="97"/>
      <c r="B131" s="1061">
        <v>1</v>
      </c>
      <c r="C131" s="16" t="s">
        <v>4834</v>
      </c>
      <c r="D131" s="1062" t="str">
        <f t="shared" si="17"/>
        <v>No Answer</v>
      </c>
      <c r="E131" s="12" t="s">
        <v>4972</v>
      </c>
      <c r="F131" s="1064"/>
      <c r="G131" s="13" t="s">
        <v>271</v>
      </c>
      <c r="H131" s="14" t="s">
        <v>5062</v>
      </c>
      <c r="I131" s="13" t="s">
        <v>5063</v>
      </c>
      <c r="J131" s="15" t="s">
        <v>149</v>
      </c>
      <c r="K131" s="15" t="s">
        <v>5061</v>
      </c>
      <c r="L131" s="15" t="s">
        <v>5060</v>
      </c>
      <c r="M131" s="1067"/>
      <c r="N131" s="1067"/>
      <c r="O131" s="1067"/>
      <c r="P131" s="1067"/>
      <c r="Q131" s="1067"/>
      <c r="R131" s="1061"/>
      <c r="S131" s="1068" t="s">
        <v>77</v>
      </c>
      <c r="T131" s="13">
        <v>2023</v>
      </c>
      <c r="U131" s="1069">
        <v>62</v>
      </c>
      <c r="V131" s="1069"/>
      <c r="W131" s="1070">
        <f t="shared" si="18"/>
        <v>0</v>
      </c>
      <c r="X131" s="1069"/>
      <c r="Y131" s="1069"/>
      <c r="Z131" s="1061"/>
      <c r="AA131" s="1067" t="s">
        <v>140</v>
      </c>
      <c r="AB131" s="1069"/>
      <c r="AC131" s="21" t="s">
        <v>154</v>
      </c>
      <c r="AD131" s="1071"/>
      <c r="AE131" s="1071"/>
      <c r="AF131" s="1069"/>
      <c r="AG131" s="1067"/>
      <c r="AH131" s="1061"/>
      <c r="AI131" s="1061"/>
      <c r="AJ131" s="1072">
        <f t="shared" ca="1" si="12"/>
        <v>62</v>
      </c>
      <c r="AK131" s="1072">
        <f t="shared" ca="1" si="13"/>
        <v>62</v>
      </c>
      <c r="AL131" s="1073" t="str">
        <f t="shared" si="14"/>
        <v>No Answer</v>
      </c>
      <c r="AM131" s="1074">
        <v>45602</v>
      </c>
      <c r="AN131" s="1075">
        <v>45589</v>
      </c>
      <c r="AO131" s="1075"/>
      <c r="AP131" s="1075"/>
      <c r="AQ131" s="1075"/>
      <c r="AR131" s="1357" t="s">
        <v>1763</v>
      </c>
      <c r="AS131" s="1074">
        <v>45602</v>
      </c>
      <c r="AT131" s="23"/>
    </row>
    <row r="132" spans="1:55" s="271" customFormat="1" x14ac:dyDescent="0.35">
      <c r="A132" s="97"/>
      <c r="B132" s="1061">
        <v>1</v>
      </c>
      <c r="C132" s="16" t="s">
        <v>4834</v>
      </c>
      <c r="D132" s="1062" t="str">
        <f t="shared" si="17"/>
        <v>No Answer</v>
      </c>
      <c r="E132" s="12" t="s">
        <v>4973</v>
      </c>
      <c r="F132" s="1064"/>
      <c r="G132" s="13" t="s">
        <v>1141</v>
      </c>
      <c r="H132" s="14" t="s">
        <v>5065</v>
      </c>
      <c r="I132" s="13" t="s">
        <v>5063</v>
      </c>
      <c r="J132" s="15" t="s">
        <v>149</v>
      </c>
      <c r="K132" s="15" t="s">
        <v>5061</v>
      </c>
      <c r="L132" s="15" t="s">
        <v>5064</v>
      </c>
      <c r="M132" s="1067"/>
      <c r="N132" s="1067"/>
      <c r="O132" s="1067"/>
      <c r="P132" s="1067"/>
      <c r="Q132" s="1067"/>
      <c r="R132" s="1061"/>
      <c r="S132" s="1068" t="s">
        <v>77</v>
      </c>
      <c r="T132" s="13">
        <v>2023</v>
      </c>
      <c r="U132" s="1069">
        <v>17.600000000000001</v>
      </c>
      <c r="V132" s="1069"/>
      <c r="W132" s="1070">
        <f t="shared" si="18"/>
        <v>0</v>
      </c>
      <c r="X132" s="1069"/>
      <c r="Y132" s="1069"/>
      <c r="Z132" s="1061"/>
      <c r="AA132" s="1067" t="s">
        <v>140</v>
      </c>
      <c r="AB132" s="1069"/>
      <c r="AC132" s="21" t="s">
        <v>154</v>
      </c>
      <c r="AD132" s="1071"/>
      <c r="AE132" s="1071"/>
      <c r="AF132" s="1069"/>
      <c r="AG132" s="1067"/>
      <c r="AH132" s="1061"/>
      <c r="AI132" s="1061"/>
      <c r="AJ132" s="1072">
        <f t="shared" ca="1" si="12"/>
        <v>62</v>
      </c>
      <c r="AK132" s="1072">
        <f t="shared" ca="1" si="13"/>
        <v>62</v>
      </c>
      <c r="AL132" s="1073" t="str">
        <f t="shared" si="14"/>
        <v>No Answer</v>
      </c>
      <c r="AM132" s="1074">
        <v>45602</v>
      </c>
      <c r="AN132" s="1075">
        <v>45589</v>
      </c>
      <c r="AO132" s="1075"/>
      <c r="AP132" s="1075"/>
      <c r="AQ132" s="1075"/>
      <c r="AR132" s="1076" t="s">
        <v>1763</v>
      </c>
      <c r="AS132" s="1074">
        <v>45602</v>
      </c>
      <c r="AT132" s="23"/>
    </row>
    <row r="133" spans="1:55" s="271" customFormat="1" x14ac:dyDescent="0.35">
      <c r="A133" s="97"/>
      <c r="B133" s="1061">
        <v>1</v>
      </c>
      <c r="C133" s="1061" t="s">
        <v>4370</v>
      </c>
      <c r="D133" s="1062" t="str">
        <f t="shared" si="17"/>
        <v>Pending</v>
      </c>
      <c r="E133" s="1063" t="s">
        <v>4832</v>
      </c>
      <c r="F133" s="1064"/>
      <c r="G133" s="1065" t="s">
        <v>2200</v>
      </c>
      <c r="H133" s="1066" t="s">
        <v>4833</v>
      </c>
      <c r="I133" s="1065"/>
      <c r="J133" s="1067" t="s">
        <v>4357</v>
      </c>
      <c r="K133" s="1067" t="s">
        <v>4358</v>
      </c>
      <c r="L133" s="1067"/>
      <c r="M133" s="1067"/>
      <c r="N133" s="1067"/>
      <c r="O133" s="1067"/>
      <c r="P133" s="1067"/>
      <c r="Q133" s="1067"/>
      <c r="R133" s="1061"/>
      <c r="S133" s="1068" t="s">
        <v>77</v>
      </c>
      <c r="T133" s="13"/>
      <c r="U133" s="1069"/>
      <c r="V133" s="1069"/>
      <c r="W133" s="1070" t="e">
        <f t="shared" si="18"/>
        <v>#DIV/0!</v>
      </c>
      <c r="X133" s="1069"/>
      <c r="Y133" s="1069"/>
      <c r="Z133" s="1061"/>
      <c r="AA133" s="1067" t="s">
        <v>140</v>
      </c>
      <c r="AB133" s="1069"/>
      <c r="AC133" s="1071" t="s">
        <v>61</v>
      </c>
      <c r="AD133" s="1071" t="s">
        <v>61</v>
      </c>
      <c r="AE133" s="1071" t="s">
        <v>3458</v>
      </c>
      <c r="AF133" s="1069"/>
      <c r="AG133" s="1067"/>
      <c r="AH133" s="1061"/>
      <c r="AI133" s="1061"/>
      <c r="AJ133" s="1072">
        <f t="shared" ca="1" si="12"/>
        <v>85</v>
      </c>
      <c r="AK133" s="1072">
        <f t="shared" ca="1" si="13"/>
        <v>62</v>
      </c>
      <c r="AL133" s="1073">
        <f t="shared" si="14"/>
        <v>0.4</v>
      </c>
      <c r="AM133" s="1074">
        <v>45579</v>
      </c>
      <c r="AN133" s="1075">
        <v>45579</v>
      </c>
      <c r="AO133" s="1075"/>
      <c r="AP133" s="1075"/>
      <c r="AQ133" s="1075"/>
      <c r="AR133" s="1076" t="s">
        <v>1770</v>
      </c>
      <c r="AS133" s="1074">
        <v>45602</v>
      </c>
      <c r="AT133" s="23"/>
    </row>
    <row r="134" spans="1:55" s="271" customFormat="1" x14ac:dyDescent="0.35">
      <c r="A134" s="97"/>
      <c r="B134" s="1061">
        <v>1</v>
      </c>
      <c r="C134" s="1061" t="s">
        <v>4370</v>
      </c>
      <c r="D134" s="1062" t="str">
        <f t="shared" si="17"/>
        <v>Pending</v>
      </c>
      <c r="E134" s="1063" t="s">
        <v>4830</v>
      </c>
      <c r="F134" s="1064"/>
      <c r="G134" s="1065" t="s">
        <v>1961</v>
      </c>
      <c r="H134" s="1066" t="s">
        <v>4831</v>
      </c>
      <c r="I134" s="1065"/>
      <c r="J134" s="1067" t="s">
        <v>4357</v>
      </c>
      <c r="K134" s="1067" t="s">
        <v>4358</v>
      </c>
      <c r="L134" s="1067"/>
      <c r="M134" s="1067"/>
      <c r="N134" s="1067"/>
      <c r="O134" s="1067"/>
      <c r="P134" s="1067"/>
      <c r="Q134" s="1067"/>
      <c r="R134" s="1061"/>
      <c r="S134" s="1068" t="s">
        <v>77</v>
      </c>
      <c r="T134" s="1065"/>
      <c r="U134" s="1069"/>
      <c r="V134" s="1069"/>
      <c r="W134" s="1070" t="e">
        <f t="shared" si="18"/>
        <v>#DIV/0!</v>
      </c>
      <c r="X134" s="1069"/>
      <c r="Y134" s="1069"/>
      <c r="Z134" s="1061"/>
      <c r="AA134" s="1067" t="s">
        <v>140</v>
      </c>
      <c r="AB134" s="1069"/>
      <c r="AC134" s="1071" t="s">
        <v>61</v>
      </c>
      <c r="AD134" s="1071" t="s">
        <v>61</v>
      </c>
      <c r="AE134" s="1071" t="s">
        <v>3458</v>
      </c>
      <c r="AF134" s="1069"/>
      <c r="AG134" s="1067"/>
      <c r="AH134" s="1061"/>
      <c r="AI134" s="1061"/>
      <c r="AJ134" s="1072">
        <f t="shared" ca="1" si="12"/>
        <v>85</v>
      </c>
      <c r="AK134" s="1072">
        <f t="shared" ca="1" si="13"/>
        <v>85</v>
      </c>
      <c r="AL134" s="1073">
        <f t="shared" si="14"/>
        <v>0.4</v>
      </c>
      <c r="AM134" s="1074">
        <v>45579</v>
      </c>
      <c r="AN134" s="1075">
        <v>45579</v>
      </c>
      <c r="AO134" s="1075"/>
      <c r="AP134" s="1075"/>
      <c r="AQ134" s="1075"/>
      <c r="AR134" s="1076" t="s">
        <v>1770</v>
      </c>
      <c r="AS134" s="1074">
        <v>45579</v>
      </c>
      <c r="AT134" s="23"/>
    </row>
    <row r="135" spans="1:55" s="271" customFormat="1" x14ac:dyDescent="0.35">
      <c r="B135" s="1061">
        <v>1</v>
      </c>
      <c r="C135" s="1061" t="s">
        <v>4370</v>
      </c>
      <c r="D135" s="1062" t="str">
        <f t="shared" si="17"/>
        <v>In touch - Negative</v>
      </c>
      <c r="E135" s="1063" t="s">
        <v>4828</v>
      </c>
      <c r="F135" s="1064"/>
      <c r="G135" s="1065" t="s">
        <v>326</v>
      </c>
      <c r="H135" s="1066" t="s">
        <v>4829</v>
      </c>
      <c r="I135" s="1065"/>
      <c r="J135" s="1067" t="s">
        <v>4357</v>
      </c>
      <c r="K135" s="1067" t="s">
        <v>4358</v>
      </c>
      <c r="L135" s="1067"/>
      <c r="M135" s="1067"/>
      <c r="N135" s="1067"/>
      <c r="O135" s="1067"/>
      <c r="P135" s="1067"/>
      <c r="Q135" s="1067"/>
      <c r="R135" s="1061"/>
      <c r="S135" s="1068" t="s">
        <v>77</v>
      </c>
      <c r="T135" s="1065"/>
      <c r="U135" s="1069"/>
      <c r="V135" s="1069"/>
      <c r="W135" s="1070" t="e">
        <f t="shared" si="18"/>
        <v>#DIV/0!</v>
      </c>
      <c r="X135" s="1069"/>
      <c r="Y135" s="1069"/>
      <c r="Z135" s="1061"/>
      <c r="AA135" s="1067" t="s">
        <v>140</v>
      </c>
      <c r="AB135" s="1069"/>
      <c r="AC135" s="1071" t="s">
        <v>61</v>
      </c>
      <c r="AD135" s="1071" t="s">
        <v>61</v>
      </c>
      <c r="AE135" s="1071" t="s">
        <v>3458</v>
      </c>
      <c r="AF135" s="1069"/>
      <c r="AG135" s="1067"/>
      <c r="AH135" s="1061"/>
      <c r="AI135" s="1061"/>
      <c r="AJ135" s="1072">
        <f t="shared" ca="1" si="12"/>
        <v>85</v>
      </c>
      <c r="AK135" s="1072">
        <f t="shared" ca="1" si="13"/>
        <v>85</v>
      </c>
      <c r="AL135" s="1073" t="str">
        <f t="shared" si="14"/>
        <v>In touch - Negative</v>
      </c>
      <c r="AM135" s="1074">
        <v>45579</v>
      </c>
      <c r="AN135" s="1075">
        <v>45579</v>
      </c>
      <c r="AO135" s="1075"/>
      <c r="AP135" s="1075"/>
      <c r="AQ135" s="1075"/>
      <c r="AR135" s="1076" t="s">
        <v>1963</v>
      </c>
      <c r="AS135" s="1074">
        <v>45579</v>
      </c>
      <c r="AT135" s="968"/>
      <c r="AU135" s="969"/>
      <c r="AV135" s="969"/>
      <c r="AW135" s="969"/>
      <c r="AX135" s="969"/>
      <c r="AY135" s="969"/>
      <c r="AZ135" s="969"/>
      <c r="BA135" s="969"/>
      <c r="BB135" s="969"/>
      <c r="BC135" s="969"/>
    </row>
    <row r="136" spans="1:55" s="271" customFormat="1" x14ac:dyDescent="0.35">
      <c r="B136" s="1061">
        <v>1</v>
      </c>
      <c r="C136" s="1061" t="s">
        <v>4370</v>
      </c>
      <c r="D136" s="1062" t="str">
        <f t="shared" si="17"/>
        <v>Pending</v>
      </c>
      <c r="E136" s="1063" t="s">
        <v>4826</v>
      </c>
      <c r="F136" s="1064"/>
      <c r="G136" s="1065" t="s">
        <v>856</v>
      </c>
      <c r="H136" s="1066" t="s">
        <v>4827</v>
      </c>
      <c r="I136" s="1065"/>
      <c r="J136" s="1067" t="s">
        <v>4357</v>
      </c>
      <c r="K136" s="1067" t="s">
        <v>4358</v>
      </c>
      <c r="L136" s="1067"/>
      <c r="M136" s="1067"/>
      <c r="N136" s="1067"/>
      <c r="O136" s="1067"/>
      <c r="P136" s="1067"/>
      <c r="Q136" s="1067"/>
      <c r="R136" s="1061"/>
      <c r="S136" s="1068" t="s">
        <v>77</v>
      </c>
      <c r="T136" s="1065"/>
      <c r="U136" s="1069"/>
      <c r="V136" s="1069"/>
      <c r="W136" s="1070" t="e">
        <f t="shared" si="18"/>
        <v>#DIV/0!</v>
      </c>
      <c r="X136" s="1069"/>
      <c r="Y136" s="1069"/>
      <c r="Z136" s="1061"/>
      <c r="AA136" s="1067" t="s">
        <v>140</v>
      </c>
      <c r="AB136" s="1069"/>
      <c r="AC136" s="1071" t="s">
        <v>61</v>
      </c>
      <c r="AD136" s="1071" t="s">
        <v>61</v>
      </c>
      <c r="AE136" s="1071" t="s">
        <v>3458</v>
      </c>
      <c r="AF136" s="1069"/>
      <c r="AG136" s="1067"/>
      <c r="AH136" s="1061"/>
      <c r="AI136" s="1061"/>
      <c r="AJ136" s="1072">
        <f t="shared" ca="1" si="12"/>
        <v>85</v>
      </c>
      <c r="AK136" s="1072">
        <f t="shared" ca="1" si="13"/>
        <v>85</v>
      </c>
      <c r="AL136" s="1073">
        <f t="shared" si="14"/>
        <v>0.4</v>
      </c>
      <c r="AM136" s="1074">
        <v>45579</v>
      </c>
      <c r="AN136" s="1075">
        <v>45579</v>
      </c>
      <c r="AO136" s="1075"/>
      <c r="AP136" s="1075"/>
      <c r="AQ136" s="1075"/>
      <c r="AR136" s="1076" t="s">
        <v>1770</v>
      </c>
      <c r="AS136" s="1074">
        <v>45579</v>
      </c>
      <c r="AT136" s="968"/>
      <c r="AU136" s="969"/>
      <c r="AV136" s="969"/>
      <c r="AW136" s="969"/>
      <c r="AX136" s="969"/>
      <c r="AY136" s="969"/>
      <c r="AZ136" s="969"/>
      <c r="BA136" s="969"/>
      <c r="BB136" s="969"/>
      <c r="BC136" s="969"/>
    </row>
    <row r="137" spans="1:55" s="271" customFormat="1" x14ac:dyDescent="0.35">
      <c r="B137" s="1061">
        <v>1</v>
      </c>
      <c r="C137" s="1061" t="s">
        <v>4370</v>
      </c>
      <c r="D137" s="1062" t="str">
        <f t="shared" si="17"/>
        <v>Pending</v>
      </c>
      <c r="E137" s="1063" t="s">
        <v>4824</v>
      </c>
      <c r="F137" s="1064"/>
      <c r="G137" s="1065" t="s">
        <v>997</v>
      </c>
      <c r="H137" s="1066" t="s">
        <v>4825</v>
      </c>
      <c r="I137" s="1065"/>
      <c r="J137" s="1067" t="s">
        <v>4357</v>
      </c>
      <c r="K137" s="1067" t="s">
        <v>4358</v>
      </c>
      <c r="L137" s="1067"/>
      <c r="M137" s="1067"/>
      <c r="N137" s="1067"/>
      <c r="O137" s="1067"/>
      <c r="P137" s="1067"/>
      <c r="Q137" s="1067"/>
      <c r="R137" s="1061"/>
      <c r="S137" s="1068" t="s">
        <v>77</v>
      </c>
      <c r="T137" s="1065"/>
      <c r="U137" s="1069"/>
      <c r="V137" s="1069"/>
      <c r="W137" s="1070" t="e">
        <f t="shared" si="18"/>
        <v>#DIV/0!</v>
      </c>
      <c r="X137" s="1069"/>
      <c r="Y137" s="1069"/>
      <c r="Z137" s="1061"/>
      <c r="AA137" s="1067" t="s">
        <v>140</v>
      </c>
      <c r="AB137" s="1069"/>
      <c r="AC137" s="1071" t="s">
        <v>61</v>
      </c>
      <c r="AD137" s="1071" t="s">
        <v>61</v>
      </c>
      <c r="AE137" s="1071" t="s">
        <v>3458</v>
      </c>
      <c r="AF137" s="1069"/>
      <c r="AG137" s="1067"/>
      <c r="AH137" s="1061"/>
      <c r="AI137" s="1061"/>
      <c r="AJ137" s="1072">
        <f t="shared" ca="1" si="12"/>
        <v>85</v>
      </c>
      <c r="AK137" s="1072">
        <f t="shared" ca="1" si="13"/>
        <v>85</v>
      </c>
      <c r="AL137" s="1073">
        <f t="shared" si="14"/>
        <v>0.4</v>
      </c>
      <c r="AM137" s="1074">
        <v>45579</v>
      </c>
      <c r="AN137" s="1075">
        <v>45579</v>
      </c>
      <c r="AO137" s="1075"/>
      <c r="AP137" s="1075"/>
      <c r="AQ137" s="1075"/>
      <c r="AR137" s="1076" t="s">
        <v>1770</v>
      </c>
      <c r="AS137" s="1074">
        <v>45579</v>
      </c>
      <c r="AT137" s="968"/>
      <c r="AU137" s="969"/>
      <c r="AV137" s="969"/>
      <c r="AW137" s="969"/>
      <c r="AX137" s="969"/>
      <c r="AY137" s="969"/>
      <c r="AZ137" s="969"/>
      <c r="BA137" s="969"/>
      <c r="BB137" s="969"/>
      <c r="BC137" s="969"/>
    </row>
    <row r="138" spans="1:55" s="271" customFormat="1" x14ac:dyDescent="0.35">
      <c r="B138" s="1061">
        <v>1</v>
      </c>
      <c r="C138" s="1061" t="s">
        <v>4370</v>
      </c>
      <c r="D138" s="1062" t="str">
        <f t="shared" si="17"/>
        <v>Pending</v>
      </c>
      <c r="E138" s="1063" t="s">
        <v>4822</v>
      </c>
      <c r="F138" s="1064"/>
      <c r="G138" s="1065" t="s">
        <v>1446</v>
      </c>
      <c r="H138" s="1066" t="s">
        <v>4823</v>
      </c>
      <c r="I138" s="1065"/>
      <c r="J138" s="1067" t="s">
        <v>4357</v>
      </c>
      <c r="K138" s="1067" t="s">
        <v>4358</v>
      </c>
      <c r="L138" s="1067"/>
      <c r="M138" s="1067"/>
      <c r="N138" s="1067"/>
      <c r="O138" s="1067"/>
      <c r="P138" s="1067"/>
      <c r="Q138" s="1067"/>
      <c r="R138" s="1061"/>
      <c r="S138" s="1068" t="s">
        <v>77</v>
      </c>
      <c r="T138" s="1065"/>
      <c r="U138" s="1069"/>
      <c r="V138" s="1069"/>
      <c r="W138" s="1070" t="e">
        <f t="shared" si="18"/>
        <v>#DIV/0!</v>
      </c>
      <c r="X138" s="1069"/>
      <c r="Y138" s="1069"/>
      <c r="Z138" s="1061"/>
      <c r="AA138" s="1067" t="s">
        <v>140</v>
      </c>
      <c r="AB138" s="1069"/>
      <c r="AC138" s="1071" t="s">
        <v>61</v>
      </c>
      <c r="AD138" s="1071" t="s">
        <v>61</v>
      </c>
      <c r="AE138" s="1071" t="s">
        <v>3458</v>
      </c>
      <c r="AF138" s="1069"/>
      <c r="AG138" s="1067"/>
      <c r="AH138" s="1061"/>
      <c r="AI138" s="1061"/>
      <c r="AJ138" s="1072">
        <f t="shared" ca="1" si="12"/>
        <v>85</v>
      </c>
      <c r="AK138" s="1072">
        <f t="shared" ca="1" si="13"/>
        <v>85</v>
      </c>
      <c r="AL138" s="1073">
        <f t="shared" si="14"/>
        <v>0.4</v>
      </c>
      <c r="AM138" s="1074">
        <v>45579</v>
      </c>
      <c r="AN138" s="1075">
        <v>45579</v>
      </c>
      <c r="AO138" s="1075"/>
      <c r="AP138" s="1075"/>
      <c r="AQ138" s="1075"/>
      <c r="AR138" s="1076" t="s">
        <v>1770</v>
      </c>
      <c r="AS138" s="1074">
        <v>45579</v>
      </c>
      <c r="AT138" s="968"/>
      <c r="AU138" s="969"/>
      <c r="AV138" s="969"/>
      <c r="AW138" s="969"/>
      <c r="AX138" s="969"/>
      <c r="AY138" s="969"/>
      <c r="AZ138" s="969"/>
      <c r="BA138" s="969"/>
      <c r="BB138" s="969"/>
      <c r="BC138" s="969"/>
    </row>
    <row r="139" spans="1:55" s="271" customFormat="1" x14ac:dyDescent="0.35">
      <c r="B139" s="1061">
        <v>1</v>
      </c>
      <c r="C139" s="1061" t="s">
        <v>4370</v>
      </c>
      <c r="D139" s="1062" t="str">
        <f t="shared" si="17"/>
        <v>Pending</v>
      </c>
      <c r="E139" s="1063" t="s">
        <v>4820</v>
      </c>
      <c r="F139" s="1064"/>
      <c r="G139" s="1065" t="s">
        <v>159</v>
      </c>
      <c r="H139" s="1066" t="s">
        <v>4821</v>
      </c>
      <c r="I139" s="1065"/>
      <c r="J139" s="1067" t="s">
        <v>4357</v>
      </c>
      <c r="K139" s="1067" t="s">
        <v>4358</v>
      </c>
      <c r="L139" s="1067"/>
      <c r="M139" s="1067"/>
      <c r="N139" s="1067"/>
      <c r="O139" s="1067"/>
      <c r="P139" s="1067"/>
      <c r="Q139" s="1067"/>
      <c r="R139" s="1061"/>
      <c r="S139" s="1068" t="s">
        <v>77</v>
      </c>
      <c r="T139" s="1065"/>
      <c r="U139" s="1069"/>
      <c r="V139" s="1069"/>
      <c r="W139" s="1070" t="e">
        <f t="shared" si="18"/>
        <v>#DIV/0!</v>
      </c>
      <c r="X139" s="1069"/>
      <c r="Y139" s="1069"/>
      <c r="Z139" s="1061"/>
      <c r="AA139" s="1067" t="s">
        <v>140</v>
      </c>
      <c r="AB139" s="1069"/>
      <c r="AC139" s="1071" t="s">
        <v>61</v>
      </c>
      <c r="AD139" s="1071" t="s">
        <v>61</v>
      </c>
      <c r="AE139" s="1071" t="s">
        <v>3458</v>
      </c>
      <c r="AF139" s="1069"/>
      <c r="AG139" s="1067"/>
      <c r="AH139" s="1061"/>
      <c r="AI139" s="1061"/>
      <c r="AJ139" s="1072">
        <f t="shared" ca="1" si="12"/>
        <v>85</v>
      </c>
      <c r="AK139" s="1072">
        <f t="shared" ca="1" si="13"/>
        <v>85</v>
      </c>
      <c r="AL139" s="1073">
        <f t="shared" si="14"/>
        <v>0.4</v>
      </c>
      <c r="AM139" s="1074">
        <v>45579</v>
      </c>
      <c r="AN139" s="1075">
        <v>45579</v>
      </c>
      <c r="AO139" s="1075"/>
      <c r="AP139" s="1075"/>
      <c r="AQ139" s="1075"/>
      <c r="AR139" s="1076" t="s">
        <v>1770</v>
      </c>
      <c r="AS139" s="1074">
        <v>45579</v>
      </c>
      <c r="AT139" s="968"/>
      <c r="AU139" s="969"/>
      <c r="AV139" s="969"/>
      <c r="AW139" s="969"/>
      <c r="AX139" s="969"/>
      <c r="AY139" s="969"/>
      <c r="AZ139" s="969"/>
      <c r="BA139" s="969"/>
      <c r="BB139" s="969"/>
      <c r="BC139" s="969"/>
    </row>
    <row r="140" spans="1:55" s="271" customFormat="1" x14ac:dyDescent="0.35">
      <c r="B140" s="1061">
        <v>1</v>
      </c>
      <c r="C140" s="1061" t="s">
        <v>4370</v>
      </c>
      <c r="D140" s="1062" t="str">
        <f t="shared" si="17"/>
        <v>Pending</v>
      </c>
      <c r="E140" s="1063" t="s">
        <v>4818</v>
      </c>
      <c r="F140" s="1064"/>
      <c r="G140" s="1065" t="s">
        <v>951</v>
      </c>
      <c r="H140" s="1066" t="s">
        <v>4819</v>
      </c>
      <c r="I140" s="1065"/>
      <c r="J140" s="1067" t="s">
        <v>4357</v>
      </c>
      <c r="K140" s="1067" t="s">
        <v>4358</v>
      </c>
      <c r="L140" s="1067"/>
      <c r="M140" s="1067"/>
      <c r="N140" s="1067"/>
      <c r="O140" s="1067"/>
      <c r="P140" s="1067"/>
      <c r="Q140" s="1067"/>
      <c r="R140" s="1061"/>
      <c r="S140" s="1068" t="s">
        <v>77</v>
      </c>
      <c r="T140" s="1065"/>
      <c r="U140" s="1069"/>
      <c r="V140" s="1069"/>
      <c r="W140" s="1070" t="e">
        <f t="shared" si="18"/>
        <v>#DIV/0!</v>
      </c>
      <c r="X140" s="1069"/>
      <c r="Y140" s="1069"/>
      <c r="Z140" s="1061"/>
      <c r="AA140" s="1067" t="s">
        <v>140</v>
      </c>
      <c r="AB140" s="1069"/>
      <c r="AC140" s="1071" t="s">
        <v>61</v>
      </c>
      <c r="AD140" s="1071" t="s">
        <v>61</v>
      </c>
      <c r="AE140" s="1071" t="s">
        <v>3458</v>
      </c>
      <c r="AF140" s="1069"/>
      <c r="AG140" s="1067"/>
      <c r="AH140" s="1061"/>
      <c r="AI140" s="1061"/>
      <c r="AJ140" s="1072">
        <f t="shared" ref="AJ140:AJ203" ca="1" si="19">+TODAY()-AM140</f>
        <v>85</v>
      </c>
      <c r="AK140" s="1072">
        <f t="shared" ref="AK140:AK203" ca="1" si="20">+TODAY()-AS140</f>
        <v>85</v>
      </c>
      <c r="AL140" s="1073">
        <f t="shared" ref="AL140:AL203" si="21">+IF(D140="Pending",COUNTA(AM140:AQ140)/5,D140)</f>
        <v>0.4</v>
      </c>
      <c r="AM140" s="1074">
        <v>45579</v>
      </c>
      <c r="AN140" s="1075">
        <v>45579</v>
      </c>
      <c r="AO140" s="1075"/>
      <c r="AP140" s="1075"/>
      <c r="AQ140" s="1075"/>
      <c r="AR140" s="1076" t="s">
        <v>1770</v>
      </c>
      <c r="AS140" s="1074">
        <v>45579</v>
      </c>
      <c r="AT140" s="968"/>
      <c r="AU140" s="969"/>
      <c r="AV140" s="969"/>
      <c r="AW140" s="969"/>
      <c r="AX140" s="969"/>
      <c r="AY140" s="969"/>
      <c r="AZ140" s="969"/>
      <c r="BA140" s="969"/>
      <c r="BB140" s="969"/>
      <c r="BC140" s="969"/>
    </row>
    <row r="141" spans="1:55" s="271" customFormat="1" x14ac:dyDescent="0.35">
      <c r="B141" s="1061">
        <v>1</v>
      </c>
      <c r="C141" s="1061" t="s">
        <v>4370</v>
      </c>
      <c r="D141" s="1062" t="str">
        <f t="shared" si="17"/>
        <v>Pending</v>
      </c>
      <c r="E141" s="1063" t="s">
        <v>4816</v>
      </c>
      <c r="F141" s="1064"/>
      <c r="G141" s="1065" t="s">
        <v>371</v>
      </c>
      <c r="H141" s="1066" t="s">
        <v>4817</v>
      </c>
      <c r="I141" s="1065"/>
      <c r="J141" s="1067" t="s">
        <v>4357</v>
      </c>
      <c r="K141" s="1067" t="s">
        <v>4358</v>
      </c>
      <c r="L141" s="1067"/>
      <c r="M141" s="1067"/>
      <c r="N141" s="1067"/>
      <c r="O141" s="1067"/>
      <c r="P141" s="1067"/>
      <c r="Q141" s="1067"/>
      <c r="R141" s="1061"/>
      <c r="S141" s="1068" t="s">
        <v>77</v>
      </c>
      <c r="T141" s="1065"/>
      <c r="U141" s="1069"/>
      <c r="V141" s="1069"/>
      <c r="W141" s="1070" t="e">
        <f t="shared" si="18"/>
        <v>#DIV/0!</v>
      </c>
      <c r="X141" s="1069"/>
      <c r="Y141" s="1069"/>
      <c r="Z141" s="1061"/>
      <c r="AA141" s="1067" t="s">
        <v>140</v>
      </c>
      <c r="AB141" s="1069"/>
      <c r="AC141" s="1071" t="s">
        <v>61</v>
      </c>
      <c r="AD141" s="1071" t="s">
        <v>61</v>
      </c>
      <c r="AE141" s="1071" t="s">
        <v>3458</v>
      </c>
      <c r="AF141" s="1069"/>
      <c r="AG141" s="1067"/>
      <c r="AH141" s="1061"/>
      <c r="AI141" s="1061"/>
      <c r="AJ141" s="1072">
        <f t="shared" ca="1" si="19"/>
        <v>85</v>
      </c>
      <c r="AK141" s="1072">
        <f t="shared" ca="1" si="20"/>
        <v>85</v>
      </c>
      <c r="AL141" s="1073">
        <f t="shared" si="21"/>
        <v>0.4</v>
      </c>
      <c r="AM141" s="1074">
        <v>45579</v>
      </c>
      <c r="AN141" s="1075">
        <v>45579</v>
      </c>
      <c r="AO141" s="1075"/>
      <c r="AP141" s="1075"/>
      <c r="AQ141" s="1075"/>
      <c r="AR141" s="1076" t="s">
        <v>1770</v>
      </c>
      <c r="AS141" s="1074">
        <v>45579</v>
      </c>
      <c r="AT141" s="968"/>
      <c r="AU141" s="969"/>
      <c r="AV141" s="969"/>
      <c r="AW141" s="969"/>
      <c r="AX141" s="969"/>
      <c r="AY141" s="969"/>
      <c r="AZ141" s="969"/>
      <c r="BA141" s="969"/>
      <c r="BB141" s="969"/>
      <c r="BC141" s="969"/>
    </row>
    <row r="142" spans="1:55" s="271" customFormat="1" x14ac:dyDescent="0.35">
      <c r="B142" s="1061">
        <v>1</v>
      </c>
      <c r="C142" s="1061" t="s">
        <v>4370</v>
      </c>
      <c r="D142" s="1132" t="s">
        <v>4876</v>
      </c>
      <c r="E142" s="1063" t="s">
        <v>4815</v>
      </c>
      <c r="F142" s="1064"/>
      <c r="G142" s="1065" t="s">
        <v>326</v>
      </c>
      <c r="H142" s="1066" t="s">
        <v>4814</v>
      </c>
      <c r="I142" s="1065"/>
      <c r="J142" s="1067" t="s">
        <v>4357</v>
      </c>
      <c r="K142" s="1067" t="s">
        <v>4358</v>
      </c>
      <c r="L142" s="1067"/>
      <c r="M142" s="1067"/>
      <c r="N142" s="1067"/>
      <c r="O142" s="1067"/>
      <c r="P142" s="1067"/>
      <c r="Q142" s="1067"/>
      <c r="R142" s="1061"/>
      <c r="S142" s="1068" t="s">
        <v>77</v>
      </c>
      <c r="T142" s="1065"/>
      <c r="U142" s="1069"/>
      <c r="V142" s="1069"/>
      <c r="W142" s="1070" t="e">
        <f t="shared" si="18"/>
        <v>#DIV/0!</v>
      </c>
      <c r="X142" s="1069"/>
      <c r="Y142" s="1069"/>
      <c r="Z142" s="1061"/>
      <c r="AA142" s="1067" t="s">
        <v>140</v>
      </c>
      <c r="AB142" s="1069"/>
      <c r="AC142" s="1071" t="s">
        <v>61</v>
      </c>
      <c r="AD142" s="1071" t="s">
        <v>61</v>
      </c>
      <c r="AE142" s="1071" t="s">
        <v>3458</v>
      </c>
      <c r="AF142" s="1069"/>
      <c r="AG142" s="1067"/>
      <c r="AH142" s="1061"/>
      <c r="AI142" s="1061"/>
      <c r="AJ142" s="1072">
        <f t="shared" ca="1" si="19"/>
        <v>85</v>
      </c>
      <c r="AK142" s="1072">
        <f t="shared" ca="1" si="20"/>
        <v>85</v>
      </c>
      <c r="AL142" s="1073" t="str">
        <f t="shared" si="21"/>
        <v>In touch - positive</v>
      </c>
      <c r="AM142" s="1074">
        <v>45579</v>
      </c>
      <c r="AN142" s="1075">
        <v>45579</v>
      </c>
      <c r="AO142" s="1075"/>
      <c r="AP142" s="1075"/>
      <c r="AQ142" s="1075">
        <v>45586</v>
      </c>
      <c r="AR142" s="1076" t="s">
        <v>1770</v>
      </c>
      <c r="AS142" s="1074">
        <v>45579</v>
      </c>
      <c r="AT142" s="968"/>
      <c r="AU142" s="969"/>
      <c r="AV142" s="969"/>
      <c r="AW142" s="969"/>
      <c r="AX142" s="969"/>
      <c r="AY142" s="969"/>
      <c r="AZ142" s="969"/>
      <c r="BA142" s="969"/>
      <c r="BB142" s="969"/>
      <c r="BC142" s="969"/>
    </row>
    <row r="143" spans="1:55" s="271" customFormat="1" x14ac:dyDescent="0.35">
      <c r="B143" s="1061">
        <v>1</v>
      </c>
      <c r="C143" s="1061" t="s">
        <v>4370</v>
      </c>
      <c r="D143" s="1062" t="str">
        <f>AR143</f>
        <v>Pending</v>
      </c>
      <c r="E143" s="1063" t="s">
        <v>4813</v>
      </c>
      <c r="F143" s="1064"/>
      <c r="G143" s="1065" t="s">
        <v>326</v>
      </c>
      <c r="H143" s="1066" t="s">
        <v>4814</v>
      </c>
      <c r="I143" s="1065"/>
      <c r="J143" s="1067" t="s">
        <v>4357</v>
      </c>
      <c r="K143" s="1067" t="s">
        <v>4358</v>
      </c>
      <c r="L143" s="1067"/>
      <c r="M143" s="1067"/>
      <c r="N143" s="1067"/>
      <c r="O143" s="1067"/>
      <c r="P143" s="1067"/>
      <c r="Q143" s="1067"/>
      <c r="R143" s="1061"/>
      <c r="S143" s="1068" t="s">
        <v>77</v>
      </c>
      <c r="T143" s="1065"/>
      <c r="U143" s="1069"/>
      <c r="V143" s="1069"/>
      <c r="W143" s="1070" t="e">
        <f t="shared" si="18"/>
        <v>#DIV/0!</v>
      </c>
      <c r="X143" s="1069"/>
      <c r="Y143" s="1069"/>
      <c r="Z143" s="1061"/>
      <c r="AA143" s="1067" t="s">
        <v>140</v>
      </c>
      <c r="AB143" s="1069"/>
      <c r="AC143" s="1071" t="s">
        <v>61</v>
      </c>
      <c r="AD143" s="1071" t="s">
        <v>61</v>
      </c>
      <c r="AE143" s="1071" t="s">
        <v>3458</v>
      </c>
      <c r="AF143" s="1069"/>
      <c r="AG143" s="1067"/>
      <c r="AH143" s="1061"/>
      <c r="AI143" s="1061"/>
      <c r="AJ143" s="1072">
        <f t="shared" ca="1" si="19"/>
        <v>85</v>
      </c>
      <c r="AK143" s="1072">
        <f t="shared" ca="1" si="20"/>
        <v>85</v>
      </c>
      <c r="AL143" s="1073">
        <f t="shared" si="21"/>
        <v>0.4</v>
      </c>
      <c r="AM143" s="1074">
        <v>45579</v>
      </c>
      <c r="AN143" s="1075">
        <v>45579</v>
      </c>
      <c r="AO143" s="1075"/>
      <c r="AP143" s="1075"/>
      <c r="AQ143" s="1075"/>
      <c r="AR143" s="1076" t="s">
        <v>1770</v>
      </c>
      <c r="AS143" s="1074">
        <v>45579</v>
      </c>
      <c r="AT143" s="968"/>
      <c r="AU143" s="969"/>
      <c r="AV143" s="969"/>
      <c r="AW143" s="969"/>
      <c r="AX143" s="969"/>
      <c r="AY143" s="969"/>
      <c r="AZ143" s="969"/>
      <c r="BA143" s="969"/>
      <c r="BB143" s="969"/>
      <c r="BC143" s="969"/>
    </row>
    <row r="144" spans="1:55" s="271" customFormat="1" x14ac:dyDescent="0.35">
      <c r="B144" s="1061">
        <v>1</v>
      </c>
      <c r="C144" s="1061" t="s">
        <v>4370</v>
      </c>
      <c r="D144" s="1062" t="str">
        <f>AR144</f>
        <v>Pending</v>
      </c>
      <c r="E144" s="1063" t="s">
        <v>4811</v>
      </c>
      <c r="F144" s="1064"/>
      <c r="G144" s="1065" t="s">
        <v>508</v>
      </c>
      <c r="H144" s="1066" t="s">
        <v>4812</v>
      </c>
      <c r="I144" s="1065"/>
      <c r="J144" s="1067" t="s">
        <v>4357</v>
      </c>
      <c r="K144" s="1067" t="s">
        <v>4358</v>
      </c>
      <c r="L144" s="1067"/>
      <c r="M144" s="1067"/>
      <c r="N144" s="1067"/>
      <c r="O144" s="1067"/>
      <c r="P144" s="1067"/>
      <c r="Q144" s="1067"/>
      <c r="R144" s="1061"/>
      <c r="S144" s="1068" t="s">
        <v>77</v>
      </c>
      <c r="T144" s="1065"/>
      <c r="U144" s="1069"/>
      <c r="V144" s="1069"/>
      <c r="W144" s="1070" t="e">
        <f t="shared" si="18"/>
        <v>#DIV/0!</v>
      </c>
      <c r="X144" s="1069"/>
      <c r="Y144" s="1069"/>
      <c r="Z144" s="1061"/>
      <c r="AA144" s="1067" t="s">
        <v>140</v>
      </c>
      <c r="AB144" s="1069"/>
      <c r="AC144" s="1071" t="s">
        <v>61</v>
      </c>
      <c r="AD144" s="1071" t="s">
        <v>61</v>
      </c>
      <c r="AE144" s="1071" t="s">
        <v>3458</v>
      </c>
      <c r="AF144" s="1069"/>
      <c r="AG144" s="1067"/>
      <c r="AH144" s="1061"/>
      <c r="AI144" s="1061"/>
      <c r="AJ144" s="1072">
        <f t="shared" ca="1" si="19"/>
        <v>85</v>
      </c>
      <c r="AK144" s="1072">
        <f t="shared" ca="1" si="20"/>
        <v>85</v>
      </c>
      <c r="AL144" s="1073">
        <f t="shared" si="21"/>
        <v>0.4</v>
      </c>
      <c r="AM144" s="1074">
        <v>45579</v>
      </c>
      <c r="AN144" s="1075">
        <v>45579</v>
      </c>
      <c r="AO144" s="1075"/>
      <c r="AP144" s="1075"/>
      <c r="AQ144" s="1075"/>
      <c r="AR144" s="1076" t="s">
        <v>1770</v>
      </c>
      <c r="AS144" s="1074">
        <v>45579</v>
      </c>
      <c r="AT144" s="968"/>
      <c r="AU144" s="969"/>
      <c r="AV144" s="969"/>
      <c r="AW144" s="969"/>
      <c r="AX144" s="969"/>
      <c r="AY144" s="969"/>
      <c r="AZ144" s="969"/>
      <c r="BA144" s="969"/>
      <c r="BB144" s="969"/>
      <c r="BC144" s="969"/>
    </row>
    <row r="145" spans="1:55" s="271" customFormat="1" x14ac:dyDescent="0.35">
      <c r="B145" s="1061">
        <v>1</v>
      </c>
      <c r="C145" s="1061" t="s">
        <v>4370</v>
      </c>
      <c r="D145" s="1132" t="s">
        <v>4876</v>
      </c>
      <c r="E145" s="1063" t="s">
        <v>4809</v>
      </c>
      <c r="F145" s="1064"/>
      <c r="G145" s="1065" t="s">
        <v>215</v>
      </c>
      <c r="H145" s="1066" t="s">
        <v>4808</v>
      </c>
      <c r="I145" s="1065"/>
      <c r="J145" s="1067" t="s">
        <v>4357</v>
      </c>
      <c r="K145" s="1067" t="s">
        <v>4358</v>
      </c>
      <c r="L145" s="1067"/>
      <c r="M145" s="1067"/>
      <c r="N145" s="1067"/>
      <c r="O145" s="1067"/>
      <c r="P145" s="1067"/>
      <c r="Q145" s="1067"/>
      <c r="R145" s="1061"/>
      <c r="S145" s="1068" t="s">
        <v>77</v>
      </c>
      <c r="T145" s="1065"/>
      <c r="U145" s="1069"/>
      <c r="V145" s="1069"/>
      <c r="W145" s="1070" t="e">
        <f t="shared" si="18"/>
        <v>#DIV/0!</v>
      </c>
      <c r="X145" s="1069"/>
      <c r="Y145" s="1069"/>
      <c r="Z145" s="1061"/>
      <c r="AA145" s="1067" t="s">
        <v>140</v>
      </c>
      <c r="AB145" s="1069"/>
      <c r="AC145" s="1071" t="s">
        <v>61</v>
      </c>
      <c r="AD145" s="1071" t="s">
        <v>61</v>
      </c>
      <c r="AE145" s="1071" t="s">
        <v>3458</v>
      </c>
      <c r="AF145" s="1069"/>
      <c r="AG145" s="1067"/>
      <c r="AH145" s="1061"/>
      <c r="AI145" s="1061"/>
      <c r="AJ145" s="1072">
        <f t="shared" ca="1" si="19"/>
        <v>85</v>
      </c>
      <c r="AK145" s="1072">
        <f t="shared" ca="1" si="20"/>
        <v>85</v>
      </c>
      <c r="AL145" s="1073" t="str">
        <f t="shared" si="21"/>
        <v>In touch - positive</v>
      </c>
      <c r="AM145" s="1074">
        <v>45579</v>
      </c>
      <c r="AN145" s="1075">
        <v>45579</v>
      </c>
      <c r="AO145" s="1075"/>
      <c r="AP145" s="1075"/>
      <c r="AQ145" s="1075">
        <v>45580</v>
      </c>
      <c r="AR145" s="1076" t="s">
        <v>1770</v>
      </c>
      <c r="AS145" s="1074">
        <v>45579</v>
      </c>
      <c r="AT145" s="968"/>
      <c r="AU145" s="969"/>
      <c r="AV145" s="969"/>
      <c r="AW145" s="969"/>
      <c r="AX145" s="969"/>
      <c r="AY145" s="969"/>
      <c r="AZ145" s="969"/>
      <c r="BA145" s="969"/>
      <c r="BB145" s="969"/>
      <c r="BC145" s="969"/>
    </row>
    <row r="146" spans="1:55" s="271" customFormat="1" x14ac:dyDescent="0.35">
      <c r="B146" s="1061">
        <v>1</v>
      </c>
      <c r="C146" s="1061" t="s">
        <v>4370</v>
      </c>
      <c r="D146" s="1062" t="str">
        <f>AR146</f>
        <v>Pending</v>
      </c>
      <c r="E146" s="1063" t="s">
        <v>4807</v>
      </c>
      <c r="F146" s="1064"/>
      <c r="G146" s="1065" t="s">
        <v>215</v>
      </c>
      <c r="H146" s="1066" t="s">
        <v>4808</v>
      </c>
      <c r="I146" s="1065"/>
      <c r="J146" s="1067" t="s">
        <v>4357</v>
      </c>
      <c r="K146" s="1067" t="s">
        <v>4358</v>
      </c>
      <c r="L146" s="1067"/>
      <c r="M146" s="1067"/>
      <c r="N146" s="1067"/>
      <c r="O146" s="1067"/>
      <c r="P146" s="1067"/>
      <c r="Q146" s="1067"/>
      <c r="R146" s="1061"/>
      <c r="S146" s="1068" t="s">
        <v>77</v>
      </c>
      <c r="T146" s="1065"/>
      <c r="U146" s="1069"/>
      <c r="V146" s="1069"/>
      <c r="W146" s="1070" t="e">
        <f t="shared" si="18"/>
        <v>#DIV/0!</v>
      </c>
      <c r="X146" s="1069"/>
      <c r="Y146" s="1069"/>
      <c r="Z146" s="1061"/>
      <c r="AA146" s="1067" t="s">
        <v>140</v>
      </c>
      <c r="AB146" s="1069"/>
      <c r="AC146" s="1071" t="s">
        <v>61</v>
      </c>
      <c r="AD146" s="1071" t="s">
        <v>61</v>
      </c>
      <c r="AE146" s="1071" t="s">
        <v>3458</v>
      </c>
      <c r="AF146" s="1069"/>
      <c r="AG146" s="1067"/>
      <c r="AH146" s="1061"/>
      <c r="AI146" s="1061"/>
      <c r="AJ146" s="1072">
        <f t="shared" ca="1" si="19"/>
        <v>85</v>
      </c>
      <c r="AK146" s="1072">
        <f t="shared" ca="1" si="20"/>
        <v>85</v>
      </c>
      <c r="AL146" s="1073">
        <f t="shared" si="21"/>
        <v>0.4</v>
      </c>
      <c r="AM146" s="1074">
        <v>45579</v>
      </c>
      <c r="AN146" s="1075">
        <v>45579</v>
      </c>
      <c r="AO146" s="1075"/>
      <c r="AP146" s="1075"/>
      <c r="AQ146" s="1075"/>
      <c r="AR146" s="1076" t="s">
        <v>1770</v>
      </c>
      <c r="AS146" s="1074">
        <v>45579</v>
      </c>
      <c r="AT146" s="968"/>
      <c r="AU146" s="969"/>
      <c r="AV146" s="969"/>
      <c r="AW146" s="969"/>
      <c r="AX146" s="969"/>
      <c r="AY146" s="969"/>
      <c r="AZ146" s="969"/>
      <c r="BA146" s="969"/>
      <c r="BB146" s="969"/>
      <c r="BC146" s="969"/>
    </row>
    <row r="147" spans="1:55" s="271" customFormat="1" x14ac:dyDescent="0.35">
      <c r="B147" s="1061">
        <v>1</v>
      </c>
      <c r="C147" s="1061" t="s">
        <v>4370</v>
      </c>
      <c r="D147" s="1132" t="s">
        <v>1818</v>
      </c>
      <c r="E147" s="1063" t="s">
        <v>4804</v>
      </c>
      <c r="F147" s="1064"/>
      <c r="G147" s="1065" t="s">
        <v>4806</v>
      </c>
      <c r="H147" s="1066" t="s">
        <v>4805</v>
      </c>
      <c r="I147" s="1065"/>
      <c r="J147" s="1067" t="s">
        <v>4357</v>
      </c>
      <c r="K147" s="1067" t="s">
        <v>4358</v>
      </c>
      <c r="L147" s="1067"/>
      <c r="M147" s="1067"/>
      <c r="N147" s="1067"/>
      <c r="O147" s="1067"/>
      <c r="P147" s="1067"/>
      <c r="Q147" s="1067"/>
      <c r="R147" s="1061"/>
      <c r="S147" s="1068" t="s">
        <v>77</v>
      </c>
      <c r="T147" s="1065"/>
      <c r="U147" s="1069"/>
      <c r="V147" s="1069"/>
      <c r="W147" s="1070" t="e">
        <f t="shared" si="18"/>
        <v>#DIV/0!</v>
      </c>
      <c r="X147" s="1069"/>
      <c r="Y147" s="1069"/>
      <c r="Z147" s="1061"/>
      <c r="AA147" s="1067" t="s">
        <v>140</v>
      </c>
      <c r="AB147" s="1069"/>
      <c r="AC147" s="1071" t="s">
        <v>61</v>
      </c>
      <c r="AD147" s="1071" t="s">
        <v>61</v>
      </c>
      <c r="AE147" s="1071" t="s">
        <v>3458</v>
      </c>
      <c r="AF147" s="1069"/>
      <c r="AG147" s="1067"/>
      <c r="AH147" s="1061"/>
      <c r="AI147" s="1061"/>
      <c r="AJ147" s="1072">
        <f t="shared" ca="1" si="19"/>
        <v>85</v>
      </c>
      <c r="AK147" s="1072">
        <f t="shared" ca="1" si="20"/>
        <v>85</v>
      </c>
      <c r="AL147" s="1073" t="str">
        <f t="shared" si="21"/>
        <v>In touch - Positive</v>
      </c>
      <c r="AM147" s="1074">
        <v>45579</v>
      </c>
      <c r="AN147" s="1075">
        <v>45579</v>
      </c>
      <c r="AO147" s="1075"/>
      <c r="AP147" s="1075"/>
      <c r="AQ147" s="1075">
        <v>45580</v>
      </c>
      <c r="AR147" s="1076" t="s">
        <v>1770</v>
      </c>
      <c r="AS147" s="1074">
        <v>45579</v>
      </c>
      <c r="AT147" s="968"/>
      <c r="AU147" s="969"/>
      <c r="AV147" s="969"/>
      <c r="AW147" s="969"/>
      <c r="AX147" s="969"/>
      <c r="AY147" s="969"/>
      <c r="AZ147" s="969"/>
      <c r="BA147" s="969"/>
      <c r="BB147" s="969"/>
      <c r="BC147" s="969"/>
    </row>
    <row r="148" spans="1:55" s="271" customFormat="1" x14ac:dyDescent="0.35">
      <c r="B148" s="1061">
        <v>1</v>
      </c>
      <c r="C148" s="1061" t="s">
        <v>4370</v>
      </c>
      <c r="D148" s="1132" t="s">
        <v>1818</v>
      </c>
      <c r="E148" s="1063" t="s">
        <v>4802</v>
      </c>
      <c r="F148" s="1064"/>
      <c r="G148" s="1065" t="s">
        <v>2679</v>
      </c>
      <c r="H148" s="1066" t="s">
        <v>4803</v>
      </c>
      <c r="I148" s="1065"/>
      <c r="J148" s="1067" t="s">
        <v>4357</v>
      </c>
      <c r="K148" s="1067" t="s">
        <v>4358</v>
      </c>
      <c r="L148" s="1067"/>
      <c r="M148" s="1067"/>
      <c r="N148" s="1067"/>
      <c r="O148" s="1067"/>
      <c r="P148" s="1067"/>
      <c r="Q148" s="1067"/>
      <c r="R148" s="1061"/>
      <c r="S148" s="1068" t="s">
        <v>77</v>
      </c>
      <c r="T148" s="1065"/>
      <c r="U148" s="1069"/>
      <c r="V148" s="1069"/>
      <c r="W148" s="1070" t="e">
        <f t="shared" si="18"/>
        <v>#DIV/0!</v>
      </c>
      <c r="X148" s="1069"/>
      <c r="Y148" s="1069"/>
      <c r="Z148" s="1061"/>
      <c r="AA148" s="1067" t="s">
        <v>140</v>
      </c>
      <c r="AB148" s="1069"/>
      <c r="AC148" s="1071" t="s">
        <v>61</v>
      </c>
      <c r="AD148" s="1071" t="s">
        <v>61</v>
      </c>
      <c r="AE148" s="1071" t="s">
        <v>3458</v>
      </c>
      <c r="AF148" s="1069"/>
      <c r="AG148" s="1067"/>
      <c r="AH148" s="1061"/>
      <c r="AI148" s="1061"/>
      <c r="AJ148" s="1072">
        <f t="shared" ca="1" si="19"/>
        <v>85</v>
      </c>
      <c r="AK148" s="1072">
        <f t="shared" ca="1" si="20"/>
        <v>85</v>
      </c>
      <c r="AL148" s="1073" t="str">
        <f t="shared" si="21"/>
        <v>In touch - Positive</v>
      </c>
      <c r="AM148" s="1074">
        <v>45579</v>
      </c>
      <c r="AN148" s="1075">
        <v>45579</v>
      </c>
      <c r="AO148" s="1075"/>
      <c r="AP148" s="1075"/>
      <c r="AQ148" s="1075">
        <v>45583</v>
      </c>
      <c r="AR148" s="1076" t="s">
        <v>1770</v>
      </c>
      <c r="AS148" s="1074">
        <v>45579</v>
      </c>
      <c r="AT148" s="968"/>
      <c r="AU148" s="969"/>
      <c r="AV148" s="969"/>
      <c r="AW148" s="969"/>
      <c r="AX148" s="969"/>
      <c r="AY148" s="969"/>
      <c r="AZ148" s="969"/>
      <c r="BA148" s="969"/>
      <c r="BB148" s="969"/>
      <c r="BC148" s="969"/>
    </row>
    <row r="149" spans="1:55" s="271" customFormat="1" x14ac:dyDescent="0.35">
      <c r="B149" s="1061">
        <v>1</v>
      </c>
      <c r="C149" s="1061" t="s">
        <v>4370</v>
      </c>
      <c r="D149" s="1062" t="str">
        <f>AR149</f>
        <v>Pending</v>
      </c>
      <c r="E149" s="1063" t="s">
        <v>4800</v>
      </c>
      <c r="F149" s="1064"/>
      <c r="G149" s="1065" t="s">
        <v>554</v>
      </c>
      <c r="H149" s="1066" t="s">
        <v>4801</v>
      </c>
      <c r="I149" s="1065"/>
      <c r="J149" s="1067" t="s">
        <v>4357</v>
      </c>
      <c r="K149" s="1067" t="s">
        <v>4358</v>
      </c>
      <c r="L149" s="1067"/>
      <c r="M149" s="1067"/>
      <c r="N149" s="1067"/>
      <c r="O149" s="1067"/>
      <c r="P149" s="1067"/>
      <c r="Q149" s="1067"/>
      <c r="R149" s="1061"/>
      <c r="S149" s="1068" t="s">
        <v>77</v>
      </c>
      <c r="T149" s="1065"/>
      <c r="U149" s="1069"/>
      <c r="V149" s="1069"/>
      <c r="W149" s="1070" t="e">
        <f t="shared" si="18"/>
        <v>#DIV/0!</v>
      </c>
      <c r="X149" s="1069"/>
      <c r="Y149" s="1069"/>
      <c r="Z149" s="1061"/>
      <c r="AA149" s="1067" t="s">
        <v>140</v>
      </c>
      <c r="AB149" s="1069"/>
      <c r="AC149" s="1071" t="s">
        <v>61</v>
      </c>
      <c r="AD149" s="1071" t="s">
        <v>61</v>
      </c>
      <c r="AE149" s="1071" t="s">
        <v>3458</v>
      </c>
      <c r="AF149" s="1069"/>
      <c r="AG149" s="1067"/>
      <c r="AH149" s="1061"/>
      <c r="AI149" s="1061"/>
      <c r="AJ149" s="1072">
        <f t="shared" ca="1" si="19"/>
        <v>85</v>
      </c>
      <c r="AK149" s="1072">
        <f t="shared" ca="1" si="20"/>
        <v>85</v>
      </c>
      <c r="AL149" s="1073">
        <f t="shared" si="21"/>
        <v>0.4</v>
      </c>
      <c r="AM149" s="1074">
        <v>45579</v>
      </c>
      <c r="AN149" s="1075">
        <v>45579</v>
      </c>
      <c r="AO149" s="1075"/>
      <c r="AP149" s="1075"/>
      <c r="AQ149" s="1075"/>
      <c r="AR149" s="1076" t="s">
        <v>1770</v>
      </c>
      <c r="AS149" s="1074">
        <v>45579</v>
      </c>
      <c r="AT149" s="968"/>
      <c r="AU149" s="969"/>
      <c r="AV149" s="969"/>
      <c r="AW149" s="969"/>
      <c r="AX149" s="969"/>
      <c r="AY149" s="969"/>
      <c r="AZ149" s="969"/>
      <c r="BA149" s="969"/>
      <c r="BB149" s="969"/>
      <c r="BC149" s="969"/>
    </row>
    <row r="150" spans="1:55" s="271" customFormat="1" x14ac:dyDescent="0.35">
      <c r="A150" s="953"/>
      <c r="B150" s="1061">
        <v>1</v>
      </c>
      <c r="C150" s="1061" t="s">
        <v>4370</v>
      </c>
      <c r="D150" s="1062" t="str">
        <f>AR150</f>
        <v>Pending</v>
      </c>
      <c r="E150" s="1063" t="s">
        <v>4735</v>
      </c>
      <c r="F150" s="1064"/>
      <c r="G150" s="1065" t="s">
        <v>1961</v>
      </c>
      <c r="H150" s="1066" t="s">
        <v>4799</v>
      </c>
      <c r="I150" s="1065"/>
      <c r="J150" s="1067" t="s">
        <v>4357</v>
      </c>
      <c r="K150" s="1067" t="s">
        <v>4358</v>
      </c>
      <c r="L150" s="1067"/>
      <c r="M150" s="1067"/>
      <c r="N150" s="1067"/>
      <c r="O150" s="1067"/>
      <c r="P150" s="1067"/>
      <c r="Q150" s="1067"/>
      <c r="R150" s="1061"/>
      <c r="S150" s="1068" t="s">
        <v>77</v>
      </c>
      <c r="T150" s="1065"/>
      <c r="U150" s="1069"/>
      <c r="V150" s="1069"/>
      <c r="W150" s="1070" t="e">
        <f t="shared" si="18"/>
        <v>#DIV/0!</v>
      </c>
      <c r="X150" s="1069"/>
      <c r="Y150" s="1069"/>
      <c r="Z150" s="1061"/>
      <c r="AA150" s="1067" t="s">
        <v>140</v>
      </c>
      <c r="AB150" s="1069"/>
      <c r="AC150" s="1071" t="s">
        <v>61</v>
      </c>
      <c r="AD150" s="1071" t="s">
        <v>61</v>
      </c>
      <c r="AE150" s="1071" t="s">
        <v>3458</v>
      </c>
      <c r="AF150" s="1069"/>
      <c r="AG150" s="1067"/>
      <c r="AH150" s="1061"/>
      <c r="AI150" s="1061"/>
      <c r="AJ150" s="1072">
        <f t="shared" ca="1" si="19"/>
        <v>85</v>
      </c>
      <c r="AK150" s="1072">
        <f t="shared" ca="1" si="20"/>
        <v>85</v>
      </c>
      <c r="AL150" s="1073">
        <f t="shared" si="21"/>
        <v>0.4</v>
      </c>
      <c r="AM150" s="1074">
        <v>45579</v>
      </c>
      <c r="AN150" s="1075">
        <v>45579</v>
      </c>
      <c r="AO150" s="1075"/>
      <c r="AP150" s="1075"/>
      <c r="AQ150" s="1075"/>
      <c r="AR150" s="1076" t="s">
        <v>1770</v>
      </c>
      <c r="AS150" s="1074">
        <v>45579</v>
      </c>
      <c r="AT150" s="968"/>
      <c r="AU150" s="969"/>
      <c r="AV150" s="969"/>
      <c r="AW150" s="969"/>
      <c r="AX150" s="969"/>
      <c r="AY150" s="969"/>
      <c r="AZ150" s="969"/>
      <c r="BA150" s="969"/>
      <c r="BB150" s="969"/>
      <c r="BC150" s="969"/>
    </row>
    <row r="151" spans="1:55" s="271" customFormat="1" x14ac:dyDescent="0.35">
      <c r="A151" s="953"/>
      <c r="B151" s="1061">
        <v>1</v>
      </c>
      <c r="C151" s="1061" t="s">
        <v>4370</v>
      </c>
      <c r="D151" s="1132" t="s">
        <v>4876</v>
      </c>
      <c r="E151" s="1063" t="s">
        <v>4798</v>
      </c>
      <c r="F151" s="1064"/>
      <c r="G151" s="1065" t="s">
        <v>232</v>
      </c>
      <c r="H151" s="1066" t="s">
        <v>4799</v>
      </c>
      <c r="I151" s="1065"/>
      <c r="J151" s="1067" t="s">
        <v>4357</v>
      </c>
      <c r="K151" s="1067" t="s">
        <v>4358</v>
      </c>
      <c r="L151" s="1067"/>
      <c r="M151" s="1067"/>
      <c r="N151" s="1067"/>
      <c r="O151" s="1067"/>
      <c r="P151" s="1067"/>
      <c r="Q151" s="1067"/>
      <c r="R151" s="1061"/>
      <c r="S151" s="1068" t="s">
        <v>77</v>
      </c>
      <c r="T151" s="1065"/>
      <c r="U151" s="1069"/>
      <c r="V151" s="1069"/>
      <c r="W151" s="1070" t="e">
        <f t="shared" si="18"/>
        <v>#DIV/0!</v>
      </c>
      <c r="X151" s="1069"/>
      <c r="Y151" s="1069"/>
      <c r="Z151" s="1061"/>
      <c r="AA151" s="1067" t="s">
        <v>140</v>
      </c>
      <c r="AB151" s="1069"/>
      <c r="AC151" s="1071" t="s">
        <v>61</v>
      </c>
      <c r="AD151" s="1071" t="s">
        <v>61</v>
      </c>
      <c r="AE151" s="1071" t="s">
        <v>3458</v>
      </c>
      <c r="AF151" s="1069"/>
      <c r="AG151" s="1067"/>
      <c r="AH151" s="1061"/>
      <c r="AI151" s="1061"/>
      <c r="AJ151" s="1072">
        <f t="shared" ca="1" si="19"/>
        <v>85</v>
      </c>
      <c r="AK151" s="1072">
        <f t="shared" ca="1" si="20"/>
        <v>85</v>
      </c>
      <c r="AL151" s="1073" t="str">
        <f t="shared" si="21"/>
        <v>In touch - positive</v>
      </c>
      <c r="AM151" s="1074">
        <v>45579</v>
      </c>
      <c r="AN151" s="1075">
        <v>45579</v>
      </c>
      <c r="AO151" s="1075"/>
      <c r="AP151" s="1075"/>
      <c r="AQ151" s="1075">
        <v>45580</v>
      </c>
      <c r="AR151" s="1076" t="s">
        <v>1770</v>
      </c>
      <c r="AS151" s="1074">
        <v>45579</v>
      </c>
      <c r="AT151" s="968"/>
      <c r="AU151" s="969"/>
      <c r="AV151" s="969"/>
      <c r="AW151" s="969"/>
      <c r="AX151" s="969"/>
      <c r="AY151" s="969"/>
      <c r="AZ151" s="969"/>
      <c r="BA151" s="969"/>
      <c r="BB151" s="969"/>
      <c r="BC151" s="969"/>
    </row>
    <row r="152" spans="1:55" s="271" customFormat="1" x14ac:dyDescent="0.35">
      <c r="A152" s="953"/>
      <c r="B152" s="1061">
        <v>1</v>
      </c>
      <c r="C152" s="1061" t="s">
        <v>4370</v>
      </c>
      <c r="D152" s="1062" t="str">
        <f>AR152</f>
        <v>Pending</v>
      </c>
      <c r="E152" s="1063" t="s">
        <v>4796</v>
      </c>
      <c r="F152" s="1064"/>
      <c r="G152" s="1065" t="s">
        <v>386</v>
      </c>
      <c r="H152" s="1066" t="s">
        <v>4797</v>
      </c>
      <c r="I152" s="1065"/>
      <c r="J152" s="1067" t="s">
        <v>4357</v>
      </c>
      <c r="K152" s="1067" t="s">
        <v>4358</v>
      </c>
      <c r="L152" s="1067"/>
      <c r="M152" s="1067"/>
      <c r="N152" s="1067"/>
      <c r="O152" s="1067"/>
      <c r="P152" s="1067"/>
      <c r="Q152" s="1067"/>
      <c r="R152" s="1061"/>
      <c r="S152" s="1068" t="s">
        <v>77</v>
      </c>
      <c r="T152" s="1065"/>
      <c r="U152" s="1069"/>
      <c r="V152" s="1069"/>
      <c r="W152" s="1070" t="e">
        <f t="shared" si="18"/>
        <v>#DIV/0!</v>
      </c>
      <c r="X152" s="1069"/>
      <c r="Y152" s="1069"/>
      <c r="Z152" s="1061"/>
      <c r="AA152" s="1067" t="s">
        <v>140</v>
      </c>
      <c r="AB152" s="1069"/>
      <c r="AC152" s="1071" t="s">
        <v>61</v>
      </c>
      <c r="AD152" s="1071" t="s">
        <v>61</v>
      </c>
      <c r="AE152" s="1071" t="s">
        <v>3458</v>
      </c>
      <c r="AF152" s="1069"/>
      <c r="AG152" s="1067"/>
      <c r="AH152" s="1061"/>
      <c r="AI152" s="1061"/>
      <c r="AJ152" s="1072">
        <f t="shared" ca="1" si="19"/>
        <v>85</v>
      </c>
      <c r="AK152" s="1072">
        <f t="shared" ca="1" si="20"/>
        <v>85</v>
      </c>
      <c r="AL152" s="1073">
        <f t="shared" si="21"/>
        <v>0.4</v>
      </c>
      <c r="AM152" s="1074">
        <v>45579</v>
      </c>
      <c r="AN152" s="1075">
        <v>45579</v>
      </c>
      <c r="AO152" s="1075"/>
      <c r="AP152" s="1075"/>
      <c r="AQ152" s="1075"/>
      <c r="AR152" s="1076" t="s">
        <v>1770</v>
      </c>
      <c r="AS152" s="1074">
        <v>45579</v>
      </c>
      <c r="AT152" s="968"/>
      <c r="AU152" s="969"/>
      <c r="AV152" s="969"/>
      <c r="AW152" s="969"/>
      <c r="AX152" s="969"/>
      <c r="AY152" s="969"/>
      <c r="AZ152" s="969"/>
      <c r="BA152" s="969"/>
      <c r="BB152" s="969"/>
      <c r="BC152" s="969"/>
    </row>
    <row r="153" spans="1:55" s="271" customFormat="1" ht="10.5" customHeight="1" x14ac:dyDescent="0.35">
      <c r="B153" s="1061">
        <v>1</v>
      </c>
      <c r="C153" s="1061" t="s">
        <v>4370</v>
      </c>
      <c r="D153" s="1132" t="s">
        <v>4881</v>
      </c>
      <c r="E153" s="1063" t="s">
        <v>4794</v>
      </c>
      <c r="F153" s="1064"/>
      <c r="G153" s="1065" t="s">
        <v>538</v>
      </c>
      <c r="H153" s="1066" t="s">
        <v>4795</v>
      </c>
      <c r="I153" s="1065"/>
      <c r="J153" s="1067" t="s">
        <v>4357</v>
      </c>
      <c r="K153" s="1067" t="s">
        <v>4358</v>
      </c>
      <c r="L153" s="1067"/>
      <c r="M153" s="1067"/>
      <c r="N153" s="1067"/>
      <c r="O153" s="1067"/>
      <c r="P153" s="1067"/>
      <c r="Q153" s="1067"/>
      <c r="R153" s="1061"/>
      <c r="S153" s="1068" t="s">
        <v>77</v>
      </c>
      <c r="T153" s="1065"/>
      <c r="U153" s="1069"/>
      <c r="V153" s="1069"/>
      <c r="W153" s="1070" t="e">
        <f t="shared" si="18"/>
        <v>#DIV/0!</v>
      </c>
      <c r="X153" s="1069"/>
      <c r="Y153" s="1069"/>
      <c r="Z153" s="1061"/>
      <c r="AA153" s="1067" t="s">
        <v>140</v>
      </c>
      <c r="AB153" s="1069"/>
      <c r="AC153" s="1071" t="s">
        <v>61</v>
      </c>
      <c r="AD153" s="1071" t="s">
        <v>61</v>
      </c>
      <c r="AE153" s="1071" t="s">
        <v>3458</v>
      </c>
      <c r="AF153" s="1069"/>
      <c r="AG153" s="1067"/>
      <c r="AH153" s="1061"/>
      <c r="AI153" s="1061"/>
      <c r="AJ153" s="1072">
        <f t="shared" ca="1" si="19"/>
        <v>85</v>
      </c>
      <c r="AK153" s="1072">
        <f t="shared" ca="1" si="20"/>
        <v>85</v>
      </c>
      <c r="AL153" s="1073" t="str">
        <f t="shared" si="21"/>
        <v>In touch - negative</v>
      </c>
      <c r="AM153" s="1074">
        <v>45579</v>
      </c>
      <c r="AN153" s="1075">
        <v>45579</v>
      </c>
      <c r="AO153" s="1075"/>
      <c r="AP153" s="1075"/>
      <c r="AQ153" s="1075"/>
      <c r="AR153" s="1076" t="s">
        <v>1770</v>
      </c>
      <c r="AS153" s="1074">
        <v>45579</v>
      </c>
      <c r="AT153" s="11"/>
    </row>
    <row r="154" spans="1:55" s="271" customFormat="1" ht="10.5" customHeight="1" x14ac:dyDescent="0.35">
      <c r="A154" s="1061"/>
      <c r="B154" s="1061">
        <v>1</v>
      </c>
      <c r="C154" s="1061" t="s">
        <v>4370</v>
      </c>
      <c r="D154" s="1132" t="s">
        <v>4876</v>
      </c>
      <c r="E154" s="1133" t="s">
        <v>4882</v>
      </c>
      <c r="F154" s="1064"/>
      <c r="G154" s="1065" t="s">
        <v>130</v>
      </c>
      <c r="H154" s="1066" t="s">
        <v>4793</v>
      </c>
      <c r="I154" s="1065"/>
      <c r="J154" s="1067" t="s">
        <v>4357</v>
      </c>
      <c r="K154" s="1067" t="s">
        <v>4358</v>
      </c>
      <c r="L154" s="1067"/>
      <c r="M154" s="1067"/>
      <c r="N154" s="1067"/>
      <c r="O154" s="1067"/>
      <c r="P154" s="1067"/>
      <c r="Q154" s="1067"/>
      <c r="R154" s="1061"/>
      <c r="S154" s="1068" t="s">
        <v>77</v>
      </c>
      <c r="T154" s="1065"/>
      <c r="U154" s="1069"/>
      <c r="V154" s="1069"/>
      <c r="W154" s="1070" t="e">
        <f t="shared" si="18"/>
        <v>#DIV/0!</v>
      </c>
      <c r="X154" s="1069"/>
      <c r="Y154" s="1069"/>
      <c r="Z154" s="1061"/>
      <c r="AA154" s="1067" t="s">
        <v>140</v>
      </c>
      <c r="AB154" s="1069"/>
      <c r="AC154" s="1071" t="s">
        <v>61</v>
      </c>
      <c r="AD154" s="1071" t="s">
        <v>61</v>
      </c>
      <c r="AE154" s="1071" t="s">
        <v>3458</v>
      </c>
      <c r="AF154" s="1069"/>
      <c r="AG154" s="1067"/>
      <c r="AH154" s="1061"/>
      <c r="AI154" s="1061"/>
      <c r="AJ154" s="1072">
        <f t="shared" ca="1" si="19"/>
        <v>85</v>
      </c>
      <c r="AK154" s="1072">
        <f t="shared" ca="1" si="20"/>
        <v>85</v>
      </c>
      <c r="AL154" s="1073" t="str">
        <f t="shared" si="21"/>
        <v>In touch - positive</v>
      </c>
      <c r="AM154" s="1074">
        <v>45579</v>
      </c>
      <c r="AN154" s="1075">
        <v>45579</v>
      </c>
      <c r="AO154" s="1075"/>
      <c r="AP154" s="1075"/>
      <c r="AQ154" s="1075">
        <v>45580</v>
      </c>
      <c r="AR154" s="1076" t="s">
        <v>1770</v>
      </c>
      <c r="AS154" s="1074">
        <v>45579</v>
      </c>
      <c r="AT154" s="1077"/>
      <c r="AU154" s="1078"/>
      <c r="AV154" s="1078"/>
      <c r="AW154" s="1078"/>
      <c r="AX154" s="1078"/>
      <c r="AY154" s="1078"/>
      <c r="AZ154" s="1078"/>
      <c r="BA154" s="1078"/>
      <c r="BB154" s="1078"/>
      <c r="BC154" s="1078"/>
    </row>
    <row r="155" spans="1:55" s="271" customFormat="1" ht="10.5" customHeight="1" x14ac:dyDescent="0.35">
      <c r="A155" s="1061"/>
      <c r="B155" s="1061">
        <v>1</v>
      </c>
      <c r="C155" s="1061" t="s">
        <v>4370</v>
      </c>
      <c r="D155" s="1132" t="s">
        <v>4876</v>
      </c>
      <c r="E155" s="1063" t="s">
        <v>4791</v>
      </c>
      <c r="F155" s="1064"/>
      <c r="G155" s="1065" t="s">
        <v>386</v>
      </c>
      <c r="H155" s="1066" t="s">
        <v>4792</v>
      </c>
      <c r="I155" s="1065"/>
      <c r="J155" s="1067" t="s">
        <v>4357</v>
      </c>
      <c r="K155" s="1067" t="s">
        <v>4358</v>
      </c>
      <c r="L155" s="1067"/>
      <c r="M155" s="1067"/>
      <c r="N155" s="1067"/>
      <c r="O155" s="1067"/>
      <c r="P155" s="1067"/>
      <c r="Q155" s="1067"/>
      <c r="R155" s="1061"/>
      <c r="S155" s="1068" t="s">
        <v>77</v>
      </c>
      <c r="T155" s="1065"/>
      <c r="U155" s="1069"/>
      <c r="V155" s="1069"/>
      <c r="W155" s="1070" t="e">
        <f t="shared" si="18"/>
        <v>#DIV/0!</v>
      </c>
      <c r="X155" s="1069"/>
      <c r="Y155" s="1069"/>
      <c r="Z155" s="1061"/>
      <c r="AA155" s="1067" t="s">
        <v>140</v>
      </c>
      <c r="AB155" s="1069"/>
      <c r="AC155" s="1071" t="s">
        <v>61</v>
      </c>
      <c r="AD155" s="1071" t="s">
        <v>61</v>
      </c>
      <c r="AE155" s="1071" t="s">
        <v>3458</v>
      </c>
      <c r="AF155" s="1069"/>
      <c r="AG155" s="1067"/>
      <c r="AH155" s="1061"/>
      <c r="AI155" s="1061"/>
      <c r="AJ155" s="1072">
        <f t="shared" ca="1" si="19"/>
        <v>85</v>
      </c>
      <c r="AK155" s="1072">
        <f t="shared" ca="1" si="20"/>
        <v>85</v>
      </c>
      <c r="AL155" s="1073" t="str">
        <f t="shared" si="21"/>
        <v>In touch - positive</v>
      </c>
      <c r="AM155" s="1074">
        <v>45579</v>
      </c>
      <c r="AN155" s="1075">
        <v>45579</v>
      </c>
      <c r="AO155" s="1075"/>
      <c r="AP155" s="1075"/>
      <c r="AQ155" s="1075">
        <v>45580</v>
      </c>
      <c r="AR155" s="1076" t="s">
        <v>1770</v>
      </c>
      <c r="AS155" s="1074">
        <v>45579</v>
      </c>
      <c r="AT155" s="1077"/>
      <c r="AU155" s="1078"/>
      <c r="AV155" s="1078"/>
      <c r="AW155" s="1078"/>
      <c r="AX155" s="1078"/>
      <c r="AY155" s="1078"/>
      <c r="AZ155" s="1078"/>
      <c r="BA155" s="1078"/>
      <c r="BB155" s="1078"/>
      <c r="BC155" s="1078"/>
    </row>
    <row r="156" spans="1:55" s="271" customFormat="1" ht="10.5" customHeight="1" x14ac:dyDescent="0.35">
      <c r="A156" s="1061"/>
      <c r="B156" s="1061">
        <v>1</v>
      </c>
      <c r="C156" s="1061" t="s">
        <v>4370</v>
      </c>
      <c r="D156" s="1062" t="str">
        <f t="shared" ref="D156:D164" si="22">AR156</f>
        <v>In touch - Negative</v>
      </c>
      <c r="E156" s="1063" t="s">
        <v>4789</v>
      </c>
      <c r="F156" s="1064"/>
      <c r="G156" s="1065" t="s">
        <v>1805</v>
      </c>
      <c r="H156" s="1066" t="s">
        <v>4790</v>
      </c>
      <c r="I156" s="1065"/>
      <c r="J156" s="1067" t="s">
        <v>4357</v>
      </c>
      <c r="K156" s="1067" t="s">
        <v>4358</v>
      </c>
      <c r="L156" s="1067"/>
      <c r="M156" s="1067"/>
      <c r="N156" s="1067"/>
      <c r="O156" s="1067"/>
      <c r="P156" s="1067"/>
      <c r="Q156" s="1067"/>
      <c r="R156" s="1061"/>
      <c r="S156" s="1068" t="s">
        <v>77</v>
      </c>
      <c r="T156" s="1065"/>
      <c r="U156" s="1069"/>
      <c r="V156" s="1069"/>
      <c r="W156" s="1070" t="e">
        <f t="shared" si="18"/>
        <v>#DIV/0!</v>
      </c>
      <c r="X156" s="1069"/>
      <c r="Y156" s="1069"/>
      <c r="Z156" s="1061"/>
      <c r="AA156" s="1067" t="s">
        <v>140</v>
      </c>
      <c r="AB156" s="1069"/>
      <c r="AC156" s="1071" t="s">
        <v>61</v>
      </c>
      <c r="AD156" s="1071" t="s">
        <v>61</v>
      </c>
      <c r="AE156" s="1071" t="s">
        <v>3458</v>
      </c>
      <c r="AF156" s="1069"/>
      <c r="AG156" s="1067"/>
      <c r="AH156" s="1061"/>
      <c r="AI156" s="1061"/>
      <c r="AJ156" s="1072">
        <f t="shared" ca="1" si="19"/>
        <v>85</v>
      </c>
      <c r="AK156" s="1072">
        <f t="shared" ca="1" si="20"/>
        <v>85</v>
      </c>
      <c r="AL156" s="1073" t="str">
        <f t="shared" si="21"/>
        <v>In touch - Negative</v>
      </c>
      <c r="AM156" s="1074">
        <v>45579</v>
      </c>
      <c r="AN156" s="1075">
        <v>45579</v>
      </c>
      <c r="AO156" s="1075"/>
      <c r="AP156" s="1075"/>
      <c r="AQ156" s="1075"/>
      <c r="AR156" s="1076" t="s">
        <v>1963</v>
      </c>
      <c r="AS156" s="1074">
        <v>45579</v>
      </c>
      <c r="AT156" s="1077"/>
      <c r="AU156" s="1078"/>
      <c r="AV156" s="1078"/>
      <c r="AW156" s="1078"/>
      <c r="AX156" s="1078"/>
      <c r="AY156" s="1078"/>
      <c r="AZ156" s="1078"/>
      <c r="BA156" s="1078"/>
      <c r="BB156" s="1078"/>
      <c r="BC156" s="1078"/>
    </row>
    <row r="157" spans="1:55" s="271" customFormat="1" ht="10.5" customHeight="1" x14ac:dyDescent="0.35">
      <c r="A157" s="1061"/>
      <c r="B157" s="1061">
        <v>1</v>
      </c>
      <c r="C157" s="1061" t="s">
        <v>4370</v>
      </c>
      <c r="D157" s="1062" t="str">
        <f t="shared" si="22"/>
        <v>Pending</v>
      </c>
      <c r="E157" s="1063" t="s">
        <v>4787</v>
      </c>
      <c r="F157" s="1064"/>
      <c r="G157" s="1065" t="s">
        <v>2679</v>
      </c>
      <c r="H157" s="1066" t="s">
        <v>4788</v>
      </c>
      <c r="I157" s="1065"/>
      <c r="J157" s="1067" t="s">
        <v>4357</v>
      </c>
      <c r="K157" s="1067" t="s">
        <v>4358</v>
      </c>
      <c r="L157" s="1067"/>
      <c r="M157" s="1067"/>
      <c r="N157" s="1067"/>
      <c r="O157" s="1067"/>
      <c r="P157" s="1067"/>
      <c r="Q157" s="1067"/>
      <c r="R157" s="1061"/>
      <c r="S157" s="1068" t="s">
        <v>77</v>
      </c>
      <c r="T157" s="1065"/>
      <c r="U157" s="1069"/>
      <c r="V157" s="1069"/>
      <c r="W157" s="1070" t="e">
        <f t="shared" si="18"/>
        <v>#DIV/0!</v>
      </c>
      <c r="X157" s="1069"/>
      <c r="Y157" s="1069"/>
      <c r="Z157" s="1061"/>
      <c r="AA157" s="1067" t="s">
        <v>140</v>
      </c>
      <c r="AB157" s="1069"/>
      <c r="AC157" s="1071" t="s">
        <v>61</v>
      </c>
      <c r="AD157" s="1071" t="s">
        <v>61</v>
      </c>
      <c r="AE157" s="1071" t="s">
        <v>3458</v>
      </c>
      <c r="AF157" s="1069"/>
      <c r="AG157" s="1067"/>
      <c r="AH157" s="1061"/>
      <c r="AI157" s="1061"/>
      <c r="AJ157" s="1072">
        <f t="shared" ca="1" si="19"/>
        <v>85</v>
      </c>
      <c r="AK157" s="1072">
        <f t="shared" ca="1" si="20"/>
        <v>85</v>
      </c>
      <c r="AL157" s="1073">
        <f t="shared" si="21"/>
        <v>0.4</v>
      </c>
      <c r="AM157" s="1074">
        <v>45579</v>
      </c>
      <c r="AN157" s="1075">
        <v>45579</v>
      </c>
      <c r="AO157" s="1075"/>
      <c r="AP157" s="1075"/>
      <c r="AQ157" s="1075"/>
      <c r="AR157" s="1076" t="s">
        <v>1770</v>
      </c>
      <c r="AS157" s="1074">
        <v>45579</v>
      </c>
      <c r="AT157" s="1077"/>
      <c r="AU157" s="1078"/>
      <c r="AV157" s="1078"/>
      <c r="AW157" s="1078"/>
      <c r="AX157" s="1078"/>
      <c r="AY157" s="1078"/>
      <c r="AZ157" s="1078"/>
      <c r="BA157" s="1078"/>
      <c r="BB157" s="1078"/>
      <c r="BC157" s="1078"/>
    </row>
    <row r="158" spans="1:55" s="271" customFormat="1" ht="10.5" customHeight="1" x14ac:dyDescent="0.35">
      <c r="A158" s="1061"/>
      <c r="B158" s="1061">
        <v>1</v>
      </c>
      <c r="C158" s="1061" t="s">
        <v>4370</v>
      </c>
      <c r="D158" s="1062" t="str">
        <f t="shared" si="22"/>
        <v>Pending</v>
      </c>
      <c r="E158" s="1063" t="s">
        <v>4785</v>
      </c>
      <c r="F158" s="1064"/>
      <c r="G158" s="1065" t="s">
        <v>1805</v>
      </c>
      <c r="H158" s="1066" t="s">
        <v>4786</v>
      </c>
      <c r="I158" s="1065"/>
      <c r="J158" s="1067" t="s">
        <v>4357</v>
      </c>
      <c r="K158" s="1067" t="s">
        <v>4358</v>
      </c>
      <c r="L158" s="1067"/>
      <c r="M158" s="1067"/>
      <c r="N158" s="1067"/>
      <c r="O158" s="1067"/>
      <c r="P158" s="1067"/>
      <c r="Q158" s="1067"/>
      <c r="R158" s="1061"/>
      <c r="S158" s="1068" t="s">
        <v>77</v>
      </c>
      <c r="T158" s="1065"/>
      <c r="U158" s="1069"/>
      <c r="V158" s="1069"/>
      <c r="W158" s="1070" t="e">
        <f t="shared" si="18"/>
        <v>#DIV/0!</v>
      </c>
      <c r="X158" s="1069"/>
      <c r="Y158" s="1069"/>
      <c r="Z158" s="1061"/>
      <c r="AA158" s="1067" t="s">
        <v>140</v>
      </c>
      <c r="AB158" s="1069"/>
      <c r="AC158" s="1071" t="s">
        <v>61</v>
      </c>
      <c r="AD158" s="1071" t="s">
        <v>61</v>
      </c>
      <c r="AE158" s="1071" t="s">
        <v>3458</v>
      </c>
      <c r="AF158" s="1069"/>
      <c r="AG158" s="1067"/>
      <c r="AH158" s="1061"/>
      <c r="AI158" s="1061"/>
      <c r="AJ158" s="1072">
        <f t="shared" ca="1" si="19"/>
        <v>85</v>
      </c>
      <c r="AK158" s="1072">
        <f t="shared" ca="1" si="20"/>
        <v>85</v>
      </c>
      <c r="AL158" s="1073">
        <f t="shared" si="21"/>
        <v>0.4</v>
      </c>
      <c r="AM158" s="1074">
        <v>45579</v>
      </c>
      <c r="AN158" s="1075">
        <v>45579</v>
      </c>
      <c r="AO158" s="1075"/>
      <c r="AP158" s="1075"/>
      <c r="AQ158" s="1075"/>
      <c r="AR158" s="1076" t="s">
        <v>1770</v>
      </c>
      <c r="AS158" s="1074">
        <v>45579</v>
      </c>
      <c r="AT158" s="1077"/>
      <c r="AU158" s="1078"/>
      <c r="AV158" s="1078"/>
      <c r="AW158" s="1078"/>
      <c r="AX158" s="1078"/>
      <c r="AY158" s="1078"/>
      <c r="AZ158" s="1078"/>
      <c r="BA158" s="1078"/>
      <c r="BB158" s="1078"/>
      <c r="BC158" s="1078"/>
    </row>
    <row r="159" spans="1:55" s="271" customFormat="1" ht="10.5" customHeight="1" x14ac:dyDescent="0.35">
      <c r="A159" s="1061"/>
      <c r="B159" s="1061">
        <v>1</v>
      </c>
      <c r="C159" s="1061" t="s">
        <v>4370</v>
      </c>
      <c r="D159" s="1062" t="str">
        <f t="shared" si="22"/>
        <v>Pending</v>
      </c>
      <c r="E159" s="1063" t="s">
        <v>4783</v>
      </c>
      <c r="F159" s="1064"/>
      <c r="G159" s="1065" t="s">
        <v>1159</v>
      </c>
      <c r="H159" s="1066" t="s">
        <v>4784</v>
      </c>
      <c r="I159" s="1065"/>
      <c r="J159" s="1067" t="s">
        <v>4357</v>
      </c>
      <c r="K159" s="1067" t="s">
        <v>4358</v>
      </c>
      <c r="L159" s="1067"/>
      <c r="M159" s="1067"/>
      <c r="N159" s="1067"/>
      <c r="O159" s="1067"/>
      <c r="P159" s="1067"/>
      <c r="Q159" s="1067"/>
      <c r="R159" s="1061"/>
      <c r="S159" s="1068" t="s">
        <v>77</v>
      </c>
      <c r="T159" s="1065"/>
      <c r="U159" s="1069"/>
      <c r="V159" s="1069"/>
      <c r="W159" s="1070" t="e">
        <f t="shared" si="18"/>
        <v>#DIV/0!</v>
      </c>
      <c r="X159" s="1069"/>
      <c r="Y159" s="1069"/>
      <c r="Z159" s="1061"/>
      <c r="AA159" s="1067" t="s">
        <v>140</v>
      </c>
      <c r="AB159" s="1069"/>
      <c r="AC159" s="1071" t="s">
        <v>61</v>
      </c>
      <c r="AD159" s="1071" t="s">
        <v>61</v>
      </c>
      <c r="AE159" s="1071" t="s">
        <v>3458</v>
      </c>
      <c r="AF159" s="1069"/>
      <c r="AG159" s="1067"/>
      <c r="AH159" s="1061"/>
      <c r="AI159" s="1061"/>
      <c r="AJ159" s="1072">
        <f t="shared" ca="1" si="19"/>
        <v>85</v>
      </c>
      <c r="AK159" s="1072">
        <f t="shared" ca="1" si="20"/>
        <v>85</v>
      </c>
      <c r="AL159" s="1073">
        <f t="shared" si="21"/>
        <v>0.4</v>
      </c>
      <c r="AM159" s="1074">
        <v>45579</v>
      </c>
      <c r="AN159" s="1075">
        <v>45579</v>
      </c>
      <c r="AO159" s="1075"/>
      <c r="AP159" s="1075"/>
      <c r="AQ159" s="1075"/>
      <c r="AR159" s="1076" t="s">
        <v>1770</v>
      </c>
      <c r="AS159" s="1074">
        <v>45579</v>
      </c>
      <c r="AT159" s="1077"/>
      <c r="AU159" s="1078"/>
      <c r="AV159" s="1078"/>
      <c r="AW159" s="1078"/>
      <c r="AX159" s="1078"/>
      <c r="AY159" s="1078"/>
      <c r="AZ159" s="1078"/>
      <c r="BA159" s="1078"/>
      <c r="BB159" s="1078"/>
      <c r="BC159" s="1078"/>
    </row>
    <row r="160" spans="1:55" s="271" customFormat="1" ht="10.5" customHeight="1" x14ac:dyDescent="0.35">
      <c r="A160" s="1061"/>
      <c r="B160" s="1061">
        <v>1</v>
      </c>
      <c r="C160" s="1061" t="s">
        <v>4370</v>
      </c>
      <c r="D160" s="1062" t="str">
        <f t="shared" si="22"/>
        <v>Pending</v>
      </c>
      <c r="E160" s="1063" t="s">
        <v>4781</v>
      </c>
      <c r="F160" s="1064"/>
      <c r="G160" s="1065" t="s">
        <v>2679</v>
      </c>
      <c r="H160" s="1066" t="s">
        <v>4782</v>
      </c>
      <c r="I160" s="1065"/>
      <c r="J160" s="1067" t="s">
        <v>4357</v>
      </c>
      <c r="K160" s="1067" t="s">
        <v>4358</v>
      </c>
      <c r="L160" s="1067"/>
      <c r="M160" s="1067"/>
      <c r="N160" s="1067"/>
      <c r="O160" s="1067"/>
      <c r="P160" s="1067"/>
      <c r="Q160" s="1067"/>
      <c r="R160" s="1061"/>
      <c r="S160" s="1068" t="s">
        <v>77</v>
      </c>
      <c r="T160" s="1065"/>
      <c r="U160" s="1069"/>
      <c r="V160" s="1069"/>
      <c r="W160" s="1070" t="e">
        <f t="shared" si="18"/>
        <v>#DIV/0!</v>
      </c>
      <c r="X160" s="1069"/>
      <c r="Y160" s="1069"/>
      <c r="Z160" s="1061"/>
      <c r="AA160" s="1067" t="s">
        <v>140</v>
      </c>
      <c r="AB160" s="1069"/>
      <c r="AC160" s="1071" t="s">
        <v>61</v>
      </c>
      <c r="AD160" s="1071" t="s">
        <v>61</v>
      </c>
      <c r="AE160" s="1071" t="s">
        <v>3458</v>
      </c>
      <c r="AF160" s="1069"/>
      <c r="AG160" s="1067"/>
      <c r="AH160" s="1061"/>
      <c r="AI160" s="1061"/>
      <c r="AJ160" s="1072">
        <f t="shared" ca="1" si="19"/>
        <v>85</v>
      </c>
      <c r="AK160" s="1072">
        <f t="shared" ca="1" si="20"/>
        <v>85</v>
      </c>
      <c r="AL160" s="1073">
        <f t="shared" si="21"/>
        <v>0.4</v>
      </c>
      <c r="AM160" s="1074">
        <v>45579</v>
      </c>
      <c r="AN160" s="1075">
        <v>45579</v>
      </c>
      <c r="AO160" s="1075"/>
      <c r="AP160" s="1075"/>
      <c r="AQ160" s="1075"/>
      <c r="AR160" s="1076" t="s">
        <v>1770</v>
      </c>
      <c r="AS160" s="1074">
        <v>45579</v>
      </c>
      <c r="AT160" s="1077"/>
      <c r="AU160" s="1078"/>
      <c r="AV160" s="1078"/>
      <c r="AW160" s="1078"/>
      <c r="AX160" s="1078"/>
      <c r="AY160" s="1078"/>
      <c r="AZ160" s="1078"/>
      <c r="BA160" s="1078"/>
      <c r="BB160" s="1078"/>
      <c r="BC160" s="1078"/>
    </row>
    <row r="161" spans="1:55" s="271" customFormat="1" ht="10.5" customHeight="1" x14ac:dyDescent="0.35">
      <c r="A161" s="1061"/>
      <c r="B161" s="1061">
        <v>1</v>
      </c>
      <c r="C161" s="1061" t="s">
        <v>4370</v>
      </c>
      <c r="D161" s="1062" t="str">
        <f t="shared" si="22"/>
        <v>In touch - Negative</v>
      </c>
      <c r="E161" s="1063" t="s">
        <v>4779</v>
      </c>
      <c r="F161" s="1064"/>
      <c r="G161" s="1065" t="s">
        <v>232</v>
      </c>
      <c r="H161" s="1066" t="s">
        <v>4780</v>
      </c>
      <c r="I161" s="1065"/>
      <c r="J161" s="1067" t="s">
        <v>4357</v>
      </c>
      <c r="K161" s="1067" t="s">
        <v>4358</v>
      </c>
      <c r="L161" s="1067"/>
      <c r="M161" s="1067"/>
      <c r="N161" s="1067"/>
      <c r="O161" s="1067"/>
      <c r="P161" s="1067"/>
      <c r="Q161" s="1067"/>
      <c r="R161" s="1061"/>
      <c r="S161" s="1068" t="s">
        <v>77</v>
      </c>
      <c r="T161" s="1065"/>
      <c r="U161" s="1069"/>
      <c r="V161" s="1069"/>
      <c r="W161" s="1070" t="e">
        <f t="shared" ref="W161:W192" si="23">+V161/U161</f>
        <v>#DIV/0!</v>
      </c>
      <c r="X161" s="1069"/>
      <c r="Y161" s="1069"/>
      <c r="Z161" s="1061"/>
      <c r="AA161" s="1067" t="s">
        <v>140</v>
      </c>
      <c r="AB161" s="1069"/>
      <c r="AC161" s="1071" t="s">
        <v>61</v>
      </c>
      <c r="AD161" s="1071" t="s">
        <v>61</v>
      </c>
      <c r="AE161" s="1071" t="s">
        <v>3458</v>
      </c>
      <c r="AF161" s="1069"/>
      <c r="AG161" s="1067"/>
      <c r="AH161" s="1061"/>
      <c r="AI161" s="1061"/>
      <c r="AJ161" s="1072">
        <f t="shared" ca="1" si="19"/>
        <v>85</v>
      </c>
      <c r="AK161" s="1072">
        <f t="shared" ca="1" si="20"/>
        <v>85</v>
      </c>
      <c r="AL161" s="1073" t="str">
        <f t="shared" si="21"/>
        <v>In touch - Negative</v>
      </c>
      <c r="AM161" s="1074">
        <v>45579</v>
      </c>
      <c r="AN161" s="1075">
        <v>45579</v>
      </c>
      <c r="AO161" s="1075"/>
      <c r="AP161" s="1075"/>
      <c r="AQ161" s="1075"/>
      <c r="AR161" s="1076" t="s">
        <v>1963</v>
      </c>
      <c r="AS161" s="1074">
        <v>45579</v>
      </c>
      <c r="AT161" s="1077"/>
      <c r="AU161" s="1078"/>
      <c r="AV161" s="1078"/>
      <c r="AW161" s="1078"/>
      <c r="AX161" s="1078"/>
      <c r="AY161" s="1078"/>
      <c r="AZ161" s="1078"/>
      <c r="BA161" s="1078"/>
      <c r="BB161" s="1078"/>
      <c r="BC161" s="1078"/>
    </row>
    <row r="162" spans="1:55" s="271" customFormat="1" ht="10.5" customHeight="1" x14ac:dyDescent="0.35">
      <c r="A162" s="1061"/>
      <c r="B162" s="1061">
        <v>1</v>
      </c>
      <c r="C162" s="1061" t="s">
        <v>4370</v>
      </c>
      <c r="D162" s="1062" t="str">
        <f t="shared" si="22"/>
        <v>In touch - Positive</v>
      </c>
      <c r="E162" s="1063" t="s">
        <v>4777</v>
      </c>
      <c r="F162" s="1064"/>
      <c r="G162" s="1065" t="s">
        <v>924</v>
      </c>
      <c r="H162" s="1066" t="s">
        <v>4778</v>
      </c>
      <c r="I162" s="1065"/>
      <c r="J162" s="1067" t="s">
        <v>4357</v>
      </c>
      <c r="K162" s="1067" t="s">
        <v>4358</v>
      </c>
      <c r="L162" s="1067"/>
      <c r="M162" s="1067"/>
      <c r="N162" s="1067"/>
      <c r="O162" s="1067"/>
      <c r="P162" s="1067"/>
      <c r="Q162" s="1067"/>
      <c r="R162" s="1061"/>
      <c r="S162" s="1068" t="s">
        <v>77</v>
      </c>
      <c r="T162" s="1065"/>
      <c r="U162" s="1069"/>
      <c r="V162" s="1069"/>
      <c r="W162" s="1070" t="e">
        <f t="shared" si="23"/>
        <v>#DIV/0!</v>
      </c>
      <c r="X162" s="1069"/>
      <c r="Y162" s="1069"/>
      <c r="Z162" s="1061"/>
      <c r="AA162" s="1067" t="s">
        <v>140</v>
      </c>
      <c r="AB162" s="1069"/>
      <c r="AC162" s="1071" t="s">
        <v>61</v>
      </c>
      <c r="AD162" s="1071" t="s">
        <v>61</v>
      </c>
      <c r="AE162" s="1071" t="s">
        <v>3458</v>
      </c>
      <c r="AF162" s="1069"/>
      <c r="AG162" s="1067"/>
      <c r="AH162" s="1061"/>
      <c r="AI162" s="1061"/>
      <c r="AJ162" s="1072">
        <f t="shared" ca="1" si="19"/>
        <v>85</v>
      </c>
      <c r="AK162" s="1072">
        <f t="shared" ca="1" si="20"/>
        <v>85</v>
      </c>
      <c r="AL162" s="1073" t="str">
        <f t="shared" si="21"/>
        <v>In touch - Positive</v>
      </c>
      <c r="AM162" s="1074">
        <v>45579</v>
      </c>
      <c r="AN162" s="1075">
        <v>45579</v>
      </c>
      <c r="AO162" s="1075"/>
      <c r="AP162" s="1075"/>
      <c r="AQ162" s="1075"/>
      <c r="AR162" s="1076" t="s">
        <v>1818</v>
      </c>
      <c r="AS162" s="1074">
        <v>45579</v>
      </c>
      <c r="AT162" s="1077"/>
      <c r="AU162" s="1078"/>
      <c r="AV162" s="1078"/>
      <c r="AW162" s="1078"/>
      <c r="AX162" s="1078"/>
      <c r="AY162" s="1078"/>
      <c r="AZ162" s="1078"/>
      <c r="BA162" s="1078"/>
      <c r="BB162" s="1078"/>
      <c r="BC162" s="1078"/>
    </row>
    <row r="163" spans="1:55" s="271" customFormat="1" ht="10.5" customHeight="1" x14ac:dyDescent="0.35">
      <c r="A163" s="1061"/>
      <c r="B163" s="1061">
        <v>1</v>
      </c>
      <c r="C163" s="1061" t="s">
        <v>4370</v>
      </c>
      <c r="D163" s="1062" t="str">
        <f t="shared" si="22"/>
        <v>Pending</v>
      </c>
      <c r="E163" s="1063" t="s">
        <v>4775</v>
      </c>
      <c r="F163" s="1064"/>
      <c r="G163" s="1065" t="s">
        <v>1159</v>
      </c>
      <c r="H163" s="1066" t="s">
        <v>4776</v>
      </c>
      <c r="I163" s="1065"/>
      <c r="J163" s="1067" t="s">
        <v>4357</v>
      </c>
      <c r="K163" s="1067" t="s">
        <v>4358</v>
      </c>
      <c r="L163" s="1067"/>
      <c r="M163" s="1067"/>
      <c r="N163" s="1067"/>
      <c r="O163" s="1067"/>
      <c r="P163" s="1067"/>
      <c r="Q163" s="1067"/>
      <c r="R163" s="1061"/>
      <c r="S163" s="1068" t="s">
        <v>77</v>
      </c>
      <c r="T163" s="1065"/>
      <c r="U163" s="1069"/>
      <c r="V163" s="1069"/>
      <c r="W163" s="1070" t="e">
        <f t="shared" si="23"/>
        <v>#DIV/0!</v>
      </c>
      <c r="X163" s="1069"/>
      <c r="Y163" s="1069"/>
      <c r="Z163" s="1061"/>
      <c r="AA163" s="1067" t="s">
        <v>140</v>
      </c>
      <c r="AB163" s="1069"/>
      <c r="AC163" s="1071" t="s">
        <v>61</v>
      </c>
      <c r="AD163" s="1071" t="s">
        <v>61</v>
      </c>
      <c r="AE163" s="1071" t="s">
        <v>3458</v>
      </c>
      <c r="AF163" s="1069"/>
      <c r="AG163" s="1067"/>
      <c r="AH163" s="1061"/>
      <c r="AI163" s="1061"/>
      <c r="AJ163" s="1072">
        <f t="shared" ca="1" si="19"/>
        <v>85</v>
      </c>
      <c r="AK163" s="1072">
        <f t="shared" ca="1" si="20"/>
        <v>85</v>
      </c>
      <c r="AL163" s="1073">
        <f t="shared" si="21"/>
        <v>0.4</v>
      </c>
      <c r="AM163" s="1074">
        <v>45579</v>
      </c>
      <c r="AN163" s="1075">
        <v>45579</v>
      </c>
      <c r="AO163" s="1075"/>
      <c r="AP163" s="1075"/>
      <c r="AQ163" s="1075"/>
      <c r="AR163" s="1076" t="s">
        <v>1770</v>
      </c>
      <c r="AS163" s="1074">
        <v>45579</v>
      </c>
      <c r="AT163" s="1077"/>
      <c r="AU163" s="1078"/>
      <c r="AV163" s="1078"/>
      <c r="AW163" s="1078"/>
      <c r="AX163" s="1078"/>
      <c r="AY163" s="1078"/>
      <c r="AZ163" s="1078"/>
      <c r="BA163" s="1078"/>
      <c r="BB163" s="1078"/>
      <c r="BC163" s="1078"/>
    </row>
    <row r="164" spans="1:55" s="271" customFormat="1" ht="10.5" customHeight="1" x14ac:dyDescent="0.35">
      <c r="A164" s="1061"/>
      <c r="B164" s="1061">
        <v>1</v>
      </c>
      <c r="C164" s="1061" t="s">
        <v>4370</v>
      </c>
      <c r="D164" s="1062" t="str">
        <f t="shared" si="22"/>
        <v>Pending</v>
      </c>
      <c r="E164" s="1063" t="s">
        <v>4773</v>
      </c>
      <c r="F164" s="1064"/>
      <c r="G164" s="1065" t="s">
        <v>103</v>
      </c>
      <c r="H164" s="1066" t="s">
        <v>4774</v>
      </c>
      <c r="I164" s="1065"/>
      <c r="J164" s="1067" t="s">
        <v>4357</v>
      </c>
      <c r="K164" s="1067" t="s">
        <v>4358</v>
      </c>
      <c r="L164" s="1067"/>
      <c r="M164" s="1067"/>
      <c r="N164" s="1067"/>
      <c r="O164" s="1067"/>
      <c r="P164" s="1067"/>
      <c r="Q164" s="1067"/>
      <c r="R164" s="1061"/>
      <c r="S164" s="1068" t="s">
        <v>77</v>
      </c>
      <c r="T164" s="1065"/>
      <c r="U164" s="1069"/>
      <c r="V164" s="1069"/>
      <c r="W164" s="1070" t="e">
        <f t="shared" si="23"/>
        <v>#DIV/0!</v>
      </c>
      <c r="X164" s="1069"/>
      <c r="Y164" s="1069"/>
      <c r="Z164" s="1061"/>
      <c r="AA164" s="1067" t="s">
        <v>140</v>
      </c>
      <c r="AB164" s="1069"/>
      <c r="AC164" s="1071" t="s">
        <v>61</v>
      </c>
      <c r="AD164" s="1071" t="s">
        <v>61</v>
      </c>
      <c r="AE164" s="1071" t="s">
        <v>3458</v>
      </c>
      <c r="AF164" s="1069"/>
      <c r="AG164" s="1067"/>
      <c r="AH164" s="1061"/>
      <c r="AI164" s="1061"/>
      <c r="AJ164" s="1072">
        <f t="shared" ca="1" si="19"/>
        <v>85</v>
      </c>
      <c r="AK164" s="1072">
        <f t="shared" ca="1" si="20"/>
        <v>85</v>
      </c>
      <c r="AL164" s="1073">
        <f t="shared" si="21"/>
        <v>0.4</v>
      </c>
      <c r="AM164" s="1074">
        <v>45579</v>
      </c>
      <c r="AN164" s="1075">
        <v>45579</v>
      </c>
      <c r="AO164" s="1075"/>
      <c r="AP164" s="1075"/>
      <c r="AQ164" s="1075"/>
      <c r="AR164" s="1076" t="s">
        <v>1770</v>
      </c>
      <c r="AS164" s="1074">
        <v>45579</v>
      </c>
      <c r="AT164" s="1077"/>
      <c r="AU164" s="1078"/>
      <c r="AV164" s="1078"/>
      <c r="AW164" s="1078"/>
      <c r="AX164" s="1078"/>
      <c r="AY164" s="1078"/>
      <c r="AZ164" s="1078"/>
      <c r="BA164" s="1078"/>
      <c r="BB164" s="1078"/>
      <c r="BC164" s="1078"/>
    </row>
    <row r="165" spans="1:55" s="271" customFormat="1" ht="10.5" customHeight="1" x14ac:dyDescent="0.35">
      <c r="A165" s="1061"/>
      <c r="B165" s="1061">
        <v>1</v>
      </c>
      <c r="C165" s="1061" t="s">
        <v>4370</v>
      </c>
      <c r="D165" s="1132" t="s">
        <v>4881</v>
      </c>
      <c r="E165" s="1063" t="s">
        <v>4771</v>
      </c>
      <c r="F165" s="1064"/>
      <c r="G165" s="1065" t="s">
        <v>109</v>
      </c>
      <c r="H165" s="1066" t="s">
        <v>4772</v>
      </c>
      <c r="I165" s="1065"/>
      <c r="J165" s="1067" t="s">
        <v>4357</v>
      </c>
      <c r="K165" s="1067" t="s">
        <v>4358</v>
      </c>
      <c r="L165" s="1067"/>
      <c r="M165" s="1067"/>
      <c r="N165" s="1067"/>
      <c r="O165" s="1067"/>
      <c r="P165" s="1067"/>
      <c r="Q165" s="1067"/>
      <c r="R165" s="1061"/>
      <c r="S165" s="1068" t="s">
        <v>77</v>
      </c>
      <c r="T165" s="1065"/>
      <c r="U165" s="1069"/>
      <c r="V165" s="1069"/>
      <c r="W165" s="1070" t="e">
        <f t="shared" si="23"/>
        <v>#DIV/0!</v>
      </c>
      <c r="X165" s="1069"/>
      <c r="Y165" s="1069"/>
      <c r="Z165" s="1061"/>
      <c r="AA165" s="1067" t="s">
        <v>140</v>
      </c>
      <c r="AB165" s="1069"/>
      <c r="AC165" s="1071" t="s">
        <v>61</v>
      </c>
      <c r="AD165" s="1071" t="s">
        <v>61</v>
      </c>
      <c r="AE165" s="1071" t="s">
        <v>3458</v>
      </c>
      <c r="AF165" s="1069"/>
      <c r="AG165" s="1067"/>
      <c r="AH165" s="1061"/>
      <c r="AI165" s="1061"/>
      <c r="AJ165" s="1072">
        <f t="shared" ca="1" si="19"/>
        <v>85</v>
      </c>
      <c r="AK165" s="1072">
        <f t="shared" ca="1" si="20"/>
        <v>85</v>
      </c>
      <c r="AL165" s="1073" t="str">
        <f t="shared" si="21"/>
        <v>In touch - negative</v>
      </c>
      <c r="AM165" s="1074">
        <v>45579</v>
      </c>
      <c r="AN165" s="1075">
        <v>45579</v>
      </c>
      <c r="AO165" s="1075"/>
      <c r="AP165" s="1075"/>
      <c r="AQ165" s="1075"/>
      <c r="AR165" s="1076" t="s">
        <v>1770</v>
      </c>
      <c r="AS165" s="1074">
        <v>45579</v>
      </c>
      <c r="AT165" s="1077"/>
      <c r="AU165" s="1078"/>
      <c r="AV165" s="1078"/>
      <c r="AW165" s="1078"/>
      <c r="AX165" s="1078"/>
      <c r="AY165" s="1078"/>
      <c r="AZ165" s="1078"/>
      <c r="BA165" s="1078"/>
      <c r="BB165" s="1078"/>
      <c r="BC165" s="1078"/>
    </row>
    <row r="166" spans="1:55" s="271" customFormat="1" ht="10.5" customHeight="1" x14ac:dyDescent="0.35">
      <c r="A166" s="1061"/>
      <c r="B166" s="1061">
        <v>1</v>
      </c>
      <c r="C166" s="1061" t="s">
        <v>4370</v>
      </c>
      <c r="D166" s="1062" t="str">
        <f>AR166</f>
        <v>Pending</v>
      </c>
      <c r="E166" s="1063" t="s">
        <v>4769</v>
      </c>
      <c r="F166" s="1064"/>
      <c r="G166" s="1065" t="s">
        <v>554</v>
      </c>
      <c r="H166" s="1066" t="s">
        <v>4770</v>
      </c>
      <c r="I166" s="1065"/>
      <c r="J166" s="1067" t="s">
        <v>4357</v>
      </c>
      <c r="K166" s="1067" t="s">
        <v>4358</v>
      </c>
      <c r="L166" s="1067"/>
      <c r="M166" s="1067"/>
      <c r="N166" s="1067"/>
      <c r="O166" s="1067"/>
      <c r="P166" s="1067"/>
      <c r="Q166" s="1067"/>
      <c r="R166" s="1061"/>
      <c r="S166" s="1068" t="s">
        <v>77</v>
      </c>
      <c r="T166" s="1065"/>
      <c r="U166" s="1069"/>
      <c r="V166" s="1069"/>
      <c r="W166" s="1070" t="e">
        <f t="shared" si="23"/>
        <v>#DIV/0!</v>
      </c>
      <c r="X166" s="1069"/>
      <c r="Y166" s="1069"/>
      <c r="Z166" s="1061"/>
      <c r="AA166" s="1067" t="s">
        <v>140</v>
      </c>
      <c r="AB166" s="1069"/>
      <c r="AC166" s="1071" t="s">
        <v>61</v>
      </c>
      <c r="AD166" s="1071" t="s">
        <v>61</v>
      </c>
      <c r="AE166" s="1071" t="s">
        <v>3458</v>
      </c>
      <c r="AF166" s="1069"/>
      <c r="AG166" s="1067"/>
      <c r="AH166" s="1061"/>
      <c r="AI166" s="1061"/>
      <c r="AJ166" s="1072">
        <f t="shared" ca="1" si="19"/>
        <v>85</v>
      </c>
      <c r="AK166" s="1072">
        <f t="shared" ca="1" si="20"/>
        <v>85</v>
      </c>
      <c r="AL166" s="1073">
        <f t="shared" si="21"/>
        <v>0.4</v>
      </c>
      <c r="AM166" s="1074">
        <v>45579</v>
      </c>
      <c r="AN166" s="1075">
        <v>45579</v>
      </c>
      <c r="AO166" s="1075"/>
      <c r="AP166" s="1075"/>
      <c r="AQ166" s="1075"/>
      <c r="AR166" s="1076" t="s">
        <v>1770</v>
      </c>
      <c r="AS166" s="1074">
        <v>45579</v>
      </c>
      <c r="AT166" s="1077"/>
      <c r="AU166" s="1078"/>
      <c r="AV166" s="1078"/>
      <c r="AW166" s="1078"/>
      <c r="AX166" s="1078"/>
      <c r="AY166" s="1078"/>
      <c r="AZ166" s="1078"/>
      <c r="BA166" s="1078"/>
      <c r="BB166" s="1078"/>
      <c r="BC166" s="1078"/>
    </row>
    <row r="167" spans="1:55" s="271" customFormat="1" ht="10.5" customHeight="1" x14ac:dyDescent="0.35">
      <c r="A167" s="1061"/>
      <c r="B167" s="1061">
        <v>1</v>
      </c>
      <c r="C167" s="1061" t="s">
        <v>4370</v>
      </c>
      <c r="D167" s="1062" t="str">
        <f>AR167</f>
        <v>Pending</v>
      </c>
      <c r="E167" s="1063" t="s">
        <v>4767</v>
      </c>
      <c r="F167" s="1064"/>
      <c r="G167" s="1065" t="s">
        <v>226</v>
      </c>
      <c r="H167" s="1066" t="s">
        <v>4768</v>
      </c>
      <c r="I167" s="1065"/>
      <c r="J167" s="1067" t="s">
        <v>4357</v>
      </c>
      <c r="K167" s="1067" t="s">
        <v>4358</v>
      </c>
      <c r="L167" s="1067"/>
      <c r="M167" s="1067"/>
      <c r="N167" s="1067"/>
      <c r="O167" s="1067"/>
      <c r="P167" s="1067"/>
      <c r="Q167" s="1067"/>
      <c r="R167" s="1061"/>
      <c r="S167" s="1068" t="s">
        <v>77</v>
      </c>
      <c r="T167" s="1065"/>
      <c r="U167" s="1069"/>
      <c r="V167" s="1069"/>
      <c r="W167" s="1070" t="e">
        <f t="shared" si="23"/>
        <v>#DIV/0!</v>
      </c>
      <c r="X167" s="1069"/>
      <c r="Y167" s="1069"/>
      <c r="Z167" s="1061"/>
      <c r="AA167" s="1067" t="s">
        <v>140</v>
      </c>
      <c r="AB167" s="1069"/>
      <c r="AC167" s="1071" t="s">
        <v>61</v>
      </c>
      <c r="AD167" s="1071" t="s">
        <v>61</v>
      </c>
      <c r="AE167" s="1071" t="s">
        <v>3458</v>
      </c>
      <c r="AF167" s="1069"/>
      <c r="AG167" s="1067"/>
      <c r="AH167" s="1061"/>
      <c r="AI167" s="1061"/>
      <c r="AJ167" s="1072">
        <f t="shared" ca="1" si="19"/>
        <v>85</v>
      </c>
      <c r="AK167" s="1072">
        <f t="shared" ca="1" si="20"/>
        <v>85</v>
      </c>
      <c r="AL167" s="1073">
        <f t="shared" si="21"/>
        <v>0.4</v>
      </c>
      <c r="AM167" s="1074">
        <v>45579</v>
      </c>
      <c r="AN167" s="1075">
        <v>45579</v>
      </c>
      <c r="AO167" s="1075"/>
      <c r="AP167" s="1075"/>
      <c r="AQ167" s="1075"/>
      <c r="AR167" s="1076" t="s">
        <v>1770</v>
      </c>
      <c r="AS167" s="1074">
        <v>45579</v>
      </c>
      <c r="AT167" s="1077"/>
      <c r="AU167" s="1078"/>
      <c r="AV167" s="1078"/>
      <c r="AW167" s="1078"/>
      <c r="AX167" s="1078"/>
      <c r="AY167" s="1078"/>
      <c r="AZ167" s="1078"/>
      <c r="BA167" s="1078"/>
      <c r="BB167" s="1078"/>
      <c r="BC167" s="1078"/>
    </row>
    <row r="168" spans="1:55" s="271" customFormat="1" ht="10.5" customHeight="1" x14ac:dyDescent="0.35">
      <c r="A168" s="1061"/>
      <c r="B168" s="1061">
        <v>1</v>
      </c>
      <c r="C168" s="1061" t="s">
        <v>4370</v>
      </c>
      <c r="D168" s="1062" t="str">
        <f>AR168</f>
        <v>Pending</v>
      </c>
      <c r="E168" s="1063" t="s">
        <v>4765</v>
      </c>
      <c r="F168" s="1064"/>
      <c r="G168" s="1065" t="s">
        <v>1362</v>
      </c>
      <c r="H168" s="1066" t="s">
        <v>4766</v>
      </c>
      <c r="I168" s="1065"/>
      <c r="J168" s="1067" t="s">
        <v>4357</v>
      </c>
      <c r="K168" s="1067" t="s">
        <v>4358</v>
      </c>
      <c r="L168" s="1067"/>
      <c r="M168" s="1067"/>
      <c r="N168" s="1067"/>
      <c r="O168" s="1067"/>
      <c r="P168" s="1067"/>
      <c r="Q168" s="1067"/>
      <c r="R168" s="1061"/>
      <c r="S168" s="1068" t="s">
        <v>77</v>
      </c>
      <c r="T168" s="1065"/>
      <c r="U168" s="1069"/>
      <c r="V168" s="1069"/>
      <c r="W168" s="1070" t="e">
        <f t="shared" si="23"/>
        <v>#DIV/0!</v>
      </c>
      <c r="X168" s="1069"/>
      <c r="Y168" s="1069"/>
      <c r="Z168" s="1061"/>
      <c r="AA168" s="1067" t="s">
        <v>140</v>
      </c>
      <c r="AB168" s="1069"/>
      <c r="AC168" s="1071" t="s">
        <v>61</v>
      </c>
      <c r="AD168" s="1071" t="s">
        <v>61</v>
      </c>
      <c r="AE168" s="1071" t="s">
        <v>3458</v>
      </c>
      <c r="AF168" s="1069"/>
      <c r="AG168" s="1067"/>
      <c r="AH168" s="1061"/>
      <c r="AI168" s="1061"/>
      <c r="AJ168" s="1072">
        <f t="shared" ca="1" si="19"/>
        <v>85</v>
      </c>
      <c r="AK168" s="1072">
        <f t="shared" ca="1" si="20"/>
        <v>85</v>
      </c>
      <c r="AL168" s="1073">
        <f t="shared" si="21"/>
        <v>0.4</v>
      </c>
      <c r="AM168" s="1074">
        <v>45579</v>
      </c>
      <c r="AN168" s="1075">
        <v>45579</v>
      </c>
      <c r="AO168" s="1075"/>
      <c r="AP168" s="1075"/>
      <c r="AQ168" s="1075"/>
      <c r="AR168" s="1076" t="s">
        <v>1770</v>
      </c>
      <c r="AS168" s="1074">
        <v>45579</v>
      </c>
      <c r="AT168" s="1077"/>
      <c r="AU168" s="1078"/>
      <c r="AV168" s="1078"/>
      <c r="AW168" s="1078"/>
      <c r="AX168" s="1078"/>
      <c r="AY168" s="1078"/>
      <c r="AZ168" s="1078"/>
      <c r="BA168" s="1078"/>
      <c r="BB168" s="1078"/>
      <c r="BC168" s="1078"/>
    </row>
    <row r="169" spans="1:55" s="271" customFormat="1" ht="10.5" customHeight="1" x14ac:dyDescent="0.35">
      <c r="A169" s="1061"/>
      <c r="B169" s="1061">
        <v>1</v>
      </c>
      <c r="C169" s="1061" t="s">
        <v>4370</v>
      </c>
      <c r="D169" s="1062" t="str">
        <f>AR169</f>
        <v>Pending</v>
      </c>
      <c r="E169" s="1063" t="s">
        <v>4763</v>
      </c>
      <c r="F169" s="1064"/>
      <c r="G169" s="1065" t="s">
        <v>1805</v>
      </c>
      <c r="H169" s="1066" t="s">
        <v>4764</v>
      </c>
      <c r="I169" s="1065"/>
      <c r="J169" s="1067" t="s">
        <v>4357</v>
      </c>
      <c r="K169" s="1067" t="s">
        <v>4358</v>
      </c>
      <c r="L169" s="1067"/>
      <c r="M169" s="1067"/>
      <c r="N169" s="1067"/>
      <c r="O169" s="1067"/>
      <c r="P169" s="1067"/>
      <c r="Q169" s="1067"/>
      <c r="R169" s="1061"/>
      <c r="S169" s="1068" t="s">
        <v>77</v>
      </c>
      <c r="T169" s="1065"/>
      <c r="U169" s="1069"/>
      <c r="V169" s="1069"/>
      <c r="W169" s="1070" t="e">
        <f t="shared" si="23"/>
        <v>#DIV/0!</v>
      </c>
      <c r="X169" s="1069"/>
      <c r="Y169" s="1069"/>
      <c r="Z169" s="1061"/>
      <c r="AA169" s="1067" t="s">
        <v>140</v>
      </c>
      <c r="AB169" s="1069"/>
      <c r="AC169" s="1071" t="s">
        <v>61</v>
      </c>
      <c r="AD169" s="1071" t="s">
        <v>61</v>
      </c>
      <c r="AE169" s="1071" t="s">
        <v>3458</v>
      </c>
      <c r="AF169" s="1069"/>
      <c r="AG169" s="1067"/>
      <c r="AH169" s="1061"/>
      <c r="AI169" s="1061"/>
      <c r="AJ169" s="1072">
        <f t="shared" ca="1" si="19"/>
        <v>85</v>
      </c>
      <c r="AK169" s="1072">
        <f t="shared" ca="1" si="20"/>
        <v>85</v>
      </c>
      <c r="AL169" s="1073">
        <f t="shared" si="21"/>
        <v>0.4</v>
      </c>
      <c r="AM169" s="1074">
        <v>45579</v>
      </c>
      <c r="AN169" s="1075">
        <v>45579</v>
      </c>
      <c r="AO169" s="1075"/>
      <c r="AP169" s="1075"/>
      <c r="AQ169" s="1075"/>
      <c r="AR169" s="1076" t="s">
        <v>1770</v>
      </c>
      <c r="AS169" s="1074">
        <v>45579</v>
      </c>
      <c r="AT169" s="1077"/>
      <c r="AU169" s="1078"/>
      <c r="AV169" s="1078"/>
      <c r="AW169" s="1078"/>
      <c r="AX169" s="1078"/>
      <c r="AY169" s="1078"/>
      <c r="AZ169" s="1078"/>
      <c r="BA169" s="1078"/>
      <c r="BB169" s="1078"/>
      <c r="BC169" s="1078"/>
    </row>
    <row r="170" spans="1:55" s="271" customFormat="1" ht="10.5" customHeight="1" x14ac:dyDescent="0.35">
      <c r="A170" s="1061"/>
      <c r="B170" s="1061">
        <v>1</v>
      </c>
      <c r="C170" s="1061" t="s">
        <v>4370</v>
      </c>
      <c r="D170" s="1062" t="str">
        <f>AR170</f>
        <v>Pending</v>
      </c>
      <c r="E170" s="1063" t="s">
        <v>4761</v>
      </c>
      <c r="F170" s="1064"/>
      <c r="G170" s="1065" t="s">
        <v>326</v>
      </c>
      <c r="H170" s="1066" t="s">
        <v>4762</v>
      </c>
      <c r="I170" s="1065"/>
      <c r="J170" s="1067" t="s">
        <v>4357</v>
      </c>
      <c r="K170" s="1067" t="s">
        <v>4358</v>
      </c>
      <c r="L170" s="1067"/>
      <c r="M170" s="1067"/>
      <c r="N170" s="1067"/>
      <c r="O170" s="1067"/>
      <c r="P170" s="1067"/>
      <c r="Q170" s="1067"/>
      <c r="R170" s="1061"/>
      <c r="S170" s="1068" t="s">
        <v>77</v>
      </c>
      <c r="T170" s="1065"/>
      <c r="U170" s="1069"/>
      <c r="V170" s="1069"/>
      <c r="W170" s="1070" t="e">
        <f t="shared" si="23"/>
        <v>#DIV/0!</v>
      </c>
      <c r="X170" s="1069"/>
      <c r="Y170" s="1069"/>
      <c r="Z170" s="1061"/>
      <c r="AA170" s="1067" t="s">
        <v>140</v>
      </c>
      <c r="AB170" s="1069"/>
      <c r="AC170" s="1071" t="s">
        <v>61</v>
      </c>
      <c r="AD170" s="1071" t="s">
        <v>61</v>
      </c>
      <c r="AE170" s="1071" t="s">
        <v>3458</v>
      </c>
      <c r="AF170" s="1069"/>
      <c r="AG170" s="1067"/>
      <c r="AH170" s="1061"/>
      <c r="AI170" s="1061"/>
      <c r="AJ170" s="1072">
        <f t="shared" ca="1" si="19"/>
        <v>85</v>
      </c>
      <c r="AK170" s="1072">
        <f t="shared" ca="1" si="20"/>
        <v>85</v>
      </c>
      <c r="AL170" s="1073">
        <f t="shared" si="21"/>
        <v>0.4</v>
      </c>
      <c r="AM170" s="1074">
        <v>45579</v>
      </c>
      <c r="AN170" s="1075">
        <v>45579</v>
      </c>
      <c r="AO170" s="1075"/>
      <c r="AP170" s="1075"/>
      <c r="AQ170" s="1075"/>
      <c r="AR170" s="1076" t="s">
        <v>1770</v>
      </c>
      <c r="AS170" s="1074">
        <v>45579</v>
      </c>
      <c r="AT170" s="1077"/>
      <c r="AU170" s="1078"/>
      <c r="AV170" s="1078"/>
      <c r="AW170" s="1078"/>
      <c r="AX170" s="1078"/>
      <c r="AY170" s="1078"/>
      <c r="AZ170" s="1078"/>
      <c r="BA170" s="1078"/>
      <c r="BB170" s="1078"/>
      <c r="BC170" s="1078"/>
    </row>
    <row r="171" spans="1:55" s="271" customFormat="1" ht="10.5" customHeight="1" x14ac:dyDescent="0.35">
      <c r="A171" s="1061"/>
      <c r="B171" s="1061">
        <v>1</v>
      </c>
      <c r="C171" s="1061" t="s">
        <v>4370</v>
      </c>
      <c r="D171" s="1132" t="s">
        <v>4876</v>
      </c>
      <c r="E171" s="1063" t="s">
        <v>4759</v>
      </c>
      <c r="F171" s="1064"/>
      <c r="G171" s="1065" t="s">
        <v>988</v>
      </c>
      <c r="H171" s="1066" t="s">
        <v>4760</v>
      </c>
      <c r="I171" s="1065"/>
      <c r="J171" s="1067" t="s">
        <v>4357</v>
      </c>
      <c r="K171" s="1067" t="s">
        <v>4358</v>
      </c>
      <c r="L171" s="1067"/>
      <c r="M171" s="1067"/>
      <c r="N171" s="1067"/>
      <c r="O171" s="1067"/>
      <c r="P171" s="1067"/>
      <c r="Q171" s="1067"/>
      <c r="R171" s="1061"/>
      <c r="S171" s="1068" t="s">
        <v>77</v>
      </c>
      <c r="T171" s="1065"/>
      <c r="U171" s="1069"/>
      <c r="V171" s="1069"/>
      <c r="W171" s="1070" t="e">
        <f t="shared" si="23"/>
        <v>#DIV/0!</v>
      </c>
      <c r="X171" s="1069"/>
      <c r="Y171" s="1069"/>
      <c r="Z171" s="1061"/>
      <c r="AA171" s="1067" t="s">
        <v>140</v>
      </c>
      <c r="AB171" s="1069"/>
      <c r="AC171" s="1071" t="s">
        <v>61</v>
      </c>
      <c r="AD171" s="1071" t="s">
        <v>61</v>
      </c>
      <c r="AE171" s="1071" t="s">
        <v>3458</v>
      </c>
      <c r="AF171" s="1069"/>
      <c r="AG171" s="1067"/>
      <c r="AH171" s="1061"/>
      <c r="AI171" s="1061"/>
      <c r="AJ171" s="1072">
        <f t="shared" ca="1" si="19"/>
        <v>85</v>
      </c>
      <c r="AK171" s="1072">
        <f t="shared" ca="1" si="20"/>
        <v>85</v>
      </c>
      <c r="AL171" s="1073" t="str">
        <f t="shared" si="21"/>
        <v>In touch - positive</v>
      </c>
      <c r="AM171" s="1074">
        <v>45579</v>
      </c>
      <c r="AN171" s="1075">
        <v>45579</v>
      </c>
      <c r="AO171" s="1075"/>
      <c r="AP171" s="1075"/>
      <c r="AQ171" s="1125">
        <v>45587</v>
      </c>
      <c r="AR171" s="1076" t="s">
        <v>1770</v>
      </c>
      <c r="AS171" s="1074">
        <v>45579</v>
      </c>
      <c r="AT171" s="1077"/>
      <c r="AU171" s="1078"/>
      <c r="AV171" s="1078"/>
      <c r="AW171" s="1078"/>
      <c r="AX171" s="1078"/>
      <c r="AY171" s="1078"/>
      <c r="AZ171" s="1078"/>
      <c r="BA171" s="1078"/>
      <c r="BB171" s="1078"/>
      <c r="BC171" s="1078"/>
    </row>
    <row r="172" spans="1:55" s="271" customFormat="1" ht="10.5" customHeight="1" x14ac:dyDescent="0.35">
      <c r="A172" s="1061"/>
      <c r="B172" s="1061">
        <v>1</v>
      </c>
      <c r="C172" s="1061" t="s">
        <v>4370</v>
      </c>
      <c r="D172" s="1062" t="str">
        <f t="shared" ref="D172:D179" si="24">AR172</f>
        <v>Pending</v>
      </c>
      <c r="E172" s="1063" t="s">
        <v>4757</v>
      </c>
      <c r="F172" s="1064"/>
      <c r="G172" s="1065" t="s">
        <v>1805</v>
      </c>
      <c r="H172" s="1066" t="s">
        <v>4758</v>
      </c>
      <c r="I172" s="1065"/>
      <c r="J172" s="1067" t="s">
        <v>4357</v>
      </c>
      <c r="K172" s="1067" t="s">
        <v>4358</v>
      </c>
      <c r="L172" s="1067"/>
      <c r="M172" s="1067"/>
      <c r="N172" s="1067"/>
      <c r="O172" s="1067"/>
      <c r="P172" s="1067"/>
      <c r="Q172" s="1067"/>
      <c r="R172" s="1061"/>
      <c r="S172" s="1068" t="s">
        <v>77</v>
      </c>
      <c r="T172" s="1065"/>
      <c r="U172" s="1069"/>
      <c r="V172" s="1069"/>
      <c r="W172" s="1070" t="e">
        <f t="shared" si="23"/>
        <v>#DIV/0!</v>
      </c>
      <c r="X172" s="1069"/>
      <c r="Y172" s="1069"/>
      <c r="Z172" s="1061"/>
      <c r="AA172" s="1067" t="s">
        <v>140</v>
      </c>
      <c r="AB172" s="1069"/>
      <c r="AC172" s="1071" t="s">
        <v>61</v>
      </c>
      <c r="AD172" s="1071" t="s">
        <v>61</v>
      </c>
      <c r="AE172" s="1071" t="s">
        <v>3458</v>
      </c>
      <c r="AF172" s="1069"/>
      <c r="AG172" s="1067"/>
      <c r="AH172" s="1061"/>
      <c r="AI172" s="1061"/>
      <c r="AJ172" s="1072">
        <f t="shared" ca="1" si="19"/>
        <v>85</v>
      </c>
      <c r="AK172" s="1072">
        <f t="shared" ca="1" si="20"/>
        <v>85</v>
      </c>
      <c r="AL172" s="1073">
        <f t="shared" si="21"/>
        <v>0.4</v>
      </c>
      <c r="AM172" s="1074">
        <v>45579</v>
      </c>
      <c r="AN172" s="1075">
        <v>45579</v>
      </c>
      <c r="AO172" s="1075"/>
      <c r="AP172" s="1075"/>
      <c r="AQ172" s="1075"/>
      <c r="AR172" s="1076" t="s">
        <v>1770</v>
      </c>
      <c r="AS172" s="1074">
        <v>45579</v>
      </c>
      <c r="AT172" s="1077"/>
      <c r="AU172" s="1078"/>
      <c r="AV172" s="1078"/>
      <c r="AW172" s="1078"/>
      <c r="AX172" s="1078"/>
      <c r="AY172" s="1078"/>
      <c r="AZ172" s="1078"/>
      <c r="BA172" s="1078"/>
      <c r="BB172" s="1078"/>
      <c r="BC172" s="1078"/>
    </row>
    <row r="173" spans="1:55" s="271" customFormat="1" ht="10.5" customHeight="1" x14ac:dyDescent="0.35">
      <c r="A173" s="1061"/>
      <c r="B173" s="1061">
        <v>1</v>
      </c>
      <c r="C173" s="1061" t="s">
        <v>4370</v>
      </c>
      <c r="D173" s="1062" t="str">
        <f t="shared" si="24"/>
        <v>Pending</v>
      </c>
      <c r="E173" s="1063" t="s">
        <v>4755</v>
      </c>
      <c r="F173" s="1064"/>
      <c r="G173" s="1065" t="s">
        <v>1362</v>
      </c>
      <c r="H173" s="1066" t="s">
        <v>4756</v>
      </c>
      <c r="I173" s="1065"/>
      <c r="J173" s="1067" t="s">
        <v>4357</v>
      </c>
      <c r="K173" s="1067" t="s">
        <v>4358</v>
      </c>
      <c r="L173" s="1067"/>
      <c r="M173" s="1067"/>
      <c r="N173" s="1067"/>
      <c r="O173" s="1067"/>
      <c r="P173" s="1067"/>
      <c r="Q173" s="1067"/>
      <c r="R173" s="1061"/>
      <c r="S173" s="1068" t="s">
        <v>77</v>
      </c>
      <c r="T173" s="1065"/>
      <c r="U173" s="1069"/>
      <c r="V173" s="1069"/>
      <c r="W173" s="1070" t="e">
        <f t="shared" si="23"/>
        <v>#DIV/0!</v>
      </c>
      <c r="X173" s="1069"/>
      <c r="Y173" s="1069"/>
      <c r="Z173" s="1061"/>
      <c r="AA173" s="1067" t="s">
        <v>140</v>
      </c>
      <c r="AB173" s="1069"/>
      <c r="AC173" s="1071" t="s">
        <v>61</v>
      </c>
      <c r="AD173" s="1071" t="s">
        <v>61</v>
      </c>
      <c r="AE173" s="1071" t="s">
        <v>3458</v>
      </c>
      <c r="AF173" s="1069"/>
      <c r="AG173" s="1067"/>
      <c r="AH173" s="1061"/>
      <c r="AI173" s="1061"/>
      <c r="AJ173" s="1072">
        <f t="shared" ca="1" si="19"/>
        <v>85</v>
      </c>
      <c r="AK173" s="1072">
        <f t="shared" ca="1" si="20"/>
        <v>85</v>
      </c>
      <c r="AL173" s="1073">
        <f t="shared" si="21"/>
        <v>0.4</v>
      </c>
      <c r="AM173" s="1074">
        <v>45579</v>
      </c>
      <c r="AN173" s="1075">
        <v>45579</v>
      </c>
      <c r="AO173" s="1075"/>
      <c r="AP173" s="1075"/>
      <c r="AQ173" s="1075"/>
      <c r="AR173" s="1076" t="s">
        <v>1770</v>
      </c>
      <c r="AS173" s="1074">
        <v>45579</v>
      </c>
      <c r="AT173" s="1077"/>
      <c r="AU173" s="1078"/>
      <c r="AV173" s="1078"/>
      <c r="AW173" s="1078"/>
      <c r="AX173" s="1078"/>
      <c r="AY173" s="1078"/>
      <c r="AZ173" s="1078"/>
      <c r="BA173" s="1078"/>
      <c r="BB173" s="1078"/>
      <c r="BC173" s="1078"/>
    </row>
    <row r="174" spans="1:55" s="271" customFormat="1" ht="10.5" customHeight="1" x14ac:dyDescent="0.35">
      <c r="A174" s="1061"/>
      <c r="B174" s="1061">
        <v>1</v>
      </c>
      <c r="C174" s="1061" t="s">
        <v>4370</v>
      </c>
      <c r="D174" s="1062" t="str">
        <f t="shared" si="24"/>
        <v>Pending</v>
      </c>
      <c r="E174" s="1063" t="s">
        <v>4753</v>
      </c>
      <c r="F174" s="1064"/>
      <c r="G174" s="1065" t="s">
        <v>924</v>
      </c>
      <c r="H174" s="1066" t="s">
        <v>4754</v>
      </c>
      <c r="I174" s="1065"/>
      <c r="J174" s="1067" t="s">
        <v>4357</v>
      </c>
      <c r="K174" s="1067" t="s">
        <v>4358</v>
      </c>
      <c r="L174" s="1067"/>
      <c r="M174" s="1067"/>
      <c r="N174" s="1067"/>
      <c r="O174" s="1067"/>
      <c r="P174" s="1067"/>
      <c r="Q174" s="1067"/>
      <c r="R174" s="1061"/>
      <c r="S174" s="1068" t="s">
        <v>77</v>
      </c>
      <c r="T174" s="1065"/>
      <c r="U174" s="1069"/>
      <c r="V174" s="1069"/>
      <c r="W174" s="1070" t="e">
        <f t="shared" si="23"/>
        <v>#DIV/0!</v>
      </c>
      <c r="X174" s="1069"/>
      <c r="Y174" s="1069"/>
      <c r="Z174" s="1061"/>
      <c r="AA174" s="1067" t="s">
        <v>140</v>
      </c>
      <c r="AB174" s="1069"/>
      <c r="AC174" s="1071" t="s">
        <v>61</v>
      </c>
      <c r="AD174" s="1071" t="s">
        <v>61</v>
      </c>
      <c r="AE174" s="1071" t="s">
        <v>3458</v>
      </c>
      <c r="AF174" s="1069"/>
      <c r="AG174" s="1067"/>
      <c r="AH174" s="1061"/>
      <c r="AI174" s="1061"/>
      <c r="AJ174" s="1072">
        <f t="shared" ca="1" si="19"/>
        <v>85</v>
      </c>
      <c r="AK174" s="1072">
        <f t="shared" ca="1" si="20"/>
        <v>85</v>
      </c>
      <c r="AL174" s="1073">
        <f t="shared" si="21"/>
        <v>0.4</v>
      </c>
      <c r="AM174" s="1074">
        <v>45579</v>
      </c>
      <c r="AN174" s="1075">
        <v>45579</v>
      </c>
      <c r="AO174" s="1075"/>
      <c r="AP174" s="1075"/>
      <c r="AQ174" s="1075"/>
      <c r="AR174" s="1076" t="s">
        <v>1770</v>
      </c>
      <c r="AS174" s="1074">
        <v>45579</v>
      </c>
      <c r="AT174" s="1077"/>
      <c r="AU174" s="1078"/>
      <c r="AV174" s="1078"/>
      <c r="AW174" s="1078"/>
      <c r="AX174" s="1078"/>
      <c r="AY174" s="1078"/>
      <c r="AZ174" s="1078"/>
      <c r="BA174" s="1078"/>
      <c r="BB174" s="1078"/>
      <c r="BC174" s="1078"/>
    </row>
    <row r="175" spans="1:55" s="271" customFormat="1" ht="10.5" customHeight="1" x14ac:dyDescent="0.35">
      <c r="A175" s="1061"/>
      <c r="B175" s="1061">
        <v>1</v>
      </c>
      <c r="C175" s="1061" t="s">
        <v>4370</v>
      </c>
      <c r="D175" s="1062" t="str">
        <f t="shared" si="24"/>
        <v>In touch - Negative</v>
      </c>
      <c r="E175" s="1063" t="s">
        <v>4751</v>
      </c>
      <c r="F175" s="1064"/>
      <c r="G175" s="1065" t="s">
        <v>4187</v>
      </c>
      <c r="H175" s="1066" t="s">
        <v>4752</v>
      </c>
      <c r="I175" s="1065"/>
      <c r="J175" s="1067" t="s">
        <v>4357</v>
      </c>
      <c r="K175" s="1067" t="s">
        <v>4358</v>
      </c>
      <c r="L175" s="1067"/>
      <c r="M175" s="1067"/>
      <c r="N175" s="1067"/>
      <c r="O175" s="1067"/>
      <c r="P175" s="1067"/>
      <c r="Q175" s="1067"/>
      <c r="R175" s="1061"/>
      <c r="S175" s="1068" t="s">
        <v>77</v>
      </c>
      <c r="T175" s="1065"/>
      <c r="U175" s="1069"/>
      <c r="V175" s="1069"/>
      <c r="W175" s="1070" t="e">
        <f t="shared" si="23"/>
        <v>#DIV/0!</v>
      </c>
      <c r="X175" s="1069"/>
      <c r="Y175" s="1069"/>
      <c r="Z175" s="1061"/>
      <c r="AA175" s="1067" t="s">
        <v>140</v>
      </c>
      <c r="AB175" s="1069"/>
      <c r="AC175" s="1071" t="s">
        <v>61</v>
      </c>
      <c r="AD175" s="1071" t="s">
        <v>61</v>
      </c>
      <c r="AE175" s="1071" t="s">
        <v>3458</v>
      </c>
      <c r="AF175" s="1069"/>
      <c r="AG175" s="1067"/>
      <c r="AH175" s="1061"/>
      <c r="AI175" s="1061"/>
      <c r="AJ175" s="1072">
        <f t="shared" ca="1" si="19"/>
        <v>85</v>
      </c>
      <c r="AK175" s="1072">
        <f t="shared" ca="1" si="20"/>
        <v>85</v>
      </c>
      <c r="AL175" s="1073" t="str">
        <f t="shared" si="21"/>
        <v>In touch - Negative</v>
      </c>
      <c r="AM175" s="1074">
        <v>45579</v>
      </c>
      <c r="AN175" s="1075">
        <v>45579</v>
      </c>
      <c r="AO175" s="1075"/>
      <c r="AP175" s="1075"/>
      <c r="AQ175" s="1075"/>
      <c r="AR175" s="1076" t="s">
        <v>1963</v>
      </c>
      <c r="AS175" s="1074">
        <v>45579</v>
      </c>
      <c r="AT175" s="1077"/>
      <c r="AU175" s="1078"/>
      <c r="AV175" s="1078"/>
      <c r="AW175" s="1078"/>
      <c r="AX175" s="1078"/>
      <c r="AY175" s="1078"/>
      <c r="AZ175" s="1078"/>
      <c r="BA175" s="1078"/>
      <c r="BB175" s="1078"/>
      <c r="BC175" s="1078"/>
    </row>
    <row r="176" spans="1:55" s="271" customFormat="1" ht="10.5" customHeight="1" x14ac:dyDescent="0.35">
      <c r="A176" s="1061"/>
      <c r="B176" s="1061">
        <v>1</v>
      </c>
      <c r="C176" s="1061" t="s">
        <v>4370</v>
      </c>
      <c r="D176" s="1062" t="str">
        <f t="shared" si="24"/>
        <v>Pending</v>
      </c>
      <c r="E176" s="1063" t="s">
        <v>4748</v>
      </c>
      <c r="F176" s="1064"/>
      <c r="G176" s="1065" t="s">
        <v>4750</v>
      </c>
      <c r="H176" s="1066" t="s">
        <v>4749</v>
      </c>
      <c r="I176" s="1065"/>
      <c r="J176" s="1067" t="s">
        <v>4357</v>
      </c>
      <c r="K176" s="1067" t="s">
        <v>4358</v>
      </c>
      <c r="L176" s="1067"/>
      <c r="M176" s="1067"/>
      <c r="N176" s="1067"/>
      <c r="O176" s="1067"/>
      <c r="P176" s="1067"/>
      <c r="Q176" s="1067"/>
      <c r="R176" s="1061"/>
      <c r="S176" s="1068" t="s">
        <v>77</v>
      </c>
      <c r="T176" s="1065"/>
      <c r="U176" s="1069"/>
      <c r="V176" s="1069"/>
      <c r="W176" s="1070" t="e">
        <f t="shared" si="23"/>
        <v>#DIV/0!</v>
      </c>
      <c r="X176" s="1069"/>
      <c r="Y176" s="1069"/>
      <c r="Z176" s="1061"/>
      <c r="AA176" s="1067" t="s">
        <v>140</v>
      </c>
      <c r="AB176" s="1069"/>
      <c r="AC176" s="1071" t="s">
        <v>61</v>
      </c>
      <c r="AD176" s="1071" t="s">
        <v>61</v>
      </c>
      <c r="AE176" s="1071" t="s">
        <v>3458</v>
      </c>
      <c r="AF176" s="1069"/>
      <c r="AG176" s="1067"/>
      <c r="AH176" s="1061"/>
      <c r="AI176" s="1061"/>
      <c r="AJ176" s="1072">
        <f t="shared" ca="1" si="19"/>
        <v>85</v>
      </c>
      <c r="AK176" s="1072">
        <f t="shared" ca="1" si="20"/>
        <v>85</v>
      </c>
      <c r="AL176" s="1073">
        <f t="shared" si="21"/>
        <v>0.4</v>
      </c>
      <c r="AM176" s="1074">
        <v>45579</v>
      </c>
      <c r="AN176" s="1075">
        <v>45579</v>
      </c>
      <c r="AO176" s="1075"/>
      <c r="AP176" s="1075"/>
      <c r="AQ176" s="1075"/>
      <c r="AR176" s="1076" t="s">
        <v>1770</v>
      </c>
      <c r="AS176" s="1074">
        <v>45579</v>
      </c>
      <c r="AT176" s="1077"/>
      <c r="AU176" s="1078"/>
      <c r="AV176" s="1078"/>
      <c r="AW176" s="1078"/>
      <c r="AX176" s="1078"/>
      <c r="AY176" s="1078"/>
      <c r="AZ176" s="1078"/>
      <c r="BA176" s="1078"/>
      <c r="BB176" s="1078"/>
      <c r="BC176" s="1078"/>
    </row>
    <row r="177" spans="1:55" s="271" customFormat="1" ht="10.5" customHeight="1" x14ac:dyDescent="0.35">
      <c r="A177" s="1061"/>
      <c r="B177" s="1061">
        <v>1</v>
      </c>
      <c r="C177" s="1061" t="s">
        <v>4370</v>
      </c>
      <c r="D177" s="1062" t="str">
        <f t="shared" si="24"/>
        <v>In touch - Negative</v>
      </c>
      <c r="E177" s="1063" t="s">
        <v>4747</v>
      </c>
      <c r="F177" s="1064"/>
      <c r="G177" s="1065" t="s">
        <v>278</v>
      </c>
      <c r="H177" s="1066" t="s">
        <v>4746</v>
      </c>
      <c r="I177" s="1065"/>
      <c r="J177" s="1067" t="s">
        <v>4357</v>
      </c>
      <c r="K177" s="1067" t="s">
        <v>4358</v>
      </c>
      <c r="L177" s="1067"/>
      <c r="M177" s="1067"/>
      <c r="N177" s="1067"/>
      <c r="O177" s="1067"/>
      <c r="P177" s="1067"/>
      <c r="Q177" s="1067"/>
      <c r="R177" s="1061"/>
      <c r="S177" s="1068" t="s">
        <v>77</v>
      </c>
      <c r="T177" s="1065"/>
      <c r="U177" s="1069"/>
      <c r="V177" s="1069"/>
      <c r="W177" s="1070" t="e">
        <f t="shared" si="23"/>
        <v>#DIV/0!</v>
      </c>
      <c r="X177" s="1069"/>
      <c r="Y177" s="1069"/>
      <c r="Z177" s="1061"/>
      <c r="AA177" s="1067" t="s">
        <v>140</v>
      </c>
      <c r="AB177" s="1069"/>
      <c r="AC177" s="1071" t="s">
        <v>61</v>
      </c>
      <c r="AD177" s="1071" t="s">
        <v>61</v>
      </c>
      <c r="AE177" s="1071" t="s">
        <v>3458</v>
      </c>
      <c r="AF177" s="1069"/>
      <c r="AG177" s="1067"/>
      <c r="AH177" s="1061"/>
      <c r="AI177" s="1061"/>
      <c r="AJ177" s="1072">
        <f t="shared" ca="1" si="19"/>
        <v>85</v>
      </c>
      <c r="AK177" s="1072">
        <f t="shared" ca="1" si="20"/>
        <v>85</v>
      </c>
      <c r="AL177" s="1073" t="str">
        <f t="shared" si="21"/>
        <v>In touch - Negative</v>
      </c>
      <c r="AM177" s="1074">
        <v>45579</v>
      </c>
      <c r="AN177" s="1075">
        <v>45579</v>
      </c>
      <c r="AO177" s="1075"/>
      <c r="AP177" s="1075"/>
      <c r="AQ177" s="1075"/>
      <c r="AR177" s="1076" t="s">
        <v>1963</v>
      </c>
      <c r="AS177" s="1074">
        <v>45579</v>
      </c>
      <c r="AT177" s="1077"/>
      <c r="AU177" s="1078"/>
      <c r="AV177" s="1078"/>
      <c r="AW177" s="1078"/>
      <c r="AX177" s="1078"/>
      <c r="AY177" s="1078"/>
      <c r="AZ177" s="1078"/>
      <c r="BA177" s="1078"/>
      <c r="BB177" s="1078"/>
      <c r="BC177" s="1078"/>
    </row>
    <row r="178" spans="1:55" s="271" customFormat="1" ht="10.5" customHeight="1" x14ac:dyDescent="0.35">
      <c r="A178" s="1061"/>
      <c r="B178" s="1061">
        <v>1</v>
      </c>
      <c r="C178" s="1061" t="s">
        <v>4370</v>
      </c>
      <c r="D178" s="1062" t="str">
        <f t="shared" si="24"/>
        <v>In touch - Negative</v>
      </c>
      <c r="E178" s="1063" t="s">
        <v>4744</v>
      </c>
      <c r="F178" s="1064"/>
      <c r="G178" s="1065" t="s">
        <v>278</v>
      </c>
      <c r="H178" s="1066" t="s">
        <v>4745</v>
      </c>
      <c r="I178" s="1065"/>
      <c r="J178" s="1067" t="s">
        <v>4357</v>
      </c>
      <c r="K178" s="1067" t="s">
        <v>4358</v>
      </c>
      <c r="L178" s="1067"/>
      <c r="M178" s="1067"/>
      <c r="N178" s="1067"/>
      <c r="O178" s="1067"/>
      <c r="P178" s="1067"/>
      <c r="Q178" s="1067"/>
      <c r="R178" s="1061"/>
      <c r="S178" s="1068" t="s">
        <v>77</v>
      </c>
      <c r="T178" s="1065"/>
      <c r="U178" s="1069"/>
      <c r="V178" s="1069"/>
      <c r="W178" s="1070" t="e">
        <f t="shared" si="23"/>
        <v>#DIV/0!</v>
      </c>
      <c r="X178" s="1069"/>
      <c r="Y178" s="1069"/>
      <c r="Z178" s="1061"/>
      <c r="AA178" s="1067" t="s">
        <v>140</v>
      </c>
      <c r="AB178" s="1069"/>
      <c r="AC178" s="1071" t="s">
        <v>61</v>
      </c>
      <c r="AD178" s="1071" t="s">
        <v>61</v>
      </c>
      <c r="AE178" s="1071" t="s">
        <v>3458</v>
      </c>
      <c r="AF178" s="1069"/>
      <c r="AG178" s="1067"/>
      <c r="AH178" s="1061"/>
      <c r="AI178" s="1061"/>
      <c r="AJ178" s="1072">
        <f t="shared" ca="1" si="19"/>
        <v>85</v>
      </c>
      <c r="AK178" s="1072">
        <f t="shared" ca="1" si="20"/>
        <v>85</v>
      </c>
      <c r="AL178" s="1073" t="str">
        <f t="shared" si="21"/>
        <v>In touch - Negative</v>
      </c>
      <c r="AM178" s="1074">
        <v>45579</v>
      </c>
      <c r="AN178" s="1075">
        <v>45579</v>
      </c>
      <c r="AO178" s="1075"/>
      <c r="AP178" s="1075"/>
      <c r="AQ178" s="1075"/>
      <c r="AR178" s="1076" t="s">
        <v>1963</v>
      </c>
      <c r="AS178" s="1074">
        <v>45579</v>
      </c>
      <c r="AT178" s="1077"/>
      <c r="AU178" s="1078"/>
      <c r="AV178" s="1078"/>
      <c r="AW178" s="1078"/>
      <c r="AX178" s="1078"/>
      <c r="AY178" s="1078"/>
      <c r="AZ178" s="1078"/>
      <c r="BA178" s="1078"/>
      <c r="BB178" s="1078"/>
      <c r="BC178" s="1078"/>
    </row>
    <row r="179" spans="1:55" s="271" customFormat="1" ht="10.5" customHeight="1" x14ac:dyDescent="0.35">
      <c r="A179" s="1061"/>
      <c r="B179" s="1061">
        <v>1</v>
      </c>
      <c r="C179" s="1061" t="s">
        <v>4370</v>
      </c>
      <c r="D179" s="1062" t="str">
        <f t="shared" si="24"/>
        <v>Pending</v>
      </c>
      <c r="E179" s="1063" t="s">
        <v>4741</v>
      </c>
      <c r="F179" s="1064"/>
      <c r="G179" s="1065" t="s">
        <v>4743</v>
      </c>
      <c r="H179" s="1066" t="s">
        <v>4742</v>
      </c>
      <c r="I179" s="1065"/>
      <c r="J179" s="1067" t="s">
        <v>4357</v>
      </c>
      <c r="K179" s="1067" t="s">
        <v>4358</v>
      </c>
      <c r="L179" s="1067"/>
      <c r="M179" s="1067"/>
      <c r="N179" s="1067"/>
      <c r="O179" s="1067"/>
      <c r="P179" s="1067"/>
      <c r="Q179" s="1067"/>
      <c r="R179" s="1061"/>
      <c r="S179" s="1068" t="s">
        <v>77</v>
      </c>
      <c r="T179" s="1065"/>
      <c r="U179" s="1069"/>
      <c r="V179" s="1069"/>
      <c r="W179" s="1070" t="e">
        <f t="shared" si="23"/>
        <v>#DIV/0!</v>
      </c>
      <c r="X179" s="1069"/>
      <c r="Y179" s="1069"/>
      <c r="Z179" s="1061"/>
      <c r="AA179" s="1067" t="s">
        <v>140</v>
      </c>
      <c r="AB179" s="1069"/>
      <c r="AC179" s="1071" t="s">
        <v>61</v>
      </c>
      <c r="AD179" s="1071" t="s">
        <v>61</v>
      </c>
      <c r="AE179" s="1071" t="s">
        <v>3458</v>
      </c>
      <c r="AF179" s="1069"/>
      <c r="AG179" s="1067"/>
      <c r="AH179" s="1061"/>
      <c r="AI179" s="1061"/>
      <c r="AJ179" s="1072">
        <f t="shared" ca="1" si="19"/>
        <v>85</v>
      </c>
      <c r="AK179" s="1072">
        <f t="shared" ca="1" si="20"/>
        <v>85</v>
      </c>
      <c r="AL179" s="1073">
        <f t="shared" si="21"/>
        <v>0.4</v>
      </c>
      <c r="AM179" s="1074">
        <v>45579</v>
      </c>
      <c r="AN179" s="1075">
        <v>45579</v>
      </c>
      <c r="AO179" s="1075"/>
      <c r="AP179" s="1075"/>
      <c r="AQ179" s="1075"/>
      <c r="AR179" s="1076" t="s">
        <v>1770</v>
      </c>
      <c r="AS179" s="1074">
        <v>45579</v>
      </c>
      <c r="AT179" s="1077"/>
      <c r="AU179" s="1078"/>
      <c r="AV179" s="1078"/>
      <c r="AW179" s="1078"/>
      <c r="AX179" s="1078"/>
      <c r="AY179" s="1078"/>
      <c r="AZ179" s="1078"/>
      <c r="BA179" s="1078"/>
      <c r="BB179" s="1078"/>
      <c r="BC179" s="1078"/>
    </row>
    <row r="180" spans="1:55" s="271" customFormat="1" ht="10.5" customHeight="1" x14ac:dyDescent="0.35">
      <c r="A180" s="1061"/>
      <c r="B180" s="1061">
        <v>1</v>
      </c>
      <c r="C180" s="1061" t="s">
        <v>4370</v>
      </c>
      <c r="D180" s="1132" t="s">
        <v>4876</v>
      </c>
      <c r="E180" s="1063" t="s">
        <v>4740</v>
      </c>
      <c r="F180" s="1064"/>
      <c r="G180" s="1065" t="s">
        <v>1446</v>
      </c>
      <c r="H180" s="1066" t="s">
        <v>4739</v>
      </c>
      <c r="I180" s="1065"/>
      <c r="J180" s="1067" t="s">
        <v>4357</v>
      </c>
      <c r="K180" s="1067" t="s">
        <v>4358</v>
      </c>
      <c r="L180" s="1067"/>
      <c r="M180" s="1067"/>
      <c r="N180" s="1067"/>
      <c r="O180" s="1067"/>
      <c r="P180" s="1067"/>
      <c r="Q180" s="1067"/>
      <c r="R180" s="1061"/>
      <c r="S180" s="1068" t="s">
        <v>77</v>
      </c>
      <c r="T180" s="1065"/>
      <c r="U180" s="1069"/>
      <c r="V180" s="1069"/>
      <c r="W180" s="1070" t="e">
        <f t="shared" si="23"/>
        <v>#DIV/0!</v>
      </c>
      <c r="X180" s="1069"/>
      <c r="Y180" s="1069"/>
      <c r="Z180" s="1061"/>
      <c r="AA180" s="1067" t="s">
        <v>140</v>
      </c>
      <c r="AB180" s="1069"/>
      <c r="AC180" s="1071" t="s">
        <v>61</v>
      </c>
      <c r="AD180" s="1071" t="s">
        <v>61</v>
      </c>
      <c r="AE180" s="1071" t="s">
        <v>3458</v>
      </c>
      <c r="AF180" s="1069"/>
      <c r="AG180" s="1067"/>
      <c r="AH180" s="1061"/>
      <c r="AI180" s="1061"/>
      <c r="AJ180" s="1072">
        <f t="shared" ca="1" si="19"/>
        <v>85</v>
      </c>
      <c r="AK180" s="1072">
        <f t="shared" ca="1" si="20"/>
        <v>85</v>
      </c>
      <c r="AL180" s="1073" t="str">
        <f t="shared" si="21"/>
        <v>In touch - positive</v>
      </c>
      <c r="AM180" s="1074">
        <v>45579</v>
      </c>
      <c r="AN180" s="1075">
        <v>45579</v>
      </c>
      <c r="AO180" s="1075"/>
      <c r="AP180" s="1075"/>
      <c r="AQ180" s="1075">
        <v>45580</v>
      </c>
      <c r="AR180" s="1076" t="s">
        <v>1770</v>
      </c>
      <c r="AS180" s="1074">
        <v>45579</v>
      </c>
      <c r="AT180" s="1077"/>
      <c r="AU180" s="1078"/>
      <c r="AV180" s="1078"/>
      <c r="AW180" s="1078"/>
      <c r="AX180" s="1078"/>
      <c r="AY180" s="1078"/>
      <c r="AZ180" s="1078"/>
      <c r="BA180" s="1078"/>
      <c r="BB180" s="1078"/>
      <c r="BC180" s="1078"/>
    </row>
    <row r="181" spans="1:55" s="271" customFormat="1" ht="10.5" customHeight="1" x14ac:dyDescent="0.35">
      <c r="A181" s="1061"/>
      <c r="B181" s="1061">
        <v>1</v>
      </c>
      <c r="C181" s="1061" t="s">
        <v>4370</v>
      </c>
      <c r="D181" s="1062" t="str">
        <f t="shared" ref="D181:D200" si="25">AR181</f>
        <v>Pending</v>
      </c>
      <c r="E181" s="1063" t="s">
        <v>4737</v>
      </c>
      <c r="F181" s="1064"/>
      <c r="G181" s="1065" t="s">
        <v>1159</v>
      </c>
      <c r="H181" s="1066" t="s">
        <v>4738</v>
      </c>
      <c r="I181" s="1065"/>
      <c r="J181" s="1067" t="s">
        <v>4357</v>
      </c>
      <c r="K181" s="1067" t="s">
        <v>4358</v>
      </c>
      <c r="L181" s="1067"/>
      <c r="M181" s="1067"/>
      <c r="N181" s="1067"/>
      <c r="O181" s="1067"/>
      <c r="P181" s="1067"/>
      <c r="Q181" s="1067"/>
      <c r="R181" s="1061"/>
      <c r="S181" s="1068" t="s">
        <v>77</v>
      </c>
      <c r="T181" s="1065"/>
      <c r="U181" s="1069"/>
      <c r="V181" s="1069"/>
      <c r="W181" s="1070" t="e">
        <f t="shared" si="23"/>
        <v>#DIV/0!</v>
      </c>
      <c r="X181" s="1069"/>
      <c r="Y181" s="1069"/>
      <c r="Z181" s="1061"/>
      <c r="AA181" s="1067" t="s">
        <v>140</v>
      </c>
      <c r="AB181" s="1069"/>
      <c r="AC181" s="1071" t="s">
        <v>61</v>
      </c>
      <c r="AD181" s="1071" t="s">
        <v>61</v>
      </c>
      <c r="AE181" s="1071" t="s">
        <v>3458</v>
      </c>
      <c r="AF181" s="1069"/>
      <c r="AG181" s="1067"/>
      <c r="AH181" s="1061"/>
      <c r="AI181" s="1061"/>
      <c r="AJ181" s="1072">
        <f t="shared" ca="1" si="19"/>
        <v>85</v>
      </c>
      <c r="AK181" s="1072">
        <f t="shared" ca="1" si="20"/>
        <v>85</v>
      </c>
      <c r="AL181" s="1073">
        <f t="shared" si="21"/>
        <v>0.4</v>
      </c>
      <c r="AM181" s="1074">
        <v>45579</v>
      </c>
      <c r="AN181" s="1075">
        <v>45579</v>
      </c>
      <c r="AO181" s="1075"/>
      <c r="AP181" s="38"/>
      <c r="AQ181" s="1075"/>
      <c r="AR181" s="1076" t="s">
        <v>1770</v>
      </c>
      <c r="AS181" s="1074">
        <v>45579</v>
      </c>
      <c r="AT181" s="1077"/>
      <c r="AU181" s="1078"/>
      <c r="AV181" s="1078"/>
      <c r="AW181" s="1078"/>
      <c r="AX181" s="1078"/>
      <c r="AY181" s="1078"/>
      <c r="AZ181" s="1078"/>
      <c r="BA181" s="1078"/>
      <c r="BB181" s="1078"/>
      <c r="BC181" s="1078"/>
    </row>
    <row r="182" spans="1:55" s="271" customFormat="1" ht="10.5" customHeight="1" x14ac:dyDescent="0.35">
      <c r="A182" s="1061"/>
      <c r="B182" s="16">
        <v>1</v>
      </c>
      <c r="C182" s="16" t="s">
        <v>4370</v>
      </c>
      <c r="D182" s="99" t="str">
        <f t="shared" si="25"/>
        <v>In touch - Negative</v>
      </c>
      <c r="E182" s="12" t="s">
        <v>4735</v>
      </c>
      <c r="F182" s="20"/>
      <c r="G182" s="13" t="s">
        <v>1805</v>
      </c>
      <c r="H182" s="14" t="s">
        <v>4736</v>
      </c>
      <c r="I182" s="13"/>
      <c r="J182" s="15" t="s">
        <v>4357</v>
      </c>
      <c r="K182" s="15" t="s">
        <v>4358</v>
      </c>
      <c r="L182" s="15"/>
      <c r="M182" s="15"/>
      <c r="N182" s="15"/>
      <c r="O182" s="15"/>
      <c r="P182" s="15"/>
      <c r="Q182" s="15"/>
      <c r="R182" s="16"/>
      <c r="S182" s="35" t="s">
        <v>77</v>
      </c>
      <c r="T182" s="13"/>
      <c r="U182" s="17"/>
      <c r="V182" s="17"/>
      <c r="W182" s="248" t="e">
        <f t="shared" si="23"/>
        <v>#DIV/0!</v>
      </c>
      <c r="X182" s="17"/>
      <c r="Y182" s="17"/>
      <c r="Z182" s="16"/>
      <c r="AA182" s="15" t="s">
        <v>140</v>
      </c>
      <c r="AB182" s="17"/>
      <c r="AC182" s="21" t="s">
        <v>61</v>
      </c>
      <c r="AD182" s="21" t="s">
        <v>61</v>
      </c>
      <c r="AE182" s="21" t="s">
        <v>3458</v>
      </c>
      <c r="AF182" s="17"/>
      <c r="AG182" s="15"/>
      <c r="AH182" s="16"/>
      <c r="AI182" s="16"/>
      <c r="AJ182" s="42">
        <f t="shared" ca="1" si="19"/>
        <v>85</v>
      </c>
      <c r="AK182" s="42">
        <f t="shared" ca="1" si="20"/>
        <v>85</v>
      </c>
      <c r="AL182" s="130" t="str">
        <f t="shared" si="21"/>
        <v>In touch - Negative</v>
      </c>
      <c r="AM182" s="37">
        <v>45579</v>
      </c>
      <c r="AN182" s="38">
        <v>45579</v>
      </c>
      <c r="AO182" s="38"/>
      <c r="AP182" s="38"/>
      <c r="AQ182" s="38"/>
      <c r="AR182" s="101" t="s">
        <v>1963</v>
      </c>
      <c r="AS182" s="37">
        <v>45579</v>
      </c>
      <c r="AT182" s="1077"/>
      <c r="AU182" s="1078"/>
      <c r="AV182" s="1078"/>
      <c r="AW182" s="1078"/>
      <c r="AX182" s="1078"/>
      <c r="AY182" s="1078"/>
      <c r="AZ182" s="1078"/>
      <c r="BA182" s="1078"/>
      <c r="BB182" s="1078"/>
      <c r="BC182" s="1078"/>
    </row>
    <row r="183" spans="1:55" s="271" customFormat="1" ht="10.5" customHeight="1" x14ac:dyDescent="0.35">
      <c r="A183" s="1061"/>
      <c r="B183" s="16">
        <v>1</v>
      </c>
      <c r="C183" s="16" t="s">
        <v>4370</v>
      </c>
      <c r="D183" s="99" t="str">
        <f t="shared" si="25"/>
        <v>Pending</v>
      </c>
      <c r="E183" s="12" t="s">
        <v>4733</v>
      </c>
      <c r="F183" s="20"/>
      <c r="G183" s="13" t="s">
        <v>278</v>
      </c>
      <c r="H183" s="14" t="s">
        <v>4734</v>
      </c>
      <c r="I183" s="13"/>
      <c r="J183" s="15" t="s">
        <v>4357</v>
      </c>
      <c r="K183" s="15" t="s">
        <v>4358</v>
      </c>
      <c r="L183" s="15"/>
      <c r="M183" s="15"/>
      <c r="N183" s="15"/>
      <c r="O183" s="15"/>
      <c r="P183" s="15"/>
      <c r="Q183" s="15"/>
      <c r="R183" s="16"/>
      <c r="S183" s="35" t="s">
        <v>77</v>
      </c>
      <c r="T183" s="13"/>
      <c r="U183" s="17"/>
      <c r="V183" s="17"/>
      <c r="W183" s="248" t="e">
        <f t="shared" si="23"/>
        <v>#DIV/0!</v>
      </c>
      <c r="X183" s="17"/>
      <c r="Y183" s="17"/>
      <c r="Z183" s="16"/>
      <c r="AA183" s="15" t="s">
        <v>140</v>
      </c>
      <c r="AB183" s="17"/>
      <c r="AC183" s="21" t="s">
        <v>61</v>
      </c>
      <c r="AD183" s="21" t="s">
        <v>61</v>
      </c>
      <c r="AE183" s="21" t="s">
        <v>3458</v>
      </c>
      <c r="AF183" s="17"/>
      <c r="AG183" s="15"/>
      <c r="AH183" s="16"/>
      <c r="AI183" s="16"/>
      <c r="AJ183" s="42">
        <f t="shared" ca="1" si="19"/>
        <v>85</v>
      </c>
      <c r="AK183" s="42">
        <f t="shared" ca="1" si="20"/>
        <v>85</v>
      </c>
      <c r="AL183" s="130">
        <f t="shared" si="21"/>
        <v>0.4</v>
      </c>
      <c r="AM183" s="37">
        <v>45579</v>
      </c>
      <c r="AN183" s="38">
        <v>45579</v>
      </c>
      <c r="AO183" s="38"/>
      <c r="AP183" s="38"/>
      <c r="AQ183" s="38"/>
      <c r="AR183" s="101" t="s">
        <v>1770</v>
      </c>
      <c r="AS183" s="37">
        <v>45579</v>
      </c>
      <c r="AT183" s="1077"/>
      <c r="AU183" s="1078"/>
      <c r="AV183" s="1078"/>
      <c r="AW183" s="1078"/>
      <c r="AX183" s="1078"/>
      <c r="AY183" s="1078"/>
      <c r="AZ183" s="1078"/>
      <c r="BA183" s="1078"/>
      <c r="BB183" s="1078"/>
      <c r="BC183" s="1078"/>
    </row>
    <row r="184" spans="1:55" s="271" customFormat="1" ht="10.5" customHeight="1" x14ac:dyDescent="0.35">
      <c r="A184" s="1061"/>
      <c r="B184" s="16">
        <v>1</v>
      </c>
      <c r="C184" s="16" t="s">
        <v>4370</v>
      </c>
      <c r="D184" s="99" t="str">
        <f t="shared" si="25"/>
        <v>Pending</v>
      </c>
      <c r="E184" s="12" t="s">
        <v>4731</v>
      </c>
      <c r="F184" s="20"/>
      <c r="G184" s="13" t="s">
        <v>2200</v>
      </c>
      <c r="H184" s="14" t="s">
        <v>4732</v>
      </c>
      <c r="I184" s="13"/>
      <c r="J184" s="15" t="s">
        <v>4357</v>
      </c>
      <c r="K184" s="15" t="s">
        <v>4358</v>
      </c>
      <c r="L184" s="15"/>
      <c r="M184" s="15"/>
      <c r="N184" s="15"/>
      <c r="O184" s="15"/>
      <c r="P184" s="15"/>
      <c r="Q184" s="15"/>
      <c r="R184" s="16"/>
      <c r="S184" s="35" t="s">
        <v>77</v>
      </c>
      <c r="T184" s="13"/>
      <c r="U184" s="17"/>
      <c r="V184" s="17"/>
      <c r="W184" s="248" t="e">
        <f t="shared" si="23"/>
        <v>#DIV/0!</v>
      </c>
      <c r="X184" s="17"/>
      <c r="Y184" s="17"/>
      <c r="Z184" s="16"/>
      <c r="AA184" s="15" t="s">
        <v>140</v>
      </c>
      <c r="AB184" s="17"/>
      <c r="AC184" s="21" t="s">
        <v>61</v>
      </c>
      <c r="AD184" s="21" t="s">
        <v>61</v>
      </c>
      <c r="AE184" s="21" t="s">
        <v>3458</v>
      </c>
      <c r="AF184" s="17"/>
      <c r="AG184" s="15"/>
      <c r="AH184" s="16"/>
      <c r="AI184" s="16"/>
      <c r="AJ184" s="42">
        <f t="shared" ca="1" si="19"/>
        <v>85</v>
      </c>
      <c r="AK184" s="42">
        <f t="shared" ca="1" si="20"/>
        <v>85</v>
      </c>
      <c r="AL184" s="130">
        <f t="shared" si="21"/>
        <v>0.4</v>
      </c>
      <c r="AM184" s="37">
        <v>45579</v>
      </c>
      <c r="AN184" s="38">
        <v>45579</v>
      </c>
      <c r="AO184" s="38"/>
      <c r="AP184" s="38"/>
      <c r="AQ184" s="38"/>
      <c r="AR184" s="101" t="s">
        <v>1770</v>
      </c>
      <c r="AS184" s="37">
        <v>45579</v>
      </c>
      <c r="AT184" s="1077"/>
      <c r="AU184" s="1078"/>
      <c r="AV184" s="1078"/>
      <c r="AW184" s="1078"/>
      <c r="AX184" s="1078"/>
      <c r="AY184" s="1078"/>
      <c r="AZ184" s="1078"/>
      <c r="BA184" s="1078"/>
      <c r="BB184" s="1078"/>
      <c r="BC184" s="1078"/>
    </row>
    <row r="185" spans="1:55" s="271" customFormat="1" ht="10.5" customHeight="1" x14ac:dyDescent="0.35">
      <c r="A185" s="1061"/>
      <c r="B185" s="16">
        <v>1</v>
      </c>
      <c r="C185" s="16" t="s">
        <v>4370</v>
      </c>
      <c r="D185" s="99" t="str">
        <f t="shared" si="25"/>
        <v>Pending</v>
      </c>
      <c r="E185" s="12" t="s">
        <v>4729</v>
      </c>
      <c r="F185" s="20"/>
      <c r="G185" s="13" t="s">
        <v>68</v>
      </c>
      <c r="H185" s="14" t="s">
        <v>4730</v>
      </c>
      <c r="I185" s="13"/>
      <c r="J185" s="15" t="s">
        <v>4357</v>
      </c>
      <c r="K185" s="15" t="s">
        <v>4358</v>
      </c>
      <c r="L185" s="15"/>
      <c r="M185" s="15"/>
      <c r="N185" s="15"/>
      <c r="O185" s="15"/>
      <c r="P185" s="15"/>
      <c r="Q185" s="15"/>
      <c r="R185" s="16"/>
      <c r="S185" s="35" t="s">
        <v>77</v>
      </c>
      <c r="T185" s="13"/>
      <c r="U185" s="17"/>
      <c r="V185" s="17"/>
      <c r="W185" s="248" t="e">
        <f t="shared" si="23"/>
        <v>#DIV/0!</v>
      </c>
      <c r="X185" s="17"/>
      <c r="Y185" s="17"/>
      <c r="Z185" s="16"/>
      <c r="AA185" s="15" t="s">
        <v>140</v>
      </c>
      <c r="AB185" s="17"/>
      <c r="AC185" s="21" t="s">
        <v>61</v>
      </c>
      <c r="AD185" s="21" t="s">
        <v>61</v>
      </c>
      <c r="AE185" s="21" t="s">
        <v>3458</v>
      </c>
      <c r="AF185" s="17"/>
      <c r="AG185" s="15"/>
      <c r="AH185" s="16"/>
      <c r="AI185" s="16"/>
      <c r="AJ185" s="42">
        <f t="shared" ca="1" si="19"/>
        <v>85</v>
      </c>
      <c r="AK185" s="42">
        <f t="shared" ca="1" si="20"/>
        <v>85</v>
      </c>
      <c r="AL185" s="130">
        <f t="shared" si="21"/>
        <v>0.4</v>
      </c>
      <c r="AM185" s="37">
        <v>45579</v>
      </c>
      <c r="AN185" s="38">
        <v>45579</v>
      </c>
      <c r="AO185" s="38"/>
      <c r="AP185" s="38"/>
      <c r="AQ185" s="38"/>
      <c r="AR185" s="101" t="s">
        <v>1770</v>
      </c>
      <c r="AS185" s="37">
        <v>45579</v>
      </c>
      <c r="AT185" s="1077"/>
      <c r="AU185" s="1078"/>
      <c r="AV185" s="1078"/>
      <c r="AW185" s="1078"/>
      <c r="AX185" s="1078"/>
      <c r="AY185" s="1078"/>
      <c r="AZ185" s="1078"/>
      <c r="BA185" s="1078"/>
      <c r="BB185" s="1078"/>
      <c r="BC185" s="1078"/>
    </row>
    <row r="186" spans="1:55" s="271" customFormat="1" ht="10.5" customHeight="1" x14ac:dyDescent="0.35">
      <c r="A186" s="1061"/>
      <c r="B186" s="16">
        <v>1</v>
      </c>
      <c r="C186" s="16" t="s">
        <v>4370</v>
      </c>
      <c r="D186" s="99" t="str">
        <f t="shared" si="25"/>
        <v>In touch - Negative</v>
      </c>
      <c r="E186" s="12" t="s">
        <v>4726</v>
      </c>
      <c r="F186" s="20"/>
      <c r="G186" s="13" t="s">
        <v>2679</v>
      </c>
      <c r="H186" s="14" t="s">
        <v>4728</v>
      </c>
      <c r="I186" s="13"/>
      <c r="J186" s="15" t="s">
        <v>4357</v>
      </c>
      <c r="K186" s="15" t="s">
        <v>4358</v>
      </c>
      <c r="L186" s="15"/>
      <c r="M186" s="15"/>
      <c r="N186" s="15"/>
      <c r="O186" s="15"/>
      <c r="P186" s="15"/>
      <c r="Q186" s="15"/>
      <c r="R186" s="16"/>
      <c r="S186" s="35" t="s">
        <v>77</v>
      </c>
      <c r="T186" s="13"/>
      <c r="U186" s="17"/>
      <c r="V186" s="17"/>
      <c r="W186" s="248" t="e">
        <f t="shared" si="23"/>
        <v>#DIV/0!</v>
      </c>
      <c r="X186" s="17"/>
      <c r="Y186" s="17"/>
      <c r="Z186" s="16"/>
      <c r="AA186" s="15" t="s">
        <v>140</v>
      </c>
      <c r="AB186" s="17"/>
      <c r="AC186" s="21" t="s">
        <v>61</v>
      </c>
      <c r="AD186" s="21" t="s">
        <v>61</v>
      </c>
      <c r="AE186" s="21" t="s">
        <v>3458</v>
      </c>
      <c r="AF186" s="17"/>
      <c r="AG186" s="15"/>
      <c r="AH186" s="16"/>
      <c r="AI186" s="16"/>
      <c r="AJ186" s="42">
        <f t="shared" ca="1" si="19"/>
        <v>85</v>
      </c>
      <c r="AK186" s="42">
        <f t="shared" ca="1" si="20"/>
        <v>85</v>
      </c>
      <c r="AL186" s="130" t="str">
        <f t="shared" si="21"/>
        <v>In touch - Negative</v>
      </c>
      <c r="AM186" s="37">
        <v>45579</v>
      </c>
      <c r="AN186" s="38">
        <v>45579</v>
      </c>
      <c r="AO186" s="38"/>
      <c r="AP186" s="38"/>
      <c r="AQ186" s="38"/>
      <c r="AR186" s="101" t="s">
        <v>1963</v>
      </c>
      <c r="AS186" s="37">
        <v>45579</v>
      </c>
      <c r="AT186" s="1077"/>
      <c r="AU186" s="1078"/>
      <c r="AV186" s="1078"/>
      <c r="AW186" s="1078"/>
      <c r="AX186" s="1078"/>
      <c r="AY186" s="1078"/>
      <c r="AZ186" s="1078"/>
      <c r="BA186" s="1078"/>
      <c r="BB186" s="1078"/>
      <c r="BC186" s="1078"/>
    </row>
    <row r="187" spans="1:55" s="271" customFormat="1" ht="10.5" customHeight="1" x14ac:dyDescent="0.35">
      <c r="A187" s="1061"/>
      <c r="B187" s="16">
        <v>1</v>
      </c>
      <c r="C187" s="16" t="s">
        <v>4370</v>
      </c>
      <c r="D187" s="99" t="str">
        <f t="shared" si="25"/>
        <v>Pending</v>
      </c>
      <c r="E187" s="12" t="s">
        <v>4725</v>
      </c>
      <c r="F187" s="20"/>
      <c r="G187" s="13" t="s">
        <v>333</v>
      </c>
      <c r="H187" s="14" t="s">
        <v>4727</v>
      </c>
      <c r="I187" s="13"/>
      <c r="J187" s="15" t="s">
        <v>4357</v>
      </c>
      <c r="K187" s="15" t="s">
        <v>4358</v>
      </c>
      <c r="L187" s="15"/>
      <c r="M187" s="15"/>
      <c r="N187" s="15"/>
      <c r="O187" s="15"/>
      <c r="P187" s="15"/>
      <c r="Q187" s="15"/>
      <c r="R187" s="16"/>
      <c r="S187" s="35" t="s">
        <v>77</v>
      </c>
      <c r="T187" s="13"/>
      <c r="U187" s="17"/>
      <c r="V187" s="17"/>
      <c r="W187" s="248" t="e">
        <f t="shared" si="23"/>
        <v>#DIV/0!</v>
      </c>
      <c r="X187" s="17"/>
      <c r="Y187" s="17"/>
      <c r="Z187" s="16"/>
      <c r="AA187" s="15" t="s">
        <v>140</v>
      </c>
      <c r="AB187" s="17"/>
      <c r="AC187" s="21" t="s">
        <v>61</v>
      </c>
      <c r="AD187" s="21" t="s">
        <v>61</v>
      </c>
      <c r="AE187" s="21" t="s">
        <v>3458</v>
      </c>
      <c r="AF187" s="17"/>
      <c r="AG187" s="15"/>
      <c r="AH187" s="16"/>
      <c r="AI187" s="16"/>
      <c r="AJ187" s="42">
        <f t="shared" ca="1" si="19"/>
        <v>85</v>
      </c>
      <c r="AK187" s="42">
        <f t="shared" ca="1" si="20"/>
        <v>85</v>
      </c>
      <c r="AL187" s="130">
        <f t="shared" si="21"/>
        <v>0.4</v>
      </c>
      <c r="AM187" s="37">
        <v>45579</v>
      </c>
      <c r="AN187" s="38">
        <v>45579</v>
      </c>
      <c r="AO187" s="38"/>
      <c r="AP187" s="38"/>
      <c r="AQ187" s="38"/>
      <c r="AR187" s="101" t="s">
        <v>1770</v>
      </c>
      <c r="AS187" s="37">
        <v>45579</v>
      </c>
      <c r="AT187" s="1077"/>
      <c r="AU187" s="1078"/>
      <c r="AV187" s="1078"/>
      <c r="AW187" s="1078"/>
      <c r="AX187" s="1078"/>
      <c r="AY187" s="1078"/>
      <c r="AZ187" s="1078"/>
      <c r="BA187" s="1078"/>
      <c r="BB187" s="1078"/>
      <c r="BC187" s="1078"/>
    </row>
    <row r="188" spans="1:55" s="271" customFormat="1" ht="10.5" customHeight="1" x14ac:dyDescent="0.35">
      <c r="A188" s="1061"/>
      <c r="B188" s="16">
        <v>1</v>
      </c>
      <c r="C188" s="16" t="s">
        <v>4370</v>
      </c>
      <c r="D188" s="99" t="str">
        <f t="shared" si="25"/>
        <v>Pending</v>
      </c>
      <c r="E188" s="12" t="s">
        <v>4723</v>
      </c>
      <c r="F188" s="20"/>
      <c r="G188" s="13" t="s">
        <v>428</v>
      </c>
      <c r="H188" s="14" t="s">
        <v>4724</v>
      </c>
      <c r="I188" s="13"/>
      <c r="J188" s="15" t="s">
        <v>4357</v>
      </c>
      <c r="K188" s="15" t="s">
        <v>4358</v>
      </c>
      <c r="L188" s="15"/>
      <c r="M188" s="15"/>
      <c r="N188" s="15"/>
      <c r="O188" s="15"/>
      <c r="P188" s="15"/>
      <c r="Q188" s="15"/>
      <c r="R188" s="16"/>
      <c r="S188" s="35" t="s">
        <v>77</v>
      </c>
      <c r="T188" s="13"/>
      <c r="U188" s="17"/>
      <c r="V188" s="17"/>
      <c r="W188" s="248" t="e">
        <f t="shared" si="23"/>
        <v>#DIV/0!</v>
      </c>
      <c r="X188" s="17"/>
      <c r="Y188" s="17"/>
      <c r="Z188" s="16"/>
      <c r="AA188" s="15" t="s">
        <v>140</v>
      </c>
      <c r="AB188" s="17"/>
      <c r="AC188" s="21" t="s">
        <v>61</v>
      </c>
      <c r="AD188" s="21" t="s">
        <v>61</v>
      </c>
      <c r="AE188" s="21" t="s">
        <v>3458</v>
      </c>
      <c r="AF188" s="17"/>
      <c r="AG188" s="15"/>
      <c r="AH188" s="16"/>
      <c r="AI188" s="16"/>
      <c r="AJ188" s="42">
        <f t="shared" ca="1" si="19"/>
        <v>85</v>
      </c>
      <c r="AK188" s="42">
        <f t="shared" ca="1" si="20"/>
        <v>85</v>
      </c>
      <c r="AL188" s="130">
        <f t="shared" si="21"/>
        <v>0.4</v>
      </c>
      <c r="AM188" s="37">
        <v>45579</v>
      </c>
      <c r="AN188" s="38">
        <v>45579</v>
      </c>
      <c r="AO188" s="38"/>
      <c r="AP188" s="38"/>
      <c r="AQ188" s="38"/>
      <c r="AR188" s="101" t="s">
        <v>1770</v>
      </c>
      <c r="AS188" s="37">
        <v>45579</v>
      </c>
      <c r="AT188" s="1077"/>
      <c r="AU188" s="1078"/>
      <c r="AV188" s="1078"/>
      <c r="AW188" s="1078"/>
      <c r="AX188" s="1078"/>
      <c r="AY188" s="1078"/>
      <c r="AZ188" s="1078"/>
      <c r="BA188" s="1078"/>
      <c r="BB188" s="1078"/>
      <c r="BC188" s="1078"/>
    </row>
    <row r="189" spans="1:55" s="271" customFormat="1" ht="10.5" customHeight="1" x14ac:dyDescent="0.35">
      <c r="A189" s="1061"/>
      <c r="B189" s="16">
        <v>1</v>
      </c>
      <c r="C189" s="16" t="s">
        <v>4370</v>
      </c>
      <c r="D189" s="99" t="str">
        <f t="shared" si="25"/>
        <v>Pending</v>
      </c>
      <c r="E189" s="12" t="s">
        <v>4717</v>
      </c>
      <c r="F189" s="20"/>
      <c r="G189" s="13" t="s">
        <v>1298</v>
      </c>
      <c r="H189" s="14" t="s">
        <v>4718</v>
      </c>
      <c r="I189" s="13"/>
      <c r="J189" s="15" t="s">
        <v>4357</v>
      </c>
      <c r="K189" s="15" t="s">
        <v>4358</v>
      </c>
      <c r="L189" s="15" t="s">
        <v>4719</v>
      </c>
      <c r="M189" s="15"/>
      <c r="N189" s="15"/>
      <c r="O189" s="15"/>
      <c r="P189" s="15"/>
      <c r="Q189" s="15"/>
      <c r="R189" s="16"/>
      <c r="S189" s="35" t="s">
        <v>77</v>
      </c>
      <c r="T189" s="13">
        <v>2023</v>
      </c>
      <c r="U189" s="17">
        <v>4.9470000000000001</v>
      </c>
      <c r="V189" s="17">
        <v>1.097</v>
      </c>
      <c r="W189" s="248">
        <f t="shared" si="23"/>
        <v>0.22175055589246007</v>
      </c>
      <c r="X189" s="17"/>
      <c r="Y189" s="17"/>
      <c r="Z189" s="16"/>
      <c r="AA189" s="15" t="s">
        <v>140</v>
      </c>
      <c r="AB189" s="17"/>
      <c r="AC189" s="21" t="s">
        <v>61</v>
      </c>
      <c r="AD189" s="21" t="s">
        <v>61</v>
      </c>
      <c r="AE189" s="21" t="s">
        <v>3458</v>
      </c>
      <c r="AF189" s="17"/>
      <c r="AG189" s="15"/>
      <c r="AH189" s="16"/>
      <c r="AI189" s="16"/>
      <c r="AJ189" s="42">
        <f t="shared" ca="1" si="19"/>
        <v>85</v>
      </c>
      <c r="AK189" s="42">
        <f t="shared" ca="1" si="20"/>
        <v>85</v>
      </c>
      <c r="AL189" s="130">
        <f t="shared" si="21"/>
        <v>0.4</v>
      </c>
      <c r="AM189" s="37">
        <v>45579</v>
      </c>
      <c r="AN189" s="38">
        <v>45579</v>
      </c>
      <c r="AO189" s="38"/>
      <c r="AP189" s="38"/>
      <c r="AQ189" s="38"/>
      <c r="AR189" s="101" t="s">
        <v>1770</v>
      </c>
      <c r="AS189" s="37">
        <v>45579</v>
      </c>
      <c r="AT189" s="1077"/>
      <c r="AU189" s="1078"/>
      <c r="AV189" s="1078"/>
      <c r="AW189" s="1078"/>
      <c r="AX189" s="1078"/>
      <c r="AY189" s="1078"/>
      <c r="AZ189" s="1078"/>
      <c r="BA189" s="1078"/>
      <c r="BB189" s="1078"/>
      <c r="BC189" s="1078"/>
    </row>
    <row r="190" spans="1:55" s="271" customFormat="1" ht="10.5" customHeight="1" x14ac:dyDescent="0.35">
      <c r="A190" s="1061"/>
      <c r="B190" s="16">
        <v>1</v>
      </c>
      <c r="C190" s="16" t="s">
        <v>4370</v>
      </c>
      <c r="D190" s="99" t="str">
        <f t="shared" si="25"/>
        <v>In touch - Negative</v>
      </c>
      <c r="E190" s="12" t="s">
        <v>4714</v>
      </c>
      <c r="F190" s="20"/>
      <c r="G190" s="13" t="s">
        <v>1446</v>
      </c>
      <c r="H190" s="14" t="s">
        <v>4715</v>
      </c>
      <c r="I190" s="13"/>
      <c r="J190" s="15" t="s">
        <v>4357</v>
      </c>
      <c r="K190" s="15" t="s">
        <v>4358</v>
      </c>
      <c r="L190" s="15" t="s">
        <v>4716</v>
      </c>
      <c r="M190" s="15"/>
      <c r="N190" s="15"/>
      <c r="O190" s="15"/>
      <c r="P190" s="15"/>
      <c r="Q190" s="15"/>
      <c r="R190" s="16"/>
      <c r="S190" s="35" t="s">
        <v>77</v>
      </c>
      <c r="T190" s="13">
        <v>2022</v>
      </c>
      <c r="U190" s="17">
        <v>5.0119999999999996</v>
      </c>
      <c r="V190" s="17">
        <v>2.8519999999999999</v>
      </c>
      <c r="W190" s="248">
        <f t="shared" si="23"/>
        <v>0.56903431763766965</v>
      </c>
      <c r="X190" s="17"/>
      <c r="Y190" s="17"/>
      <c r="Z190" s="16"/>
      <c r="AA190" s="15" t="s">
        <v>140</v>
      </c>
      <c r="AB190" s="17"/>
      <c r="AC190" s="21" t="s">
        <v>61</v>
      </c>
      <c r="AD190" s="21" t="s">
        <v>61</v>
      </c>
      <c r="AE190" s="21" t="s">
        <v>3458</v>
      </c>
      <c r="AF190" s="17"/>
      <c r="AG190" s="15"/>
      <c r="AH190" s="16"/>
      <c r="AI190" s="16"/>
      <c r="AJ190" s="42">
        <f t="shared" ca="1" si="19"/>
        <v>85</v>
      </c>
      <c r="AK190" s="42">
        <f t="shared" ca="1" si="20"/>
        <v>85</v>
      </c>
      <c r="AL190" s="130" t="str">
        <f t="shared" si="21"/>
        <v>In touch - Negative</v>
      </c>
      <c r="AM190" s="37">
        <v>45579</v>
      </c>
      <c r="AN190" s="38">
        <v>45579</v>
      </c>
      <c r="AO190" s="38"/>
      <c r="AP190" s="38"/>
      <c r="AQ190" s="38"/>
      <c r="AR190" s="101" t="s">
        <v>1963</v>
      </c>
      <c r="AS190" s="37">
        <v>45579</v>
      </c>
      <c r="AT190" s="1077"/>
      <c r="AU190" s="1078"/>
      <c r="AV190" s="1078"/>
      <c r="AW190" s="1078"/>
      <c r="AX190" s="1078"/>
      <c r="AY190" s="1078"/>
      <c r="AZ190" s="1078"/>
      <c r="BA190" s="1078"/>
      <c r="BB190" s="1078"/>
      <c r="BC190" s="1078"/>
    </row>
    <row r="191" spans="1:55" s="271" customFormat="1" ht="10.5" customHeight="1" x14ac:dyDescent="0.35">
      <c r="A191" s="1061"/>
      <c r="B191" s="16">
        <v>1</v>
      </c>
      <c r="C191" s="16" t="s">
        <v>4370</v>
      </c>
      <c r="D191" s="99" t="str">
        <f t="shared" si="25"/>
        <v>Pending</v>
      </c>
      <c r="E191" s="12" t="s">
        <v>4710</v>
      </c>
      <c r="F191" s="20"/>
      <c r="G191" s="13" t="s">
        <v>326</v>
      </c>
      <c r="H191" s="14" t="s">
        <v>4711</v>
      </c>
      <c r="I191" s="13"/>
      <c r="J191" s="15" t="s">
        <v>4357</v>
      </c>
      <c r="K191" s="15" t="s">
        <v>4358</v>
      </c>
      <c r="L191" s="15" t="s">
        <v>4712</v>
      </c>
      <c r="M191" s="15"/>
      <c r="N191" s="15"/>
      <c r="O191" s="15"/>
      <c r="P191" s="15"/>
      <c r="Q191" s="15"/>
      <c r="R191" s="16"/>
      <c r="S191" s="35" t="s">
        <v>77</v>
      </c>
      <c r="T191" s="13">
        <v>2023</v>
      </c>
      <c r="U191" s="17">
        <v>5.0529999999999999</v>
      </c>
      <c r="V191" s="17">
        <v>1.028</v>
      </c>
      <c r="W191" s="248">
        <f t="shared" si="23"/>
        <v>0.20344349891153771</v>
      </c>
      <c r="X191" s="17"/>
      <c r="Y191" s="17"/>
      <c r="Z191" s="16"/>
      <c r="AA191" s="15" t="s">
        <v>140</v>
      </c>
      <c r="AB191" s="17"/>
      <c r="AC191" s="21" t="s">
        <v>61</v>
      </c>
      <c r="AD191" s="21" t="s">
        <v>61</v>
      </c>
      <c r="AE191" s="21" t="s">
        <v>3458</v>
      </c>
      <c r="AF191" s="17"/>
      <c r="AG191" s="15"/>
      <c r="AH191" s="16"/>
      <c r="AI191" s="16"/>
      <c r="AJ191" s="42">
        <f t="shared" ca="1" si="19"/>
        <v>85</v>
      </c>
      <c r="AK191" s="42">
        <f t="shared" ca="1" si="20"/>
        <v>85</v>
      </c>
      <c r="AL191" s="130">
        <f t="shared" si="21"/>
        <v>0.4</v>
      </c>
      <c r="AM191" s="37">
        <v>45579</v>
      </c>
      <c r="AN191" s="38">
        <v>45579</v>
      </c>
      <c r="AO191" s="38"/>
      <c r="AP191" s="38"/>
      <c r="AQ191" s="38"/>
      <c r="AR191" s="101" t="s">
        <v>1770</v>
      </c>
      <c r="AS191" s="37">
        <v>45579</v>
      </c>
      <c r="AT191" s="1077"/>
      <c r="AU191" s="1078"/>
      <c r="AV191" s="1078"/>
      <c r="AW191" s="1078"/>
      <c r="AX191" s="1078"/>
      <c r="AY191" s="1078"/>
      <c r="AZ191" s="1078"/>
      <c r="BA191" s="1078"/>
      <c r="BB191" s="1078"/>
      <c r="BC191" s="1078"/>
    </row>
    <row r="192" spans="1:55" s="271" customFormat="1" ht="10.5" customHeight="1" x14ac:dyDescent="0.35">
      <c r="A192" s="1061"/>
      <c r="B192" s="16">
        <v>1</v>
      </c>
      <c r="C192" s="16" t="s">
        <v>4370</v>
      </c>
      <c r="D192" s="99" t="str">
        <f t="shared" si="25"/>
        <v>Pending</v>
      </c>
      <c r="E192" s="12" t="s">
        <v>4707</v>
      </c>
      <c r="F192" s="20"/>
      <c r="G192" s="13" t="s">
        <v>226</v>
      </c>
      <c r="H192" s="14" t="s">
        <v>4708</v>
      </c>
      <c r="I192" s="13"/>
      <c r="J192" s="15" t="s">
        <v>4357</v>
      </c>
      <c r="K192" s="15" t="s">
        <v>4358</v>
      </c>
      <c r="L192" s="15" t="s">
        <v>4709</v>
      </c>
      <c r="M192" s="15"/>
      <c r="N192" s="15"/>
      <c r="O192" s="15"/>
      <c r="P192" s="15"/>
      <c r="Q192" s="15"/>
      <c r="R192" s="16"/>
      <c r="S192" s="35" t="s">
        <v>77</v>
      </c>
      <c r="T192" s="13">
        <v>2023</v>
      </c>
      <c r="U192" s="17">
        <v>5.2649999999999997</v>
      </c>
      <c r="V192" s="17">
        <v>1.075</v>
      </c>
      <c r="W192" s="248">
        <f t="shared" si="23"/>
        <v>0.20417853751187084</v>
      </c>
      <c r="X192" s="17"/>
      <c r="Y192" s="17"/>
      <c r="Z192" s="16"/>
      <c r="AA192" s="15" t="s">
        <v>140</v>
      </c>
      <c r="AB192" s="17"/>
      <c r="AC192" s="21" t="s">
        <v>61</v>
      </c>
      <c r="AD192" s="21" t="s">
        <v>61</v>
      </c>
      <c r="AE192" s="21" t="s">
        <v>3458</v>
      </c>
      <c r="AF192" s="17"/>
      <c r="AG192" s="15"/>
      <c r="AH192" s="16"/>
      <c r="AI192" s="16"/>
      <c r="AJ192" s="42">
        <f t="shared" ca="1" si="19"/>
        <v>85</v>
      </c>
      <c r="AK192" s="42">
        <f t="shared" ca="1" si="20"/>
        <v>85</v>
      </c>
      <c r="AL192" s="130">
        <f t="shared" si="21"/>
        <v>0.4</v>
      </c>
      <c r="AM192" s="37">
        <v>45579</v>
      </c>
      <c r="AN192" s="38">
        <v>45579</v>
      </c>
      <c r="AO192" s="38"/>
      <c r="AP192" s="38"/>
      <c r="AQ192" s="38"/>
      <c r="AR192" s="101" t="s">
        <v>1770</v>
      </c>
      <c r="AS192" s="37">
        <v>45579</v>
      </c>
      <c r="AT192" s="1077"/>
      <c r="AU192" s="1078"/>
      <c r="AV192" s="1078"/>
      <c r="AW192" s="1078"/>
      <c r="AX192" s="1078"/>
      <c r="AY192" s="1078"/>
      <c r="AZ192" s="1078"/>
      <c r="BA192" s="1078"/>
      <c r="BB192" s="1078"/>
      <c r="BC192" s="1078"/>
    </row>
    <row r="193" spans="1:55" s="271" customFormat="1" ht="10.5" customHeight="1" x14ac:dyDescent="0.35">
      <c r="A193" s="1061"/>
      <c r="B193" s="16">
        <v>1</v>
      </c>
      <c r="C193" s="16" t="s">
        <v>4370</v>
      </c>
      <c r="D193" s="99" t="str">
        <f t="shared" si="25"/>
        <v>Pending</v>
      </c>
      <c r="E193" s="12" t="s">
        <v>4713</v>
      </c>
      <c r="F193" s="20"/>
      <c r="G193" s="13" t="s">
        <v>1187</v>
      </c>
      <c r="H193" s="14" t="s">
        <v>4706</v>
      </c>
      <c r="I193" s="13"/>
      <c r="J193" s="15" t="s">
        <v>4357</v>
      </c>
      <c r="K193" s="15" t="s">
        <v>4358</v>
      </c>
      <c r="L193" s="15" t="s">
        <v>4705</v>
      </c>
      <c r="M193" s="15"/>
      <c r="N193" s="15"/>
      <c r="O193" s="15"/>
      <c r="P193" s="15"/>
      <c r="Q193" s="15"/>
      <c r="R193" s="16"/>
      <c r="S193" s="35" t="s">
        <v>77</v>
      </c>
      <c r="T193" s="13">
        <v>2023</v>
      </c>
      <c r="U193" s="17">
        <v>9.11</v>
      </c>
      <c r="V193" s="17">
        <v>2.9220000000000002</v>
      </c>
      <c r="W193" s="248">
        <f t="shared" ref="W193:W200" si="26">+V193/U193</f>
        <v>0.32074643249176732</v>
      </c>
      <c r="X193" s="17"/>
      <c r="Y193" s="17"/>
      <c r="Z193" s="16"/>
      <c r="AA193" s="15" t="s">
        <v>140</v>
      </c>
      <c r="AB193" s="17"/>
      <c r="AC193" s="21" t="s">
        <v>61</v>
      </c>
      <c r="AD193" s="21" t="s">
        <v>61</v>
      </c>
      <c r="AE193" s="21" t="s">
        <v>3458</v>
      </c>
      <c r="AF193" s="17"/>
      <c r="AG193" s="15"/>
      <c r="AH193" s="16"/>
      <c r="AI193" s="16"/>
      <c r="AJ193" s="42">
        <f t="shared" ca="1" si="19"/>
        <v>85</v>
      </c>
      <c r="AK193" s="42">
        <f t="shared" ca="1" si="20"/>
        <v>85</v>
      </c>
      <c r="AL193" s="130">
        <f t="shared" si="21"/>
        <v>0.6</v>
      </c>
      <c r="AM193" s="37">
        <v>45579</v>
      </c>
      <c r="AN193" s="38">
        <v>45579</v>
      </c>
      <c r="AO193" s="38"/>
      <c r="AP193" s="38">
        <v>45590</v>
      </c>
      <c r="AQ193" s="38"/>
      <c r="AR193" s="101" t="s">
        <v>1770</v>
      </c>
      <c r="AS193" s="37">
        <v>45579</v>
      </c>
      <c r="AT193" s="1077"/>
      <c r="AU193" s="1078"/>
      <c r="AV193" s="1078"/>
      <c r="AW193" s="1078"/>
      <c r="AX193" s="1078"/>
      <c r="AY193" s="1078"/>
      <c r="AZ193" s="1078"/>
      <c r="BA193" s="1078"/>
      <c r="BB193" s="1078"/>
      <c r="BC193" s="1078"/>
    </row>
    <row r="194" spans="1:55" s="271" customFormat="1" ht="10.5" customHeight="1" x14ac:dyDescent="0.35">
      <c r="A194" s="1061"/>
      <c r="B194" s="16">
        <v>1</v>
      </c>
      <c r="C194" s="16" t="s">
        <v>4439</v>
      </c>
      <c r="D194" s="99" t="str">
        <f t="shared" si="25"/>
        <v>No Answer</v>
      </c>
      <c r="E194" s="12" t="s">
        <v>4655</v>
      </c>
      <c r="F194" s="20"/>
      <c r="G194" s="13" t="s">
        <v>760</v>
      </c>
      <c r="H194" s="14" t="s">
        <v>4658</v>
      </c>
      <c r="I194" s="13"/>
      <c r="J194" s="15" t="s">
        <v>274</v>
      </c>
      <c r="K194" s="1016"/>
      <c r="L194" s="15" t="s">
        <v>4664</v>
      </c>
      <c r="M194" s="15"/>
      <c r="N194" s="15"/>
      <c r="O194" s="15"/>
      <c r="P194" s="15"/>
      <c r="Q194" s="15"/>
      <c r="R194" s="16"/>
      <c r="S194" s="35" t="s">
        <v>77</v>
      </c>
      <c r="T194" s="13">
        <v>2023</v>
      </c>
      <c r="U194" s="17">
        <v>25.7</v>
      </c>
      <c r="V194" s="17">
        <v>1.7</v>
      </c>
      <c r="W194" s="898">
        <f t="shared" si="26"/>
        <v>6.6147859922178989E-2</v>
      </c>
      <c r="X194" s="17"/>
      <c r="Y194" s="17"/>
      <c r="Z194" s="16"/>
      <c r="AA194" s="1016" t="s">
        <v>140</v>
      </c>
      <c r="AB194" s="17"/>
      <c r="AC194" s="21" t="s">
        <v>273</v>
      </c>
      <c r="AD194" s="21" t="s">
        <v>153</v>
      </c>
      <c r="AE194" s="21" t="s">
        <v>273</v>
      </c>
      <c r="AF194" s="17"/>
      <c r="AG194" s="15"/>
      <c r="AH194" s="16"/>
      <c r="AI194" s="16"/>
      <c r="AJ194" s="42">
        <f t="shared" ca="1" si="19"/>
        <v>92</v>
      </c>
      <c r="AK194" s="42">
        <f t="shared" ca="1" si="20"/>
        <v>85</v>
      </c>
      <c r="AL194" s="130" t="str">
        <f t="shared" si="21"/>
        <v>No Answer</v>
      </c>
      <c r="AM194" s="37">
        <v>45572</v>
      </c>
      <c r="AN194" s="38">
        <v>45573</v>
      </c>
      <c r="AO194" s="38">
        <v>45579</v>
      </c>
      <c r="AP194" s="38">
        <v>45590</v>
      </c>
      <c r="AQ194" s="38"/>
      <c r="AR194" s="101" t="s">
        <v>1763</v>
      </c>
      <c r="AS194" s="37">
        <v>45579</v>
      </c>
      <c r="AT194" s="1077"/>
      <c r="AU194" s="1078"/>
      <c r="AV194" s="1078"/>
      <c r="AW194" s="1078"/>
      <c r="AX194" s="1078"/>
      <c r="AY194" s="1078"/>
      <c r="AZ194" s="1078"/>
      <c r="BA194" s="1078"/>
      <c r="BB194" s="1078"/>
      <c r="BC194" s="1078"/>
    </row>
    <row r="195" spans="1:55" s="271" customFormat="1" ht="10.5" customHeight="1" x14ac:dyDescent="0.35">
      <c r="A195" s="1061"/>
      <c r="B195" s="16">
        <v>1</v>
      </c>
      <c r="C195" s="16" t="s">
        <v>4439</v>
      </c>
      <c r="D195" s="99" t="str">
        <f t="shared" si="25"/>
        <v>No Answer</v>
      </c>
      <c r="E195" s="12" t="s">
        <v>4650</v>
      </c>
      <c r="F195" s="20"/>
      <c r="G195" s="13" t="s">
        <v>391</v>
      </c>
      <c r="H195" s="14" t="s">
        <v>2834</v>
      </c>
      <c r="I195" s="13"/>
      <c r="J195" s="15" t="s">
        <v>274</v>
      </c>
      <c r="K195" s="1016"/>
      <c r="L195" s="15" t="s">
        <v>2875</v>
      </c>
      <c r="M195" s="15"/>
      <c r="N195" s="15"/>
      <c r="O195" s="15"/>
      <c r="P195" s="15"/>
      <c r="Q195" s="15"/>
      <c r="R195" s="16"/>
      <c r="S195" s="35" t="s">
        <v>77</v>
      </c>
      <c r="T195" s="13">
        <v>2023</v>
      </c>
      <c r="U195" s="17">
        <v>10.6</v>
      </c>
      <c r="V195" s="17">
        <v>2.8</v>
      </c>
      <c r="W195" s="898">
        <f t="shared" si="26"/>
        <v>0.26415094339622641</v>
      </c>
      <c r="X195" s="17"/>
      <c r="Y195" s="17"/>
      <c r="Z195" s="16"/>
      <c r="AA195" s="1016" t="s">
        <v>140</v>
      </c>
      <c r="AB195" s="17"/>
      <c r="AC195" s="21" t="s">
        <v>273</v>
      </c>
      <c r="AD195" s="21" t="s">
        <v>153</v>
      </c>
      <c r="AE195" s="21" t="s">
        <v>273</v>
      </c>
      <c r="AF195" s="17"/>
      <c r="AG195" s="15"/>
      <c r="AH195" s="16"/>
      <c r="AI195" s="16"/>
      <c r="AJ195" s="42">
        <f t="shared" ca="1" si="19"/>
        <v>92</v>
      </c>
      <c r="AK195" s="42">
        <f t="shared" ca="1" si="20"/>
        <v>85</v>
      </c>
      <c r="AL195" s="130" t="str">
        <f t="shared" si="21"/>
        <v>No Answer</v>
      </c>
      <c r="AM195" s="37">
        <v>45572</v>
      </c>
      <c r="AN195" s="38">
        <v>45573</v>
      </c>
      <c r="AO195" s="38">
        <v>45579</v>
      </c>
      <c r="AP195" s="38">
        <v>45590</v>
      </c>
      <c r="AQ195" s="38"/>
      <c r="AR195" s="101" t="s">
        <v>1763</v>
      </c>
      <c r="AS195" s="37">
        <v>45579</v>
      </c>
      <c r="AT195" s="1077"/>
      <c r="AU195" s="1078"/>
      <c r="AV195" s="1078"/>
      <c r="AW195" s="1078"/>
      <c r="AX195" s="1078"/>
      <c r="AY195" s="1078"/>
      <c r="AZ195" s="1078"/>
      <c r="BA195" s="1078"/>
      <c r="BB195" s="1078"/>
      <c r="BC195" s="1078"/>
    </row>
    <row r="196" spans="1:55" s="271" customFormat="1" ht="10.5" customHeight="1" x14ac:dyDescent="0.35">
      <c r="A196" s="1061"/>
      <c r="B196" s="16">
        <v>1</v>
      </c>
      <c r="C196" s="16" t="s">
        <v>4439</v>
      </c>
      <c r="D196" s="99" t="str">
        <f t="shared" si="25"/>
        <v>No Answer</v>
      </c>
      <c r="E196" s="12" t="s">
        <v>4654</v>
      </c>
      <c r="F196" s="20"/>
      <c r="G196" s="13" t="s">
        <v>103</v>
      </c>
      <c r="H196" s="14" t="s">
        <v>4659</v>
      </c>
      <c r="I196" s="13"/>
      <c r="J196" s="15" t="s">
        <v>274</v>
      </c>
      <c r="K196" s="1016"/>
      <c r="L196" s="15" t="s">
        <v>4666</v>
      </c>
      <c r="M196" s="15"/>
      <c r="N196" s="15"/>
      <c r="O196" s="15"/>
      <c r="P196" s="15"/>
      <c r="Q196" s="15"/>
      <c r="R196" s="16"/>
      <c r="S196" s="35" t="s">
        <v>77</v>
      </c>
      <c r="T196" s="13">
        <v>2023</v>
      </c>
      <c r="U196" s="17">
        <v>8.5</v>
      </c>
      <c r="V196" s="17">
        <v>1.4</v>
      </c>
      <c r="W196" s="898">
        <f t="shared" si="26"/>
        <v>0.16470588235294117</v>
      </c>
      <c r="X196" s="17"/>
      <c r="Y196" s="17"/>
      <c r="Z196" s="16"/>
      <c r="AA196" s="1016" t="s">
        <v>140</v>
      </c>
      <c r="AB196" s="17"/>
      <c r="AC196" s="21" t="s">
        <v>273</v>
      </c>
      <c r="AD196" s="21" t="s">
        <v>153</v>
      </c>
      <c r="AE196" s="21" t="s">
        <v>273</v>
      </c>
      <c r="AF196" s="17"/>
      <c r="AG196" s="15"/>
      <c r="AH196" s="16"/>
      <c r="AI196" s="16"/>
      <c r="AJ196" s="42">
        <f t="shared" ca="1" si="19"/>
        <v>92</v>
      </c>
      <c r="AK196" s="42">
        <f t="shared" ca="1" si="20"/>
        <v>85</v>
      </c>
      <c r="AL196" s="130" t="str">
        <f t="shared" si="21"/>
        <v>No Answer</v>
      </c>
      <c r="AM196" s="37">
        <v>45572</v>
      </c>
      <c r="AN196" s="38">
        <v>45573</v>
      </c>
      <c r="AO196" s="38">
        <v>45579</v>
      </c>
      <c r="AP196" s="38">
        <v>45590</v>
      </c>
      <c r="AQ196" s="38"/>
      <c r="AR196" s="101" t="s">
        <v>1763</v>
      </c>
      <c r="AS196" s="37">
        <v>45579</v>
      </c>
      <c r="AT196" s="1077"/>
      <c r="AU196" s="1078"/>
      <c r="AV196" s="1078"/>
      <c r="AW196" s="1078"/>
      <c r="AX196" s="1078"/>
      <c r="AY196" s="1078"/>
      <c r="AZ196" s="1078"/>
      <c r="BA196" s="1078"/>
      <c r="BB196" s="1078"/>
      <c r="BC196" s="1078"/>
    </row>
    <row r="197" spans="1:55" s="271" customFormat="1" ht="10.5" customHeight="1" x14ac:dyDescent="0.35">
      <c r="A197" s="1061"/>
      <c r="B197" s="16">
        <v>1</v>
      </c>
      <c r="C197" s="16" t="s">
        <v>4439</v>
      </c>
      <c r="D197" s="99" t="str">
        <f t="shared" si="25"/>
        <v>No Answer</v>
      </c>
      <c r="E197" s="12" t="s">
        <v>4651</v>
      </c>
      <c r="F197" s="20"/>
      <c r="G197" s="13" t="s">
        <v>137</v>
      </c>
      <c r="H197" s="14" t="s">
        <v>4660</v>
      </c>
      <c r="I197" s="13"/>
      <c r="J197" s="15" t="s">
        <v>274</v>
      </c>
      <c r="K197" s="1016"/>
      <c r="L197" s="15" t="s">
        <v>4667</v>
      </c>
      <c r="M197" s="15"/>
      <c r="N197" s="15"/>
      <c r="O197" s="15"/>
      <c r="P197" s="15"/>
      <c r="Q197" s="15"/>
      <c r="R197" s="16"/>
      <c r="S197" s="35" t="s">
        <v>77</v>
      </c>
      <c r="T197" s="13">
        <v>2023</v>
      </c>
      <c r="U197" s="17">
        <v>19.399999999999999</v>
      </c>
      <c r="V197" s="17">
        <v>5.8</v>
      </c>
      <c r="W197" s="898">
        <f t="shared" si="26"/>
        <v>0.29896907216494845</v>
      </c>
      <c r="X197" s="17"/>
      <c r="Y197" s="17"/>
      <c r="Z197" s="16"/>
      <c r="AA197" s="1016" t="s">
        <v>140</v>
      </c>
      <c r="AB197" s="17"/>
      <c r="AC197" s="21" t="s">
        <v>273</v>
      </c>
      <c r="AD197" s="21" t="s">
        <v>153</v>
      </c>
      <c r="AE197" s="21" t="s">
        <v>273</v>
      </c>
      <c r="AF197" s="17"/>
      <c r="AG197" s="15"/>
      <c r="AH197" s="16"/>
      <c r="AI197" s="16"/>
      <c r="AJ197" s="42">
        <f t="shared" ca="1" si="19"/>
        <v>92</v>
      </c>
      <c r="AK197" s="42">
        <f t="shared" ca="1" si="20"/>
        <v>85</v>
      </c>
      <c r="AL197" s="130" t="str">
        <f t="shared" si="21"/>
        <v>No Answer</v>
      </c>
      <c r="AM197" s="37">
        <v>45572</v>
      </c>
      <c r="AN197" s="38">
        <v>45573</v>
      </c>
      <c r="AO197" s="38">
        <v>45579</v>
      </c>
      <c r="AP197" s="38">
        <v>45590</v>
      </c>
      <c r="AQ197" s="38"/>
      <c r="AR197" s="101" t="s">
        <v>1763</v>
      </c>
      <c r="AS197" s="37">
        <v>45579</v>
      </c>
      <c r="AT197" s="1077"/>
      <c r="AU197" s="1078"/>
      <c r="AV197" s="1078"/>
      <c r="AW197" s="1078"/>
      <c r="AX197" s="1078"/>
      <c r="AY197" s="1078"/>
      <c r="AZ197" s="1078"/>
      <c r="BA197" s="1078"/>
      <c r="BB197" s="1078"/>
      <c r="BC197" s="1078"/>
    </row>
    <row r="198" spans="1:55" s="271" customFormat="1" ht="10.5" customHeight="1" x14ac:dyDescent="0.35">
      <c r="A198" s="1061"/>
      <c r="B198" s="16">
        <v>1</v>
      </c>
      <c r="C198" s="16" t="s">
        <v>4439</v>
      </c>
      <c r="D198" s="99" t="str">
        <f t="shared" si="25"/>
        <v>No Answer</v>
      </c>
      <c r="E198" s="12" t="s">
        <v>4652</v>
      </c>
      <c r="F198" s="20"/>
      <c r="G198" s="13" t="s">
        <v>546</v>
      </c>
      <c r="H198" s="14" t="s">
        <v>4661</v>
      </c>
      <c r="I198" s="13"/>
      <c r="J198" s="15" t="s">
        <v>274</v>
      </c>
      <c r="K198" s="1016"/>
      <c r="L198" s="15" t="s">
        <v>4668</v>
      </c>
      <c r="M198" s="15"/>
      <c r="N198" s="15"/>
      <c r="O198" s="15"/>
      <c r="P198" s="15"/>
      <c r="Q198" s="15"/>
      <c r="R198" s="16"/>
      <c r="S198" s="35" t="s">
        <v>77</v>
      </c>
      <c r="T198" s="13">
        <v>2023</v>
      </c>
      <c r="U198" s="17">
        <v>10.5</v>
      </c>
      <c r="V198" s="17">
        <v>2.4</v>
      </c>
      <c r="W198" s="898">
        <f t="shared" si="26"/>
        <v>0.22857142857142856</v>
      </c>
      <c r="X198" s="17"/>
      <c r="Y198" s="17"/>
      <c r="Z198" s="16"/>
      <c r="AA198" s="1016" t="s">
        <v>140</v>
      </c>
      <c r="AB198" s="17"/>
      <c r="AC198" s="21" t="s">
        <v>273</v>
      </c>
      <c r="AD198" s="21" t="s">
        <v>153</v>
      </c>
      <c r="AE198" s="21" t="s">
        <v>273</v>
      </c>
      <c r="AF198" s="17"/>
      <c r="AG198" s="15"/>
      <c r="AH198" s="16"/>
      <c r="AI198" s="16"/>
      <c r="AJ198" s="42">
        <f t="shared" ca="1" si="19"/>
        <v>92</v>
      </c>
      <c r="AK198" s="42">
        <f t="shared" ca="1" si="20"/>
        <v>85</v>
      </c>
      <c r="AL198" s="130" t="str">
        <f t="shared" si="21"/>
        <v>No Answer</v>
      </c>
      <c r="AM198" s="37">
        <v>45572</v>
      </c>
      <c r="AN198" s="38">
        <v>45573</v>
      </c>
      <c r="AO198" s="38">
        <v>45579</v>
      </c>
      <c r="AP198" s="38">
        <v>45590</v>
      </c>
      <c r="AQ198" s="38"/>
      <c r="AR198" s="101" t="s">
        <v>1763</v>
      </c>
      <c r="AS198" s="37">
        <v>45579</v>
      </c>
      <c r="AT198" s="1077"/>
      <c r="AU198" s="1078"/>
      <c r="AV198" s="1078"/>
      <c r="AW198" s="1078"/>
      <c r="AX198" s="1078"/>
      <c r="AY198" s="1078"/>
      <c r="AZ198" s="1078"/>
      <c r="BA198" s="1078"/>
      <c r="BB198" s="1078"/>
      <c r="BC198" s="1078"/>
    </row>
    <row r="199" spans="1:55" s="271" customFormat="1" ht="10.5" customHeight="1" x14ac:dyDescent="0.35">
      <c r="A199" s="1061"/>
      <c r="B199" s="16">
        <v>1</v>
      </c>
      <c r="C199" s="16" t="s">
        <v>4439</v>
      </c>
      <c r="D199" s="99" t="str">
        <f t="shared" si="25"/>
        <v>No Answer</v>
      </c>
      <c r="E199" s="12" t="s">
        <v>4653</v>
      </c>
      <c r="F199" s="20"/>
      <c r="G199" s="13" t="s">
        <v>103</v>
      </c>
      <c r="H199" s="14" t="s">
        <v>4662</v>
      </c>
      <c r="I199" s="13"/>
      <c r="J199" s="15" t="s">
        <v>274</v>
      </c>
      <c r="K199" s="1016"/>
      <c r="L199" s="15" t="s">
        <v>4668</v>
      </c>
      <c r="M199" s="15"/>
      <c r="N199" s="15"/>
      <c r="O199" s="15"/>
      <c r="P199" s="15"/>
      <c r="Q199" s="15"/>
      <c r="R199" s="16"/>
      <c r="S199" s="35" t="s">
        <v>77</v>
      </c>
      <c r="T199" s="13">
        <v>2023</v>
      </c>
      <c r="U199" s="17">
        <v>11</v>
      </c>
      <c r="V199" s="17">
        <v>5.0999999999999996</v>
      </c>
      <c r="W199" s="898">
        <f t="shared" si="26"/>
        <v>0.46363636363636362</v>
      </c>
      <c r="X199" s="17"/>
      <c r="Y199" s="17"/>
      <c r="Z199" s="16"/>
      <c r="AA199" s="1016" t="s">
        <v>140</v>
      </c>
      <c r="AB199" s="17"/>
      <c r="AC199" s="21" t="s">
        <v>273</v>
      </c>
      <c r="AD199" s="21" t="s">
        <v>153</v>
      </c>
      <c r="AE199" s="21" t="s">
        <v>273</v>
      </c>
      <c r="AF199" s="17"/>
      <c r="AG199" s="15"/>
      <c r="AH199" s="16"/>
      <c r="AI199" s="16"/>
      <c r="AJ199" s="42">
        <f t="shared" ca="1" si="19"/>
        <v>92</v>
      </c>
      <c r="AK199" s="42">
        <f t="shared" ca="1" si="20"/>
        <v>85</v>
      </c>
      <c r="AL199" s="130" t="str">
        <f t="shared" si="21"/>
        <v>No Answer</v>
      </c>
      <c r="AM199" s="37">
        <v>45572</v>
      </c>
      <c r="AN199" s="38">
        <v>45573</v>
      </c>
      <c r="AO199" s="38">
        <v>45579</v>
      </c>
      <c r="AP199" s="38"/>
      <c r="AQ199" s="38"/>
      <c r="AR199" s="101" t="s">
        <v>1763</v>
      </c>
      <c r="AS199" s="37">
        <v>45579</v>
      </c>
      <c r="AT199" s="1077"/>
      <c r="AU199" s="1078"/>
      <c r="AV199" s="1078"/>
      <c r="AW199" s="1078"/>
      <c r="AX199" s="1078"/>
      <c r="AY199" s="1078"/>
      <c r="AZ199" s="1078"/>
      <c r="BA199" s="1078"/>
      <c r="BB199" s="1078"/>
      <c r="BC199" s="1078"/>
    </row>
    <row r="200" spans="1:55" s="271" customFormat="1" ht="10.5" customHeight="1" x14ac:dyDescent="0.35">
      <c r="A200" s="1061"/>
      <c r="B200" s="16">
        <v>1</v>
      </c>
      <c r="C200" s="16" t="s">
        <v>4439</v>
      </c>
      <c r="D200" s="99" t="str">
        <f t="shared" si="25"/>
        <v>In touch - Negative</v>
      </c>
      <c r="E200" s="12" t="s">
        <v>4657</v>
      </c>
      <c r="F200" s="20"/>
      <c r="G200" s="13" t="s">
        <v>103</v>
      </c>
      <c r="H200" s="14" t="s">
        <v>4663</v>
      </c>
      <c r="I200" s="13"/>
      <c r="J200" s="15" t="s">
        <v>274</v>
      </c>
      <c r="K200" s="1016"/>
      <c r="L200" s="15" t="s">
        <v>4669</v>
      </c>
      <c r="M200" s="15"/>
      <c r="N200" s="15"/>
      <c r="O200" s="15"/>
      <c r="P200" s="15"/>
      <c r="Q200" s="15"/>
      <c r="R200" s="16"/>
      <c r="S200" s="35" t="s">
        <v>77</v>
      </c>
      <c r="T200" s="13">
        <v>2023</v>
      </c>
      <c r="U200" s="17">
        <v>17.600000000000001</v>
      </c>
      <c r="V200" s="17">
        <v>5.2</v>
      </c>
      <c r="W200" s="898">
        <f t="shared" si="26"/>
        <v>0.29545454545454541</v>
      </c>
      <c r="X200" s="17"/>
      <c r="Y200" s="17"/>
      <c r="Z200" s="16"/>
      <c r="AA200" s="1016" t="s">
        <v>140</v>
      </c>
      <c r="AB200" s="17"/>
      <c r="AC200" s="21" t="s">
        <v>273</v>
      </c>
      <c r="AD200" s="21" t="s">
        <v>153</v>
      </c>
      <c r="AE200" s="21" t="s">
        <v>273</v>
      </c>
      <c r="AF200" s="17"/>
      <c r="AG200" s="15"/>
      <c r="AH200" s="16"/>
      <c r="AI200" s="16"/>
      <c r="AJ200" s="42">
        <f t="shared" ca="1" si="19"/>
        <v>92</v>
      </c>
      <c r="AK200" s="42">
        <f t="shared" ca="1" si="20"/>
        <v>91</v>
      </c>
      <c r="AL200" s="130" t="str">
        <f t="shared" si="21"/>
        <v>In touch - Negative</v>
      </c>
      <c r="AM200" s="37">
        <v>45572</v>
      </c>
      <c r="AN200" s="38">
        <v>45573</v>
      </c>
      <c r="AO200" s="38"/>
      <c r="AP200" s="38"/>
      <c r="AQ200" s="38"/>
      <c r="AR200" s="101" t="s">
        <v>1963</v>
      </c>
      <c r="AS200" s="37">
        <v>45573</v>
      </c>
      <c r="AT200" s="1077"/>
      <c r="AU200" s="1078"/>
      <c r="AV200" s="1078"/>
      <c r="AW200" s="1078"/>
      <c r="AX200" s="1078"/>
      <c r="AY200" s="1078"/>
      <c r="AZ200" s="1078"/>
      <c r="BA200" s="1078"/>
      <c r="BB200" s="1078"/>
      <c r="BC200" s="1078"/>
    </row>
    <row r="201" spans="1:55" s="271" customFormat="1" ht="10.5" customHeight="1" x14ac:dyDescent="0.35">
      <c r="A201" s="1061"/>
      <c r="B201" s="16" cm="1">
        <f t="array" ref="B201">+_xlfn.IFS(D201="In Touch - Positive",2,D201="Pending",1,D201="No Answer",4,D201="In Touch - Negative",3)</f>
        <v>1</v>
      </c>
      <c r="C201" s="16" t="s">
        <v>4556</v>
      </c>
      <c r="D201" s="99" t="str">
        <f t="shared" ref="D201:D232" si="27">+AR201</f>
        <v>Pending</v>
      </c>
      <c r="E201" s="12" t="s">
        <v>4621</v>
      </c>
      <c r="F201" s="20"/>
      <c r="G201" s="13" t="s">
        <v>174</v>
      </c>
      <c r="H201" s="14"/>
      <c r="I201" s="13"/>
      <c r="J201" s="15" t="s">
        <v>452</v>
      </c>
      <c r="K201" s="1016" t="s">
        <v>4623</v>
      </c>
      <c r="L201" s="15"/>
      <c r="M201" s="15"/>
      <c r="N201" s="15"/>
      <c r="O201" s="15"/>
      <c r="P201" s="15"/>
      <c r="Q201" s="15"/>
      <c r="R201" s="16"/>
      <c r="S201" s="35"/>
      <c r="T201" s="13"/>
      <c r="U201" s="17"/>
      <c r="V201" s="17"/>
      <c r="W201" s="248"/>
      <c r="X201" s="17"/>
      <c r="Y201" s="17"/>
      <c r="Z201" s="16"/>
      <c r="AA201" s="15" t="s">
        <v>140</v>
      </c>
      <c r="AB201" s="17"/>
      <c r="AC201" s="21"/>
      <c r="AD201" s="21" t="s">
        <v>62</v>
      </c>
      <c r="AE201" s="21"/>
      <c r="AF201" s="17"/>
      <c r="AG201" s="15"/>
      <c r="AH201" s="16"/>
      <c r="AI201" s="16"/>
      <c r="AJ201" s="42">
        <f t="shared" ca="1" si="19"/>
        <v>99</v>
      </c>
      <c r="AK201" s="42">
        <f t="shared" ca="1" si="20"/>
        <v>76</v>
      </c>
      <c r="AL201" s="130">
        <f t="shared" si="21"/>
        <v>0.4</v>
      </c>
      <c r="AM201" s="37">
        <v>45565</v>
      </c>
      <c r="AN201" s="38">
        <v>45588</v>
      </c>
      <c r="AO201" s="38"/>
      <c r="AP201" s="1010"/>
      <c r="AQ201" s="38"/>
      <c r="AR201" s="101" t="s">
        <v>1770</v>
      </c>
      <c r="AS201" s="37">
        <v>45588</v>
      </c>
      <c r="AT201" s="1077"/>
      <c r="AU201" s="1078"/>
      <c r="AV201" s="1078"/>
      <c r="AW201" s="1078"/>
      <c r="AX201" s="1078"/>
      <c r="AY201" s="1078"/>
      <c r="AZ201" s="1078"/>
      <c r="BA201" s="1078"/>
      <c r="BB201" s="1078"/>
      <c r="BC201" s="1078"/>
    </row>
    <row r="202" spans="1:55" s="271" customFormat="1" ht="10.5" customHeight="1" x14ac:dyDescent="0.35">
      <c r="A202" s="1061"/>
      <c r="B202" s="1012" cm="1">
        <f t="array" ref="B202">+_xlfn.IFS(D202="In Touch - Positive",2,D202="Pending",1,D202="No Answer",4,D202="In Touch - Negative",3)</f>
        <v>1</v>
      </c>
      <c r="C202" s="1012" t="s">
        <v>4556</v>
      </c>
      <c r="D202" s="1033" t="str">
        <f t="shared" si="27"/>
        <v>Pending</v>
      </c>
      <c r="E202" s="1034" t="s">
        <v>4620</v>
      </c>
      <c r="F202" s="1013"/>
      <c r="G202" s="1014" t="s">
        <v>308</v>
      </c>
      <c r="H202" s="1015" t="s">
        <v>56</v>
      </c>
      <c r="I202" s="1014"/>
      <c r="J202" s="1016" t="s">
        <v>452</v>
      </c>
      <c r="K202" s="1016" t="s">
        <v>4622</v>
      </c>
      <c r="L202" s="1016"/>
      <c r="M202" s="1016"/>
      <c r="N202" s="1016"/>
      <c r="O202" s="1016"/>
      <c r="P202" s="1016"/>
      <c r="Q202" s="1016"/>
      <c r="R202" s="1012"/>
      <c r="S202" s="1017"/>
      <c r="T202" s="1014"/>
      <c r="U202" s="1018"/>
      <c r="V202" s="1018"/>
      <c r="W202" s="1035"/>
      <c r="X202" s="1018"/>
      <c r="Y202" s="1018"/>
      <c r="Z202" s="1012"/>
      <c r="AA202" s="1016" t="s">
        <v>140</v>
      </c>
      <c r="AB202" s="1018"/>
      <c r="AC202" s="1019"/>
      <c r="AD202" s="21" t="s">
        <v>62</v>
      </c>
      <c r="AE202" s="1019"/>
      <c r="AF202" s="1018"/>
      <c r="AG202" s="1016"/>
      <c r="AH202" s="1012"/>
      <c r="AI202" s="1012"/>
      <c r="AJ202" s="1011">
        <f t="shared" ca="1" si="19"/>
        <v>99</v>
      </c>
      <c r="AK202" s="1011">
        <f t="shared" ca="1" si="20"/>
        <v>76</v>
      </c>
      <c r="AL202" s="1036">
        <f t="shared" si="21"/>
        <v>0.4</v>
      </c>
      <c r="AM202" s="1009">
        <v>45565</v>
      </c>
      <c r="AN202" s="1010">
        <v>45588</v>
      </c>
      <c r="AO202" s="1010"/>
      <c r="AP202" s="888"/>
      <c r="AQ202" s="1010"/>
      <c r="AR202" s="1037" t="s">
        <v>1770</v>
      </c>
      <c r="AS202" s="1009">
        <v>45588</v>
      </c>
      <c r="AT202" s="1077"/>
      <c r="AU202" s="1078"/>
      <c r="AV202" s="1078"/>
      <c r="AW202" s="1078"/>
      <c r="AX202" s="1078"/>
      <c r="AY202" s="1078"/>
      <c r="AZ202" s="1078"/>
      <c r="BA202" s="1078"/>
      <c r="BB202" s="1078"/>
      <c r="BC202" s="1078"/>
    </row>
    <row r="203" spans="1:55" s="271" customFormat="1" ht="10.5" customHeight="1" x14ac:dyDescent="0.35">
      <c r="A203" s="1061"/>
      <c r="B203" s="890" cm="1">
        <f t="array" ref="B203">+_xlfn.IFS(D203="In Touch - Positive",2,D203="Pending",1,D203="No Answer",4,D203="In Touch - Negative",3)</f>
        <v>1</v>
      </c>
      <c r="C203" s="890" t="s">
        <v>4350</v>
      </c>
      <c r="D203" s="891" t="str">
        <f t="shared" si="27"/>
        <v>Pending</v>
      </c>
      <c r="E203" s="892" t="s">
        <v>4455</v>
      </c>
      <c r="F203" s="893"/>
      <c r="G203" s="894"/>
      <c r="H203" s="894"/>
      <c r="I203" s="894"/>
      <c r="J203" s="1001" t="s">
        <v>4574</v>
      </c>
      <c r="K203" s="896"/>
      <c r="L203" s="896"/>
      <c r="M203" s="896"/>
      <c r="N203" s="896"/>
      <c r="O203" s="896"/>
      <c r="P203" s="896"/>
      <c r="Q203" s="896"/>
      <c r="R203" s="890"/>
      <c r="S203" s="897"/>
      <c r="T203" s="894"/>
      <c r="U203" s="887"/>
      <c r="V203" s="887"/>
      <c r="W203" s="898" t="e">
        <f>+V203/U203</f>
        <v>#DIV/0!</v>
      </c>
      <c r="X203" s="887"/>
      <c r="Y203" s="887"/>
      <c r="Z203" s="890"/>
      <c r="AA203" s="896" t="s">
        <v>140</v>
      </c>
      <c r="AB203" s="887"/>
      <c r="AC203" s="899"/>
      <c r="AD203" s="899" t="s">
        <v>62</v>
      </c>
      <c r="AE203" s="887"/>
      <c r="AF203" s="887"/>
      <c r="AG203" s="896"/>
      <c r="AH203" s="890"/>
      <c r="AI203" s="890"/>
      <c r="AJ203" s="900">
        <f t="shared" ca="1" si="19"/>
        <v>119</v>
      </c>
      <c r="AK203" s="928">
        <f t="shared" ca="1" si="20"/>
        <v>76</v>
      </c>
      <c r="AL203" s="901">
        <f t="shared" si="21"/>
        <v>0.4</v>
      </c>
      <c r="AM203" s="902">
        <v>45545</v>
      </c>
      <c r="AN203" s="1010">
        <v>45588</v>
      </c>
      <c r="AO203" s="888"/>
      <c r="AP203" s="888"/>
      <c r="AQ203" s="888"/>
      <c r="AR203" s="903" t="s">
        <v>1770</v>
      </c>
      <c r="AS203" s="1009">
        <v>45588</v>
      </c>
      <c r="AT203" s="1077"/>
      <c r="AU203" s="1078"/>
      <c r="AV203" s="1078"/>
      <c r="AW203" s="1078"/>
      <c r="AX203" s="1078"/>
      <c r="AY203" s="1078"/>
      <c r="AZ203" s="1078"/>
      <c r="BA203" s="1078"/>
      <c r="BB203" s="1078"/>
      <c r="BC203" s="1078"/>
    </row>
    <row r="204" spans="1:55" s="271" customFormat="1" ht="10.5" customHeight="1" x14ac:dyDescent="0.35">
      <c r="A204" s="1061"/>
      <c r="B204" s="890" cm="1">
        <f t="array" ref="B204">+_xlfn.IFS(D204="In Touch - Positive",2,D204="Pending",1,D204="No Answer",4,D204="In Touch - Negative",3)</f>
        <v>1</v>
      </c>
      <c r="C204" s="890" t="s">
        <v>4350</v>
      </c>
      <c r="D204" s="891" t="str">
        <f t="shared" si="27"/>
        <v>Pending</v>
      </c>
      <c r="E204" s="892" t="s">
        <v>4456</v>
      </c>
      <c r="F204" s="893"/>
      <c r="G204" s="894"/>
      <c r="H204" s="894"/>
      <c r="I204" s="894"/>
      <c r="J204" s="1001" t="s">
        <v>4574</v>
      </c>
      <c r="K204" s="896"/>
      <c r="L204" s="896"/>
      <c r="M204" s="896"/>
      <c r="N204" s="896"/>
      <c r="O204" s="896"/>
      <c r="P204" s="896"/>
      <c r="Q204" s="896"/>
      <c r="R204" s="890"/>
      <c r="S204" s="897"/>
      <c r="T204" s="894"/>
      <c r="U204" s="887"/>
      <c r="V204" s="887"/>
      <c r="W204" s="898" t="e">
        <f>+V204/U204</f>
        <v>#DIV/0!</v>
      </c>
      <c r="X204" s="887"/>
      <c r="Y204" s="887"/>
      <c r="Z204" s="890"/>
      <c r="AA204" s="896" t="s">
        <v>140</v>
      </c>
      <c r="AB204" s="887"/>
      <c r="AC204" s="899"/>
      <c r="AD204" s="21" t="s">
        <v>78</v>
      </c>
      <c r="AE204" s="887"/>
      <c r="AF204" s="887"/>
      <c r="AG204" s="896"/>
      <c r="AH204" s="890"/>
      <c r="AI204" s="890"/>
      <c r="AJ204" s="900">
        <f t="shared" ref="AJ204:AJ267" ca="1" si="28">+TODAY()-AM204</f>
        <v>119</v>
      </c>
      <c r="AK204" s="928">
        <f t="shared" ref="AK204:AK267" ca="1" si="29">+TODAY()-AS204</f>
        <v>45664</v>
      </c>
      <c r="AL204" s="901">
        <f t="shared" ref="AL204:AL267" si="30">+IF(D204="Pending",COUNTA(AM204:AQ204)/5,D204)</f>
        <v>0.2</v>
      </c>
      <c r="AM204" s="902">
        <v>45545</v>
      </c>
      <c r="AN204" s="888"/>
      <c r="AO204" s="888"/>
      <c r="AP204" s="888"/>
      <c r="AQ204" s="888"/>
      <c r="AR204" s="903" t="s">
        <v>1770</v>
      </c>
      <c r="AS204" s="888"/>
      <c r="AT204" s="1077"/>
      <c r="AU204" s="1078"/>
      <c r="AV204" s="1078"/>
      <c r="AW204" s="1078"/>
      <c r="AX204" s="1078"/>
      <c r="AY204" s="1078"/>
      <c r="AZ204" s="1078"/>
      <c r="BA204" s="1078"/>
      <c r="BB204" s="1078"/>
      <c r="BC204" s="1078"/>
    </row>
    <row r="205" spans="1:55" s="271" customFormat="1" ht="10.5" customHeight="1" x14ac:dyDescent="0.35">
      <c r="A205" s="1061"/>
      <c r="B205" s="890" cm="1">
        <f t="array" ref="B205">+_xlfn.IFS(D205="In Touch - Positive",2,D205="Pending",1,D205="No Answer",4,D205="In Touch - Negative",3)</f>
        <v>1</v>
      </c>
      <c r="C205" s="890" t="s">
        <v>1864</v>
      </c>
      <c r="D205" s="891" t="str">
        <f t="shared" si="27"/>
        <v>Pending</v>
      </c>
      <c r="E205" s="892" t="s">
        <v>4461</v>
      </c>
      <c r="F205" s="893"/>
      <c r="G205" s="908" t="s">
        <v>333</v>
      </c>
      <c r="H205" s="910" t="s">
        <v>4468</v>
      </c>
      <c r="I205" s="894"/>
      <c r="J205" s="911" t="s">
        <v>57</v>
      </c>
      <c r="K205" s="907" t="s">
        <v>4466</v>
      </c>
      <c r="L205" s="907" t="s">
        <v>4467</v>
      </c>
      <c r="M205" s="896"/>
      <c r="N205" s="896"/>
      <c r="O205" s="896"/>
      <c r="P205" s="896"/>
      <c r="Q205" s="896"/>
      <c r="R205" s="890"/>
      <c r="S205" s="909" t="s">
        <v>77</v>
      </c>
      <c r="T205" s="894">
        <v>2023</v>
      </c>
      <c r="U205" s="887">
        <v>27.050999999999998</v>
      </c>
      <c r="V205" s="887">
        <v>6.4930000000000003</v>
      </c>
      <c r="W205" s="898">
        <f>+V205/U205</f>
        <v>0.24002809507966436</v>
      </c>
      <c r="X205" s="887">
        <v>4.3760000000000003</v>
      </c>
      <c r="Y205" s="887">
        <v>-6.5890000000000004</v>
      </c>
      <c r="Z205" s="890"/>
      <c r="AA205" s="896" t="s">
        <v>140</v>
      </c>
      <c r="AB205" s="887"/>
      <c r="AC205" s="899"/>
      <c r="AD205" s="899" t="s">
        <v>62</v>
      </c>
      <c r="AE205" s="887"/>
      <c r="AF205" s="887"/>
      <c r="AG205" s="896"/>
      <c r="AH205" s="890"/>
      <c r="AI205" s="890"/>
      <c r="AJ205" s="900">
        <f t="shared" ca="1" si="28"/>
        <v>119</v>
      </c>
      <c r="AK205" s="928">
        <f t="shared" ca="1" si="29"/>
        <v>113</v>
      </c>
      <c r="AL205" s="901">
        <f t="shared" si="30"/>
        <v>0.4</v>
      </c>
      <c r="AM205" s="902">
        <v>45545</v>
      </c>
      <c r="AN205" s="888">
        <v>45551</v>
      </c>
      <c r="AO205" s="888"/>
      <c r="AP205" s="615"/>
      <c r="AQ205" s="888"/>
      <c r="AR205" s="903" t="s">
        <v>1770</v>
      </c>
      <c r="AS205" s="888">
        <v>45551</v>
      </c>
      <c r="AT205" s="1077"/>
      <c r="AU205" s="1078"/>
      <c r="AV205" s="1078"/>
      <c r="AW205" s="1078"/>
      <c r="AX205" s="1078"/>
      <c r="AY205" s="1078"/>
      <c r="AZ205" s="1078"/>
      <c r="BA205" s="1078"/>
      <c r="BB205" s="1078"/>
      <c r="BC205" s="1078"/>
    </row>
    <row r="206" spans="1:55" s="271" customFormat="1" ht="10.5" customHeight="1" x14ac:dyDescent="0.35">
      <c r="A206" s="1061"/>
      <c r="B206" s="651" cm="1">
        <f t="array" ref="B206">+_xlfn.IFS(D206="In Touch - Positive",2,D206="Pending",1,D206="No Answer",4,D206="In Touch - Negative",3)</f>
        <v>1</v>
      </c>
      <c r="C206" s="651" t="s">
        <v>4159</v>
      </c>
      <c r="D206" s="602" t="str">
        <f t="shared" si="27"/>
        <v>Pending</v>
      </c>
      <c r="E206" s="603" t="s">
        <v>4167</v>
      </c>
      <c r="F206" s="603"/>
      <c r="G206" s="604"/>
      <c r="H206" s="605"/>
      <c r="I206" s="604"/>
      <c r="J206" s="913" t="s">
        <v>2714</v>
      </c>
      <c r="K206" s="607"/>
      <c r="L206" s="607"/>
      <c r="M206" s="607"/>
      <c r="N206" s="607"/>
      <c r="O206" s="607"/>
      <c r="P206" s="607"/>
      <c r="Q206" s="607"/>
      <c r="R206" s="601"/>
      <c r="S206" s="608"/>
      <c r="T206" s="604"/>
      <c r="U206" s="609"/>
      <c r="V206" s="609"/>
      <c r="W206" s="610"/>
      <c r="X206" s="609"/>
      <c r="Y206" s="609"/>
      <c r="Z206" s="601"/>
      <c r="AA206" s="649" t="s">
        <v>140</v>
      </c>
      <c r="AB206" s="609"/>
      <c r="AC206" s="656" t="s">
        <v>153</v>
      </c>
      <c r="AD206" s="656" t="s">
        <v>153</v>
      </c>
      <c r="AE206" s="656" t="s">
        <v>273</v>
      </c>
      <c r="AF206" s="609"/>
      <c r="AG206" s="607"/>
      <c r="AH206" s="601"/>
      <c r="AI206" s="601"/>
      <c r="AJ206" s="612">
        <f t="shared" ca="1" si="28"/>
        <v>217</v>
      </c>
      <c r="AK206" s="612">
        <f t="shared" ca="1" si="29"/>
        <v>217</v>
      </c>
      <c r="AL206" s="613">
        <f t="shared" si="30"/>
        <v>0.2</v>
      </c>
      <c r="AM206" s="614">
        <v>45447</v>
      </c>
      <c r="AN206" s="777"/>
      <c r="AO206" s="615"/>
      <c r="AP206" s="38"/>
      <c r="AQ206" s="615"/>
      <c r="AR206" s="616" t="s">
        <v>1770</v>
      </c>
      <c r="AS206" s="615">
        <v>45447</v>
      </c>
      <c r="AT206" s="1077"/>
      <c r="AU206" s="1078"/>
      <c r="AV206" s="1078"/>
      <c r="AW206" s="1078"/>
      <c r="AX206" s="1078"/>
      <c r="AY206" s="1078"/>
      <c r="AZ206" s="1078"/>
      <c r="BA206" s="1078"/>
      <c r="BB206" s="1078"/>
      <c r="BC206" s="1078"/>
    </row>
    <row r="207" spans="1:55" s="271" customFormat="1" ht="10.5" customHeight="1" x14ac:dyDescent="0.35">
      <c r="A207" s="1061"/>
      <c r="B207" s="16" cm="1">
        <f t="array" ref="B207">+_xlfn.IFS(D207="In Touch - Positive",2,D207="Pending",1,D207="No Answer",4,D207="In Touch - Negative",3)</f>
        <v>1</v>
      </c>
      <c r="C207" s="16" t="s">
        <v>3661</v>
      </c>
      <c r="D207" s="99" t="str">
        <f t="shared" si="27"/>
        <v>Pending</v>
      </c>
      <c r="E207" s="12" t="s">
        <v>3664</v>
      </c>
      <c r="F207" s="12"/>
      <c r="G207" s="13" t="s">
        <v>103</v>
      </c>
      <c r="H207" s="14" t="s">
        <v>3669</v>
      </c>
      <c r="I207" s="13"/>
      <c r="J207" s="914" t="s">
        <v>2714</v>
      </c>
      <c r="K207" s="15" t="s">
        <v>3672</v>
      </c>
      <c r="L207" s="15" t="s">
        <v>3675</v>
      </c>
      <c r="M207" s="15"/>
      <c r="N207" s="15"/>
      <c r="O207" s="15"/>
      <c r="P207" s="15"/>
      <c r="Q207" s="15"/>
      <c r="R207" s="16"/>
      <c r="S207" s="35" t="s">
        <v>77</v>
      </c>
      <c r="T207" s="13">
        <v>2022</v>
      </c>
      <c r="U207" s="17">
        <v>55.4</v>
      </c>
      <c r="V207" s="17">
        <v>12.6</v>
      </c>
      <c r="W207" s="248">
        <f t="shared" ref="W207:W232" si="31">+V207/U207</f>
        <v>0.22743682310469315</v>
      </c>
      <c r="X207" s="17">
        <v>8.1</v>
      </c>
      <c r="Y207" s="17">
        <v>9.6999999999999993</v>
      </c>
      <c r="Z207" s="16"/>
      <c r="AA207" s="15" t="s">
        <v>140</v>
      </c>
      <c r="AB207" s="17"/>
      <c r="AC207" s="21" t="s">
        <v>153</v>
      </c>
      <c r="AD207" s="21" t="s">
        <v>153</v>
      </c>
      <c r="AE207" s="21"/>
      <c r="AF207" s="17"/>
      <c r="AG207" s="15"/>
      <c r="AH207" s="16"/>
      <c r="AI207" s="16"/>
      <c r="AJ207" s="42">
        <f t="shared" ca="1" si="28"/>
        <v>237</v>
      </c>
      <c r="AK207" s="42">
        <f t="shared" ca="1" si="29"/>
        <v>211</v>
      </c>
      <c r="AL207" s="130">
        <f t="shared" si="30"/>
        <v>0.6</v>
      </c>
      <c r="AM207" s="37">
        <v>45427</v>
      </c>
      <c r="AN207" s="777">
        <v>45439</v>
      </c>
      <c r="AO207" s="38">
        <v>45453</v>
      </c>
      <c r="AP207" s="966"/>
      <c r="AQ207" s="38"/>
      <c r="AR207" s="101" t="s">
        <v>1770</v>
      </c>
      <c r="AS207" s="38">
        <v>45453</v>
      </c>
      <c r="AT207" s="1077"/>
      <c r="AU207" s="1078"/>
      <c r="AV207" s="1078"/>
      <c r="AW207" s="1078"/>
      <c r="AX207" s="1078"/>
      <c r="AY207" s="1078"/>
      <c r="AZ207" s="1078"/>
      <c r="BA207" s="1078"/>
      <c r="BB207" s="1078"/>
      <c r="BC207" s="1078"/>
    </row>
    <row r="208" spans="1:55" s="271" customFormat="1" ht="10.5" customHeight="1" x14ac:dyDescent="0.35">
      <c r="A208" s="1061"/>
      <c r="B208" s="954" cm="1">
        <f t="array" ref="B208">+_xlfn.IFS(D208="In Touch - Positive",2,D208="Pending",1,D208="No Answer",4,D208="In Touch - Negative",3)</f>
        <v>1</v>
      </c>
      <c r="C208" s="954" t="s">
        <v>4370</v>
      </c>
      <c r="D208" s="955" t="str">
        <f t="shared" si="27"/>
        <v>Pending</v>
      </c>
      <c r="E208" s="956" t="s">
        <v>4538</v>
      </c>
      <c r="F208" s="956"/>
      <c r="G208" s="957" t="s">
        <v>4535</v>
      </c>
      <c r="H208" s="958" t="s">
        <v>4539</v>
      </c>
      <c r="I208" s="957"/>
      <c r="J208" s="959" t="s">
        <v>4357</v>
      </c>
      <c r="K208" s="959" t="s">
        <v>4358</v>
      </c>
      <c r="L208" s="959" t="s">
        <v>4540</v>
      </c>
      <c r="M208" s="959"/>
      <c r="N208" s="959"/>
      <c r="O208" s="959"/>
      <c r="P208" s="959"/>
      <c r="Q208" s="959"/>
      <c r="R208" s="954"/>
      <c r="S208" s="960" t="s">
        <v>77</v>
      </c>
      <c r="T208" s="957">
        <v>2022</v>
      </c>
      <c r="U208" s="961">
        <v>1.0309999999999999</v>
      </c>
      <c r="V208" s="961">
        <v>0.33600000000000002</v>
      </c>
      <c r="W208" s="962">
        <f t="shared" si="31"/>
        <v>0.32589718719689625</v>
      </c>
      <c r="X208" s="961"/>
      <c r="Y208" s="961"/>
      <c r="Z208" s="954"/>
      <c r="AA208" s="959" t="s">
        <v>140</v>
      </c>
      <c r="AB208" s="961"/>
      <c r="AC208" s="963" t="s">
        <v>61</v>
      </c>
      <c r="AD208" s="963" t="s">
        <v>61</v>
      </c>
      <c r="AE208" s="963" t="s">
        <v>86</v>
      </c>
      <c r="AF208" s="961"/>
      <c r="AG208" s="959"/>
      <c r="AH208" s="954"/>
      <c r="AI208" s="954"/>
      <c r="AJ208" s="964">
        <f t="shared" ca="1" si="28"/>
        <v>110</v>
      </c>
      <c r="AK208" s="964">
        <f t="shared" ca="1" si="29"/>
        <v>106</v>
      </c>
      <c r="AL208" s="965">
        <f t="shared" si="30"/>
        <v>0.6</v>
      </c>
      <c r="AM208" s="952">
        <v>45554</v>
      </c>
      <c r="AN208" s="966">
        <v>45558</v>
      </c>
      <c r="AO208" s="966">
        <v>45569</v>
      </c>
      <c r="AP208" s="966"/>
      <c r="AQ208" s="966"/>
      <c r="AR208" s="967" t="s">
        <v>1770</v>
      </c>
      <c r="AS208" s="966">
        <v>45558</v>
      </c>
      <c r="AT208" s="1077"/>
      <c r="AU208" s="1078"/>
      <c r="AV208" s="1078"/>
      <c r="AW208" s="1078"/>
      <c r="AX208" s="1078"/>
      <c r="AY208" s="1078"/>
      <c r="AZ208" s="1078"/>
      <c r="BA208" s="1078"/>
      <c r="BB208" s="1078"/>
      <c r="BC208" s="1078"/>
    </row>
    <row r="209" spans="1:55" s="271" customFormat="1" ht="10.5" customHeight="1" x14ac:dyDescent="0.35">
      <c r="A209" s="1061"/>
      <c r="B209" s="954" cm="1">
        <f t="array" ref="B209">+_xlfn.IFS(D209="In Touch - Positive",2,D209="Pending",1,D209="No Answer",4,D209="In Touch - Negative",3)</f>
        <v>1</v>
      </c>
      <c r="C209" s="954" t="s">
        <v>4370</v>
      </c>
      <c r="D209" s="955" t="str">
        <f t="shared" si="27"/>
        <v>Pending</v>
      </c>
      <c r="E209" s="956" t="s">
        <v>4534</v>
      </c>
      <c r="F209" s="956"/>
      <c r="G209" s="957" t="s">
        <v>4535</v>
      </c>
      <c r="H209" s="958" t="s">
        <v>4536</v>
      </c>
      <c r="I209" s="957"/>
      <c r="J209" s="959" t="s">
        <v>4357</v>
      </c>
      <c r="K209" s="959" t="s">
        <v>4358</v>
      </c>
      <c r="L209" s="959" t="s">
        <v>4537</v>
      </c>
      <c r="M209" s="959"/>
      <c r="N209" s="959"/>
      <c r="O209" s="959"/>
      <c r="P209" s="959"/>
      <c r="Q209" s="959"/>
      <c r="R209" s="954"/>
      <c r="S209" s="960" t="s">
        <v>77</v>
      </c>
      <c r="T209" s="957">
        <v>2022</v>
      </c>
      <c r="U209" s="961">
        <v>1.538</v>
      </c>
      <c r="V209" s="961">
        <v>0.53600000000000003</v>
      </c>
      <c r="W209" s="962">
        <f t="shared" si="31"/>
        <v>0.34850455136540964</v>
      </c>
      <c r="X209" s="961"/>
      <c r="Y209" s="961"/>
      <c r="Z209" s="954"/>
      <c r="AA209" s="959" t="s">
        <v>140</v>
      </c>
      <c r="AB209" s="961"/>
      <c r="AC209" s="963" t="s">
        <v>61</v>
      </c>
      <c r="AD209" s="963" t="s">
        <v>61</v>
      </c>
      <c r="AE209" s="963" t="s">
        <v>86</v>
      </c>
      <c r="AF209" s="961"/>
      <c r="AG209" s="959"/>
      <c r="AH209" s="954"/>
      <c r="AI209" s="954"/>
      <c r="AJ209" s="964">
        <f t="shared" ca="1" si="28"/>
        <v>110</v>
      </c>
      <c r="AK209" s="964">
        <f t="shared" ca="1" si="29"/>
        <v>106</v>
      </c>
      <c r="AL209" s="965">
        <f t="shared" si="30"/>
        <v>0.6</v>
      </c>
      <c r="AM209" s="952">
        <v>45554</v>
      </c>
      <c r="AN209" s="966">
        <v>45558</v>
      </c>
      <c r="AO209" s="966">
        <v>45569</v>
      </c>
      <c r="AP209" s="966"/>
      <c r="AQ209" s="966"/>
      <c r="AR209" s="967" t="s">
        <v>1770</v>
      </c>
      <c r="AS209" s="966">
        <v>45558</v>
      </c>
      <c r="AT209" s="1077"/>
      <c r="AU209" s="1078"/>
      <c r="AV209" s="1078"/>
      <c r="AW209" s="1078"/>
      <c r="AX209" s="1078"/>
      <c r="AY209" s="1078"/>
      <c r="AZ209" s="1078"/>
      <c r="BA209" s="1078"/>
      <c r="BB209" s="1078"/>
      <c r="BC209" s="1078"/>
    </row>
    <row r="210" spans="1:55" s="271" customFormat="1" ht="10.5" customHeight="1" x14ac:dyDescent="0.35">
      <c r="A210" s="1061"/>
      <c r="B210" s="954" cm="1">
        <f t="array" ref="B210">+_xlfn.IFS(D210="In Touch - Positive",2,D210="Pending",1,D210="No Answer",4,D210="In Touch - Negative",3)</f>
        <v>1</v>
      </c>
      <c r="C210" s="954" t="s">
        <v>4370</v>
      </c>
      <c r="D210" s="955" t="str">
        <f t="shared" si="27"/>
        <v>Pending</v>
      </c>
      <c r="E210" s="956" t="s">
        <v>4532</v>
      </c>
      <c r="F210" s="956"/>
      <c r="G210" s="957" t="s">
        <v>505</v>
      </c>
      <c r="H210" s="958" t="s">
        <v>4533</v>
      </c>
      <c r="I210" s="957"/>
      <c r="J210" s="959" t="s">
        <v>4357</v>
      </c>
      <c r="K210" s="959" t="s">
        <v>4358</v>
      </c>
      <c r="L210" s="959" t="s">
        <v>4531</v>
      </c>
      <c r="M210" s="959"/>
      <c r="N210" s="959"/>
      <c r="O210" s="959"/>
      <c r="P210" s="959"/>
      <c r="Q210" s="959"/>
      <c r="R210" s="954"/>
      <c r="S210" s="960" t="s">
        <v>77</v>
      </c>
      <c r="T210" s="957">
        <v>2023</v>
      </c>
      <c r="U210" s="961">
        <v>2.31</v>
      </c>
      <c r="V210" s="961">
        <v>0.69799999999999995</v>
      </c>
      <c r="W210" s="962">
        <f t="shared" si="31"/>
        <v>0.30216450216450214</v>
      </c>
      <c r="X210" s="961"/>
      <c r="Y210" s="961"/>
      <c r="Z210" s="954"/>
      <c r="AA210" s="959" t="s">
        <v>140</v>
      </c>
      <c r="AB210" s="961"/>
      <c r="AC210" s="963" t="s">
        <v>61</v>
      </c>
      <c r="AD210" s="963" t="s">
        <v>61</v>
      </c>
      <c r="AE210" s="963" t="s">
        <v>86</v>
      </c>
      <c r="AF210" s="961"/>
      <c r="AG210" s="959"/>
      <c r="AH210" s="954"/>
      <c r="AI210" s="954"/>
      <c r="AJ210" s="964">
        <f t="shared" ca="1" si="28"/>
        <v>110</v>
      </c>
      <c r="AK210" s="964">
        <f t="shared" ca="1" si="29"/>
        <v>106</v>
      </c>
      <c r="AL210" s="965">
        <f t="shared" si="30"/>
        <v>0.6</v>
      </c>
      <c r="AM210" s="952">
        <v>45554</v>
      </c>
      <c r="AN210" s="966">
        <v>45558</v>
      </c>
      <c r="AO210" s="966">
        <v>45569</v>
      </c>
      <c r="AP210" s="966"/>
      <c r="AQ210" s="966"/>
      <c r="AR210" s="967" t="s">
        <v>1770</v>
      </c>
      <c r="AS210" s="966">
        <v>45558</v>
      </c>
      <c r="AT210" s="1077"/>
      <c r="AU210" s="1078"/>
      <c r="AV210" s="1078"/>
      <c r="AW210" s="1078"/>
      <c r="AX210" s="1078"/>
      <c r="AY210" s="1078"/>
      <c r="AZ210" s="1078"/>
      <c r="BA210" s="1078"/>
      <c r="BB210" s="1078"/>
      <c r="BC210" s="1078"/>
    </row>
    <row r="211" spans="1:55" s="271" customFormat="1" ht="10.5" customHeight="1" x14ac:dyDescent="0.35">
      <c r="A211" s="1061"/>
      <c r="B211" s="954" cm="1">
        <f t="array" ref="B211">+_xlfn.IFS(D211="In Touch - Positive",2,D211="Pending",1,D211="No Answer",4,D211="In Touch - Negative",3)</f>
        <v>1</v>
      </c>
      <c r="C211" s="954" t="s">
        <v>4370</v>
      </c>
      <c r="D211" s="955" t="str">
        <f t="shared" si="27"/>
        <v>Pending</v>
      </c>
      <c r="E211" s="956" t="s">
        <v>4529</v>
      </c>
      <c r="F211" s="956"/>
      <c r="G211" s="957" t="s">
        <v>505</v>
      </c>
      <c r="H211" s="958" t="s">
        <v>4530</v>
      </c>
      <c r="I211" s="957"/>
      <c r="J211" s="959" t="s">
        <v>4357</v>
      </c>
      <c r="K211" s="959" t="s">
        <v>4358</v>
      </c>
      <c r="L211" s="959" t="s">
        <v>4531</v>
      </c>
      <c r="M211" s="959"/>
      <c r="N211" s="959"/>
      <c r="O211" s="959"/>
      <c r="P211" s="959"/>
      <c r="Q211" s="959"/>
      <c r="R211" s="954"/>
      <c r="S211" s="960" t="s">
        <v>77</v>
      </c>
      <c r="T211" s="957">
        <v>2023</v>
      </c>
      <c r="U211" s="961">
        <v>4.3550000000000004</v>
      </c>
      <c r="V211" s="961">
        <v>0.81200000000000006</v>
      </c>
      <c r="W211" s="962">
        <f t="shared" si="31"/>
        <v>0.18645235361653273</v>
      </c>
      <c r="X211" s="961"/>
      <c r="Y211" s="961"/>
      <c r="Z211" s="954"/>
      <c r="AA211" s="959" t="s">
        <v>140</v>
      </c>
      <c r="AB211" s="961"/>
      <c r="AC211" s="963" t="s">
        <v>61</v>
      </c>
      <c r="AD211" s="963" t="s">
        <v>61</v>
      </c>
      <c r="AE211" s="963" t="s">
        <v>86</v>
      </c>
      <c r="AF211" s="961"/>
      <c r="AG211" s="959"/>
      <c r="AH211" s="954"/>
      <c r="AI211" s="954"/>
      <c r="AJ211" s="964">
        <f t="shared" ca="1" si="28"/>
        <v>110</v>
      </c>
      <c r="AK211" s="964">
        <f t="shared" ca="1" si="29"/>
        <v>106</v>
      </c>
      <c r="AL211" s="965">
        <f t="shared" si="30"/>
        <v>0.6</v>
      </c>
      <c r="AM211" s="952">
        <v>45554</v>
      </c>
      <c r="AN211" s="966">
        <v>45558</v>
      </c>
      <c r="AO211" s="966">
        <v>45569</v>
      </c>
      <c r="AP211" s="966"/>
      <c r="AQ211" s="966"/>
      <c r="AR211" s="967" t="s">
        <v>1770</v>
      </c>
      <c r="AS211" s="966">
        <v>45558</v>
      </c>
      <c r="AT211" s="1077"/>
      <c r="AU211" s="1078"/>
      <c r="AV211" s="1078"/>
      <c r="AW211" s="1078"/>
      <c r="AX211" s="1078"/>
      <c r="AY211" s="1078"/>
      <c r="AZ211" s="1078"/>
      <c r="BA211" s="1078"/>
      <c r="BB211" s="1078"/>
      <c r="BC211" s="1078"/>
    </row>
    <row r="212" spans="1:55" s="271" customFormat="1" ht="10.5" customHeight="1" x14ac:dyDescent="0.35">
      <c r="A212" s="1061"/>
      <c r="B212" s="954" cm="1">
        <f t="array" ref="B212">+_xlfn.IFS(D212="In Touch - Positive",2,D212="Pending",1,D212="No Answer",4,D212="In Touch - Negative",3)</f>
        <v>1</v>
      </c>
      <c r="C212" s="954" t="s">
        <v>4370</v>
      </c>
      <c r="D212" s="955" t="str">
        <f t="shared" si="27"/>
        <v>Pending</v>
      </c>
      <c r="E212" s="956" t="s">
        <v>4527</v>
      </c>
      <c r="F212" s="956"/>
      <c r="G212" s="957" t="s">
        <v>1446</v>
      </c>
      <c r="H212" s="958" t="s">
        <v>4526</v>
      </c>
      <c r="I212" s="957"/>
      <c r="J212" s="959" t="s">
        <v>4357</v>
      </c>
      <c r="K212" s="959" t="s">
        <v>4358</v>
      </c>
      <c r="L212" s="959" t="s">
        <v>4528</v>
      </c>
      <c r="M212" s="959"/>
      <c r="N212" s="959"/>
      <c r="O212" s="959"/>
      <c r="P212" s="959"/>
      <c r="Q212" s="959"/>
      <c r="R212" s="954"/>
      <c r="S212" s="960" t="s">
        <v>77</v>
      </c>
      <c r="T212" s="957">
        <v>2023</v>
      </c>
      <c r="U212" s="961">
        <v>2.7850000000000001</v>
      </c>
      <c r="V212" s="961">
        <v>1.264</v>
      </c>
      <c r="W212" s="962">
        <f t="shared" si="31"/>
        <v>0.45385996409335727</v>
      </c>
      <c r="X212" s="961"/>
      <c r="Y212" s="961"/>
      <c r="Z212" s="954"/>
      <c r="AA212" s="959" t="s">
        <v>140</v>
      </c>
      <c r="AB212" s="961"/>
      <c r="AC212" s="963" t="s">
        <v>61</v>
      </c>
      <c r="AD212" s="963" t="s">
        <v>61</v>
      </c>
      <c r="AE212" s="963" t="s">
        <v>86</v>
      </c>
      <c r="AF212" s="961"/>
      <c r="AG212" s="959"/>
      <c r="AH212" s="954"/>
      <c r="AI212" s="954"/>
      <c r="AJ212" s="964">
        <f t="shared" ca="1" si="28"/>
        <v>110</v>
      </c>
      <c r="AK212" s="964">
        <f t="shared" ca="1" si="29"/>
        <v>106</v>
      </c>
      <c r="AL212" s="965">
        <f t="shared" si="30"/>
        <v>0.6</v>
      </c>
      <c r="AM212" s="952">
        <v>45554</v>
      </c>
      <c r="AN212" s="966">
        <v>45558</v>
      </c>
      <c r="AO212" s="966">
        <v>45569</v>
      </c>
      <c r="AP212" s="966"/>
      <c r="AQ212" s="966"/>
      <c r="AR212" s="967" t="s">
        <v>1770</v>
      </c>
      <c r="AS212" s="966">
        <v>45558</v>
      </c>
      <c r="AT212" s="1077"/>
      <c r="AU212" s="1078"/>
      <c r="AV212" s="1078"/>
      <c r="AW212" s="1078"/>
      <c r="AX212" s="1078"/>
      <c r="AY212" s="1078"/>
      <c r="AZ212" s="1078"/>
      <c r="BA212" s="1078"/>
      <c r="BB212" s="1078"/>
      <c r="BC212" s="1078"/>
    </row>
    <row r="213" spans="1:55" s="271" customFormat="1" ht="10.5" customHeight="1" x14ac:dyDescent="0.35">
      <c r="A213" s="1061"/>
      <c r="B213" s="954" cm="1">
        <f t="array" ref="B213">+_xlfn.IFS(D213="In Touch - Positive",2,D213="Pending",1,D213="No Answer",4,D213="In Touch - Negative",3)</f>
        <v>1</v>
      </c>
      <c r="C213" s="954" t="s">
        <v>4370</v>
      </c>
      <c r="D213" s="955" t="str">
        <f t="shared" si="27"/>
        <v>Pending</v>
      </c>
      <c r="E213" s="956" t="s">
        <v>4520</v>
      </c>
      <c r="F213" s="956"/>
      <c r="G213" s="957" t="s">
        <v>4187</v>
      </c>
      <c r="H213" s="958" t="s">
        <v>4521</v>
      </c>
      <c r="I213" s="957"/>
      <c r="J213" s="959" t="s">
        <v>4357</v>
      </c>
      <c r="K213" s="959" t="s">
        <v>4358</v>
      </c>
      <c r="L213" s="959" t="s">
        <v>4522</v>
      </c>
      <c r="M213" s="959"/>
      <c r="N213" s="959"/>
      <c r="O213" s="959"/>
      <c r="P213" s="959"/>
      <c r="Q213" s="959"/>
      <c r="R213" s="954"/>
      <c r="S213" s="960" t="s">
        <v>77</v>
      </c>
      <c r="T213" s="957">
        <v>2023</v>
      </c>
      <c r="U213" s="961">
        <v>3.6</v>
      </c>
      <c r="V213" s="961">
        <v>1.345</v>
      </c>
      <c r="W213" s="962">
        <f t="shared" si="31"/>
        <v>0.37361111111111112</v>
      </c>
      <c r="X213" s="961"/>
      <c r="Y213" s="961"/>
      <c r="Z213" s="954"/>
      <c r="AA213" s="959" t="s">
        <v>140</v>
      </c>
      <c r="AB213" s="961"/>
      <c r="AC213" s="963" t="s">
        <v>61</v>
      </c>
      <c r="AD213" s="963" t="s">
        <v>61</v>
      </c>
      <c r="AE213" s="963" t="s">
        <v>86</v>
      </c>
      <c r="AF213" s="961"/>
      <c r="AG213" s="959"/>
      <c r="AH213" s="954"/>
      <c r="AI213" s="954"/>
      <c r="AJ213" s="964">
        <f t="shared" ca="1" si="28"/>
        <v>110</v>
      </c>
      <c r="AK213" s="964">
        <f t="shared" ca="1" si="29"/>
        <v>106</v>
      </c>
      <c r="AL213" s="965">
        <f t="shared" si="30"/>
        <v>0.6</v>
      </c>
      <c r="AM213" s="952">
        <v>45554</v>
      </c>
      <c r="AN213" s="966">
        <v>45558</v>
      </c>
      <c r="AO213" s="966">
        <v>45569</v>
      </c>
      <c r="AP213" s="966"/>
      <c r="AQ213" s="966"/>
      <c r="AR213" s="967" t="s">
        <v>1770</v>
      </c>
      <c r="AS213" s="966">
        <v>45558</v>
      </c>
      <c r="AT213" s="1077"/>
      <c r="AU213" s="1078"/>
      <c r="AV213" s="1078"/>
      <c r="AW213" s="1078"/>
      <c r="AX213" s="1078"/>
      <c r="AY213" s="1078"/>
      <c r="AZ213" s="1078"/>
      <c r="BA213" s="1078"/>
      <c r="BB213" s="1078"/>
      <c r="BC213" s="1078"/>
    </row>
    <row r="214" spans="1:55" s="271" customFormat="1" ht="10.5" customHeight="1" x14ac:dyDescent="0.35">
      <c r="A214" s="1061"/>
      <c r="B214" s="954" cm="1">
        <f t="array" ref="B214">+_xlfn.IFS(D214="In Touch - Positive",2,D214="Pending",1,D214="No Answer",4,D214="In Touch - Negative",3)</f>
        <v>1</v>
      </c>
      <c r="C214" s="954" t="s">
        <v>4370</v>
      </c>
      <c r="D214" s="955" t="str">
        <f t="shared" si="27"/>
        <v>Pending</v>
      </c>
      <c r="E214" s="956" t="s">
        <v>4511</v>
      </c>
      <c r="F214" s="956"/>
      <c r="G214" s="957" t="s">
        <v>226</v>
      </c>
      <c r="H214" s="958" t="s">
        <v>4512</v>
      </c>
      <c r="I214" s="957"/>
      <c r="J214" s="959" t="s">
        <v>4357</v>
      </c>
      <c r="K214" s="959" t="s">
        <v>4358</v>
      </c>
      <c r="L214" s="959" t="s">
        <v>4513</v>
      </c>
      <c r="M214" s="959"/>
      <c r="N214" s="959"/>
      <c r="O214" s="959"/>
      <c r="P214" s="959"/>
      <c r="Q214" s="959"/>
      <c r="R214" s="954"/>
      <c r="S214" s="960" t="s">
        <v>77</v>
      </c>
      <c r="T214" s="957">
        <v>2022</v>
      </c>
      <c r="U214" s="961">
        <v>6</v>
      </c>
      <c r="V214" s="961">
        <v>2.1269999999999998</v>
      </c>
      <c r="W214" s="962">
        <f t="shared" si="31"/>
        <v>0.35449999999999998</v>
      </c>
      <c r="X214" s="961"/>
      <c r="Y214" s="961"/>
      <c r="Z214" s="954"/>
      <c r="AA214" s="959" t="s">
        <v>140</v>
      </c>
      <c r="AB214" s="961"/>
      <c r="AC214" s="963" t="s">
        <v>61</v>
      </c>
      <c r="AD214" s="963" t="s">
        <v>61</v>
      </c>
      <c r="AE214" s="963" t="s">
        <v>86</v>
      </c>
      <c r="AF214" s="961"/>
      <c r="AG214" s="959"/>
      <c r="AH214" s="954"/>
      <c r="AI214" s="954"/>
      <c r="AJ214" s="964">
        <f t="shared" ca="1" si="28"/>
        <v>110</v>
      </c>
      <c r="AK214" s="964">
        <f t="shared" ca="1" si="29"/>
        <v>106</v>
      </c>
      <c r="AL214" s="965">
        <f t="shared" si="30"/>
        <v>0.6</v>
      </c>
      <c r="AM214" s="952">
        <v>45554</v>
      </c>
      <c r="AN214" s="966">
        <v>45558</v>
      </c>
      <c r="AO214" s="966">
        <v>45569</v>
      </c>
      <c r="AP214" s="966"/>
      <c r="AQ214" s="966"/>
      <c r="AR214" s="967" t="s">
        <v>1770</v>
      </c>
      <c r="AS214" s="966">
        <v>45558</v>
      </c>
      <c r="AT214" s="1077"/>
      <c r="AU214" s="1078"/>
      <c r="AV214" s="1078"/>
      <c r="AW214" s="1078"/>
      <c r="AX214" s="1078"/>
      <c r="AY214" s="1078"/>
      <c r="AZ214" s="1078"/>
      <c r="BA214" s="1078"/>
      <c r="BB214" s="1078"/>
      <c r="BC214" s="1078"/>
    </row>
    <row r="215" spans="1:55" s="271" customFormat="1" ht="10.5" customHeight="1" x14ac:dyDescent="0.35">
      <c r="A215" s="1061"/>
      <c r="B215" s="954" cm="1">
        <f t="array" ref="B215">+_xlfn.IFS(D215="In Touch - Positive",2,D215="Pending",1,D215="No Answer",4,D215="In Touch - Negative",3)</f>
        <v>1</v>
      </c>
      <c r="C215" s="954" t="s">
        <v>4370</v>
      </c>
      <c r="D215" s="955" t="str">
        <f t="shared" si="27"/>
        <v>Pending</v>
      </c>
      <c r="E215" s="956" t="s">
        <v>4508</v>
      </c>
      <c r="F215" s="956"/>
      <c r="G215" s="957" t="s">
        <v>278</v>
      </c>
      <c r="H215" s="958" t="s">
        <v>4509</v>
      </c>
      <c r="I215" s="957"/>
      <c r="J215" s="959" t="s">
        <v>4357</v>
      </c>
      <c r="K215" s="959" t="s">
        <v>4358</v>
      </c>
      <c r="L215" s="959" t="s">
        <v>4510</v>
      </c>
      <c r="M215" s="959"/>
      <c r="N215" s="959"/>
      <c r="O215" s="959"/>
      <c r="P215" s="959"/>
      <c r="Q215" s="959"/>
      <c r="R215" s="954"/>
      <c r="S215" s="960" t="s">
        <v>77</v>
      </c>
      <c r="T215" s="957">
        <v>2023</v>
      </c>
      <c r="U215" s="961">
        <v>8.9740000000000002</v>
      </c>
      <c r="V215" s="961">
        <v>2.19</v>
      </c>
      <c r="W215" s="962">
        <f t="shared" si="31"/>
        <v>0.2440383329618899</v>
      </c>
      <c r="X215" s="961"/>
      <c r="Y215" s="961"/>
      <c r="Z215" s="954"/>
      <c r="AA215" s="959" t="s">
        <v>140</v>
      </c>
      <c r="AB215" s="961"/>
      <c r="AC215" s="963" t="s">
        <v>61</v>
      </c>
      <c r="AD215" s="963" t="s">
        <v>61</v>
      </c>
      <c r="AE215" s="963" t="s">
        <v>86</v>
      </c>
      <c r="AF215" s="961"/>
      <c r="AG215" s="959"/>
      <c r="AH215" s="954"/>
      <c r="AI215" s="954"/>
      <c r="AJ215" s="964">
        <f t="shared" ca="1" si="28"/>
        <v>110</v>
      </c>
      <c r="AK215" s="964">
        <f t="shared" ca="1" si="29"/>
        <v>106</v>
      </c>
      <c r="AL215" s="965">
        <f t="shared" si="30"/>
        <v>0.6</v>
      </c>
      <c r="AM215" s="952">
        <v>45554</v>
      </c>
      <c r="AN215" s="966">
        <v>45558</v>
      </c>
      <c r="AO215" s="966">
        <v>45569</v>
      </c>
      <c r="AP215" s="966"/>
      <c r="AQ215" s="966"/>
      <c r="AR215" s="967" t="s">
        <v>1770</v>
      </c>
      <c r="AS215" s="966">
        <v>45558</v>
      </c>
      <c r="AT215" s="1077"/>
      <c r="AU215" s="1078"/>
      <c r="AV215" s="1078"/>
      <c r="AW215" s="1078"/>
      <c r="AX215" s="1078"/>
      <c r="AY215" s="1078"/>
      <c r="AZ215" s="1078"/>
      <c r="BA215" s="1078"/>
      <c r="BB215" s="1078"/>
      <c r="BC215" s="1078"/>
    </row>
    <row r="216" spans="1:55" s="271" customFormat="1" ht="10.5" customHeight="1" x14ac:dyDescent="0.35">
      <c r="A216" s="1061"/>
      <c r="B216" s="954" cm="1">
        <f t="array" ref="B216">+_xlfn.IFS(D216="In Touch - Positive",2,D216="Pending",1,D216="No Answer",4,D216="In Touch - Negative",3)</f>
        <v>1</v>
      </c>
      <c r="C216" s="954" t="s">
        <v>4370</v>
      </c>
      <c r="D216" s="955" t="str">
        <f t="shared" si="27"/>
        <v>Pending</v>
      </c>
      <c r="E216" s="956" t="s">
        <v>4502</v>
      </c>
      <c r="F216" s="956"/>
      <c r="G216" s="957" t="s">
        <v>278</v>
      </c>
      <c r="H216" s="958" t="s">
        <v>4503</v>
      </c>
      <c r="I216" s="957"/>
      <c r="J216" s="959" t="s">
        <v>4357</v>
      </c>
      <c r="K216" s="959" t="s">
        <v>4358</v>
      </c>
      <c r="L216" s="959" t="s">
        <v>4504</v>
      </c>
      <c r="M216" s="959"/>
      <c r="N216" s="959"/>
      <c r="O216" s="959"/>
      <c r="P216" s="959"/>
      <c r="Q216" s="959"/>
      <c r="R216" s="954"/>
      <c r="S216" s="960" t="s">
        <v>77</v>
      </c>
      <c r="T216" s="957">
        <v>2023</v>
      </c>
      <c r="U216" s="961">
        <v>18.088000000000001</v>
      </c>
      <c r="V216" s="961">
        <v>7.8440000000000003</v>
      </c>
      <c r="W216" s="962">
        <f t="shared" si="31"/>
        <v>0.43365767359575408</v>
      </c>
      <c r="X216" s="961"/>
      <c r="Y216" s="961"/>
      <c r="Z216" s="954"/>
      <c r="AA216" s="959" t="s">
        <v>140</v>
      </c>
      <c r="AB216" s="961"/>
      <c r="AC216" s="963" t="s">
        <v>61</v>
      </c>
      <c r="AD216" s="963" t="s">
        <v>61</v>
      </c>
      <c r="AE216" s="963" t="s">
        <v>86</v>
      </c>
      <c r="AF216" s="961"/>
      <c r="AG216" s="959"/>
      <c r="AH216" s="954"/>
      <c r="AI216" s="954"/>
      <c r="AJ216" s="964">
        <f t="shared" ca="1" si="28"/>
        <v>110</v>
      </c>
      <c r="AK216" s="964">
        <f t="shared" ca="1" si="29"/>
        <v>106</v>
      </c>
      <c r="AL216" s="965">
        <f t="shared" si="30"/>
        <v>0.6</v>
      </c>
      <c r="AM216" s="952">
        <v>45554</v>
      </c>
      <c r="AN216" s="966">
        <v>45558</v>
      </c>
      <c r="AO216" s="966">
        <v>45569</v>
      </c>
      <c r="AP216" s="966"/>
      <c r="AQ216" s="966"/>
      <c r="AR216" s="967" t="s">
        <v>1770</v>
      </c>
      <c r="AS216" s="966">
        <v>45558</v>
      </c>
      <c r="AT216" s="1077"/>
      <c r="AU216" s="1078"/>
      <c r="AV216" s="1078"/>
      <c r="AW216" s="1078"/>
      <c r="AX216" s="1078"/>
      <c r="AY216" s="1078"/>
      <c r="AZ216" s="1078"/>
      <c r="BA216" s="1078"/>
      <c r="BB216" s="1078"/>
      <c r="BC216" s="1078"/>
    </row>
    <row r="217" spans="1:55" s="271" customFormat="1" ht="10.5" customHeight="1" x14ac:dyDescent="0.35">
      <c r="A217" s="1061"/>
      <c r="B217" s="954" cm="1">
        <f t="array" ref="B217">+_xlfn.IFS(D217="In Touch - Positive",2,D217="Pending",1,D217="No Answer",4,D217="In Touch - Negative",3)</f>
        <v>1</v>
      </c>
      <c r="C217" s="954" t="s">
        <v>4370</v>
      </c>
      <c r="D217" s="955" t="str">
        <f t="shared" si="27"/>
        <v>Pending</v>
      </c>
      <c r="E217" s="956" t="s">
        <v>4499</v>
      </c>
      <c r="F217" s="956"/>
      <c r="G217" s="957" t="s">
        <v>278</v>
      </c>
      <c r="H217" s="958" t="s">
        <v>4500</v>
      </c>
      <c r="I217" s="957"/>
      <c r="J217" s="959" t="s">
        <v>4357</v>
      </c>
      <c r="K217" s="959" t="s">
        <v>4358</v>
      </c>
      <c r="L217" s="959" t="s">
        <v>4501</v>
      </c>
      <c r="M217" s="959"/>
      <c r="N217" s="959"/>
      <c r="O217" s="959"/>
      <c r="P217" s="959"/>
      <c r="Q217" s="959"/>
      <c r="R217" s="954"/>
      <c r="S217" s="960" t="s">
        <v>77</v>
      </c>
      <c r="T217" s="957">
        <v>2022</v>
      </c>
      <c r="U217" s="961">
        <v>2</v>
      </c>
      <c r="V217" s="961">
        <v>0.90690000000000004</v>
      </c>
      <c r="W217" s="962">
        <f t="shared" si="31"/>
        <v>0.45345000000000002</v>
      </c>
      <c r="X217" s="961"/>
      <c r="Y217" s="961"/>
      <c r="Z217" s="954"/>
      <c r="AA217" s="959" t="s">
        <v>140</v>
      </c>
      <c r="AB217" s="961"/>
      <c r="AC217" s="963" t="s">
        <v>61</v>
      </c>
      <c r="AD217" s="963" t="s">
        <v>61</v>
      </c>
      <c r="AE217" s="963" t="s">
        <v>86</v>
      </c>
      <c r="AF217" s="961"/>
      <c r="AG217" s="959"/>
      <c r="AH217" s="954"/>
      <c r="AI217" s="954"/>
      <c r="AJ217" s="964">
        <f t="shared" ca="1" si="28"/>
        <v>110</v>
      </c>
      <c r="AK217" s="964">
        <f t="shared" ca="1" si="29"/>
        <v>106</v>
      </c>
      <c r="AL217" s="965">
        <f t="shared" si="30"/>
        <v>0.6</v>
      </c>
      <c r="AM217" s="952">
        <v>45554</v>
      </c>
      <c r="AN217" s="966">
        <v>45558</v>
      </c>
      <c r="AO217" s="966">
        <v>45569</v>
      </c>
      <c r="AP217" s="848"/>
      <c r="AQ217" s="966"/>
      <c r="AR217" s="967" t="s">
        <v>1770</v>
      </c>
      <c r="AS217" s="966">
        <v>45558</v>
      </c>
      <c r="AT217" s="1077"/>
      <c r="AU217" s="1078"/>
      <c r="AV217" s="1078"/>
      <c r="AW217" s="1078"/>
      <c r="AX217" s="1078"/>
      <c r="AY217" s="1078"/>
      <c r="AZ217" s="1078"/>
      <c r="BA217" s="1078"/>
      <c r="BB217" s="1078"/>
      <c r="BC217" s="1078"/>
    </row>
    <row r="218" spans="1:55" s="271" customFormat="1" ht="10.5" customHeight="1" x14ac:dyDescent="0.35">
      <c r="A218" s="1061"/>
      <c r="B218" s="836" cm="1">
        <f t="array" ref="B218">+_xlfn.IFS(D218="In Touch - Positive",2,D218="Pending",1,D218="No Answer",4,D218="In Touch - Negative",3)</f>
        <v>1</v>
      </c>
      <c r="C218" s="836" t="s">
        <v>4370</v>
      </c>
      <c r="D218" s="838" t="str">
        <f t="shared" si="27"/>
        <v>Pending</v>
      </c>
      <c r="E218" s="835" t="s">
        <v>4372</v>
      </c>
      <c r="F218" s="852"/>
      <c r="G218" s="839" t="s">
        <v>278</v>
      </c>
      <c r="H218" s="840" t="s">
        <v>4385</v>
      </c>
      <c r="I218" s="839"/>
      <c r="J218" s="834" t="s">
        <v>4357</v>
      </c>
      <c r="K218" s="834" t="s">
        <v>4358</v>
      </c>
      <c r="L218" s="834" t="s">
        <v>4397</v>
      </c>
      <c r="M218" s="834"/>
      <c r="N218" s="834"/>
      <c r="O218" s="834"/>
      <c r="P218" s="834"/>
      <c r="Q218" s="834"/>
      <c r="R218" s="836"/>
      <c r="S218" s="841" t="s">
        <v>77</v>
      </c>
      <c r="T218" s="839">
        <v>2022</v>
      </c>
      <c r="U218" s="842">
        <v>13.2</v>
      </c>
      <c r="V218" s="842">
        <v>8.5</v>
      </c>
      <c r="W218" s="843">
        <f t="shared" si="31"/>
        <v>0.64393939393939392</v>
      </c>
      <c r="X218" s="842"/>
      <c r="Y218" s="842"/>
      <c r="Z218" s="836"/>
      <c r="AA218" s="834" t="s">
        <v>140</v>
      </c>
      <c r="AB218" s="842"/>
      <c r="AC218" s="844" t="s">
        <v>61</v>
      </c>
      <c r="AD218" s="844" t="s">
        <v>61</v>
      </c>
      <c r="AE218" s="844" t="s">
        <v>86</v>
      </c>
      <c r="AF218" s="842"/>
      <c r="AG218" s="834"/>
      <c r="AH218" s="836"/>
      <c r="AI218" s="836"/>
      <c r="AJ218" s="845">
        <f t="shared" ca="1" si="28"/>
        <v>152</v>
      </c>
      <c r="AK218" s="845">
        <f t="shared" ca="1" si="29"/>
        <v>124</v>
      </c>
      <c r="AL218" s="846">
        <f t="shared" si="30"/>
        <v>0.6</v>
      </c>
      <c r="AM218" s="847">
        <v>45512</v>
      </c>
      <c r="AN218" s="848">
        <v>45540</v>
      </c>
      <c r="AO218" s="848">
        <v>45551</v>
      </c>
      <c r="AP218" s="848"/>
      <c r="AQ218" s="848"/>
      <c r="AR218" s="849" t="s">
        <v>1770</v>
      </c>
      <c r="AS218" s="848">
        <v>45540</v>
      </c>
      <c r="AT218" s="1077"/>
      <c r="AU218" s="1078"/>
      <c r="AV218" s="1078"/>
      <c r="AW218" s="1078"/>
      <c r="AX218" s="1078"/>
      <c r="AY218" s="1078"/>
      <c r="AZ218" s="1078"/>
      <c r="BA218" s="1078"/>
      <c r="BB218" s="1078"/>
      <c r="BC218" s="1078"/>
    </row>
    <row r="219" spans="1:55" s="271" customFormat="1" ht="10.5" customHeight="1" x14ac:dyDescent="0.35">
      <c r="A219" s="1061"/>
      <c r="B219" s="836" cm="1">
        <f t="array" ref="B219">+_xlfn.IFS(D219="In Touch - Positive",2,D219="Pending",1,D219="No Answer",4,D219="In Touch - Negative",3)</f>
        <v>1</v>
      </c>
      <c r="C219" s="836" t="s">
        <v>4370</v>
      </c>
      <c r="D219" s="838" t="str">
        <f t="shared" si="27"/>
        <v>Pending</v>
      </c>
      <c r="E219" s="835" t="s">
        <v>4373</v>
      </c>
      <c r="F219" s="852"/>
      <c r="G219" s="839" t="s">
        <v>278</v>
      </c>
      <c r="H219" s="840" t="s">
        <v>4386</v>
      </c>
      <c r="I219" s="839"/>
      <c r="J219" s="834" t="s">
        <v>4357</v>
      </c>
      <c r="K219" s="834" t="s">
        <v>4358</v>
      </c>
      <c r="L219" s="834" t="s">
        <v>4398</v>
      </c>
      <c r="M219" s="834"/>
      <c r="N219" s="834"/>
      <c r="O219" s="834"/>
      <c r="P219" s="834"/>
      <c r="Q219" s="834"/>
      <c r="R219" s="836"/>
      <c r="S219" s="841" t="s">
        <v>77</v>
      </c>
      <c r="T219" s="839">
        <v>2022</v>
      </c>
      <c r="U219" s="842">
        <v>9.5</v>
      </c>
      <c r="V219" s="842">
        <v>3.9</v>
      </c>
      <c r="W219" s="843">
        <f t="shared" si="31"/>
        <v>0.41052631578947368</v>
      </c>
      <c r="X219" s="842"/>
      <c r="Y219" s="842"/>
      <c r="Z219" s="836"/>
      <c r="AA219" s="834" t="s">
        <v>140</v>
      </c>
      <c r="AB219" s="842"/>
      <c r="AC219" s="844" t="s">
        <v>61</v>
      </c>
      <c r="AD219" s="844" t="s">
        <v>61</v>
      </c>
      <c r="AE219" s="844" t="s">
        <v>86</v>
      </c>
      <c r="AF219" s="842"/>
      <c r="AG219" s="834"/>
      <c r="AH219" s="836"/>
      <c r="AI219" s="836"/>
      <c r="AJ219" s="845">
        <f t="shared" ca="1" si="28"/>
        <v>152</v>
      </c>
      <c r="AK219" s="845">
        <f t="shared" ca="1" si="29"/>
        <v>124</v>
      </c>
      <c r="AL219" s="846">
        <f t="shared" si="30"/>
        <v>0.6</v>
      </c>
      <c r="AM219" s="847">
        <v>45512</v>
      </c>
      <c r="AN219" s="848">
        <v>45540</v>
      </c>
      <c r="AO219" s="848">
        <v>45551</v>
      </c>
      <c r="AP219" s="848"/>
      <c r="AQ219" s="848"/>
      <c r="AR219" s="849" t="s">
        <v>1770</v>
      </c>
      <c r="AS219" s="848">
        <v>45540</v>
      </c>
      <c r="AT219" s="1077"/>
      <c r="AU219" s="1078"/>
      <c r="AV219" s="1078"/>
      <c r="AW219" s="1078"/>
      <c r="AX219" s="1078"/>
      <c r="AY219" s="1078"/>
      <c r="AZ219" s="1078"/>
      <c r="BA219" s="1078"/>
      <c r="BB219" s="1078"/>
      <c r="BC219" s="1078"/>
    </row>
    <row r="220" spans="1:55" s="271" customFormat="1" ht="10.5" customHeight="1" x14ac:dyDescent="0.35">
      <c r="A220" s="1061"/>
      <c r="B220" s="836" cm="1">
        <f t="array" ref="B220">+_xlfn.IFS(D220="In Touch - Positive",2,D220="Pending",1,D220="No Answer",4,D220="In Touch - Negative",3)</f>
        <v>1</v>
      </c>
      <c r="C220" s="836" t="s">
        <v>4370</v>
      </c>
      <c r="D220" s="838" t="str">
        <f t="shared" si="27"/>
        <v>Pending</v>
      </c>
      <c r="E220" s="835" t="s">
        <v>4374</v>
      </c>
      <c r="F220" s="852"/>
      <c r="G220" s="839" t="s">
        <v>1446</v>
      </c>
      <c r="H220" s="840" t="s">
        <v>4387</v>
      </c>
      <c r="I220" s="839"/>
      <c r="J220" s="834" t="s">
        <v>4357</v>
      </c>
      <c r="K220" s="834" t="s">
        <v>4358</v>
      </c>
      <c r="L220" s="834" t="s">
        <v>4399</v>
      </c>
      <c r="M220" s="834"/>
      <c r="N220" s="834"/>
      <c r="O220" s="834"/>
      <c r="P220" s="834"/>
      <c r="Q220" s="834"/>
      <c r="R220" s="836"/>
      <c r="S220" s="841" t="s">
        <v>77</v>
      </c>
      <c r="T220" s="839">
        <v>2023</v>
      </c>
      <c r="U220" s="842">
        <v>9.3000000000000007</v>
      </c>
      <c r="V220" s="842">
        <v>5.2</v>
      </c>
      <c r="W220" s="843">
        <f t="shared" si="31"/>
        <v>0.55913978494623651</v>
      </c>
      <c r="X220" s="842"/>
      <c r="Y220" s="842"/>
      <c r="Z220" s="836"/>
      <c r="AA220" s="834" t="s">
        <v>140</v>
      </c>
      <c r="AB220" s="842"/>
      <c r="AC220" s="844" t="s">
        <v>61</v>
      </c>
      <c r="AD220" s="844" t="s">
        <v>61</v>
      </c>
      <c r="AE220" s="844" t="s">
        <v>86</v>
      </c>
      <c r="AF220" s="842"/>
      <c r="AG220" s="834"/>
      <c r="AH220" s="836"/>
      <c r="AI220" s="836"/>
      <c r="AJ220" s="845">
        <f t="shared" ca="1" si="28"/>
        <v>152</v>
      </c>
      <c r="AK220" s="845">
        <f t="shared" ca="1" si="29"/>
        <v>124</v>
      </c>
      <c r="AL220" s="846">
        <f t="shared" si="30"/>
        <v>0.6</v>
      </c>
      <c r="AM220" s="847">
        <v>45512</v>
      </c>
      <c r="AN220" s="848">
        <v>45540</v>
      </c>
      <c r="AO220" s="848">
        <v>45551</v>
      </c>
      <c r="AP220" s="848"/>
      <c r="AQ220" s="848"/>
      <c r="AR220" s="849" t="s">
        <v>1770</v>
      </c>
      <c r="AS220" s="848">
        <v>45540</v>
      </c>
      <c r="AT220" s="1077"/>
      <c r="AU220" s="1078"/>
      <c r="AV220" s="1078"/>
      <c r="AW220" s="1078"/>
      <c r="AX220" s="1078"/>
      <c r="AY220" s="1078"/>
      <c r="AZ220" s="1078"/>
      <c r="BA220" s="1078"/>
      <c r="BB220" s="1078"/>
      <c r="BC220" s="1078"/>
    </row>
    <row r="221" spans="1:55" s="271" customFormat="1" ht="10.5" customHeight="1" x14ac:dyDescent="0.35">
      <c r="A221" s="1061"/>
      <c r="B221" s="836" cm="1">
        <f t="array" ref="B221">+_xlfn.IFS(D221="In Touch - Positive",2,D221="Pending",1,D221="No Answer",4,D221="In Touch - Negative",3)</f>
        <v>1</v>
      </c>
      <c r="C221" s="836" t="s">
        <v>4370</v>
      </c>
      <c r="D221" s="838" t="str">
        <f t="shared" si="27"/>
        <v>Pending</v>
      </c>
      <c r="E221" s="835" t="s">
        <v>4379</v>
      </c>
      <c r="F221" s="852"/>
      <c r="G221" s="839" t="s">
        <v>924</v>
      </c>
      <c r="H221" s="840" t="s">
        <v>4392</v>
      </c>
      <c r="I221" s="839"/>
      <c r="J221" s="834" t="s">
        <v>4357</v>
      </c>
      <c r="K221" s="834" t="s">
        <v>4358</v>
      </c>
      <c r="L221" s="834" t="s">
        <v>4403</v>
      </c>
      <c r="M221" s="834"/>
      <c r="N221" s="834"/>
      <c r="O221" s="834"/>
      <c r="P221" s="834"/>
      <c r="Q221" s="834"/>
      <c r="R221" s="836"/>
      <c r="S221" s="841" t="s">
        <v>77</v>
      </c>
      <c r="T221" s="839">
        <v>2022</v>
      </c>
      <c r="U221" s="842">
        <v>4.3</v>
      </c>
      <c r="V221" s="842">
        <v>0.70699999999999996</v>
      </c>
      <c r="W221" s="843">
        <f t="shared" si="31"/>
        <v>0.16441860465116279</v>
      </c>
      <c r="X221" s="842"/>
      <c r="Y221" s="842"/>
      <c r="Z221" s="836"/>
      <c r="AA221" s="834" t="s">
        <v>140</v>
      </c>
      <c r="AB221" s="842"/>
      <c r="AC221" s="844" t="s">
        <v>61</v>
      </c>
      <c r="AD221" s="844" t="s">
        <v>61</v>
      </c>
      <c r="AE221" s="844" t="s">
        <v>86</v>
      </c>
      <c r="AF221" s="842"/>
      <c r="AG221" s="834"/>
      <c r="AH221" s="836"/>
      <c r="AI221" s="836"/>
      <c r="AJ221" s="845">
        <f t="shared" ca="1" si="28"/>
        <v>152</v>
      </c>
      <c r="AK221" s="845">
        <f t="shared" ca="1" si="29"/>
        <v>124</v>
      </c>
      <c r="AL221" s="846">
        <f t="shared" si="30"/>
        <v>0.6</v>
      </c>
      <c r="AM221" s="847">
        <v>45512</v>
      </c>
      <c r="AN221" s="848">
        <v>45540</v>
      </c>
      <c r="AO221" s="848">
        <v>45551</v>
      </c>
      <c r="AP221" s="848"/>
      <c r="AQ221" s="848"/>
      <c r="AR221" s="849" t="s">
        <v>1770</v>
      </c>
      <c r="AS221" s="848">
        <v>45540</v>
      </c>
      <c r="AT221" s="1077"/>
      <c r="AU221" s="1078"/>
      <c r="AV221" s="1078"/>
      <c r="AW221" s="1078"/>
      <c r="AX221" s="1078"/>
      <c r="AY221" s="1078"/>
      <c r="AZ221" s="1078"/>
      <c r="BA221" s="1078"/>
      <c r="BB221" s="1078"/>
      <c r="BC221" s="1078"/>
    </row>
    <row r="222" spans="1:55" s="271" customFormat="1" ht="10.5" customHeight="1" x14ac:dyDescent="0.35">
      <c r="A222" s="1061"/>
      <c r="B222" s="836" cm="1">
        <f t="array" ref="B222">+_xlfn.IFS(D222="In Touch - Positive",2,D222="Pending",1,D222="No Answer",4,D222="In Touch - Negative",3)</f>
        <v>1</v>
      </c>
      <c r="C222" s="836" t="s">
        <v>4370</v>
      </c>
      <c r="D222" s="838" t="str">
        <f t="shared" si="27"/>
        <v>Pending</v>
      </c>
      <c r="E222" s="835" t="s">
        <v>4380</v>
      </c>
      <c r="F222" s="852"/>
      <c r="G222" s="839" t="s">
        <v>326</v>
      </c>
      <c r="H222" s="840" t="s">
        <v>4393</v>
      </c>
      <c r="I222" s="839"/>
      <c r="J222" s="834" t="s">
        <v>4357</v>
      </c>
      <c r="K222" s="834" t="s">
        <v>4358</v>
      </c>
      <c r="L222" s="834" t="s">
        <v>4404</v>
      </c>
      <c r="M222" s="834"/>
      <c r="N222" s="834"/>
      <c r="O222" s="834"/>
      <c r="P222" s="834"/>
      <c r="Q222" s="834"/>
      <c r="R222" s="836"/>
      <c r="S222" s="841" t="s">
        <v>77</v>
      </c>
      <c r="T222" s="839">
        <v>2023</v>
      </c>
      <c r="U222" s="842">
        <v>3.6</v>
      </c>
      <c r="V222" s="842">
        <v>1.2070000000000001</v>
      </c>
      <c r="W222" s="843">
        <f t="shared" si="31"/>
        <v>0.33527777777777779</v>
      </c>
      <c r="X222" s="842"/>
      <c r="Y222" s="842"/>
      <c r="Z222" s="836"/>
      <c r="AA222" s="834" t="s">
        <v>140</v>
      </c>
      <c r="AB222" s="842"/>
      <c r="AC222" s="844" t="s">
        <v>61</v>
      </c>
      <c r="AD222" s="844" t="s">
        <v>61</v>
      </c>
      <c r="AE222" s="844" t="s">
        <v>86</v>
      </c>
      <c r="AF222" s="842"/>
      <c r="AG222" s="834"/>
      <c r="AH222" s="836"/>
      <c r="AI222" s="836"/>
      <c r="AJ222" s="845">
        <f t="shared" ca="1" si="28"/>
        <v>152</v>
      </c>
      <c r="AK222" s="845">
        <f t="shared" ca="1" si="29"/>
        <v>124</v>
      </c>
      <c r="AL222" s="846">
        <f t="shared" si="30"/>
        <v>0.8</v>
      </c>
      <c r="AM222" s="847">
        <v>45512</v>
      </c>
      <c r="AN222" s="848">
        <v>45540</v>
      </c>
      <c r="AO222" s="848">
        <v>45551</v>
      </c>
      <c r="AP222" s="1371" t="s">
        <v>65</v>
      </c>
      <c r="AQ222" s="848"/>
      <c r="AR222" s="849" t="s">
        <v>1770</v>
      </c>
      <c r="AS222" s="848">
        <v>45540</v>
      </c>
      <c r="AT222" s="1077"/>
      <c r="AU222" s="1078"/>
      <c r="AV222" s="1078"/>
      <c r="AW222" s="1078"/>
      <c r="AX222" s="1078"/>
      <c r="AY222" s="1078"/>
      <c r="AZ222" s="1078"/>
      <c r="BA222" s="1078"/>
      <c r="BB222" s="1078"/>
      <c r="BC222" s="1078"/>
    </row>
    <row r="223" spans="1:55" s="271" customFormat="1" ht="10.5" customHeight="1" x14ac:dyDescent="0.35">
      <c r="A223" s="855">
        <f>+COUNTIF(D:D, "In touch - Positive")</f>
        <v>188</v>
      </c>
      <c r="B223" s="1313" cm="1">
        <f t="array" ref="B223">+_xlfn.IFS(D223="In Touch - Positive",2,D223="Pending",1,D223="No Answer",4,D223="In Touch - Negative",3)</f>
        <v>2</v>
      </c>
      <c r="C223" s="16" t="s">
        <v>5590</v>
      </c>
      <c r="D223" s="20" t="str">
        <f t="shared" si="27"/>
        <v>In touch - Positive</v>
      </c>
      <c r="E223" s="1314" t="s">
        <v>5604</v>
      </c>
      <c r="F223" s="1315"/>
      <c r="G223" s="1411" t="s">
        <v>428</v>
      </c>
      <c r="H223" s="1316"/>
      <c r="I223" s="1316"/>
      <c r="J223" s="1317" t="s">
        <v>1010</v>
      </c>
      <c r="K223" s="15" t="s">
        <v>5567</v>
      </c>
      <c r="L223" s="15" t="s">
        <v>5605</v>
      </c>
      <c r="M223" s="1317"/>
      <c r="N223" s="1317"/>
      <c r="O223" s="1317"/>
      <c r="P223" s="1317"/>
      <c r="Q223" s="1317"/>
      <c r="R223" s="1313"/>
      <c r="S223" s="1318" t="s">
        <v>77</v>
      </c>
      <c r="T223" s="1316">
        <v>2023</v>
      </c>
      <c r="U223" s="1265">
        <v>1.7849999999999999</v>
      </c>
      <c r="V223" s="1265">
        <v>0.35199999999999998</v>
      </c>
      <c r="W223" s="1320">
        <f t="shared" si="31"/>
        <v>0.19719887955182072</v>
      </c>
      <c r="X223" s="1265"/>
      <c r="Y223" s="1265"/>
      <c r="Z223" s="1313"/>
      <c r="AA223" s="1317" t="s">
        <v>140</v>
      </c>
      <c r="AB223" s="1319"/>
      <c r="AC223" s="1321" t="s">
        <v>62</v>
      </c>
      <c r="AD223" s="1321" t="s">
        <v>62</v>
      </c>
      <c r="AE223" s="1321" t="s">
        <v>62</v>
      </c>
      <c r="AF223" s="1319"/>
      <c r="AG223" s="1317"/>
      <c r="AH223" s="1313"/>
      <c r="AI223" s="1313"/>
      <c r="AJ223" s="1322">
        <f t="shared" ca="1" si="28"/>
        <v>34</v>
      </c>
      <c r="AK223" s="1322">
        <f t="shared" ca="1" si="29"/>
        <v>21</v>
      </c>
      <c r="AL223" s="1323" t="str">
        <f t="shared" si="30"/>
        <v>In touch - Positive</v>
      </c>
      <c r="AM223" s="1324">
        <v>45630</v>
      </c>
      <c r="AN223" s="1325">
        <v>45631</v>
      </c>
      <c r="AO223" s="1325" t="s">
        <v>65</v>
      </c>
      <c r="AP223" s="38" t="s">
        <v>65</v>
      </c>
      <c r="AQ223" s="1325">
        <v>45643</v>
      </c>
      <c r="AR223" s="1326" t="s">
        <v>1818</v>
      </c>
      <c r="AS223" s="1324">
        <v>45643</v>
      </c>
      <c r="AT223" s="1077"/>
      <c r="AU223" s="1078"/>
      <c r="AV223" s="1078"/>
      <c r="AW223" s="1078"/>
      <c r="AX223" s="1078"/>
      <c r="AY223" s="1078"/>
      <c r="AZ223" s="1078"/>
      <c r="BA223" s="1078"/>
      <c r="BB223" s="1078"/>
      <c r="BC223" s="1078"/>
    </row>
    <row r="224" spans="1:55" s="271" customFormat="1" ht="10.5" customHeight="1" x14ac:dyDescent="0.35">
      <c r="A224" s="1061"/>
      <c r="B224" s="1266" cm="1">
        <f t="array" ref="B224">+_xlfn.IFS(D224="In Touch - Positive",2,D224="Pending",1,D224="No Answer",4,D224="In Touch - Negative",3)</f>
        <v>2</v>
      </c>
      <c r="C224" s="16" t="s">
        <v>5331</v>
      </c>
      <c r="D224" s="1267" t="str">
        <f t="shared" si="27"/>
        <v>In touch - Positive</v>
      </c>
      <c r="E224" s="1268" t="s">
        <v>5351</v>
      </c>
      <c r="F224" s="1267"/>
      <c r="G224" s="13" t="s">
        <v>572</v>
      </c>
      <c r="H224" s="14" t="s">
        <v>5354</v>
      </c>
      <c r="I224" s="1270"/>
      <c r="J224" s="15" t="s">
        <v>202</v>
      </c>
      <c r="K224" s="15" t="s">
        <v>5353</v>
      </c>
      <c r="L224" s="1271" t="s">
        <v>5466</v>
      </c>
      <c r="M224" s="1271" t="s">
        <v>5352</v>
      </c>
      <c r="N224" s="1271"/>
      <c r="O224" s="1271" t="s">
        <v>5352</v>
      </c>
      <c r="P224" s="1271" t="s">
        <v>5352</v>
      </c>
      <c r="Q224" s="1271"/>
      <c r="R224" s="1266"/>
      <c r="S224" s="1272" t="s">
        <v>77</v>
      </c>
      <c r="T224" s="1270">
        <v>2023</v>
      </c>
      <c r="U224" s="1265">
        <v>125.387</v>
      </c>
      <c r="V224" s="1265">
        <v>18.303000000000001</v>
      </c>
      <c r="W224" s="1292">
        <f t="shared" si="31"/>
        <v>0.14597207046982544</v>
      </c>
      <c r="X224" s="1265">
        <v>9.2119999999999997</v>
      </c>
      <c r="Y224" s="17">
        <v>-21.6</v>
      </c>
      <c r="Z224" s="1266"/>
      <c r="AA224" s="1271" t="s">
        <v>140</v>
      </c>
      <c r="AB224" s="1265"/>
      <c r="AC224" s="21" t="s">
        <v>4423</v>
      </c>
      <c r="AD224" s="21" t="s">
        <v>78</v>
      </c>
      <c r="AE224" s="21" t="s">
        <v>4423</v>
      </c>
      <c r="AF224" s="1265"/>
      <c r="AG224" s="1271"/>
      <c r="AH224" s="1266"/>
      <c r="AI224" s="1266"/>
      <c r="AJ224" s="1273">
        <f t="shared" ca="1" si="28"/>
        <v>37</v>
      </c>
      <c r="AK224" s="1273">
        <f t="shared" ca="1" si="29"/>
        <v>21</v>
      </c>
      <c r="AL224" s="1293" t="str">
        <f t="shared" si="30"/>
        <v>In touch - Positive</v>
      </c>
      <c r="AM224" s="1274">
        <v>45627</v>
      </c>
      <c r="AN224" s="1275">
        <v>45635</v>
      </c>
      <c r="AO224" s="1275">
        <v>45642</v>
      </c>
      <c r="AP224" s="38" t="s">
        <v>65</v>
      </c>
      <c r="AQ224" s="1275">
        <v>45643</v>
      </c>
      <c r="AR224" s="1294" t="s">
        <v>1818</v>
      </c>
      <c r="AS224" s="1274">
        <v>45643</v>
      </c>
      <c r="AT224" s="1077"/>
      <c r="AU224" s="1078"/>
      <c r="AV224" s="1078"/>
      <c r="AW224" s="1078"/>
      <c r="AX224" s="1078"/>
      <c r="AY224" s="1078"/>
      <c r="AZ224" s="1078"/>
      <c r="BA224" s="1078"/>
      <c r="BB224" s="1078"/>
      <c r="BC224" s="1078"/>
    </row>
    <row r="225" spans="1:55" s="271" customFormat="1" ht="10.5" customHeight="1" x14ac:dyDescent="0.35">
      <c r="A225" s="1061"/>
      <c r="B225" s="1313" cm="1">
        <f t="array" ref="B225">+_xlfn.IFS(D225="In Touch - Positive",2,D225="Pending",1,D225="No Answer",4,D225="In Touch - Negative",3)</f>
        <v>2</v>
      </c>
      <c r="C225" s="16" t="s">
        <v>5590</v>
      </c>
      <c r="D225" s="20" t="str">
        <f t="shared" si="27"/>
        <v>In touch - Positive</v>
      </c>
      <c r="E225" s="1314" t="s">
        <v>5598</v>
      </c>
      <c r="F225" s="1315"/>
      <c r="G225" s="1316" t="s">
        <v>333</v>
      </c>
      <c r="H225" s="1316"/>
      <c r="I225" s="1316"/>
      <c r="J225" s="1317" t="s">
        <v>1010</v>
      </c>
      <c r="K225" s="15" t="s">
        <v>5567</v>
      </c>
      <c r="L225" s="15" t="s">
        <v>5599</v>
      </c>
      <c r="M225" s="1317"/>
      <c r="N225" s="1317"/>
      <c r="O225" s="1317"/>
      <c r="P225" s="1317"/>
      <c r="Q225" s="1317"/>
      <c r="R225" s="1313"/>
      <c r="S225" s="1318" t="s">
        <v>77</v>
      </c>
      <c r="T225" s="1316">
        <v>2023</v>
      </c>
      <c r="U225" s="1265">
        <v>1.3420000000000001</v>
      </c>
      <c r="V225" s="1265">
        <v>0.43</v>
      </c>
      <c r="W225" s="1320">
        <f t="shared" si="31"/>
        <v>0.32041728763040234</v>
      </c>
      <c r="X225" s="1265"/>
      <c r="Y225" s="1265"/>
      <c r="Z225" s="1313"/>
      <c r="AA225" s="1317" t="s">
        <v>140</v>
      </c>
      <c r="AB225" s="1319"/>
      <c r="AC225" s="1321" t="s">
        <v>62</v>
      </c>
      <c r="AD225" s="1321" t="s">
        <v>62</v>
      </c>
      <c r="AE225" s="1321" t="s">
        <v>62</v>
      </c>
      <c r="AF225" s="1319"/>
      <c r="AG225" s="1317"/>
      <c r="AH225" s="1313"/>
      <c r="AI225" s="1313"/>
      <c r="AJ225" s="1322">
        <f t="shared" ca="1" si="28"/>
        <v>34</v>
      </c>
      <c r="AK225" s="1322">
        <f t="shared" ca="1" si="29"/>
        <v>26</v>
      </c>
      <c r="AL225" s="1323" t="str">
        <f t="shared" si="30"/>
        <v>In touch - Positive</v>
      </c>
      <c r="AM225" s="1324">
        <v>45630</v>
      </c>
      <c r="AN225" s="1325">
        <v>45631</v>
      </c>
      <c r="AO225" s="1325" t="s">
        <v>65</v>
      </c>
      <c r="AP225" s="38" t="s">
        <v>65</v>
      </c>
      <c r="AQ225" s="1325">
        <v>45638</v>
      </c>
      <c r="AR225" s="1326" t="s">
        <v>1818</v>
      </c>
      <c r="AS225" s="1324">
        <v>45638</v>
      </c>
      <c r="AT225" s="1077"/>
      <c r="AU225" s="1078"/>
      <c r="AV225" s="1078"/>
      <c r="AW225" s="1078"/>
      <c r="AX225" s="1078"/>
      <c r="AY225" s="1078"/>
      <c r="AZ225" s="1078"/>
      <c r="BA225" s="1078"/>
      <c r="BB225" s="1078"/>
      <c r="BC225" s="1078"/>
    </row>
    <row r="226" spans="1:55" s="271" customFormat="1" ht="10.5" customHeight="1" x14ac:dyDescent="0.35">
      <c r="B226" s="1313" cm="1">
        <f t="array" ref="B226">+_xlfn.IFS(D226="In Touch - Positive",2,D226="Pending",1,D226="No Answer",4,D226="In Touch - Negative",3)</f>
        <v>2</v>
      </c>
      <c r="C226" s="16" t="s">
        <v>5590</v>
      </c>
      <c r="D226" s="20" t="str">
        <f t="shared" si="27"/>
        <v>In touch - Positive</v>
      </c>
      <c r="E226" s="1314" t="s">
        <v>5565</v>
      </c>
      <c r="F226" s="1315"/>
      <c r="G226" s="1316" t="s">
        <v>103</v>
      </c>
      <c r="H226" s="1316" t="s">
        <v>5566</v>
      </c>
      <c r="I226" s="1316"/>
      <c r="J226" s="1317" t="s">
        <v>1010</v>
      </c>
      <c r="K226" s="15" t="s">
        <v>5591</v>
      </c>
      <c r="L226" s="15" t="s">
        <v>5568</v>
      </c>
      <c r="M226" s="1317"/>
      <c r="N226" s="1317"/>
      <c r="O226" s="1317"/>
      <c r="P226" s="1317"/>
      <c r="Q226" s="1317"/>
      <c r="R226" s="1313"/>
      <c r="S226" s="1318" t="s">
        <v>77</v>
      </c>
      <c r="T226" s="1316">
        <v>2023</v>
      </c>
      <c r="U226" s="1265">
        <v>3.5049999999999999</v>
      </c>
      <c r="V226" s="1265">
        <v>0.373</v>
      </c>
      <c r="W226" s="1320">
        <f t="shared" si="31"/>
        <v>0.10641940085592012</v>
      </c>
      <c r="X226" s="1265"/>
      <c r="Y226" s="1265"/>
      <c r="Z226" s="1313"/>
      <c r="AA226" s="1317" t="s">
        <v>140</v>
      </c>
      <c r="AB226" s="1319"/>
      <c r="AC226" s="1321" t="s">
        <v>62</v>
      </c>
      <c r="AD226" s="1321" t="s">
        <v>62</v>
      </c>
      <c r="AE226" s="1321" t="s">
        <v>62</v>
      </c>
      <c r="AF226" s="1319"/>
      <c r="AG226" s="1317"/>
      <c r="AH226" s="1313"/>
      <c r="AI226" s="1313"/>
      <c r="AJ226" s="1322">
        <f t="shared" ca="1" si="28"/>
        <v>34</v>
      </c>
      <c r="AK226" s="1322">
        <f t="shared" ca="1" si="29"/>
        <v>26</v>
      </c>
      <c r="AL226" s="1323" t="str">
        <f t="shared" si="30"/>
        <v>In touch - Positive</v>
      </c>
      <c r="AM226" s="1324">
        <v>45630</v>
      </c>
      <c r="AN226" s="1325">
        <v>45631</v>
      </c>
      <c r="AO226" s="1325" t="s">
        <v>65</v>
      </c>
      <c r="AP226" s="38"/>
      <c r="AQ226" s="1325"/>
      <c r="AR226" s="1326" t="s">
        <v>1818</v>
      </c>
      <c r="AS226" s="1324">
        <v>45638</v>
      </c>
      <c r="AT226" s="1077"/>
      <c r="AU226" s="1078"/>
      <c r="AV226" s="1078"/>
      <c r="AW226" s="1078"/>
      <c r="AX226" s="1078"/>
      <c r="AY226" s="1078"/>
      <c r="AZ226" s="1078"/>
      <c r="BA226" s="1078"/>
      <c r="BB226" s="1078"/>
      <c r="BC226" s="1078"/>
    </row>
    <row r="227" spans="1:55" s="271" customFormat="1" ht="10.5" customHeight="1" x14ac:dyDescent="0.35">
      <c r="A227" s="1061"/>
      <c r="B227" s="1313" cm="1">
        <f t="array" ref="B227">+_xlfn.IFS(D227="In Touch - Positive",2,D227="Pending",1,D227="No Answer",4,D227="In Touch - Negative",3)</f>
        <v>2</v>
      </c>
      <c r="C227" s="1313" t="s">
        <v>5355</v>
      </c>
      <c r="D227" s="1315" t="str">
        <f t="shared" si="27"/>
        <v>In touch - Positive</v>
      </c>
      <c r="E227" s="1314" t="s">
        <v>5356</v>
      </c>
      <c r="F227" s="1315"/>
      <c r="G227" s="1316" t="s">
        <v>159</v>
      </c>
      <c r="H227" s="1316"/>
      <c r="I227" s="1316"/>
      <c r="J227" s="1317" t="s">
        <v>111</v>
      </c>
      <c r="K227" s="15" t="s">
        <v>5414</v>
      </c>
      <c r="L227" s="1317" t="s">
        <v>5357</v>
      </c>
      <c r="M227" s="1317"/>
      <c r="N227" s="1317"/>
      <c r="O227" s="1317"/>
      <c r="P227" s="1317"/>
      <c r="Q227" s="1317"/>
      <c r="R227" s="1313"/>
      <c r="S227" s="1318"/>
      <c r="T227" s="1316"/>
      <c r="U227" s="1319"/>
      <c r="V227" s="1319"/>
      <c r="W227" s="1320" t="e">
        <f t="shared" si="31"/>
        <v>#DIV/0!</v>
      </c>
      <c r="X227" s="1319"/>
      <c r="Y227" s="1319"/>
      <c r="Z227" s="1313"/>
      <c r="AA227" s="1317" t="s">
        <v>140</v>
      </c>
      <c r="AB227" s="1319"/>
      <c r="AC227" s="1321"/>
      <c r="AD227" s="1321"/>
      <c r="AE227" s="1321" t="s">
        <v>62</v>
      </c>
      <c r="AF227" s="1319"/>
      <c r="AG227" s="1317"/>
      <c r="AH227" s="1313"/>
      <c r="AI227" s="1313"/>
      <c r="AJ227" s="1322">
        <f t="shared" ca="1" si="28"/>
        <v>48</v>
      </c>
      <c r="AK227" s="1322">
        <f t="shared" ca="1" si="29"/>
        <v>26</v>
      </c>
      <c r="AL227" s="1323" t="str">
        <f t="shared" si="30"/>
        <v>In touch - Positive</v>
      </c>
      <c r="AM227" s="1324">
        <v>45616</v>
      </c>
      <c r="AN227" s="1325">
        <v>45629</v>
      </c>
      <c r="AO227" s="1325"/>
      <c r="AP227" s="1325"/>
      <c r="AQ227" s="1325"/>
      <c r="AR227" s="1326" t="s">
        <v>1818</v>
      </c>
      <c r="AS227" s="1324">
        <v>45638</v>
      </c>
      <c r="AT227" s="1077"/>
      <c r="AU227" s="1078"/>
      <c r="AV227" s="1078"/>
      <c r="AW227" s="1078"/>
      <c r="AX227" s="1078"/>
      <c r="AY227" s="1078"/>
      <c r="AZ227" s="1078"/>
      <c r="BA227" s="1078"/>
      <c r="BB227" s="1078"/>
      <c r="BC227" s="1078"/>
    </row>
    <row r="228" spans="1:55" s="271" customFormat="1" ht="10.5" customHeight="1" x14ac:dyDescent="0.35">
      <c r="A228" s="1061"/>
      <c r="B228" s="1206" cm="1">
        <f t="array" ref="B228">+_xlfn.IFS(D228="In Touch - Positive",2,D228="Pending",1,D228="No Answer",4,D228="In Touch - Negative",3)</f>
        <v>2</v>
      </c>
      <c r="C228" s="16" t="s">
        <v>83</v>
      </c>
      <c r="D228" s="1207" t="str">
        <f t="shared" si="27"/>
        <v>In touch - Positive</v>
      </c>
      <c r="E228" s="12" t="s">
        <v>5390</v>
      </c>
      <c r="F228" s="1209"/>
      <c r="G228" s="13" t="s">
        <v>2313</v>
      </c>
      <c r="H228" s="1428" t="s">
        <v>5642</v>
      </c>
      <c r="I228" s="1210"/>
      <c r="J228" s="15" t="s">
        <v>83</v>
      </c>
      <c r="K228" s="15" t="s">
        <v>5444</v>
      </c>
      <c r="L228" s="15" t="s">
        <v>5391</v>
      </c>
      <c r="M228" s="1212"/>
      <c r="N228" s="1212"/>
      <c r="O228" s="1212"/>
      <c r="P228" s="1212"/>
      <c r="Q228" s="1212"/>
      <c r="R228" s="1206"/>
      <c r="S228" s="35" t="s">
        <v>77</v>
      </c>
      <c r="T228" s="1210">
        <v>2023</v>
      </c>
      <c r="U228" s="1214"/>
      <c r="V228" s="1214"/>
      <c r="W228" s="1215" t="e">
        <f t="shared" si="31"/>
        <v>#DIV/0!</v>
      </c>
      <c r="X228" s="1214"/>
      <c r="Y228" s="1214"/>
      <c r="Z228" s="1206"/>
      <c r="AA228" s="1212" t="s">
        <v>140</v>
      </c>
      <c r="AB228" s="1214"/>
      <c r="AC228" s="21" t="s">
        <v>78</v>
      </c>
      <c r="AD228" s="1216" t="s">
        <v>128</v>
      </c>
      <c r="AE228" s="1216" t="s">
        <v>128</v>
      </c>
      <c r="AF228" s="1214"/>
      <c r="AG228" s="1212"/>
      <c r="AH228" s="1206"/>
      <c r="AI228" s="1206"/>
      <c r="AJ228" s="1217">
        <f t="shared" ca="1" si="28"/>
        <v>61</v>
      </c>
      <c r="AK228" s="1217">
        <f t="shared" ca="1" si="29"/>
        <v>29</v>
      </c>
      <c r="AL228" s="1218" t="str">
        <f t="shared" si="30"/>
        <v>In touch - Positive</v>
      </c>
      <c r="AM228" s="1219">
        <v>45603</v>
      </c>
      <c r="AN228" s="38">
        <v>45628</v>
      </c>
      <c r="AO228" s="1220">
        <v>45635</v>
      </c>
      <c r="AP228" s="38"/>
      <c r="AQ228" s="1220">
        <v>45642</v>
      </c>
      <c r="AR228" s="1221" t="s">
        <v>1818</v>
      </c>
      <c r="AS228" s="1219">
        <v>45635</v>
      </c>
      <c r="AT228" s="1077"/>
      <c r="AU228" s="1078"/>
      <c r="AV228" s="1078"/>
      <c r="AW228" s="1078"/>
      <c r="AX228" s="1078"/>
      <c r="AY228" s="1078"/>
      <c r="AZ228" s="1078"/>
      <c r="BA228" s="1078"/>
      <c r="BB228" s="1078"/>
      <c r="BC228" s="1078"/>
    </row>
    <row r="229" spans="1:55" s="271" customFormat="1" ht="10.5" customHeight="1" x14ac:dyDescent="0.35">
      <c r="A229" s="16"/>
      <c r="B229" s="1361" cm="1">
        <f t="array" ref="B229">+_xlfn.IFS(D229="In Touch - Positive",2,D229="Pending",1,D229="No Answer",4,D229="In Touch - Negative",3)</f>
        <v>2</v>
      </c>
      <c r="C229" s="1361" t="s">
        <v>4556</v>
      </c>
      <c r="D229" s="1360" t="str">
        <f t="shared" si="27"/>
        <v>In touch - Positive</v>
      </c>
      <c r="E229" s="1375" t="s">
        <v>5421</v>
      </c>
      <c r="F229" s="1360"/>
      <c r="G229" s="1362"/>
      <c r="H229" s="1363"/>
      <c r="I229" s="1362"/>
      <c r="J229" s="1364" t="s">
        <v>74</v>
      </c>
      <c r="K229" s="1364" t="s">
        <v>5418</v>
      </c>
      <c r="L229" s="1364"/>
      <c r="M229" s="1364" t="s">
        <v>5419</v>
      </c>
      <c r="N229" s="1364" t="s">
        <v>5420</v>
      </c>
      <c r="O229" s="1364"/>
      <c r="P229" s="1364" t="s">
        <v>5419</v>
      </c>
      <c r="Q229" s="1364"/>
      <c r="R229" s="1361"/>
      <c r="S229" s="1365" t="s">
        <v>144</v>
      </c>
      <c r="T229" s="1362">
        <v>2023</v>
      </c>
      <c r="U229" s="1366">
        <v>81</v>
      </c>
      <c r="V229" s="1366">
        <v>5.56</v>
      </c>
      <c r="W229" s="1376">
        <f t="shared" si="31"/>
        <v>6.8641975308641967E-2</v>
      </c>
      <c r="X229" s="1366">
        <v>0.89</v>
      </c>
      <c r="Y229" s="1366">
        <v>22.6</v>
      </c>
      <c r="Z229" s="1361"/>
      <c r="AA229" s="1364" t="s">
        <v>140</v>
      </c>
      <c r="AB229" s="1366"/>
      <c r="AC229" s="1368" t="s">
        <v>4423</v>
      </c>
      <c r="AD229" s="1368" t="s">
        <v>78</v>
      </c>
      <c r="AE229" s="1368" t="s">
        <v>4423</v>
      </c>
      <c r="AF229" s="1366"/>
      <c r="AG229" s="1364"/>
      <c r="AH229" s="1361"/>
      <c r="AI229" s="1361"/>
      <c r="AJ229" s="1369">
        <f t="shared" ca="1" si="28"/>
        <v>35</v>
      </c>
      <c r="AK229" s="1369">
        <f t="shared" ca="1" si="29"/>
        <v>35</v>
      </c>
      <c r="AL229" s="1377" t="str">
        <f t="shared" si="30"/>
        <v>In touch - Positive</v>
      </c>
      <c r="AM229" s="1370">
        <v>45629</v>
      </c>
      <c r="AN229" s="1371">
        <v>45629</v>
      </c>
      <c r="AO229" s="1371" t="s">
        <v>65</v>
      </c>
      <c r="AP229" s="38"/>
      <c r="AQ229" s="1371">
        <v>45629</v>
      </c>
      <c r="AR229" s="1378" t="s">
        <v>1818</v>
      </c>
      <c r="AS229" s="1370">
        <v>45629</v>
      </c>
      <c r="AT229" s="11"/>
    </row>
    <row r="230" spans="1:55" s="271" customFormat="1" ht="10.5" customHeight="1" x14ac:dyDescent="0.35">
      <c r="A230" s="16"/>
      <c r="B230" s="16" cm="1">
        <f t="array" ref="B230">+_xlfn.IFS(D230="In Touch - Positive",2,D230="Pending",1,D230="No Answer",4,D230="In Touch - Negative",3)</f>
        <v>2</v>
      </c>
      <c r="C230" s="16" t="s">
        <v>5196</v>
      </c>
      <c r="D230" s="20" t="str">
        <f t="shared" si="27"/>
        <v>In touch - Positive</v>
      </c>
      <c r="E230" s="12" t="s">
        <v>5200</v>
      </c>
      <c r="F230" s="20"/>
      <c r="G230" s="13" t="s">
        <v>1195</v>
      </c>
      <c r="H230" s="14" t="s">
        <v>5203</v>
      </c>
      <c r="I230" s="13"/>
      <c r="J230" s="15" t="s">
        <v>3207</v>
      </c>
      <c r="K230" s="15" t="s">
        <v>2478</v>
      </c>
      <c r="L230" s="15" t="s">
        <v>5210</v>
      </c>
      <c r="M230" s="15" t="s">
        <v>5211</v>
      </c>
      <c r="N230" s="15" t="s">
        <v>5212</v>
      </c>
      <c r="O230" s="15"/>
      <c r="P230" s="15"/>
      <c r="Q230" s="15"/>
      <c r="R230" s="16"/>
      <c r="S230" s="35" t="s">
        <v>77</v>
      </c>
      <c r="T230" s="13">
        <v>2023</v>
      </c>
      <c r="U230" s="17">
        <v>4.8</v>
      </c>
      <c r="V230" s="17">
        <v>0.443</v>
      </c>
      <c r="W230" s="248">
        <f t="shared" si="31"/>
        <v>9.2291666666666675E-2</v>
      </c>
      <c r="X230" s="17"/>
      <c r="Y230" s="17">
        <v>-1.2</v>
      </c>
      <c r="Z230" s="16"/>
      <c r="AA230" s="15" t="s">
        <v>140</v>
      </c>
      <c r="AB230" s="17"/>
      <c r="AC230" s="21" t="s">
        <v>153</v>
      </c>
      <c r="AD230" s="21" t="s">
        <v>273</v>
      </c>
      <c r="AE230" s="21" t="s">
        <v>273</v>
      </c>
      <c r="AF230" s="17"/>
      <c r="AG230" s="15"/>
      <c r="AH230" s="16"/>
      <c r="AI230" s="16"/>
      <c r="AJ230" s="42">
        <f t="shared" ca="1" si="28"/>
        <v>62</v>
      </c>
      <c r="AK230" s="42">
        <f t="shared" ca="1" si="29"/>
        <v>62</v>
      </c>
      <c r="AL230" s="130" t="str">
        <f t="shared" si="30"/>
        <v>In touch - Positive</v>
      </c>
      <c r="AM230" s="37">
        <v>45602</v>
      </c>
      <c r="AN230" s="38">
        <v>45614</v>
      </c>
      <c r="AO230" s="38">
        <v>45622</v>
      </c>
      <c r="AP230" s="38" t="s">
        <v>65</v>
      </c>
      <c r="AQ230" s="38">
        <v>45623</v>
      </c>
      <c r="AR230" s="1221" t="s">
        <v>1818</v>
      </c>
      <c r="AS230" s="37">
        <v>45602</v>
      </c>
      <c r="AT230" s="11"/>
    </row>
    <row r="231" spans="1:55" s="271" customFormat="1" ht="10.5" customHeight="1" x14ac:dyDescent="0.35">
      <c r="A231" s="16"/>
      <c r="B231" s="1206" cm="1">
        <f t="array" ref="B231">+_xlfn.IFS(D231="In Touch - Positive",2,D231="Pending",1,D231="No Answer",4,D231="In Touch - Negative",3)</f>
        <v>2</v>
      </c>
      <c r="C231" s="1206" t="s">
        <v>5195</v>
      </c>
      <c r="D231" s="1207" t="str">
        <f t="shared" si="27"/>
        <v>In touch - Positive</v>
      </c>
      <c r="E231" s="1208" t="s">
        <v>5215</v>
      </c>
      <c r="F231" s="1209"/>
      <c r="G231" s="1210" t="s">
        <v>103</v>
      </c>
      <c r="H231" s="1211" t="s">
        <v>5216</v>
      </c>
      <c r="I231" s="1210"/>
      <c r="J231" s="1212" t="s">
        <v>5217</v>
      </c>
      <c r="K231" s="1212"/>
      <c r="L231" s="1212" t="s">
        <v>5218</v>
      </c>
      <c r="M231" s="1212"/>
      <c r="N231" s="1212"/>
      <c r="O231" s="1212"/>
      <c r="P231" s="1212"/>
      <c r="Q231" s="1212"/>
      <c r="R231" s="1206"/>
      <c r="S231" s="1213"/>
      <c r="T231" s="1210"/>
      <c r="U231" s="1214"/>
      <c r="V231" s="1214"/>
      <c r="W231" s="1215" t="e">
        <f t="shared" si="31"/>
        <v>#DIV/0!</v>
      </c>
      <c r="X231" s="1214"/>
      <c r="Y231" s="1214"/>
      <c r="Z231" s="1206"/>
      <c r="AA231" s="1212" t="s">
        <v>140</v>
      </c>
      <c r="AB231" s="1214"/>
      <c r="AC231" s="1216" t="s">
        <v>128</v>
      </c>
      <c r="AD231" s="1216" t="s">
        <v>128</v>
      </c>
      <c r="AE231" s="1216" t="s">
        <v>128</v>
      </c>
      <c r="AF231" s="1214"/>
      <c r="AG231" s="1212"/>
      <c r="AH231" s="1206"/>
      <c r="AI231" s="1206"/>
      <c r="AJ231" s="1217">
        <f t="shared" ca="1" si="28"/>
        <v>91</v>
      </c>
      <c r="AK231" s="1217">
        <f t="shared" ca="1" si="29"/>
        <v>39</v>
      </c>
      <c r="AL231" s="1218" t="str">
        <f t="shared" si="30"/>
        <v>In touch - Positive</v>
      </c>
      <c r="AM231" s="1219">
        <v>45573</v>
      </c>
      <c r="AN231" s="1220">
        <v>45603</v>
      </c>
      <c r="AO231" s="1220">
        <v>45616</v>
      </c>
      <c r="AP231" s="38" t="s">
        <v>65</v>
      </c>
      <c r="AQ231" s="1220">
        <v>45625</v>
      </c>
      <c r="AR231" s="1221" t="s">
        <v>1818</v>
      </c>
      <c r="AS231" s="1219">
        <v>45625</v>
      </c>
      <c r="AT231" s="11"/>
    </row>
    <row r="232" spans="1:55" s="271" customFormat="1" ht="10.5" customHeight="1" x14ac:dyDescent="0.35">
      <c r="A232" s="16"/>
      <c r="B232" s="16" cm="1">
        <f t="array" ref="B232">+_xlfn.IFS(D232="In Touch - Positive",2,D232="Pending",1,D232="No Answer",4,D232="In Touch - Negative",3)</f>
        <v>2</v>
      </c>
      <c r="C232" s="16" t="s">
        <v>5067</v>
      </c>
      <c r="D232" s="99" t="str">
        <f t="shared" si="27"/>
        <v>In touch - Positive</v>
      </c>
      <c r="E232" s="12" t="s">
        <v>4904</v>
      </c>
      <c r="F232" s="20"/>
      <c r="G232" s="13" t="s">
        <v>4917</v>
      </c>
      <c r="H232" s="14" t="s">
        <v>4914</v>
      </c>
      <c r="I232" s="13"/>
      <c r="J232" s="15" t="s">
        <v>4907</v>
      </c>
      <c r="K232" s="15" t="s">
        <v>4908</v>
      </c>
      <c r="L232" s="15"/>
      <c r="M232" s="15" t="s">
        <v>4927</v>
      </c>
      <c r="N232" s="15" t="s">
        <v>4928</v>
      </c>
      <c r="O232" s="15" t="s">
        <v>4927</v>
      </c>
      <c r="P232" s="15" t="s">
        <v>4927</v>
      </c>
      <c r="Q232" s="15"/>
      <c r="R232" s="16"/>
      <c r="S232" s="35" t="s">
        <v>77</v>
      </c>
      <c r="T232" s="13">
        <v>2023</v>
      </c>
      <c r="U232" s="17">
        <v>4.457376</v>
      </c>
      <c r="V232" s="17">
        <v>0.58288800000000007</v>
      </c>
      <c r="W232" s="248">
        <f t="shared" si="31"/>
        <v>0.13076931360513452</v>
      </c>
      <c r="X232" s="17">
        <v>4.3277000000000003E-2</v>
      </c>
      <c r="Y232" s="17" t="s">
        <v>236</v>
      </c>
      <c r="Z232" s="16"/>
      <c r="AA232" s="15" t="s">
        <v>140</v>
      </c>
      <c r="AB232" s="17"/>
      <c r="AC232" s="21" t="s">
        <v>61</v>
      </c>
      <c r="AD232" s="21" t="s">
        <v>62</v>
      </c>
      <c r="AE232" s="21" t="s">
        <v>62</v>
      </c>
      <c r="AF232" s="17"/>
      <c r="AG232" s="15"/>
      <c r="AH232" s="16"/>
      <c r="AI232" s="16"/>
      <c r="AJ232" s="42">
        <f t="shared" ca="1" si="28"/>
        <v>78</v>
      </c>
      <c r="AK232" s="42">
        <f t="shared" ca="1" si="29"/>
        <v>40</v>
      </c>
      <c r="AL232" s="130" t="str">
        <f t="shared" si="30"/>
        <v>In touch - Positive</v>
      </c>
      <c r="AM232" s="37">
        <v>45586</v>
      </c>
      <c r="AN232" s="38">
        <v>45595</v>
      </c>
      <c r="AO232" s="38" t="s">
        <v>65</v>
      </c>
      <c r="AP232" s="1325"/>
      <c r="AQ232" s="38">
        <v>45624</v>
      </c>
      <c r="AR232" s="101" t="s">
        <v>1818</v>
      </c>
      <c r="AS232" s="37">
        <v>45624</v>
      </c>
      <c r="AT232" s="11"/>
    </row>
    <row r="233" spans="1:55" s="271" customFormat="1" ht="10.5" customHeight="1" x14ac:dyDescent="0.35">
      <c r="A233" s="16"/>
      <c r="B233" s="1313" cm="1">
        <f t="array" ref="B233">+_xlfn.IFS(D233="In Touch - Positive",2,D233="Pending",1,D233="No Answer",4,D233="In Touch - Negative",3)</f>
        <v>2</v>
      </c>
      <c r="C233" s="1313" t="s">
        <v>5341</v>
      </c>
      <c r="D233" s="1315" t="str">
        <f t="shared" ref="D233:D264" si="32">+AR233</f>
        <v>In touch - Positive</v>
      </c>
      <c r="E233" s="1314" t="s">
        <v>5342</v>
      </c>
      <c r="F233" s="1315"/>
      <c r="G233" s="1316" t="s">
        <v>5345</v>
      </c>
      <c r="H233" s="1316"/>
      <c r="I233" s="1316"/>
      <c r="J233" s="1317" t="s">
        <v>5343</v>
      </c>
      <c r="K233" s="1317" t="s">
        <v>5344</v>
      </c>
      <c r="L233" s="1317" t="s">
        <v>5346</v>
      </c>
      <c r="M233" s="1317"/>
      <c r="N233" s="1317"/>
      <c r="O233" s="1317"/>
      <c r="P233" s="1317"/>
      <c r="Q233" s="1317"/>
      <c r="R233" s="1313"/>
      <c r="S233" s="1318" t="s">
        <v>77</v>
      </c>
      <c r="T233" s="1316">
        <v>2023</v>
      </c>
      <c r="U233" s="1330"/>
      <c r="V233" s="1330"/>
      <c r="W233" s="1330"/>
      <c r="X233" s="1330"/>
      <c r="Y233" s="1330"/>
      <c r="Z233" s="1313"/>
      <c r="AA233" s="1317" t="s">
        <v>140</v>
      </c>
      <c r="AB233" s="1319"/>
      <c r="AC233" s="1321" t="s">
        <v>62</v>
      </c>
      <c r="AD233" s="1321" t="s">
        <v>62</v>
      </c>
      <c r="AE233" s="1321" t="s">
        <v>62</v>
      </c>
      <c r="AF233" s="1319"/>
      <c r="AG233" s="1317"/>
      <c r="AH233" s="1313"/>
      <c r="AI233" s="1313"/>
      <c r="AJ233" s="1322">
        <f t="shared" ca="1" si="28"/>
        <v>50</v>
      </c>
      <c r="AK233" s="1322">
        <f t="shared" ca="1" si="29"/>
        <v>43</v>
      </c>
      <c r="AL233" s="1323" t="str">
        <f t="shared" si="30"/>
        <v>In touch - Positive</v>
      </c>
      <c r="AM233" s="1324">
        <v>45614</v>
      </c>
      <c r="AN233" s="1325">
        <v>45618</v>
      </c>
      <c r="AO233" s="1325" t="s">
        <v>65</v>
      </c>
      <c r="AP233" s="38"/>
      <c r="AQ233" s="1325">
        <v>45621</v>
      </c>
      <c r="AR233" s="1326" t="s">
        <v>1818</v>
      </c>
      <c r="AS233" s="1324">
        <v>45621</v>
      </c>
      <c r="AT233" s="11"/>
    </row>
    <row r="234" spans="1:55" s="271" customFormat="1" ht="10.5" customHeight="1" x14ac:dyDescent="0.35">
      <c r="A234" s="16"/>
      <c r="B234" s="16" cm="1">
        <f t="array" ref="B234">+_xlfn.IFS(D234="In Touch - Positive",2,D234="Pending",1,D234="No Answer",4,D234="In Touch - Negative",3)</f>
        <v>2</v>
      </c>
      <c r="C234" s="16" t="s">
        <v>5196</v>
      </c>
      <c r="D234" s="20" t="str">
        <f t="shared" si="32"/>
        <v>In touch - Positive</v>
      </c>
      <c r="E234" s="12" t="s">
        <v>5199</v>
      </c>
      <c r="F234" s="20"/>
      <c r="G234" s="13" t="s">
        <v>103</v>
      </c>
      <c r="H234" s="13">
        <v>10482630968</v>
      </c>
      <c r="I234" s="13"/>
      <c r="J234" s="15" t="s">
        <v>3207</v>
      </c>
      <c r="K234" s="15" t="s">
        <v>2478</v>
      </c>
      <c r="L234" s="15" t="s">
        <v>5207</v>
      </c>
      <c r="M234" s="15" t="s">
        <v>5213</v>
      </c>
      <c r="N234" s="15" t="s">
        <v>5214</v>
      </c>
      <c r="O234" s="15"/>
      <c r="P234" s="15"/>
      <c r="Q234" s="15"/>
      <c r="R234" s="16"/>
      <c r="S234" s="35" t="s">
        <v>77</v>
      </c>
      <c r="T234" s="13">
        <v>2023</v>
      </c>
      <c r="U234" s="17">
        <v>7</v>
      </c>
      <c r="V234" s="17">
        <v>0.32200000000000001</v>
      </c>
      <c r="W234" s="248">
        <f t="shared" ref="W234:W254" si="33">+V234/U234</f>
        <v>4.5999999999999999E-2</v>
      </c>
      <c r="X234" s="17"/>
      <c r="Y234" s="17" t="s">
        <v>236</v>
      </c>
      <c r="Z234" s="16"/>
      <c r="AA234" s="15" t="s">
        <v>140</v>
      </c>
      <c r="AB234" s="17"/>
      <c r="AC234" s="21" t="s">
        <v>153</v>
      </c>
      <c r="AD234" s="21" t="s">
        <v>273</v>
      </c>
      <c r="AE234" s="21" t="s">
        <v>273</v>
      </c>
      <c r="AF234" s="17"/>
      <c r="AG234" s="15"/>
      <c r="AH234" s="16"/>
      <c r="AI234" s="16"/>
      <c r="AJ234" s="42">
        <f t="shared" ca="1" si="28"/>
        <v>62</v>
      </c>
      <c r="AK234" s="42">
        <f t="shared" ca="1" si="29"/>
        <v>62</v>
      </c>
      <c r="AL234" s="130" t="str">
        <f t="shared" si="30"/>
        <v>In touch - Positive</v>
      </c>
      <c r="AM234" s="37">
        <v>45602</v>
      </c>
      <c r="AN234" s="38">
        <v>45614</v>
      </c>
      <c r="AO234" s="38"/>
      <c r="AP234" s="38"/>
      <c r="AQ234" s="38">
        <v>45617</v>
      </c>
      <c r="AR234" s="1221" t="s">
        <v>1818</v>
      </c>
      <c r="AS234" s="37">
        <v>45602</v>
      </c>
      <c r="AT234" s="11"/>
    </row>
    <row r="235" spans="1:55" s="271" customFormat="1" ht="10.5" customHeight="1" x14ac:dyDescent="0.35">
      <c r="B235" s="16" cm="1">
        <f t="array" ref="B235">+_xlfn.IFS(D235="In Touch - Positive",2,D235="Pending",1,D235="No Answer",4,D235="In Touch - Negative",3)</f>
        <v>2</v>
      </c>
      <c r="C235" s="16" t="s">
        <v>5067</v>
      </c>
      <c r="D235" s="99" t="str">
        <f t="shared" si="32"/>
        <v>In touch - Positive</v>
      </c>
      <c r="E235" s="12" t="s">
        <v>4900</v>
      </c>
      <c r="F235" s="20"/>
      <c r="G235" s="13" t="s">
        <v>326</v>
      </c>
      <c r="H235" s="14" t="s">
        <v>4910</v>
      </c>
      <c r="I235" s="13"/>
      <c r="J235" s="15" t="s">
        <v>4907</v>
      </c>
      <c r="K235" s="15" t="s">
        <v>4908</v>
      </c>
      <c r="L235" s="15"/>
      <c r="M235" s="15" t="s">
        <v>4919</v>
      </c>
      <c r="N235" s="15" t="s">
        <v>4920</v>
      </c>
      <c r="O235" s="15"/>
      <c r="P235" s="15"/>
      <c r="Q235" s="15"/>
      <c r="R235" s="16"/>
      <c r="S235" s="35" t="s">
        <v>77</v>
      </c>
      <c r="T235" s="13">
        <v>2023</v>
      </c>
      <c r="U235" s="17">
        <v>4.3412280000000001</v>
      </c>
      <c r="V235" s="17">
        <v>1.726958</v>
      </c>
      <c r="W235" s="248">
        <f t="shared" si="33"/>
        <v>0.39780403148602189</v>
      </c>
      <c r="X235" s="17">
        <v>1.1217919999999999</v>
      </c>
      <c r="Y235" s="17" t="s">
        <v>236</v>
      </c>
      <c r="Z235" s="16"/>
      <c r="AA235" s="15" t="s">
        <v>140</v>
      </c>
      <c r="AB235" s="17"/>
      <c r="AC235" s="21" t="s">
        <v>61</v>
      </c>
      <c r="AD235" s="21" t="s">
        <v>62</v>
      </c>
      <c r="AE235" s="21" t="s">
        <v>62</v>
      </c>
      <c r="AF235" s="17"/>
      <c r="AG235" s="15"/>
      <c r="AH235" s="16"/>
      <c r="AI235" s="16"/>
      <c r="AJ235" s="42">
        <f t="shared" ca="1" si="28"/>
        <v>78</v>
      </c>
      <c r="AK235" s="42">
        <f t="shared" ca="1" si="29"/>
        <v>55</v>
      </c>
      <c r="AL235" s="130" t="str">
        <f t="shared" si="30"/>
        <v>In touch - Positive</v>
      </c>
      <c r="AM235" s="37">
        <v>45586</v>
      </c>
      <c r="AN235" s="38">
        <v>45595</v>
      </c>
      <c r="AO235" s="38">
        <v>45609</v>
      </c>
      <c r="AP235" s="38"/>
      <c r="AQ235" s="38">
        <v>45609</v>
      </c>
      <c r="AR235" s="101" t="s">
        <v>1818</v>
      </c>
      <c r="AS235" s="37">
        <v>45609</v>
      </c>
      <c r="AT235" s="11"/>
    </row>
    <row r="236" spans="1:55" s="271" customFormat="1" ht="10.5" customHeight="1" x14ac:dyDescent="0.35">
      <c r="A236" s="16"/>
      <c r="B236" s="16" cm="1">
        <f t="array" ref="B236">+_xlfn.IFS(D236="In Touch - Positive",2,D236="Pending",1,D236="No Answer",4,D236="In Touch - Negative",3)</f>
        <v>2</v>
      </c>
      <c r="C236" s="16" t="s">
        <v>5124</v>
      </c>
      <c r="D236" s="99" t="str">
        <f t="shared" si="32"/>
        <v>In touch - Positive</v>
      </c>
      <c r="E236" s="12" t="s">
        <v>5230</v>
      </c>
      <c r="F236" s="20"/>
      <c r="G236" s="13" t="s">
        <v>288</v>
      </c>
      <c r="H236" s="1225" t="s">
        <v>5242</v>
      </c>
      <c r="I236" s="13"/>
      <c r="J236" s="15" t="s">
        <v>5248</v>
      </c>
      <c r="K236" s="15" t="s">
        <v>5257</v>
      </c>
      <c r="L236" s="15"/>
      <c r="M236" s="15"/>
      <c r="N236" s="15"/>
      <c r="O236" s="15"/>
      <c r="P236" s="15"/>
      <c r="Q236" s="15"/>
      <c r="R236" s="16"/>
      <c r="S236" s="35" t="s">
        <v>77</v>
      </c>
      <c r="T236" s="13">
        <v>2023</v>
      </c>
      <c r="U236" s="17">
        <v>144.9</v>
      </c>
      <c r="V236" s="17">
        <v>6.5</v>
      </c>
      <c r="W236" s="248">
        <f t="shared" si="33"/>
        <v>4.4858523119392681E-2</v>
      </c>
      <c r="X236" s="17">
        <v>3.9</v>
      </c>
      <c r="Y236" s="17">
        <v>62.1</v>
      </c>
      <c r="Z236" s="16"/>
      <c r="AA236" s="15" t="s">
        <v>5229</v>
      </c>
      <c r="AB236" s="17"/>
      <c r="AC236" s="21" t="s">
        <v>153</v>
      </c>
      <c r="AD236" s="21" t="s">
        <v>273</v>
      </c>
      <c r="AE236" s="21" t="s">
        <v>273</v>
      </c>
      <c r="AF236" s="17"/>
      <c r="AG236" s="15"/>
      <c r="AH236" s="16"/>
      <c r="AI236" s="16"/>
      <c r="AJ236" s="42">
        <f t="shared" ca="1" si="28"/>
        <v>62</v>
      </c>
      <c r="AK236" s="42">
        <f t="shared" ca="1" si="29"/>
        <v>62</v>
      </c>
      <c r="AL236" s="130" t="str">
        <f t="shared" si="30"/>
        <v>In touch - Positive</v>
      </c>
      <c r="AM236" s="37">
        <v>45602</v>
      </c>
      <c r="AN236" s="38">
        <v>45603</v>
      </c>
      <c r="AO236" s="38"/>
      <c r="AP236" s="38"/>
      <c r="AQ236" s="38">
        <v>45603</v>
      </c>
      <c r="AR236" s="101" t="s">
        <v>1818</v>
      </c>
      <c r="AS236" s="37">
        <v>45602</v>
      </c>
      <c r="AT236" s="11"/>
    </row>
    <row r="237" spans="1:55" s="271" customFormat="1" ht="10.5" customHeight="1" x14ac:dyDescent="0.35">
      <c r="A237" s="16"/>
      <c r="B237" s="16" cm="1">
        <f t="array" ref="B237">+_xlfn.IFS(D237="In Touch - Positive",2,D237="Pending",1,D237="No Answer",4,D237="In Touch - Negative",3)</f>
        <v>2</v>
      </c>
      <c r="C237" s="16" t="s">
        <v>5124</v>
      </c>
      <c r="D237" s="99" t="str">
        <f t="shared" si="32"/>
        <v>In touch - Positive</v>
      </c>
      <c r="E237" s="12" t="s">
        <v>5231</v>
      </c>
      <c r="F237" s="20"/>
      <c r="G237" s="13" t="s">
        <v>288</v>
      </c>
      <c r="H237" s="1225" t="s">
        <v>5243</v>
      </c>
      <c r="I237" s="13"/>
      <c r="J237" s="15" t="s">
        <v>5248</v>
      </c>
      <c r="K237" s="15" t="s">
        <v>5249</v>
      </c>
      <c r="L237" s="15"/>
      <c r="M237" s="15"/>
      <c r="N237" s="15"/>
      <c r="O237" s="15"/>
      <c r="P237" s="15"/>
      <c r="Q237" s="15"/>
      <c r="R237" s="16"/>
      <c r="S237" s="35" t="s">
        <v>77</v>
      </c>
      <c r="T237" s="13">
        <v>2023</v>
      </c>
      <c r="U237" s="17">
        <v>29.2</v>
      </c>
      <c r="V237" s="17">
        <v>3.2</v>
      </c>
      <c r="W237" s="248">
        <f t="shared" si="33"/>
        <v>0.10958904109589042</v>
      </c>
      <c r="X237" s="17">
        <v>1.8</v>
      </c>
      <c r="Y237" s="17">
        <v>-2.1</v>
      </c>
      <c r="Z237" s="16"/>
      <c r="AA237" s="15" t="s">
        <v>5229</v>
      </c>
      <c r="AB237" s="17"/>
      <c r="AC237" s="21" t="s">
        <v>153</v>
      </c>
      <c r="AD237" s="21" t="s">
        <v>273</v>
      </c>
      <c r="AE237" s="21" t="s">
        <v>273</v>
      </c>
      <c r="AF237" s="17"/>
      <c r="AG237" s="15"/>
      <c r="AH237" s="16"/>
      <c r="AI237" s="16"/>
      <c r="AJ237" s="42">
        <f t="shared" ca="1" si="28"/>
        <v>62</v>
      </c>
      <c r="AK237" s="42">
        <f t="shared" ca="1" si="29"/>
        <v>62</v>
      </c>
      <c r="AL237" s="130" t="str">
        <f t="shared" si="30"/>
        <v>In touch - Positive</v>
      </c>
      <c r="AM237" s="37">
        <v>45602</v>
      </c>
      <c r="AN237" s="38">
        <v>45603</v>
      </c>
      <c r="AO237" s="38"/>
      <c r="AP237" s="38"/>
      <c r="AQ237" s="38">
        <v>45603</v>
      </c>
      <c r="AR237" s="101" t="s">
        <v>1818</v>
      </c>
      <c r="AS237" s="37">
        <v>45602</v>
      </c>
      <c r="AT237" s="11"/>
    </row>
    <row r="238" spans="1:55" s="271" customFormat="1" ht="10.5" customHeight="1" x14ac:dyDescent="0.35">
      <c r="B238" s="16" cm="1">
        <f t="array" ref="B238">+_xlfn.IFS(D238="In Touch - Positive",2,D238="Pending",1,D238="No Answer",4,D238="In Touch - Negative",3)</f>
        <v>2</v>
      </c>
      <c r="C238" s="16" t="s">
        <v>5124</v>
      </c>
      <c r="D238" s="99" t="str">
        <f t="shared" si="32"/>
        <v>In touch - Positive</v>
      </c>
      <c r="E238" s="12" t="s">
        <v>5232</v>
      </c>
      <c r="F238" s="20"/>
      <c r="G238" s="13" t="s">
        <v>292</v>
      </c>
      <c r="H238" s="1225" t="s">
        <v>5244</v>
      </c>
      <c r="I238" s="13"/>
      <c r="J238" s="15" t="s">
        <v>5248</v>
      </c>
      <c r="K238" s="15" t="s">
        <v>5250</v>
      </c>
      <c r="L238" s="15"/>
      <c r="M238" s="15"/>
      <c r="N238" s="15"/>
      <c r="O238" s="15"/>
      <c r="P238" s="15"/>
      <c r="Q238" s="15"/>
      <c r="R238" s="16"/>
      <c r="S238" s="35" t="s">
        <v>77</v>
      </c>
      <c r="T238" s="13">
        <v>2023</v>
      </c>
      <c r="U238" s="17">
        <v>70.7</v>
      </c>
      <c r="V238" s="17">
        <v>18.399999999999999</v>
      </c>
      <c r="W238" s="248">
        <f t="shared" si="33"/>
        <v>0.26025459688826025</v>
      </c>
      <c r="X238" s="17">
        <v>13.3</v>
      </c>
      <c r="Y238" s="17">
        <v>-13.7</v>
      </c>
      <c r="Z238" s="16"/>
      <c r="AA238" s="15" t="s">
        <v>5229</v>
      </c>
      <c r="AB238" s="17"/>
      <c r="AC238" s="21" t="s">
        <v>153</v>
      </c>
      <c r="AD238" s="21" t="s">
        <v>273</v>
      </c>
      <c r="AE238" s="21" t="s">
        <v>273</v>
      </c>
      <c r="AF238" s="17"/>
      <c r="AG238" s="15"/>
      <c r="AH238" s="16"/>
      <c r="AI238" s="16"/>
      <c r="AJ238" s="42">
        <f t="shared" ca="1" si="28"/>
        <v>62</v>
      </c>
      <c r="AK238" s="42">
        <f t="shared" ca="1" si="29"/>
        <v>62</v>
      </c>
      <c r="AL238" s="130" t="str">
        <f t="shared" si="30"/>
        <v>In touch - Positive</v>
      </c>
      <c r="AM238" s="37">
        <v>45602</v>
      </c>
      <c r="AN238" s="38">
        <v>45603</v>
      </c>
      <c r="AO238" s="38"/>
      <c r="AP238" s="38"/>
      <c r="AQ238" s="38">
        <v>45603</v>
      </c>
      <c r="AR238" s="101" t="s">
        <v>1818</v>
      </c>
      <c r="AS238" s="37">
        <v>45602</v>
      </c>
      <c r="AT238" s="11"/>
    </row>
    <row r="239" spans="1:55" s="271" customFormat="1" ht="10.5" customHeight="1" x14ac:dyDescent="0.35">
      <c r="A239" s="16"/>
      <c r="B239" s="16" cm="1">
        <f t="array" ref="B239">+_xlfn.IFS(D239="In Touch - Positive",2,D239="Pending",1,D239="No Answer",4,D239="In Touch - Negative",3)</f>
        <v>2</v>
      </c>
      <c r="C239" s="16" t="s">
        <v>5124</v>
      </c>
      <c r="D239" s="99" t="str">
        <f t="shared" si="32"/>
        <v>In touch - Positive</v>
      </c>
      <c r="E239" s="12" t="s">
        <v>5233</v>
      </c>
      <c r="F239" s="20"/>
      <c r="G239" s="13" t="s">
        <v>103</v>
      </c>
      <c r="H239" s="1225" t="s">
        <v>5245</v>
      </c>
      <c r="I239" s="13"/>
      <c r="J239" s="15" t="s">
        <v>5248</v>
      </c>
      <c r="K239" s="15" t="s">
        <v>5251</v>
      </c>
      <c r="L239" s="15"/>
      <c r="M239" s="15"/>
      <c r="N239" s="15"/>
      <c r="O239" s="15"/>
      <c r="P239" s="15"/>
      <c r="Q239" s="15"/>
      <c r="R239" s="16"/>
      <c r="S239" s="35" t="s">
        <v>77</v>
      </c>
      <c r="T239" s="13">
        <v>2023</v>
      </c>
      <c r="U239" s="17">
        <v>139.80000000000001</v>
      </c>
      <c r="V239" s="17">
        <v>10</v>
      </c>
      <c r="W239" s="248">
        <f t="shared" si="33"/>
        <v>7.1530758226037189E-2</v>
      </c>
      <c r="X239" s="17">
        <v>0.8</v>
      </c>
      <c r="Y239" s="17">
        <v>39.700000000000003</v>
      </c>
      <c r="Z239" s="16"/>
      <c r="AA239" s="15" t="s">
        <v>5229</v>
      </c>
      <c r="AB239" s="17"/>
      <c r="AC239" s="21" t="s">
        <v>153</v>
      </c>
      <c r="AD239" s="21" t="s">
        <v>273</v>
      </c>
      <c r="AE239" s="21" t="s">
        <v>273</v>
      </c>
      <c r="AF239" s="17"/>
      <c r="AG239" s="15"/>
      <c r="AH239" s="16"/>
      <c r="AI239" s="16"/>
      <c r="AJ239" s="42">
        <f t="shared" ca="1" si="28"/>
        <v>62</v>
      </c>
      <c r="AK239" s="42">
        <f t="shared" ca="1" si="29"/>
        <v>62</v>
      </c>
      <c r="AL239" s="130" t="str">
        <f t="shared" si="30"/>
        <v>In touch - Positive</v>
      </c>
      <c r="AM239" s="37">
        <v>45602</v>
      </c>
      <c r="AN239" s="38">
        <v>45603</v>
      </c>
      <c r="AO239" s="38"/>
      <c r="AP239" s="38"/>
      <c r="AQ239" s="38">
        <v>45603</v>
      </c>
      <c r="AR239" s="101" t="s">
        <v>1818</v>
      </c>
      <c r="AS239" s="37">
        <v>45602</v>
      </c>
      <c r="AT239" s="11"/>
    </row>
    <row r="240" spans="1:55" s="271" customFormat="1" ht="10.5" customHeight="1" x14ac:dyDescent="0.35">
      <c r="A240" s="16"/>
      <c r="B240" s="16" cm="1">
        <f t="array" ref="B240">+_xlfn.IFS(D240="In Touch - Positive",2,D240="Pending",1,D240="No Answer",4,D240="In Touch - Negative",3)</f>
        <v>2</v>
      </c>
      <c r="C240" s="16" t="s">
        <v>5124</v>
      </c>
      <c r="D240" s="99" t="str">
        <f t="shared" si="32"/>
        <v>In touch - Positive</v>
      </c>
      <c r="E240" s="12" t="s">
        <v>5234</v>
      </c>
      <c r="F240" s="20"/>
      <c r="G240" s="13" t="s">
        <v>226</v>
      </c>
      <c r="H240" s="1225" t="s">
        <v>5246</v>
      </c>
      <c r="I240" s="13"/>
      <c r="J240" s="15" t="s">
        <v>5248</v>
      </c>
      <c r="K240" s="15" t="s">
        <v>5256</v>
      </c>
      <c r="L240" s="15"/>
      <c r="M240" s="15"/>
      <c r="N240" s="15"/>
      <c r="O240" s="15"/>
      <c r="P240" s="15"/>
      <c r="Q240" s="15"/>
      <c r="R240" s="16"/>
      <c r="S240" s="35" t="s">
        <v>77</v>
      </c>
      <c r="T240" s="13">
        <v>2023</v>
      </c>
      <c r="U240" s="17">
        <v>34.200000000000003</v>
      </c>
      <c r="V240" s="17">
        <v>5.5</v>
      </c>
      <c r="W240" s="248">
        <f t="shared" si="33"/>
        <v>0.16081871345029239</v>
      </c>
      <c r="X240" s="17">
        <v>3.7</v>
      </c>
      <c r="Y240" s="17">
        <v>2</v>
      </c>
      <c r="Z240" s="16"/>
      <c r="AA240" s="15" t="s">
        <v>5229</v>
      </c>
      <c r="AB240" s="17"/>
      <c r="AC240" s="21" t="s">
        <v>153</v>
      </c>
      <c r="AD240" s="21" t="s">
        <v>273</v>
      </c>
      <c r="AE240" s="21" t="s">
        <v>273</v>
      </c>
      <c r="AF240" s="17"/>
      <c r="AG240" s="15"/>
      <c r="AH240" s="16"/>
      <c r="AI240" s="16"/>
      <c r="AJ240" s="42">
        <f t="shared" ca="1" si="28"/>
        <v>62</v>
      </c>
      <c r="AK240" s="42">
        <f t="shared" ca="1" si="29"/>
        <v>62</v>
      </c>
      <c r="AL240" s="130" t="str">
        <f t="shared" si="30"/>
        <v>In touch - Positive</v>
      </c>
      <c r="AM240" s="37">
        <v>45602</v>
      </c>
      <c r="AN240" s="38">
        <v>45603</v>
      </c>
      <c r="AO240" s="38"/>
      <c r="AP240" s="38"/>
      <c r="AQ240" s="38">
        <v>45603</v>
      </c>
      <c r="AR240" s="101" t="s">
        <v>1818</v>
      </c>
      <c r="AS240" s="37">
        <v>45602</v>
      </c>
      <c r="AT240" s="11"/>
    </row>
    <row r="241" spans="1:55" s="271" customFormat="1" ht="10.5" customHeight="1" x14ac:dyDescent="0.35">
      <c r="A241" s="16"/>
      <c r="B241" s="16" cm="1">
        <f t="array" ref="B241">+_xlfn.IFS(D241="In Touch - Positive",2,D241="Pending",1,D241="No Answer",4,D241="In Touch - Negative",3)</f>
        <v>2</v>
      </c>
      <c r="C241" s="16" t="s">
        <v>5124</v>
      </c>
      <c r="D241" s="99" t="str">
        <f t="shared" si="32"/>
        <v>In touch - Positive</v>
      </c>
      <c r="E241" s="12" t="s">
        <v>5235</v>
      </c>
      <c r="F241" s="20"/>
      <c r="G241" s="13" t="s">
        <v>413</v>
      </c>
      <c r="H241" s="1225" t="s">
        <v>5247</v>
      </c>
      <c r="I241" s="13"/>
      <c r="J241" s="15" t="s">
        <v>5248</v>
      </c>
      <c r="K241" s="15" t="s">
        <v>5252</v>
      </c>
      <c r="L241" s="15"/>
      <c r="M241" s="15"/>
      <c r="N241" s="15"/>
      <c r="O241" s="15"/>
      <c r="P241" s="15"/>
      <c r="Q241" s="15"/>
      <c r="R241" s="16"/>
      <c r="S241" s="35" t="s">
        <v>77</v>
      </c>
      <c r="T241" s="13">
        <v>2023</v>
      </c>
      <c r="U241" s="17">
        <v>15.7</v>
      </c>
      <c r="V241" s="17">
        <v>4.0999999999999996</v>
      </c>
      <c r="W241" s="248">
        <f t="shared" si="33"/>
        <v>0.26114649681528662</v>
      </c>
      <c r="X241" s="17">
        <v>2.7</v>
      </c>
      <c r="Y241" s="17">
        <v>-7.9</v>
      </c>
      <c r="Z241" s="16"/>
      <c r="AA241" s="15" t="s">
        <v>5229</v>
      </c>
      <c r="AB241" s="17"/>
      <c r="AC241" s="21" t="s">
        <v>153</v>
      </c>
      <c r="AD241" s="21" t="s">
        <v>273</v>
      </c>
      <c r="AE241" s="21" t="s">
        <v>273</v>
      </c>
      <c r="AF241" s="17"/>
      <c r="AG241" s="15"/>
      <c r="AH241" s="16"/>
      <c r="AI241" s="16"/>
      <c r="AJ241" s="42">
        <f t="shared" ca="1" si="28"/>
        <v>62</v>
      </c>
      <c r="AK241" s="42">
        <f t="shared" ca="1" si="29"/>
        <v>62</v>
      </c>
      <c r="AL241" s="130" t="str">
        <f t="shared" si="30"/>
        <v>In touch - Positive</v>
      </c>
      <c r="AM241" s="37">
        <v>45602</v>
      </c>
      <c r="AN241" s="38">
        <v>45603</v>
      </c>
      <c r="AO241" s="38"/>
      <c r="AP241" s="38"/>
      <c r="AQ241" s="38">
        <v>45603</v>
      </c>
      <c r="AR241" s="101" t="s">
        <v>1818</v>
      </c>
      <c r="AS241" s="37">
        <v>45602</v>
      </c>
      <c r="AT241" s="11"/>
    </row>
    <row r="242" spans="1:55" s="271" customFormat="1" ht="10.5" customHeight="1" x14ac:dyDescent="0.35">
      <c r="A242" s="16"/>
      <c r="B242" s="16" cm="1">
        <f t="array" ref="B242">+_xlfn.IFS(D242="In Touch - Positive",2,D242="Pending",1,D242="No Answer",4,D242="In Touch - Negative",3)</f>
        <v>2</v>
      </c>
      <c r="C242" s="16" t="s">
        <v>5124</v>
      </c>
      <c r="D242" s="99" t="str">
        <f t="shared" si="32"/>
        <v>In touch - Positive</v>
      </c>
      <c r="E242" s="12" t="s">
        <v>5236</v>
      </c>
      <c r="F242" s="20"/>
      <c r="G242" s="13" t="s">
        <v>278</v>
      </c>
      <c r="H242" s="1225" t="s">
        <v>5239</v>
      </c>
      <c r="I242" s="13"/>
      <c r="J242" s="15" t="s">
        <v>5248</v>
      </c>
      <c r="K242" s="15" t="s">
        <v>5253</v>
      </c>
      <c r="L242" s="15"/>
      <c r="M242" s="15"/>
      <c r="N242" s="15"/>
      <c r="O242" s="15"/>
      <c r="P242" s="15"/>
      <c r="Q242" s="15"/>
      <c r="R242" s="16"/>
      <c r="S242" s="35" t="s">
        <v>77</v>
      </c>
      <c r="T242" s="13">
        <v>2023</v>
      </c>
      <c r="U242" s="17">
        <v>13.3</v>
      </c>
      <c r="V242" s="17">
        <v>0.9</v>
      </c>
      <c r="W242" s="248">
        <f t="shared" si="33"/>
        <v>6.7669172932330823E-2</v>
      </c>
      <c r="X242" s="17">
        <v>0.2</v>
      </c>
      <c r="Y242" s="17">
        <v>0.7</v>
      </c>
      <c r="Z242" s="16"/>
      <c r="AA242" s="15" t="s">
        <v>5229</v>
      </c>
      <c r="AB242" s="17"/>
      <c r="AC242" s="21" t="s">
        <v>153</v>
      </c>
      <c r="AD242" s="21" t="s">
        <v>273</v>
      </c>
      <c r="AE242" s="21" t="s">
        <v>273</v>
      </c>
      <c r="AF242" s="17"/>
      <c r="AG242" s="15"/>
      <c r="AH242" s="16"/>
      <c r="AI242" s="16"/>
      <c r="AJ242" s="42">
        <f t="shared" ca="1" si="28"/>
        <v>62</v>
      </c>
      <c r="AK242" s="42">
        <f t="shared" ca="1" si="29"/>
        <v>62</v>
      </c>
      <c r="AL242" s="130" t="str">
        <f t="shared" si="30"/>
        <v>In touch - Positive</v>
      </c>
      <c r="AM242" s="37">
        <v>45602</v>
      </c>
      <c r="AN242" s="38">
        <v>45603</v>
      </c>
      <c r="AO242" s="38"/>
      <c r="AP242" s="38"/>
      <c r="AQ242" s="38">
        <v>45603</v>
      </c>
      <c r="AR242" s="101" t="s">
        <v>1818</v>
      </c>
      <c r="AS242" s="37">
        <v>45602</v>
      </c>
      <c r="AT242" s="11"/>
    </row>
    <row r="243" spans="1:55" s="271" customFormat="1" ht="10.5" customHeight="1" x14ac:dyDescent="0.35">
      <c r="A243" s="16"/>
      <c r="B243" s="16" cm="1">
        <f t="array" ref="B243">+_xlfn.IFS(D243="In Touch - Positive",2,D243="Pending",1,D243="No Answer",4,D243="In Touch - Negative",3)</f>
        <v>2</v>
      </c>
      <c r="C243" s="16" t="s">
        <v>5124</v>
      </c>
      <c r="D243" s="99" t="str">
        <f t="shared" si="32"/>
        <v>In touch - Positive</v>
      </c>
      <c r="E243" s="12" t="s">
        <v>5237</v>
      </c>
      <c r="F243" s="20"/>
      <c r="G243" s="13" t="s">
        <v>308</v>
      </c>
      <c r="H243" s="1225" t="s">
        <v>5240</v>
      </c>
      <c r="I243" s="13"/>
      <c r="J243" s="15" t="s">
        <v>5248</v>
      </c>
      <c r="K243" s="15" t="s">
        <v>5254</v>
      </c>
      <c r="L243" s="15"/>
      <c r="M243" s="15"/>
      <c r="N243" s="15"/>
      <c r="O243" s="15"/>
      <c r="P243" s="15"/>
      <c r="Q243" s="15"/>
      <c r="R243" s="16"/>
      <c r="S243" s="35" t="s">
        <v>77</v>
      </c>
      <c r="T243" s="13">
        <v>2023</v>
      </c>
      <c r="U243" s="17">
        <v>9.9</v>
      </c>
      <c r="V243" s="17">
        <v>1</v>
      </c>
      <c r="W243" s="248">
        <f t="shared" si="33"/>
        <v>0.10101010101010101</v>
      </c>
      <c r="X243" s="17">
        <v>0.7</v>
      </c>
      <c r="Y243" s="17">
        <v>1.4</v>
      </c>
      <c r="Z243" s="16"/>
      <c r="AA243" s="15" t="s">
        <v>5229</v>
      </c>
      <c r="AB243" s="17"/>
      <c r="AC243" s="21" t="s">
        <v>153</v>
      </c>
      <c r="AD243" s="21" t="s">
        <v>273</v>
      </c>
      <c r="AE243" s="21" t="s">
        <v>273</v>
      </c>
      <c r="AF243" s="17"/>
      <c r="AG243" s="15"/>
      <c r="AH243" s="16"/>
      <c r="AI243" s="16"/>
      <c r="AJ243" s="42">
        <f t="shared" ca="1" si="28"/>
        <v>62</v>
      </c>
      <c r="AK243" s="42">
        <f t="shared" ca="1" si="29"/>
        <v>62</v>
      </c>
      <c r="AL243" s="130" t="str">
        <f t="shared" si="30"/>
        <v>In touch - Positive</v>
      </c>
      <c r="AM243" s="37">
        <v>45602</v>
      </c>
      <c r="AN243" s="38">
        <v>45603</v>
      </c>
      <c r="AO243" s="38"/>
      <c r="AP243" s="38"/>
      <c r="AQ243" s="38">
        <v>45603</v>
      </c>
      <c r="AR243" s="101" t="s">
        <v>1818</v>
      </c>
      <c r="AS243" s="37">
        <v>45602</v>
      </c>
      <c r="AT243" s="11"/>
    </row>
    <row r="244" spans="1:55" s="271" customFormat="1" x14ac:dyDescent="0.35">
      <c r="B244" s="16" cm="1">
        <f t="array" ref="B244">+_xlfn.IFS(D244="In Touch - Positive",2,D244="Pending",1,D244="No Answer",4,D244="In Touch - Negative",3)</f>
        <v>2</v>
      </c>
      <c r="C244" s="16" t="s">
        <v>5124</v>
      </c>
      <c r="D244" s="99" t="str">
        <f t="shared" si="32"/>
        <v>In touch - Positive</v>
      </c>
      <c r="E244" s="12" t="s">
        <v>5238</v>
      </c>
      <c r="F244" s="20"/>
      <c r="G244" s="13" t="s">
        <v>308</v>
      </c>
      <c r="H244" s="14" t="s">
        <v>5241</v>
      </c>
      <c r="I244" s="13"/>
      <c r="J244" s="15" t="s">
        <v>5248</v>
      </c>
      <c r="K244" s="15" t="s">
        <v>5255</v>
      </c>
      <c r="L244" s="15"/>
      <c r="M244" s="15"/>
      <c r="N244" s="15"/>
      <c r="O244" s="15"/>
      <c r="P244" s="15"/>
      <c r="Q244" s="15"/>
      <c r="R244" s="16"/>
      <c r="S244" s="35" t="s">
        <v>77</v>
      </c>
      <c r="T244" s="13">
        <v>2023</v>
      </c>
      <c r="U244" s="17">
        <v>5.0999999999999996</v>
      </c>
      <c r="V244" s="17">
        <v>-0.8</v>
      </c>
      <c r="W244" s="248">
        <f t="shared" si="33"/>
        <v>-0.15686274509803924</v>
      </c>
      <c r="X244" s="17">
        <v>-0.8</v>
      </c>
      <c r="Y244" s="17">
        <v>1.9</v>
      </c>
      <c r="Z244" s="16"/>
      <c r="AA244" s="15" t="s">
        <v>5229</v>
      </c>
      <c r="AB244" s="17"/>
      <c r="AC244" s="21" t="s">
        <v>153</v>
      </c>
      <c r="AD244" s="21" t="s">
        <v>273</v>
      </c>
      <c r="AE244" s="21" t="s">
        <v>273</v>
      </c>
      <c r="AF244" s="17"/>
      <c r="AG244" s="15"/>
      <c r="AH244" s="16"/>
      <c r="AI244" s="16"/>
      <c r="AJ244" s="42">
        <f t="shared" ca="1" si="28"/>
        <v>62</v>
      </c>
      <c r="AK244" s="42">
        <f t="shared" ca="1" si="29"/>
        <v>62</v>
      </c>
      <c r="AL244" s="130" t="str">
        <f t="shared" si="30"/>
        <v>In touch - Positive</v>
      </c>
      <c r="AM244" s="37">
        <v>45602</v>
      </c>
      <c r="AN244" s="38">
        <v>45603</v>
      </c>
      <c r="AO244" s="38"/>
      <c r="AP244" s="38"/>
      <c r="AQ244" s="38">
        <v>45603</v>
      </c>
      <c r="AR244" s="101" t="s">
        <v>1818</v>
      </c>
      <c r="AS244" s="37">
        <v>45602</v>
      </c>
      <c r="AT244" s="906"/>
      <c r="AU244" s="905"/>
      <c r="AV244" s="905"/>
      <c r="AW244" s="905"/>
      <c r="AX244" s="905"/>
      <c r="AY244" s="905"/>
      <c r="AZ244" s="905"/>
      <c r="BA244" s="905"/>
      <c r="BB244" s="905"/>
      <c r="BC244" s="905"/>
    </row>
    <row r="245" spans="1:55" s="271" customFormat="1" x14ac:dyDescent="0.35">
      <c r="A245" s="889"/>
      <c r="B245" s="16" cm="1">
        <f t="array" ref="B245">+_xlfn.IFS(D245="In Touch - Positive",2,D245="Pending",1,D245="No Answer",4,D245="In Touch - Negative",3)</f>
        <v>2</v>
      </c>
      <c r="C245" s="16" t="s">
        <v>5195</v>
      </c>
      <c r="D245" s="99" t="str">
        <f t="shared" si="32"/>
        <v>In touch - Positive</v>
      </c>
      <c r="E245" s="12" t="s">
        <v>5193</v>
      </c>
      <c r="F245" s="20"/>
      <c r="G245" s="13"/>
      <c r="H245" s="14"/>
      <c r="I245" s="13"/>
      <c r="J245" s="15" t="s">
        <v>5217</v>
      </c>
      <c r="K245" s="15"/>
      <c r="L245" s="15" t="s">
        <v>5194</v>
      </c>
      <c r="M245" s="15"/>
      <c r="N245" s="15"/>
      <c r="O245" s="15"/>
      <c r="P245" s="15"/>
      <c r="Q245" s="15"/>
      <c r="R245" s="16"/>
      <c r="S245" s="35"/>
      <c r="T245" s="13"/>
      <c r="U245" s="17"/>
      <c r="V245" s="17"/>
      <c r="W245" s="248" t="e">
        <f t="shared" si="33"/>
        <v>#DIV/0!</v>
      </c>
      <c r="X245" s="17"/>
      <c r="Y245" s="17"/>
      <c r="Z245" s="16"/>
      <c r="AA245" s="15" t="s">
        <v>140</v>
      </c>
      <c r="AB245" s="17"/>
      <c r="AC245" s="21" t="s">
        <v>61</v>
      </c>
      <c r="AD245" s="21" t="s">
        <v>62</v>
      </c>
      <c r="AE245" s="21" t="s">
        <v>62</v>
      </c>
      <c r="AF245" s="17"/>
      <c r="AG245" s="15"/>
      <c r="AH245" s="16"/>
      <c r="AI245" s="16"/>
      <c r="AJ245" s="42">
        <f t="shared" ca="1" si="28"/>
        <v>62</v>
      </c>
      <c r="AK245" s="42">
        <f t="shared" ca="1" si="29"/>
        <v>62</v>
      </c>
      <c r="AL245" s="130" t="str">
        <f t="shared" si="30"/>
        <v>In touch - Positive</v>
      </c>
      <c r="AM245" s="37">
        <v>45602</v>
      </c>
      <c r="AN245" s="38">
        <v>45602</v>
      </c>
      <c r="AO245" s="38"/>
      <c r="AP245" s="38"/>
      <c r="AQ245" s="38"/>
      <c r="AR245" s="101" t="s">
        <v>1818</v>
      </c>
      <c r="AS245" s="37">
        <v>45602</v>
      </c>
      <c r="AT245" s="906"/>
      <c r="AU245" s="905"/>
      <c r="AV245" s="905"/>
      <c r="AW245" s="905"/>
      <c r="AX245" s="905"/>
      <c r="AY245" s="905"/>
      <c r="AZ245" s="905"/>
      <c r="BA245" s="905"/>
      <c r="BB245" s="905"/>
      <c r="BC245" s="905"/>
    </row>
    <row r="246" spans="1:55" s="271" customFormat="1" x14ac:dyDescent="0.35">
      <c r="A246" s="889"/>
      <c r="B246" s="16" cm="1">
        <f t="array" ref="B246">+_xlfn.IFS(D246="In Touch - Positive",2,D246="Pending",1,D246="No Answer",4,D246="In Touch - Negative",3)</f>
        <v>2</v>
      </c>
      <c r="C246" s="16" t="s">
        <v>5195</v>
      </c>
      <c r="D246" s="99" t="str">
        <f t="shared" si="32"/>
        <v>In touch - Positive</v>
      </c>
      <c r="E246" s="12" t="s">
        <v>4897</v>
      </c>
      <c r="F246" s="20"/>
      <c r="G246" s="13"/>
      <c r="H246" s="14"/>
      <c r="I246" s="13"/>
      <c r="J246" s="15" t="s">
        <v>5217</v>
      </c>
      <c r="K246" s="15"/>
      <c r="L246" s="15" t="s">
        <v>4898</v>
      </c>
      <c r="M246" s="15"/>
      <c r="N246" s="15"/>
      <c r="O246" s="15"/>
      <c r="P246" s="15"/>
      <c r="Q246" s="15"/>
      <c r="R246" s="16"/>
      <c r="S246" s="35"/>
      <c r="T246" s="13"/>
      <c r="U246" s="17"/>
      <c r="V246" s="17"/>
      <c r="W246" s="248" t="e">
        <f t="shared" si="33"/>
        <v>#DIV/0!</v>
      </c>
      <c r="X246" s="17"/>
      <c r="Y246" s="17"/>
      <c r="Z246" s="16"/>
      <c r="AA246" s="15" t="s">
        <v>140</v>
      </c>
      <c r="AB246" s="17"/>
      <c r="AC246" s="21" t="s">
        <v>61</v>
      </c>
      <c r="AD246" s="21" t="s">
        <v>62</v>
      </c>
      <c r="AE246" s="21" t="s">
        <v>62</v>
      </c>
      <c r="AF246" s="17"/>
      <c r="AG246" s="15"/>
      <c r="AH246" s="16"/>
      <c r="AI246" s="16"/>
      <c r="AJ246" s="42">
        <f t="shared" ca="1" si="28"/>
        <v>91</v>
      </c>
      <c r="AK246" s="42">
        <f t="shared" ca="1" si="29"/>
        <v>77</v>
      </c>
      <c r="AL246" s="130" t="str">
        <f t="shared" si="30"/>
        <v>In touch - Positive</v>
      </c>
      <c r="AM246" s="37">
        <v>45573</v>
      </c>
      <c r="AN246" s="38">
        <v>45587</v>
      </c>
      <c r="AO246" s="38"/>
      <c r="AP246" s="1170" t="s">
        <v>65</v>
      </c>
      <c r="AQ246" s="38"/>
      <c r="AR246" s="101" t="s">
        <v>1818</v>
      </c>
      <c r="AS246" s="37">
        <v>45587</v>
      </c>
      <c r="AT246" s="831"/>
    </row>
    <row r="247" spans="1:55" s="271" customFormat="1" x14ac:dyDescent="0.35">
      <c r="B247" s="16" cm="1">
        <f t="array" ref="B247">+_xlfn.IFS(D247="In Touch - Positive",2,D247="Pending",1,D247="No Answer",4,D247="In Touch - Negative",3)</f>
        <v>2</v>
      </c>
      <c r="C247" s="16" t="s">
        <v>5067</v>
      </c>
      <c r="D247" s="99" t="str">
        <f t="shared" si="32"/>
        <v>In touch - Positive</v>
      </c>
      <c r="E247" s="12" t="s">
        <v>4903</v>
      </c>
      <c r="F247" s="20"/>
      <c r="G247" s="13" t="s">
        <v>508</v>
      </c>
      <c r="H247" s="14" t="s">
        <v>4913</v>
      </c>
      <c r="I247" s="13"/>
      <c r="J247" s="15" t="s">
        <v>4907</v>
      </c>
      <c r="K247" s="15" t="s">
        <v>4908</v>
      </c>
      <c r="L247" s="15"/>
      <c r="M247" s="15" t="s">
        <v>4925</v>
      </c>
      <c r="N247" s="15" t="s">
        <v>4926</v>
      </c>
      <c r="O247" s="15" t="s">
        <v>4926</v>
      </c>
      <c r="P247" s="15" t="s">
        <v>4926</v>
      </c>
      <c r="Q247" s="15"/>
      <c r="R247" s="16"/>
      <c r="S247" s="35" t="s">
        <v>77</v>
      </c>
      <c r="T247" s="13">
        <v>2023</v>
      </c>
      <c r="U247" s="17">
        <v>3.7171609999999999</v>
      </c>
      <c r="V247" s="17">
        <v>0.58321299999999998</v>
      </c>
      <c r="W247" s="248">
        <f t="shared" si="33"/>
        <v>0.15689742790263861</v>
      </c>
      <c r="X247" s="17">
        <v>9.7497E-2</v>
      </c>
      <c r="Y247" s="17">
        <v>2.3918240000000002</v>
      </c>
      <c r="Z247" s="16"/>
      <c r="AA247" s="15" t="s">
        <v>140</v>
      </c>
      <c r="AB247" s="17"/>
      <c r="AC247" s="21" t="s">
        <v>61</v>
      </c>
      <c r="AD247" s="21" t="s">
        <v>4423</v>
      </c>
      <c r="AE247" s="21" t="s">
        <v>4423</v>
      </c>
      <c r="AF247" s="17"/>
      <c r="AG247" s="15"/>
      <c r="AH247" s="16"/>
      <c r="AI247" s="16"/>
      <c r="AJ247" s="42">
        <f t="shared" ca="1" si="28"/>
        <v>78</v>
      </c>
      <c r="AK247" s="42">
        <f t="shared" ca="1" si="29"/>
        <v>69</v>
      </c>
      <c r="AL247" s="130" t="str">
        <f t="shared" si="30"/>
        <v>In touch - Positive</v>
      </c>
      <c r="AM247" s="37">
        <v>45586</v>
      </c>
      <c r="AN247" s="38">
        <v>45595</v>
      </c>
      <c r="AO247" s="1170" t="s">
        <v>65</v>
      </c>
      <c r="AP247" s="38" t="s">
        <v>65</v>
      </c>
      <c r="AQ247" s="38">
        <v>45595</v>
      </c>
      <c r="AR247" s="101" t="s">
        <v>1818</v>
      </c>
      <c r="AS247" s="37">
        <v>45595</v>
      </c>
      <c r="AT247" s="850"/>
      <c r="AU247" s="851"/>
      <c r="AV247" s="851"/>
      <c r="AW247" s="851"/>
      <c r="AX247" s="851"/>
      <c r="AY247" s="851"/>
      <c r="AZ247" s="851"/>
      <c r="BA247" s="851"/>
      <c r="BB247" s="851"/>
      <c r="BC247" s="851"/>
    </row>
    <row r="248" spans="1:55" s="271" customFormat="1" x14ac:dyDescent="0.35">
      <c r="A248" s="832"/>
      <c r="B248" s="16" cm="1">
        <f t="array" ref="B248">+_xlfn.IFS(D248="In Touch - Positive",2,D248="Pending",1,D248="No Answer",4,D248="In Touch - Negative",3)</f>
        <v>2</v>
      </c>
      <c r="C248" s="16" t="s">
        <v>5067</v>
      </c>
      <c r="D248" s="99" t="str">
        <f t="shared" si="32"/>
        <v>In touch - Positive</v>
      </c>
      <c r="E248" s="12" t="s">
        <v>4905</v>
      </c>
      <c r="F248" s="20"/>
      <c r="G248" s="13" t="s">
        <v>159</v>
      </c>
      <c r="H248" s="14" t="s">
        <v>4915</v>
      </c>
      <c r="I248" s="13"/>
      <c r="J248" s="15" t="s">
        <v>4907</v>
      </c>
      <c r="K248" s="15" t="s">
        <v>4908</v>
      </c>
      <c r="L248" s="15"/>
      <c r="M248" s="15" t="s">
        <v>4929</v>
      </c>
      <c r="N248" s="15" t="s">
        <v>4930</v>
      </c>
      <c r="O248" s="15"/>
      <c r="P248" s="15"/>
      <c r="Q248" s="15"/>
      <c r="R248" s="16"/>
      <c r="S248" s="35" t="s">
        <v>77</v>
      </c>
      <c r="T248" s="13">
        <v>2023</v>
      </c>
      <c r="U248" s="17">
        <v>2.4918229999999997</v>
      </c>
      <c r="V248" s="17">
        <v>0.55150100000000002</v>
      </c>
      <c r="W248" s="248">
        <f t="shared" si="33"/>
        <v>0.22132430754511861</v>
      </c>
      <c r="X248" s="17">
        <v>0.35542899999999999</v>
      </c>
      <c r="Y248" s="17">
        <v>-0.55957500000000004</v>
      </c>
      <c r="Z248" s="16"/>
      <c r="AA248" s="15" t="s">
        <v>140</v>
      </c>
      <c r="AB248" s="17"/>
      <c r="AC248" s="21" t="s">
        <v>61</v>
      </c>
      <c r="AD248" s="21" t="s">
        <v>4423</v>
      </c>
      <c r="AE248" s="21" t="s">
        <v>4423</v>
      </c>
      <c r="AF248" s="17"/>
      <c r="AG248" s="15"/>
      <c r="AH248" s="16"/>
      <c r="AI248" s="16"/>
      <c r="AJ248" s="42">
        <f t="shared" ca="1" si="28"/>
        <v>78</v>
      </c>
      <c r="AK248" s="42">
        <f t="shared" ca="1" si="29"/>
        <v>68</v>
      </c>
      <c r="AL248" s="130" t="str">
        <f t="shared" si="30"/>
        <v>In touch - Positive</v>
      </c>
      <c r="AM248" s="37">
        <v>45586</v>
      </c>
      <c r="AN248" s="38">
        <v>45595</v>
      </c>
      <c r="AO248" s="38" t="s">
        <v>65</v>
      </c>
      <c r="AP248" s="848"/>
      <c r="AQ248" s="38">
        <v>45596</v>
      </c>
      <c r="AR248" s="101" t="s">
        <v>1818</v>
      </c>
      <c r="AS248" s="37">
        <v>45596</v>
      </c>
      <c r="AT248" s="737"/>
    </row>
    <row r="249" spans="1:55" s="271" customFormat="1" x14ac:dyDescent="0.35">
      <c r="A249" s="953"/>
      <c r="B249" s="836" cm="1">
        <f t="array" ref="B249">+_xlfn.IFS(D249="In Touch - Positive",2,D249="Pending",1,D249="No Answer",4,D249="In Touch - Negative",3)</f>
        <v>2</v>
      </c>
      <c r="C249" s="890" t="s">
        <v>253</v>
      </c>
      <c r="D249" s="838" t="str">
        <f t="shared" si="32"/>
        <v>In touch - Positive</v>
      </c>
      <c r="E249" s="835" t="s">
        <v>4413</v>
      </c>
      <c r="F249" s="852"/>
      <c r="G249" s="839" t="s">
        <v>340</v>
      </c>
      <c r="H249" s="840"/>
      <c r="I249" s="839"/>
      <c r="J249" s="912" t="s">
        <v>4414</v>
      </c>
      <c r="K249" s="834" t="s">
        <v>4415</v>
      </c>
      <c r="L249" s="834" t="s">
        <v>4416</v>
      </c>
      <c r="M249" s="834"/>
      <c r="N249" s="834"/>
      <c r="O249" s="834"/>
      <c r="P249" s="834"/>
      <c r="Q249" s="834"/>
      <c r="R249" s="836"/>
      <c r="S249" s="841"/>
      <c r="T249" s="839"/>
      <c r="U249" s="842"/>
      <c r="V249" s="842"/>
      <c r="W249" s="843" t="e">
        <f t="shared" si="33"/>
        <v>#DIV/0!</v>
      </c>
      <c r="X249" s="842"/>
      <c r="Y249" s="842"/>
      <c r="Z249" s="836"/>
      <c r="AA249" s="834" t="s">
        <v>140</v>
      </c>
      <c r="AB249" s="842"/>
      <c r="AC249" s="844" t="s">
        <v>3598</v>
      </c>
      <c r="AD249" s="844" t="s">
        <v>79</v>
      </c>
      <c r="AE249" s="844"/>
      <c r="AF249" s="842"/>
      <c r="AG249" s="834"/>
      <c r="AH249" s="836"/>
      <c r="AI249" s="836"/>
      <c r="AJ249" s="845">
        <f t="shared" ca="1" si="28"/>
        <v>119</v>
      </c>
      <c r="AK249" s="845">
        <f t="shared" ca="1" si="29"/>
        <v>119</v>
      </c>
      <c r="AL249" s="846" t="str">
        <f t="shared" si="30"/>
        <v>In touch - Positive</v>
      </c>
      <c r="AM249" s="847">
        <v>45545</v>
      </c>
      <c r="AN249" s="848">
        <v>45545</v>
      </c>
      <c r="AO249" s="848"/>
      <c r="AP249" s="38"/>
      <c r="AQ249" s="848"/>
      <c r="AR249" s="849" t="s">
        <v>1818</v>
      </c>
      <c r="AS249" s="848">
        <v>45545</v>
      </c>
      <c r="AT249" s="968"/>
      <c r="AU249" s="969"/>
      <c r="AV249" s="969"/>
      <c r="AW249" s="969"/>
      <c r="AX249" s="969"/>
      <c r="AY249" s="969"/>
      <c r="AZ249" s="969"/>
      <c r="BA249" s="969"/>
      <c r="BB249" s="969"/>
      <c r="BC249" s="969"/>
    </row>
    <row r="250" spans="1:55" s="271" customFormat="1" x14ac:dyDescent="0.35">
      <c r="A250" s="953"/>
      <c r="B250" s="16" cm="1">
        <f t="array" ref="B250">+_xlfn.IFS(D250="In Touch - Positive",2,D250="Pending",1,D250="No Answer",4,D250="In Touch - Negative",3)</f>
        <v>2</v>
      </c>
      <c r="C250" s="16" t="s">
        <v>2045</v>
      </c>
      <c r="D250" s="99" t="str">
        <f t="shared" si="32"/>
        <v>In touch - Positive</v>
      </c>
      <c r="E250" s="12" t="s">
        <v>4686</v>
      </c>
      <c r="F250" s="20"/>
      <c r="G250" s="13" t="s">
        <v>109</v>
      </c>
      <c r="H250" s="14" t="s">
        <v>4690</v>
      </c>
      <c r="I250" s="13"/>
      <c r="J250" s="15" t="s">
        <v>819</v>
      </c>
      <c r="K250" s="15" t="s">
        <v>4695</v>
      </c>
      <c r="L250" s="15" t="s">
        <v>4699</v>
      </c>
      <c r="M250" s="15" t="s">
        <v>4701</v>
      </c>
      <c r="N250" s="15" t="s">
        <v>4702</v>
      </c>
      <c r="O250" s="15"/>
      <c r="P250" s="15"/>
      <c r="Q250" s="15"/>
      <c r="R250" s="16"/>
      <c r="S250" s="35" t="s">
        <v>77</v>
      </c>
      <c r="T250" s="13">
        <v>2023</v>
      </c>
      <c r="U250" s="17">
        <v>19.553000000000001</v>
      </c>
      <c r="V250" s="17">
        <v>2.9</v>
      </c>
      <c r="W250" s="248">
        <f t="shared" si="33"/>
        <v>0.14831483659796449</v>
      </c>
      <c r="X250" s="17">
        <v>1.0819000000000001</v>
      </c>
      <c r="Y250" s="17">
        <v>5.1087800000000003</v>
      </c>
      <c r="Z250" s="16"/>
      <c r="AA250" s="15" t="s">
        <v>140</v>
      </c>
      <c r="AB250" s="17"/>
      <c r="AC250" s="21" t="s">
        <v>78</v>
      </c>
      <c r="AD250" s="21" t="s">
        <v>4423</v>
      </c>
      <c r="AE250" s="21" t="s">
        <v>4423</v>
      </c>
      <c r="AF250" s="17"/>
      <c r="AG250" s="15"/>
      <c r="AH250" s="16"/>
      <c r="AI250" s="16"/>
      <c r="AJ250" s="42">
        <f t="shared" ca="1" si="28"/>
        <v>85</v>
      </c>
      <c r="AK250" s="42">
        <f t="shared" ca="1" si="29"/>
        <v>84</v>
      </c>
      <c r="AL250" s="130" t="str">
        <f t="shared" si="30"/>
        <v>In touch - Positive</v>
      </c>
      <c r="AM250" s="37">
        <v>45579</v>
      </c>
      <c r="AN250" s="38">
        <v>45579</v>
      </c>
      <c r="AO250" s="888" t="s">
        <v>65</v>
      </c>
      <c r="AP250" s="888" t="s">
        <v>65</v>
      </c>
      <c r="AQ250" s="38">
        <v>45580</v>
      </c>
      <c r="AR250" s="101" t="s">
        <v>1818</v>
      </c>
      <c r="AS250" s="37">
        <v>45580</v>
      </c>
      <c r="AT250" s="968"/>
      <c r="AU250" s="969"/>
      <c r="AV250" s="969"/>
      <c r="AW250" s="969"/>
      <c r="AX250" s="969"/>
      <c r="AY250" s="969"/>
      <c r="AZ250" s="969"/>
      <c r="BA250" s="969"/>
      <c r="BB250" s="969"/>
      <c r="BC250" s="969"/>
    </row>
    <row r="251" spans="1:55" s="271" customFormat="1" x14ac:dyDescent="0.35">
      <c r="A251" s="953"/>
      <c r="B251" s="16" cm="1">
        <f t="array" ref="B251">+_xlfn.IFS(D251="In Touch - Positive",2,D251="Pending",1,D251="No Answer",4,D251="In Touch - Negative",3)</f>
        <v>2</v>
      </c>
      <c r="C251" s="16" t="s">
        <v>2045</v>
      </c>
      <c r="D251" s="99" t="str">
        <f t="shared" si="32"/>
        <v>In touch - Positive</v>
      </c>
      <c r="E251" s="12" t="s">
        <v>4688</v>
      </c>
      <c r="F251" s="20"/>
      <c r="G251" s="13" t="s">
        <v>508</v>
      </c>
      <c r="H251" s="14" t="s">
        <v>4692</v>
      </c>
      <c r="I251" s="13"/>
      <c r="J251" s="15" t="s">
        <v>74</v>
      </c>
      <c r="K251" s="15" t="s">
        <v>4697</v>
      </c>
      <c r="L251" s="15" t="s">
        <v>4698</v>
      </c>
      <c r="M251" s="15" t="s">
        <v>4704</v>
      </c>
      <c r="N251" s="15" t="s">
        <v>4698</v>
      </c>
      <c r="O251" s="15"/>
      <c r="P251" s="15"/>
      <c r="Q251" s="15"/>
      <c r="R251" s="16"/>
      <c r="S251" s="35" t="s">
        <v>77</v>
      </c>
      <c r="T251" s="13">
        <v>2023</v>
      </c>
      <c r="U251" s="17">
        <v>29.7286</v>
      </c>
      <c r="V251" s="17">
        <v>3.7778999999999998</v>
      </c>
      <c r="W251" s="248">
        <f t="shared" si="33"/>
        <v>0.12707964720841208</v>
      </c>
      <c r="X251" s="17">
        <v>1.4180999999999999</v>
      </c>
      <c r="Y251" s="17">
        <v>1.81067</v>
      </c>
      <c r="Z251" s="16"/>
      <c r="AA251" s="15" t="s">
        <v>140</v>
      </c>
      <c r="AB251" s="17"/>
      <c r="AC251" s="21" t="s">
        <v>78</v>
      </c>
      <c r="AD251" s="21" t="s">
        <v>4423</v>
      </c>
      <c r="AE251" s="21" t="s">
        <v>4423</v>
      </c>
      <c r="AF251" s="17"/>
      <c r="AG251" s="15"/>
      <c r="AH251" s="16"/>
      <c r="AI251" s="16"/>
      <c r="AJ251" s="42">
        <f t="shared" ca="1" si="28"/>
        <v>85</v>
      </c>
      <c r="AK251" s="42">
        <f t="shared" ca="1" si="29"/>
        <v>85</v>
      </c>
      <c r="AL251" s="130" t="str">
        <f t="shared" si="30"/>
        <v>In touch - Positive</v>
      </c>
      <c r="AM251" s="37">
        <v>45579</v>
      </c>
      <c r="AN251" s="38">
        <v>45579</v>
      </c>
      <c r="AO251" s="888" t="s">
        <v>65</v>
      </c>
      <c r="AP251" s="888" t="s">
        <v>65</v>
      </c>
      <c r="AQ251" s="38">
        <v>45582</v>
      </c>
      <c r="AR251" s="101" t="s">
        <v>1818</v>
      </c>
      <c r="AS251" s="37">
        <v>45579</v>
      </c>
      <c r="AT251" s="968"/>
      <c r="AU251" s="969"/>
      <c r="AV251" s="969"/>
      <c r="AW251" s="969"/>
      <c r="AX251" s="969"/>
      <c r="AY251" s="969"/>
      <c r="AZ251" s="969"/>
      <c r="BA251" s="969"/>
      <c r="BB251" s="969"/>
      <c r="BC251" s="969"/>
    </row>
    <row r="252" spans="1:55" s="271" customFormat="1" x14ac:dyDescent="0.35">
      <c r="B252" s="890" cm="1">
        <f t="array" ref="B252">+_xlfn.IFS(D252="In Touch - Positive",2,D252="Pending",1,D252="No Answer",4,D252="In Touch - Negative",3)</f>
        <v>2</v>
      </c>
      <c r="C252" s="890" t="s">
        <v>4350</v>
      </c>
      <c r="D252" s="891" t="str">
        <f t="shared" si="32"/>
        <v>In touch - Positive</v>
      </c>
      <c r="E252" s="892" t="s">
        <v>4454</v>
      </c>
      <c r="F252" s="893"/>
      <c r="G252" s="894"/>
      <c r="H252" s="894"/>
      <c r="I252" s="894"/>
      <c r="J252" s="1001" t="s">
        <v>4574</v>
      </c>
      <c r="K252" s="896"/>
      <c r="L252" s="896"/>
      <c r="M252" s="896"/>
      <c r="N252" s="896"/>
      <c r="O252" s="896"/>
      <c r="P252" s="896"/>
      <c r="Q252" s="896"/>
      <c r="R252" s="890"/>
      <c r="S252" s="897"/>
      <c r="T252" s="894"/>
      <c r="U252" s="887"/>
      <c r="V252" s="887"/>
      <c r="W252" s="898" t="e">
        <f t="shared" si="33"/>
        <v>#DIV/0!</v>
      </c>
      <c r="X252" s="887"/>
      <c r="Y252" s="887"/>
      <c r="Z252" s="890"/>
      <c r="AA252" s="896" t="s">
        <v>140</v>
      </c>
      <c r="AB252" s="887"/>
      <c r="AC252" s="899" t="s">
        <v>78</v>
      </c>
      <c r="AD252" s="899" t="s">
        <v>62</v>
      </c>
      <c r="AE252" s="887"/>
      <c r="AF252" s="887"/>
      <c r="AG252" s="896"/>
      <c r="AH252" s="890"/>
      <c r="AI252" s="890"/>
      <c r="AJ252" s="900">
        <f t="shared" ca="1" si="28"/>
        <v>119</v>
      </c>
      <c r="AK252" s="928">
        <f t="shared" ca="1" si="29"/>
        <v>102</v>
      </c>
      <c r="AL252" s="901" t="str">
        <f t="shared" si="30"/>
        <v>In touch - Positive</v>
      </c>
      <c r="AM252" s="902">
        <v>45545</v>
      </c>
      <c r="AN252" s="888">
        <v>45562</v>
      </c>
      <c r="AO252" s="888" t="s">
        <v>65</v>
      </c>
      <c r="AP252" s="38" t="s">
        <v>65</v>
      </c>
      <c r="AQ252" s="888">
        <v>45562</v>
      </c>
      <c r="AR252" s="903" t="s">
        <v>1818</v>
      </c>
      <c r="AS252" s="888">
        <v>45562</v>
      </c>
      <c r="AT252" s="968"/>
      <c r="AU252" s="969"/>
      <c r="AV252" s="969"/>
      <c r="AW252" s="969"/>
      <c r="AX252" s="969"/>
      <c r="AY252" s="969"/>
      <c r="AZ252" s="969"/>
      <c r="BA252" s="969"/>
      <c r="BB252" s="969"/>
      <c r="BC252" s="969"/>
    </row>
    <row r="253" spans="1:55" s="271" customFormat="1" x14ac:dyDescent="0.35">
      <c r="A253" s="953"/>
      <c r="B253" s="986" cm="1">
        <f t="array" ref="B253">+_xlfn.IFS(D253="In Touch - Positive",2,D253="Pending",1,D253="No Answer",4,D253="In Touch - Negative",3)</f>
        <v>2</v>
      </c>
      <c r="C253" s="16" t="s">
        <v>2045</v>
      </c>
      <c r="D253" s="1003" t="str">
        <f t="shared" si="32"/>
        <v>In touch - Positive</v>
      </c>
      <c r="E253" s="1000" t="s">
        <v>4634</v>
      </c>
      <c r="F253" s="987"/>
      <c r="G253" s="13" t="s">
        <v>2656</v>
      </c>
      <c r="H253" s="989" t="s">
        <v>4637</v>
      </c>
      <c r="I253" s="988"/>
      <c r="J253" s="15" t="s">
        <v>4640</v>
      </c>
      <c r="K253" s="15" t="s">
        <v>4641</v>
      </c>
      <c r="L253" s="990"/>
      <c r="M253" s="990" t="s">
        <v>4644</v>
      </c>
      <c r="N253" s="990" t="s">
        <v>4645</v>
      </c>
      <c r="O253" s="990"/>
      <c r="P253" s="990"/>
      <c r="Q253" s="990"/>
      <c r="R253" s="986"/>
      <c r="S253" s="991" t="s">
        <v>77</v>
      </c>
      <c r="T253" s="988">
        <v>2023</v>
      </c>
      <c r="U253" s="992">
        <v>24.331</v>
      </c>
      <c r="V253" s="992">
        <v>3.9883999999999999</v>
      </c>
      <c r="W253" s="1004">
        <f t="shared" si="33"/>
        <v>0.16392256791747153</v>
      </c>
      <c r="X253" s="992">
        <v>1.9661999999999999</v>
      </c>
      <c r="Y253" s="992">
        <v>4.7499849999999997</v>
      </c>
      <c r="Z253" s="986"/>
      <c r="AA253" s="990" t="s">
        <v>140</v>
      </c>
      <c r="AB253" s="992"/>
      <c r="AC253" s="994" t="s">
        <v>78</v>
      </c>
      <c r="AD253" s="994" t="s">
        <v>4423</v>
      </c>
      <c r="AE253" s="994" t="s">
        <v>4423</v>
      </c>
      <c r="AF253" s="992"/>
      <c r="AG253" s="990"/>
      <c r="AH253" s="986"/>
      <c r="AI253" s="986"/>
      <c r="AJ253" s="995">
        <f t="shared" ca="1" si="28"/>
        <v>92</v>
      </c>
      <c r="AK253" s="995">
        <f t="shared" ca="1" si="29"/>
        <v>92</v>
      </c>
      <c r="AL253" s="1005" t="str">
        <f t="shared" si="30"/>
        <v>In touch - Positive</v>
      </c>
      <c r="AM253" s="996">
        <v>45572</v>
      </c>
      <c r="AN253" s="997">
        <v>45572</v>
      </c>
      <c r="AO253" s="38" t="s">
        <v>65</v>
      </c>
      <c r="AP253" s="966"/>
      <c r="AQ253" s="997">
        <v>45572</v>
      </c>
      <c r="AR253" s="101" t="s">
        <v>1818</v>
      </c>
      <c r="AS253" s="996">
        <v>45572</v>
      </c>
      <c r="AT253" s="968"/>
      <c r="AU253" s="969"/>
      <c r="AV253" s="969"/>
      <c r="AW253" s="969"/>
      <c r="AX253" s="969"/>
      <c r="AY253" s="969"/>
      <c r="AZ253" s="969"/>
      <c r="BA253" s="969"/>
      <c r="BB253" s="969"/>
      <c r="BC253" s="969"/>
    </row>
    <row r="254" spans="1:55" s="271" customFormat="1" x14ac:dyDescent="0.35">
      <c r="A254" s="953"/>
      <c r="B254" s="954" cm="1">
        <f t="array" ref="B254">+_xlfn.IFS(D254="In Touch - Positive",2,D254="Pending",1,D254="No Answer",4,D254="In Touch - Negative",3)</f>
        <v>2</v>
      </c>
      <c r="C254" s="16" t="s">
        <v>552</v>
      </c>
      <c r="D254" s="955" t="str">
        <f t="shared" si="32"/>
        <v>In touch - Positive</v>
      </c>
      <c r="E254" s="12" t="s">
        <v>4564</v>
      </c>
      <c r="F254" s="956"/>
      <c r="G254" s="13" t="s">
        <v>103</v>
      </c>
      <c r="H254" s="14" t="s">
        <v>4565</v>
      </c>
      <c r="I254" s="957"/>
      <c r="J254" s="15" t="s">
        <v>251</v>
      </c>
      <c r="K254" s="15" t="s">
        <v>4566</v>
      </c>
      <c r="L254" s="15" t="s">
        <v>4567</v>
      </c>
      <c r="M254" s="959"/>
      <c r="N254" s="959"/>
      <c r="O254" s="959"/>
      <c r="P254" s="959"/>
      <c r="Q254" s="959"/>
      <c r="R254" s="954"/>
      <c r="S254" s="960" t="s">
        <v>77</v>
      </c>
      <c r="T254" s="957">
        <v>2023</v>
      </c>
      <c r="U254" s="961">
        <v>18</v>
      </c>
      <c r="V254" s="17">
        <v>0.77400000000000002</v>
      </c>
      <c r="W254" s="962">
        <f t="shared" si="33"/>
        <v>4.3000000000000003E-2</v>
      </c>
      <c r="X254" s="961">
        <v>0.222</v>
      </c>
      <c r="Y254" s="961">
        <v>4.5</v>
      </c>
      <c r="Z254" s="954"/>
      <c r="AA254" s="959" t="s">
        <v>140</v>
      </c>
      <c r="AB254" s="961"/>
      <c r="AC254" s="21" t="s">
        <v>86</v>
      </c>
      <c r="AD254" s="21" t="s">
        <v>78</v>
      </c>
      <c r="AE254" s="963" t="s">
        <v>86</v>
      </c>
      <c r="AF254" s="961"/>
      <c r="AG254" s="959"/>
      <c r="AH254" s="954"/>
      <c r="AI254" s="954"/>
      <c r="AJ254" s="964">
        <f t="shared" ca="1" si="28"/>
        <v>110</v>
      </c>
      <c r="AK254" s="964">
        <f t="shared" ca="1" si="29"/>
        <v>105</v>
      </c>
      <c r="AL254" s="965" t="str">
        <f t="shared" si="30"/>
        <v>In touch - Positive</v>
      </c>
      <c r="AM254" s="952">
        <v>45554</v>
      </c>
      <c r="AN254" s="966">
        <v>45558</v>
      </c>
      <c r="AO254" s="966"/>
      <c r="AP254" s="848" t="s">
        <v>65</v>
      </c>
      <c r="AQ254" s="966"/>
      <c r="AR254" s="967" t="s">
        <v>1818</v>
      </c>
      <c r="AS254" s="966">
        <v>45559</v>
      </c>
      <c r="AT254" s="968"/>
      <c r="AU254" s="969"/>
      <c r="AV254" s="969"/>
      <c r="AW254" s="969"/>
      <c r="AX254" s="969"/>
      <c r="AY254" s="969"/>
      <c r="AZ254" s="969"/>
      <c r="BA254" s="969"/>
      <c r="BB254" s="969"/>
      <c r="BC254" s="969"/>
    </row>
    <row r="255" spans="1:55" s="271" customFormat="1" x14ac:dyDescent="0.35">
      <c r="A255" s="953"/>
      <c r="B255" s="819" cm="1">
        <f t="array" ref="B255">+_xlfn.IFS(D255="In Touch - Positive",2,D255="Pending",1,D255="No Answer",4,D255="In Touch - Negative",3)</f>
        <v>2</v>
      </c>
      <c r="C255" s="819" t="s">
        <v>4340</v>
      </c>
      <c r="D255" s="820" t="str">
        <f t="shared" si="32"/>
        <v>In touch - Positive</v>
      </c>
      <c r="E255" s="835" t="s">
        <v>4369</v>
      </c>
      <c r="F255" s="821"/>
      <c r="G255" s="822" t="s">
        <v>444</v>
      </c>
      <c r="H255" s="822"/>
      <c r="I255" s="822"/>
      <c r="J255" s="15" t="s">
        <v>83</v>
      </c>
      <c r="K255" s="818" t="s">
        <v>4364</v>
      </c>
      <c r="L255" s="834" t="s">
        <v>4368</v>
      </c>
      <c r="M255" s="818"/>
      <c r="N255" s="818"/>
      <c r="O255" s="818"/>
      <c r="P255" s="818"/>
      <c r="Q255" s="818"/>
      <c r="R255" s="819"/>
      <c r="S255" s="823"/>
      <c r="T255" s="822"/>
      <c r="U255" s="824"/>
      <c r="V255" s="824"/>
      <c r="W255" s="825"/>
      <c r="X255" s="824"/>
      <c r="Y255" s="824"/>
      <c r="Z255" s="819"/>
      <c r="AA255" s="818" t="s">
        <v>140</v>
      </c>
      <c r="AB255" s="824"/>
      <c r="AC255" s="833" t="s">
        <v>78</v>
      </c>
      <c r="AD255" s="833" t="s">
        <v>62</v>
      </c>
      <c r="AE255" s="833" t="s">
        <v>62</v>
      </c>
      <c r="AF255" s="824"/>
      <c r="AG255" s="818"/>
      <c r="AH255" s="819"/>
      <c r="AI255" s="819"/>
      <c r="AJ255" s="826">
        <f t="shared" ca="1" si="28"/>
        <v>127</v>
      </c>
      <c r="AK255" s="826">
        <f t="shared" ca="1" si="29"/>
        <v>120</v>
      </c>
      <c r="AL255" s="827" t="str">
        <f t="shared" si="30"/>
        <v>In touch - Positive</v>
      </c>
      <c r="AM255" s="828">
        <v>45537</v>
      </c>
      <c r="AN255" s="829">
        <v>45544</v>
      </c>
      <c r="AO255" s="848" t="s">
        <v>65</v>
      </c>
      <c r="AP255" s="848"/>
      <c r="AQ255" s="829">
        <v>45544</v>
      </c>
      <c r="AR255" s="830" t="s">
        <v>1818</v>
      </c>
      <c r="AS255" s="829">
        <v>45544</v>
      </c>
      <c r="AT255" s="968"/>
      <c r="AU255" s="969"/>
      <c r="AV255" s="969"/>
      <c r="AW255" s="969"/>
      <c r="AX255" s="969"/>
      <c r="AY255" s="969"/>
      <c r="AZ255" s="969"/>
      <c r="BA255" s="969"/>
      <c r="BB255" s="969"/>
      <c r="BC255" s="969"/>
    </row>
    <row r="256" spans="1:55" s="271" customFormat="1" x14ac:dyDescent="0.35">
      <c r="A256" s="953"/>
      <c r="B256" s="836" cm="1">
        <f t="array" ref="B256">+_xlfn.IFS(D256="In Touch - Positive",2,D256="Pending",1,D256="No Answer",4,D256="In Touch - Negative",3)</f>
        <v>2</v>
      </c>
      <c r="C256" s="836" t="s">
        <v>4370</v>
      </c>
      <c r="D256" s="838" t="str">
        <f t="shared" si="32"/>
        <v>In touch - Positive</v>
      </c>
      <c r="E256" s="835" t="s">
        <v>4377</v>
      </c>
      <c r="F256" s="852"/>
      <c r="G256" s="839" t="s">
        <v>1362</v>
      </c>
      <c r="H256" s="840" t="s">
        <v>4390</v>
      </c>
      <c r="I256" s="839"/>
      <c r="J256" s="834" t="s">
        <v>4357</v>
      </c>
      <c r="K256" s="834" t="s">
        <v>4358</v>
      </c>
      <c r="L256" s="834" t="s">
        <v>4408</v>
      </c>
      <c r="M256" s="834"/>
      <c r="N256" s="834"/>
      <c r="O256" s="834"/>
      <c r="P256" s="834"/>
      <c r="Q256" s="834"/>
      <c r="R256" s="836"/>
      <c r="S256" s="841" t="s">
        <v>77</v>
      </c>
      <c r="T256" s="839">
        <v>2023</v>
      </c>
      <c r="U256" s="842">
        <v>5.7</v>
      </c>
      <c r="V256" s="842">
        <v>1.8</v>
      </c>
      <c r="W256" s="843">
        <f>+V256/U256</f>
        <v>0.31578947368421051</v>
      </c>
      <c r="X256" s="842"/>
      <c r="Y256" s="842"/>
      <c r="Z256" s="836"/>
      <c r="AA256" s="834" t="s">
        <v>140</v>
      </c>
      <c r="AB256" s="842"/>
      <c r="AC256" s="844" t="s">
        <v>61</v>
      </c>
      <c r="AD256" s="844" t="s">
        <v>61</v>
      </c>
      <c r="AE256" s="844" t="s">
        <v>86</v>
      </c>
      <c r="AF256" s="842"/>
      <c r="AG256" s="834"/>
      <c r="AH256" s="836"/>
      <c r="AI256" s="836"/>
      <c r="AJ256" s="845">
        <f t="shared" ca="1" si="28"/>
        <v>152</v>
      </c>
      <c r="AK256" s="845">
        <f t="shared" ca="1" si="29"/>
        <v>124</v>
      </c>
      <c r="AL256" s="846" t="str">
        <f t="shared" si="30"/>
        <v>In touch - Positive</v>
      </c>
      <c r="AM256" s="847">
        <v>45512</v>
      </c>
      <c r="AN256" s="848">
        <v>45540</v>
      </c>
      <c r="AO256" s="848"/>
      <c r="AP256" s="848"/>
      <c r="AQ256" s="848"/>
      <c r="AR256" s="849" t="s">
        <v>1818</v>
      </c>
      <c r="AS256" s="848">
        <v>45540</v>
      </c>
      <c r="AT256" s="968"/>
      <c r="AU256" s="969"/>
      <c r="AV256" s="969"/>
      <c r="AW256" s="969"/>
      <c r="AX256" s="969"/>
      <c r="AY256" s="969"/>
      <c r="AZ256" s="969"/>
      <c r="BA256" s="969"/>
      <c r="BB256" s="969"/>
      <c r="BC256" s="969"/>
    </row>
    <row r="257" spans="1:55" s="271" customFormat="1" x14ac:dyDescent="0.35">
      <c r="A257" s="953"/>
      <c r="B257" s="836" cm="1">
        <f t="array" ref="B257">+_xlfn.IFS(D257="In Touch - Positive",2,D257="Pending",1,D257="No Answer",4,D257="In Touch - Negative",3)</f>
        <v>2</v>
      </c>
      <c r="C257" s="16" t="s">
        <v>5228</v>
      </c>
      <c r="D257" s="838" t="str">
        <f t="shared" si="32"/>
        <v>In touch - Positive</v>
      </c>
      <c r="E257" s="12" t="s">
        <v>4429</v>
      </c>
      <c r="F257" s="852"/>
      <c r="G257" s="13" t="s">
        <v>174</v>
      </c>
      <c r="H257" s="14" t="s">
        <v>4430</v>
      </c>
      <c r="I257" s="839"/>
      <c r="J257" s="15" t="s">
        <v>4431</v>
      </c>
      <c r="K257" s="15" t="s">
        <v>4432</v>
      </c>
      <c r="L257" s="834"/>
      <c r="M257" s="15" t="s">
        <v>4433</v>
      </c>
      <c r="N257" s="15" t="s">
        <v>4434</v>
      </c>
      <c r="O257" s="15" t="s">
        <v>4433</v>
      </c>
      <c r="P257" s="15" t="s">
        <v>4433</v>
      </c>
      <c r="Q257" s="15" t="s">
        <v>4435</v>
      </c>
      <c r="R257" s="836"/>
      <c r="S257" s="841" t="s">
        <v>77</v>
      </c>
      <c r="T257" s="839">
        <v>2023</v>
      </c>
      <c r="U257" s="842">
        <v>14.227</v>
      </c>
      <c r="V257" s="842">
        <v>2.9</v>
      </c>
      <c r="W257" s="843">
        <f>+V257/U257</f>
        <v>0.20383777324804947</v>
      </c>
      <c r="X257" s="842">
        <v>1.597</v>
      </c>
      <c r="Y257" s="842"/>
      <c r="Z257" s="836"/>
      <c r="AA257" s="834" t="s">
        <v>140</v>
      </c>
      <c r="AB257" s="842"/>
      <c r="AC257" s="844" t="s">
        <v>61</v>
      </c>
      <c r="AD257" s="21" t="s">
        <v>4423</v>
      </c>
      <c r="AE257" s="21" t="s">
        <v>4423</v>
      </c>
      <c r="AF257" s="842"/>
      <c r="AG257" s="834"/>
      <c r="AH257" s="836"/>
      <c r="AI257" s="836"/>
      <c r="AJ257" s="845">
        <f t="shared" ca="1" si="28"/>
        <v>119</v>
      </c>
      <c r="AK257" s="845">
        <f t="shared" ca="1" si="29"/>
        <v>112</v>
      </c>
      <c r="AL257" s="846" t="str">
        <f t="shared" si="30"/>
        <v>In touch - Positive</v>
      </c>
      <c r="AM257" s="847">
        <v>45545</v>
      </c>
      <c r="AN257" s="38">
        <v>45545</v>
      </c>
      <c r="AO257" s="848">
        <v>45552</v>
      </c>
      <c r="AP257" s="848"/>
      <c r="AQ257" s="848"/>
      <c r="AR257" s="849" t="s">
        <v>1818</v>
      </c>
      <c r="AS257" s="848">
        <v>45552</v>
      </c>
      <c r="AT257" s="968"/>
      <c r="AU257" s="969"/>
      <c r="AV257" s="969"/>
      <c r="AW257" s="969"/>
      <c r="AX257" s="969"/>
      <c r="AY257" s="969"/>
      <c r="AZ257" s="969"/>
      <c r="BA257" s="969"/>
      <c r="BB257" s="969"/>
      <c r="BC257" s="969"/>
    </row>
    <row r="258" spans="1:55" s="271" customFormat="1" x14ac:dyDescent="0.35">
      <c r="A258" s="953"/>
      <c r="B258" s="836" cm="1">
        <f t="array" ref="B258">+_xlfn.IFS(D258="In Touch - Positive",2,D258="Pending",1,D258="No Answer",4,D258="In Touch - Negative",3)</f>
        <v>2</v>
      </c>
      <c r="C258" s="836" t="s">
        <v>4370</v>
      </c>
      <c r="D258" s="838" t="str">
        <f t="shared" si="32"/>
        <v>In touch - Positive</v>
      </c>
      <c r="E258" s="835" t="s">
        <v>4378</v>
      </c>
      <c r="F258" s="852"/>
      <c r="G258" s="839" t="s">
        <v>1362</v>
      </c>
      <c r="H258" s="840" t="s">
        <v>4391</v>
      </c>
      <c r="I258" s="839"/>
      <c r="J258" s="834" t="s">
        <v>4357</v>
      </c>
      <c r="K258" s="834" t="s">
        <v>4358</v>
      </c>
      <c r="L258" s="834" t="s">
        <v>4402</v>
      </c>
      <c r="M258" s="834"/>
      <c r="N258" s="834"/>
      <c r="O258" s="834"/>
      <c r="P258" s="834"/>
      <c r="Q258" s="834"/>
      <c r="R258" s="836"/>
      <c r="S258" s="841" t="s">
        <v>77</v>
      </c>
      <c r="T258" s="839">
        <v>2023</v>
      </c>
      <c r="U258" s="842">
        <v>5</v>
      </c>
      <c r="V258" s="842">
        <v>1.0269999999999999</v>
      </c>
      <c r="W258" s="843">
        <f>+V258/U258</f>
        <v>0.20539999999999997</v>
      </c>
      <c r="X258" s="842"/>
      <c r="Y258" s="842"/>
      <c r="Z258" s="836"/>
      <c r="AA258" s="834" t="s">
        <v>140</v>
      </c>
      <c r="AB258" s="842"/>
      <c r="AC258" s="844" t="s">
        <v>61</v>
      </c>
      <c r="AD258" s="844" t="s">
        <v>61</v>
      </c>
      <c r="AE258" s="844" t="s">
        <v>86</v>
      </c>
      <c r="AF258" s="842"/>
      <c r="AG258" s="834"/>
      <c r="AH258" s="836"/>
      <c r="AI258" s="836"/>
      <c r="AJ258" s="845">
        <f t="shared" ca="1" si="28"/>
        <v>152</v>
      </c>
      <c r="AK258" s="845">
        <f t="shared" ca="1" si="29"/>
        <v>124</v>
      </c>
      <c r="AL258" s="846" t="str">
        <f t="shared" si="30"/>
        <v>In touch - Positive</v>
      </c>
      <c r="AM258" s="847">
        <v>45512</v>
      </c>
      <c r="AN258" s="848">
        <v>45540</v>
      </c>
      <c r="AO258" s="848"/>
      <c r="AP258" s="848"/>
      <c r="AQ258" s="848"/>
      <c r="AR258" s="849" t="s">
        <v>1818</v>
      </c>
      <c r="AS258" s="848">
        <v>45540</v>
      </c>
      <c r="AT258" s="968"/>
      <c r="AU258" s="969"/>
      <c r="AV258" s="969"/>
      <c r="AW258" s="969"/>
      <c r="AX258" s="969"/>
      <c r="AY258" s="969"/>
      <c r="AZ258" s="969"/>
      <c r="BA258" s="969"/>
      <c r="BB258" s="969"/>
      <c r="BC258" s="969"/>
    </row>
    <row r="259" spans="1:55" s="271" customFormat="1" x14ac:dyDescent="0.35">
      <c r="A259" s="953"/>
      <c r="B259" s="836" cm="1">
        <f t="array" ref="B259">+_xlfn.IFS(D259="In Touch - Positive",2,D259="Pending",1,D259="No Answer",4,D259="In Touch - Negative",3)</f>
        <v>2</v>
      </c>
      <c r="C259" s="836" t="s">
        <v>4370</v>
      </c>
      <c r="D259" s="838" t="str">
        <f t="shared" si="32"/>
        <v>In touch - Positive</v>
      </c>
      <c r="E259" s="835" t="s">
        <v>4382</v>
      </c>
      <c r="F259" s="852"/>
      <c r="G259" s="839" t="s">
        <v>945</v>
      </c>
      <c r="H259" s="840" t="s">
        <v>4395</v>
      </c>
      <c r="I259" s="839"/>
      <c r="J259" s="834" t="s">
        <v>4357</v>
      </c>
      <c r="K259" s="834" t="s">
        <v>4358</v>
      </c>
      <c r="L259" s="834" t="s">
        <v>4406</v>
      </c>
      <c r="M259" s="834"/>
      <c r="N259" s="834"/>
      <c r="O259" s="834"/>
      <c r="P259" s="834"/>
      <c r="Q259" s="834"/>
      <c r="R259" s="836"/>
      <c r="S259" s="841" t="s">
        <v>77</v>
      </c>
      <c r="T259" s="839">
        <v>2023</v>
      </c>
      <c r="U259" s="842">
        <v>3.28</v>
      </c>
      <c r="V259" s="842">
        <v>1.6439999999999999</v>
      </c>
      <c r="W259" s="843">
        <f>+V259/U259</f>
        <v>0.50121951219512195</v>
      </c>
      <c r="X259" s="842"/>
      <c r="Y259" s="842"/>
      <c r="Z259" s="836"/>
      <c r="AA259" s="834" t="s">
        <v>140</v>
      </c>
      <c r="AB259" s="842"/>
      <c r="AC259" s="844" t="s">
        <v>61</v>
      </c>
      <c r="AD259" s="844" t="s">
        <v>61</v>
      </c>
      <c r="AE259" s="844" t="s">
        <v>86</v>
      </c>
      <c r="AF259" s="842"/>
      <c r="AG259" s="834"/>
      <c r="AH259" s="836"/>
      <c r="AI259" s="836"/>
      <c r="AJ259" s="845">
        <f t="shared" ca="1" si="28"/>
        <v>152</v>
      </c>
      <c r="AK259" s="845">
        <f t="shared" ca="1" si="29"/>
        <v>124</v>
      </c>
      <c r="AL259" s="846" t="str">
        <f t="shared" si="30"/>
        <v>In touch - Positive</v>
      </c>
      <c r="AM259" s="847">
        <v>45512</v>
      </c>
      <c r="AN259" s="848">
        <v>45540</v>
      </c>
      <c r="AO259" s="848"/>
      <c r="AP259" s="848" t="s">
        <v>65</v>
      </c>
      <c r="AQ259" s="848"/>
      <c r="AR259" s="849" t="s">
        <v>1818</v>
      </c>
      <c r="AS259" s="848">
        <v>45540</v>
      </c>
      <c r="AT259" s="968"/>
      <c r="AU259" s="969"/>
      <c r="AV259" s="969"/>
      <c r="AW259" s="969"/>
      <c r="AX259" s="969"/>
      <c r="AY259" s="969"/>
      <c r="AZ259" s="969"/>
      <c r="BA259" s="969"/>
      <c r="BB259" s="969"/>
      <c r="BC259" s="969"/>
    </row>
    <row r="260" spans="1:55" s="271" customFormat="1" x14ac:dyDescent="0.35">
      <c r="A260" s="953"/>
      <c r="B260" s="836" cm="1">
        <f t="array" ref="B260">+_xlfn.IFS(D260="In Touch - Positive",2,D260="Pending",1,D260="No Answer",4,D260="In Touch - Negative",3)</f>
        <v>2</v>
      </c>
      <c r="C260" s="836" t="s">
        <v>927</v>
      </c>
      <c r="D260" s="838" t="str">
        <f t="shared" si="32"/>
        <v>In touch - Positive</v>
      </c>
      <c r="E260" s="835" t="s">
        <v>4301</v>
      </c>
      <c r="F260" s="852"/>
      <c r="G260" s="839" t="s">
        <v>437</v>
      </c>
      <c r="H260" s="839"/>
      <c r="I260" s="839"/>
      <c r="J260" s="912" t="s">
        <v>3058</v>
      </c>
      <c r="K260" s="834" t="s">
        <v>4294</v>
      </c>
      <c r="L260" s="834"/>
      <c r="M260" s="834"/>
      <c r="N260" s="834"/>
      <c r="O260" s="834"/>
      <c r="P260" s="834"/>
      <c r="Q260" s="834"/>
      <c r="R260" s="836"/>
      <c r="S260" s="841" t="s">
        <v>77</v>
      </c>
      <c r="T260" s="839"/>
      <c r="U260" s="842"/>
      <c r="V260" s="842"/>
      <c r="W260" s="854"/>
      <c r="X260" s="842"/>
      <c r="Y260" s="842"/>
      <c r="Z260" s="836"/>
      <c r="AA260" s="834" t="s">
        <v>140</v>
      </c>
      <c r="AB260" s="842"/>
      <c r="AC260" s="844" t="s">
        <v>78</v>
      </c>
      <c r="AD260" s="844" t="s">
        <v>78</v>
      </c>
      <c r="AE260" s="844" t="s">
        <v>128</v>
      </c>
      <c r="AF260" s="842"/>
      <c r="AG260" s="834"/>
      <c r="AH260" s="836"/>
      <c r="AI260" s="836"/>
      <c r="AJ260" s="845">
        <f t="shared" ca="1" si="28"/>
        <v>179</v>
      </c>
      <c r="AK260" s="845">
        <f t="shared" ca="1" si="29"/>
        <v>179</v>
      </c>
      <c r="AL260" s="846" t="str">
        <f t="shared" si="30"/>
        <v>In touch - Positive</v>
      </c>
      <c r="AM260" s="847">
        <v>45485</v>
      </c>
      <c r="AN260" s="848">
        <v>45485</v>
      </c>
      <c r="AO260" s="848" t="s">
        <v>65</v>
      </c>
      <c r="AP260" s="38" t="s">
        <v>65</v>
      </c>
      <c r="AQ260" s="848">
        <v>45488</v>
      </c>
      <c r="AR260" s="849" t="s">
        <v>1818</v>
      </c>
      <c r="AS260" s="848">
        <v>45485</v>
      </c>
      <c r="AT260" s="968"/>
      <c r="AU260" s="969"/>
      <c r="AV260" s="969"/>
      <c r="AW260" s="969"/>
      <c r="AX260" s="969"/>
      <c r="AY260" s="969"/>
      <c r="AZ260" s="969"/>
      <c r="BA260" s="969"/>
      <c r="BB260" s="969"/>
      <c r="BC260" s="969"/>
    </row>
    <row r="261" spans="1:55" s="271" customFormat="1" x14ac:dyDescent="0.35">
      <c r="A261" s="953"/>
      <c r="B261" s="16" cm="1">
        <f t="array" ref="B261">+_xlfn.IFS(D261="In Touch - Positive",2,D261="Pending",1,D261="No Answer",4,D261="In Touch - Negative",3)</f>
        <v>2</v>
      </c>
      <c r="C261" s="16" t="s">
        <v>3921</v>
      </c>
      <c r="D261" s="99" t="str">
        <f t="shared" si="32"/>
        <v>In touch - Positive</v>
      </c>
      <c r="E261" s="12" t="s">
        <v>4345</v>
      </c>
      <c r="F261" s="12"/>
      <c r="G261" s="13" t="s">
        <v>159</v>
      </c>
      <c r="H261" s="14" t="s">
        <v>4347</v>
      </c>
      <c r="I261" s="13">
        <v>257311</v>
      </c>
      <c r="J261" s="15" t="s">
        <v>111</v>
      </c>
      <c r="K261" s="15" t="s">
        <v>4346</v>
      </c>
      <c r="L261" s="15" t="s">
        <v>4344</v>
      </c>
      <c r="M261" s="15"/>
      <c r="N261" s="15"/>
      <c r="O261" s="15"/>
      <c r="P261" s="15"/>
      <c r="Q261" s="15"/>
      <c r="R261" s="16"/>
      <c r="S261" s="35" t="s">
        <v>144</v>
      </c>
      <c r="T261" s="13">
        <v>2023</v>
      </c>
      <c r="U261" s="17">
        <v>250.77699999999999</v>
      </c>
      <c r="V261" s="17">
        <v>34.185000000000002</v>
      </c>
      <c r="W261" s="686">
        <f>+V261/U261</f>
        <v>0.13631632884993442</v>
      </c>
      <c r="X261" s="17">
        <v>11.624000000000001</v>
      </c>
      <c r="Y261" s="17">
        <v>74.5</v>
      </c>
      <c r="Z261" s="16"/>
      <c r="AA261" s="15" t="s">
        <v>140</v>
      </c>
      <c r="AB261" s="17"/>
      <c r="AC261" s="21" t="s">
        <v>62</v>
      </c>
      <c r="AD261" s="21" t="s">
        <v>61</v>
      </c>
      <c r="AE261" s="61" t="s">
        <v>62</v>
      </c>
      <c r="AF261" s="17"/>
      <c r="AG261" s="15"/>
      <c r="AH261" s="16"/>
      <c r="AI261" s="16"/>
      <c r="AJ261" s="42">
        <f t="shared" ca="1" si="28"/>
        <v>168</v>
      </c>
      <c r="AK261" s="42">
        <f t="shared" ca="1" si="29"/>
        <v>159</v>
      </c>
      <c r="AL261" s="130" t="str">
        <f t="shared" si="30"/>
        <v>In touch - Positive</v>
      </c>
      <c r="AM261" s="37">
        <v>45496</v>
      </c>
      <c r="AN261" s="38">
        <v>45496</v>
      </c>
      <c r="AO261" s="37" t="s">
        <v>65</v>
      </c>
      <c r="AP261" s="38" t="s">
        <v>65</v>
      </c>
      <c r="AQ261" s="38">
        <v>45499</v>
      </c>
      <c r="AR261" s="101" t="s">
        <v>1818</v>
      </c>
      <c r="AS261" s="38">
        <v>45505</v>
      </c>
      <c r="AT261" s="968"/>
      <c r="AU261" s="969"/>
      <c r="AV261" s="969"/>
      <c r="AW261" s="969"/>
      <c r="AX261" s="969"/>
      <c r="AY261" s="969"/>
      <c r="AZ261" s="969"/>
      <c r="BA261" s="969"/>
      <c r="BB261" s="969"/>
      <c r="BC261" s="969"/>
    </row>
    <row r="262" spans="1:55" s="271" customFormat="1" x14ac:dyDescent="0.35">
      <c r="A262" s="953"/>
      <c r="B262" s="16" cm="1">
        <f t="array" ref="B262">+_xlfn.IFS(D262="In Touch - Positive",2,D262="Pending",1,D262="No Answer",4,D262="In Touch - Negative",3)</f>
        <v>2</v>
      </c>
      <c r="C262" s="16" t="s">
        <v>3921</v>
      </c>
      <c r="D262" s="99" t="str">
        <f t="shared" si="32"/>
        <v>In touch - Positive</v>
      </c>
      <c r="E262" s="12" t="s">
        <v>4257</v>
      </c>
      <c r="F262" s="12"/>
      <c r="G262" s="13" t="s">
        <v>2540</v>
      </c>
      <c r="H262" s="14" t="s">
        <v>4286</v>
      </c>
      <c r="I262" s="13">
        <v>152010</v>
      </c>
      <c r="J262" s="15" t="s">
        <v>111</v>
      </c>
      <c r="K262" s="15" t="s">
        <v>4287</v>
      </c>
      <c r="L262" s="15" t="s">
        <v>4288</v>
      </c>
      <c r="M262" s="15"/>
      <c r="N262" s="15"/>
      <c r="O262" s="15"/>
      <c r="P262" s="15"/>
      <c r="Q262" s="15"/>
      <c r="R262" s="16"/>
      <c r="S262" s="35" t="s">
        <v>77</v>
      </c>
      <c r="T262" s="13">
        <v>2022</v>
      </c>
      <c r="U262" s="17">
        <v>133.61500000000001</v>
      </c>
      <c r="V262" s="17">
        <v>35.155000000000001</v>
      </c>
      <c r="W262" s="686">
        <f>+V262/U262</f>
        <v>0.2631066871234517</v>
      </c>
      <c r="X262" s="17">
        <v>23.957000000000001</v>
      </c>
      <c r="Y262" s="17">
        <v>-4.6970000000000001</v>
      </c>
      <c r="Z262" s="16"/>
      <c r="AA262" s="15" t="s">
        <v>140</v>
      </c>
      <c r="AB262" s="17"/>
      <c r="AC262" s="21" t="s">
        <v>62</v>
      </c>
      <c r="AD262" s="21" t="s">
        <v>61</v>
      </c>
      <c r="AE262" s="61" t="s">
        <v>62</v>
      </c>
      <c r="AF262" s="17"/>
      <c r="AG262" s="15"/>
      <c r="AH262" s="16"/>
      <c r="AI262" s="16"/>
      <c r="AJ262" s="42">
        <f t="shared" ca="1" si="28"/>
        <v>201</v>
      </c>
      <c r="AK262" s="42">
        <f t="shared" ca="1" si="29"/>
        <v>180</v>
      </c>
      <c r="AL262" s="130" t="str">
        <f t="shared" si="30"/>
        <v>In touch - Positive</v>
      </c>
      <c r="AM262" s="37">
        <v>45463</v>
      </c>
      <c r="AN262" s="38">
        <v>45467</v>
      </c>
      <c r="AO262" s="37" t="s">
        <v>65</v>
      </c>
      <c r="AP262" s="38">
        <v>45499</v>
      </c>
      <c r="AQ262" s="38">
        <v>45467</v>
      </c>
      <c r="AR262" s="101" t="s">
        <v>1818</v>
      </c>
      <c r="AS262" s="38">
        <v>45484</v>
      </c>
      <c r="AT262" s="968"/>
      <c r="AU262" s="969"/>
      <c r="AV262" s="969"/>
      <c r="AW262" s="969"/>
      <c r="AX262" s="969"/>
      <c r="AY262" s="969"/>
      <c r="AZ262" s="969"/>
      <c r="BA262" s="969"/>
      <c r="BB262" s="969"/>
      <c r="BC262" s="969"/>
    </row>
    <row r="263" spans="1:55" s="271" customFormat="1" x14ac:dyDescent="0.35">
      <c r="A263" s="953"/>
      <c r="B263" s="16" cm="1">
        <f t="array" ref="B263">+_xlfn.IFS(D263="In Touch - Positive",2,D263="Pending",1,D263="No Answer",4,D263="In Touch - Negative",3)</f>
        <v>2</v>
      </c>
      <c r="C263" s="16" t="s">
        <v>1864</v>
      </c>
      <c r="D263" s="99" t="str">
        <f t="shared" si="32"/>
        <v>In touch - Positive</v>
      </c>
      <c r="E263" s="12" t="s">
        <v>2212</v>
      </c>
      <c r="F263" s="12"/>
      <c r="G263" s="13" t="s">
        <v>208</v>
      </c>
      <c r="H263" s="14" t="s">
        <v>2213</v>
      </c>
      <c r="I263" s="13"/>
      <c r="J263" s="915" t="s">
        <v>57</v>
      </c>
      <c r="K263" s="15" t="s">
        <v>2214</v>
      </c>
      <c r="L263" s="15"/>
      <c r="M263" s="15"/>
      <c r="N263" s="15"/>
      <c r="O263" s="15"/>
      <c r="P263" s="15"/>
      <c r="Q263" s="15"/>
      <c r="R263" s="16"/>
      <c r="S263" s="35"/>
      <c r="T263" s="13">
        <v>2021</v>
      </c>
      <c r="U263" s="17">
        <v>1.994661</v>
      </c>
      <c r="V263" s="17">
        <v>0.91066499999999995</v>
      </c>
      <c r="W263" s="39">
        <f>V263/U263</f>
        <v>0.45655126359817527</v>
      </c>
      <c r="X263" s="17">
        <v>0.54183199999999998</v>
      </c>
      <c r="Y263" s="17" t="s">
        <v>236</v>
      </c>
      <c r="Z263" s="16"/>
      <c r="AA263" s="15" t="s">
        <v>140</v>
      </c>
      <c r="AB263" s="17"/>
      <c r="AC263" s="21" t="s">
        <v>62</v>
      </c>
      <c r="AD263" s="21" t="s">
        <v>61</v>
      </c>
      <c r="AE263" s="61" t="s">
        <v>62</v>
      </c>
      <c r="AF263" s="17"/>
      <c r="AG263" s="15"/>
      <c r="AH263" s="16"/>
      <c r="AI263" s="16"/>
      <c r="AJ263" s="42">
        <f t="shared" ca="1" si="28"/>
        <v>749</v>
      </c>
      <c r="AK263" s="42">
        <f t="shared" ca="1" si="29"/>
        <v>194</v>
      </c>
      <c r="AL263" s="130" t="str">
        <f t="shared" si="30"/>
        <v>In touch - Positive</v>
      </c>
      <c r="AM263" s="37">
        <v>44915</v>
      </c>
      <c r="AN263" s="38">
        <v>44992</v>
      </c>
      <c r="AO263" s="38">
        <v>45005</v>
      </c>
      <c r="AP263" s="38" t="s">
        <v>65</v>
      </c>
      <c r="AQ263" s="38">
        <v>45470</v>
      </c>
      <c r="AR263" s="101" t="s">
        <v>1818</v>
      </c>
      <c r="AS263" s="38">
        <v>45470</v>
      </c>
      <c r="AT263" s="968"/>
      <c r="AU263" s="969"/>
      <c r="AV263" s="969"/>
      <c r="AW263" s="969"/>
      <c r="AX263" s="969"/>
      <c r="AY263" s="969"/>
      <c r="AZ263" s="969"/>
      <c r="BA263" s="969"/>
      <c r="BB263" s="969"/>
      <c r="BC263" s="969"/>
    </row>
    <row r="264" spans="1:55" s="271" customFormat="1" x14ac:dyDescent="0.35">
      <c r="A264" s="806"/>
      <c r="B264" s="16" cm="1">
        <f t="array" ref="B264">+_xlfn.IFS(D264="In Touch - Positive",2,D264="Pending",1,D264="No Answer",4,D264="In Touch - Negative",3)</f>
        <v>2</v>
      </c>
      <c r="C264" s="16" t="s">
        <v>1864</v>
      </c>
      <c r="D264" s="99" t="str">
        <f t="shared" si="32"/>
        <v>In touch - Positive</v>
      </c>
      <c r="E264" s="12" t="s">
        <v>2256</v>
      </c>
      <c r="F264" s="12"/>
      <c r="G264" s="13" t="s">
        <v>208</v>
      </c>
      <c r="H264" s="14" t="s">
        <v>2257</v>
      </c>
      <c r="I264" s="13"/>
      <c r="J264" s="915" t="s">
        <v>57</v>
      </c>
      <c r="K264" s="15" t="s">
        <v>2258</v>
      </c>
      <c r="L264" s="15"/>
      <c r="M264" s="15"/>
      <c r="N264" s="15"/>
      <c r="O264" s="15"/>
      <c r="P264" s="15"/>
      <c r="Q264" s="15"/>
      <c r="R264" s="16"/>
      <c r="S264" s="35"/>
      <c r="T264" s="13">
        <v>2021</v>
      </c>
      <c r="U264" s="17">
        <v>0.80492799999999998</v>
      </c>
      <c r="V264" s="17">
        <v>0.50557099999999999</v>
      </c>
      <c r="W264" s="39">
        <f>V264/U264</f>
        <v>0.62809468672974478</v>
      </c>
      <c r="X264" s="17">
        <v>0.36358999999999997</v>
      </c>
      <c r="Y264" s="17" t="s">
        <v>236</v>
      </c>
      <c r="Z264" s="16"/>
      <c r="AA264" s="15" t="s">
        <v>140</v>
      </c>
      <c r="AB264" s="17"/>
      <c r="AC264" s="21" t="s">
        <v>61</v>
      </c>
      <c r="AD264" s="21" t="s">
        <v>61</v>
      </c>
      <c r="AE264" s="61" t="s">
        <v>128</v>
      </c>
      <c r="AF264" s="17"/>
      <c r="AG264" s="15"/>
      <c r="AH264" s="16"/>
      <c r="AI264" s="16"/>
      <c r="AJ264" s="42">
        <f t="shared" ca="1" si="28"/>
        <v>749</v>
      </c>
      <c r="AK264" s="42">
        <f t="shared" ca="1" si="29"/>
        <v>182</v>
      </c>
      <c r="AL264" s="130" t="str">
        <f t="shared" si="30"/>
        <v>In touch - Positive</v>
      </c>
      <c r="AM264" s="37">
        <v>44915</v>
      </c>
      <c r="AN264" s="38">
        <v>44992</v>
      </c>
      <c r="AO264" s="38">
        <v>45476</v>
      </c>
      <c r="AP264" s="615"/>
      <c r="AQ264" s="38">
        <v>45478</v>
      </c>
      <c r="AR264" s="101" t="s">
        <v>1818</v>
      </c>
      <c r="AS264" s="38">
        <v>45482</v>
      </c>
      <c r="AT264" s="805"/>
    </row>
    <row r="265" spans="1:55" s="271" customFormat="1" x14ac:dyDescent="0.35">
      <c r="A265" s="97"/>
      <c r="B265" s="651" cm="1">
        <f t="array" ref="B265">+_xlfn.IFS(D265="In Touch - Positive",2,D265="Pending",1,D265="No Answer",4,D265="In Touch - Negative",3)</f>
        <v>2</v>
      </c>
      <c r="C265" s="651" t="s">
        <v>4159</v>
      </c>
      <c r="D265" s="602" t="str">
        <f t="shared" ref="D265:D296" si="34">+AR265</f>
        <v>In touch - Positive</v>
      </c>
      <c r="E265" s="664" t="s">
        <v>4162</v>
      </c>
      <c r="F265" s="603"/>
      <c r="G265" s="604"/>
      <c r="H265" s="605"/>
      <c r="I265" s="604"/>
      <c r="J265" s="913" t="s">
        <v>2714</v>
      </c>
      <c r="K265" s="607"/>
      <c r="L265" s="607"/>
      <c r="M265" s="607"/>
      <c r="N265" s="607"/>
      <c r="O265" s="607"/>
      <c r="P265" s="607"/>
      <c r="Q265" s="607"/>
      <c r="R265" s="601"/>
      <c r="S265" s="608"/>
      <c r="T265" s="604"/>
      <c r="U265" s="609"/>
      <c r="V265" s="609"/>
      <c r="W265" s="610"/>
      <c r="X265" s="609"/>
      <c r="Y265" s="609"/>
      <c r="Z265" s="601"/>
      <c r="AA265" s="649" t="s">
        <v>60</v>
      </c>
      <c r="AB265" s="609"/>
      <c r="AC265" s="656" t="s">
        <v>153</v>
      </c>
      <c r="AD265" s="656" t="s">
        <v>153</v>
      </c>
      <c r="AE265" s="656" t="s">
        <v>273</v>
      </c>
      <c r="AF265" s="609"/>
      <c r="AG265" s="607"/>
      <c r="AH265" s="601"/>
      <c r="AI265" s="601"/>
      <c r="AJ265" s="612">
        <f t="shared" ca="1" si="28"/>
        <v>217</v>
      </c>
      <c r="AK265" s="612">
        <f t="shared" ca="1" si="29"/>
        <v>215</v>
      </c>
      <c r="AL265" s="613" t="str">
        <f t="shared" si="30"/>
        <v>In touch - Positive</v>
      </c>
      <c r="AM265" s="614">
        <v>45447</v>
      </c>
      <c r="AN265" s="777">
        <v>45449</v>
      </c>
      <c r="AO265" s="615"/>
      <c r="AP265" s="615"/>
      <c r="AQ265" s="615"/>
      <c r="AR265" s="616" t="s">
        <v>1818</v>
      </c>
      <c r="AS265" s="245">
        <v>45449</v>
      </c>
      <c r="AT265" s="11"/>
    </row>
    <row r="266" spans="1:55" s="271" customFormat="1" x14ac:dyDescent="0.35">
      <c r="B266" s="651" cm="1">
        <f t="array" ref="B266">+_xlfn.IFS(D266="In Touch - Positive",2,D266="Pending",1,D266="No Answer",4,D266="In Touch - Negative",3)</f>
        <v>2</v>
      </c>
      <c r="C266" s="651" t="s">
        <v>4159</v>
      </c>
      <c r="D266" s="602" t="str">
        <f t="shared" si="34"/>
        <v>In touch - Positive</v>
      </c>
      <c r="E266" s="603" t="s">
        <v>4165</v>
      </c>
      <c r="F266" s="603"/>
      <c r="G266" s="604"/>
      <c r="H266" s="605"/>
      <c r="I266" s="604"/>
      <c r="J266" s="913" t="s">
        <v>2714</v>
      </c>
      <c r="K266" s="607"/>
      <c r="L266" s="607"/>
      <c r="M266" s="607"/>
      <c r="N266" s="607"/>
      <c r="O266" s="607"/>
      <c r="P266" s="607"/>
      <c r="Q266" s="607"/>
      <c r="R266" s="601"/>
      <c r="S266" s="608"/>
      <c r="T266" s="604"/>
      <c r="U266" s="609"/>
      <c r="V266" s="609"/>
      <c r="W266" s="610"/>
      <c r="X266" s="609"/>
      <c r="Y266" s="609"/>
      <c r="Z266" s="601"/>
      <c r="AA266" s="649" t="s">
        <v>140</v>
      </c>
      <c r="AB266" s="609"/>
      <c r="AC266" s="656" t="s">
        <v>153</v>
      </c>
      <c r="AD266" s="656" t="s">
        <v>153</v>
      </c>
      <c r="AE266" s="656" t="s">
        <v>273</v>
      </c>
      <c r="AF266" s="609"/>
      <c r="AG266" s="607"/>
      <c r="AH266" s="601"/>
      <c r="AI266" s="601"/>
      <c r="AJ266" s="612">
        <f t="shared" ca="1" si="28"/>
        <v>217</v>
      </c>
      <c r="AK266" s="612">
        <f t="shared" ca="1" si="29"/>
        <v>217</v>
      </c>
      <c r="AL266" s="613" t="str">
        <f t="shared" si="30"/>
        <v>In touch - Positive</v>
      </c>
      <c r="AM266" s="614">
        <v>45447</v>
      </c>
      <c r="AN266" s="777"/>
      <c r="AO266" s="615"/>
      <c r="AP266" s="615"/>
      <c r="AQ266" s="615"/>
      <c r="AR266" s="616" t="s">
        <v>1818</v>
      </c>
      <c r="AS266" s="245">
        <v>45447</v>
      </c>
      <c r="AT266" s="853"/>
    </row>
    <row r="267" spans="1:55" s="271" customFormat="1" x14ac:dyDescent="0.35">
      <c r="A267" s="1039"/>
      <c r="B267" s="601" cm="1">
        <f t="array" ref="B267">+_xlfn.IFS(D267="In Touch - Positive",2,D267="Pending",1,D267="No Answer",4,D267="In Touch - Negative",3)</f>
        <v>2</v>
      </c>
      <c r="C267" s="601" t="s">
        <v>3661</v>
      </c>
      <c r="D267" s="602" t="str">
        <f t="shared" si="34"/>
        <v>In touch - Positive</v>
      </c>
      <c r="E267" s="603" t="s">
        <v>3693</v>
      </c>
      <c r="F267" s="603"/>
      <c r="G267" s="604" t="s">
        <v>371</v>
      </c>
      <c r="H267" s="605" t="s">
        <v>3694</v>
      </c>
      <c r="I267" s="604"/>
      <c r="J267" s="916" t="s">
        <v>2478</v>
      </c>
      <c r="K267" s="607" t="s">
        <v>3673</v>
      </c>
      <c r="L267" s="607" t="s">
        <v>3695</v>
      </c>
      <c r="M267" s="607" t="s">
        <v>3695</v>
      </c>
      <c r="N267" s="607" t="s">
        <v>3696</v>
      </c>
      <c r="O267" s="607"/>
      <c r="P267" s="607"/>
      <c r="Q267" s="607"/>
      <c r="R267" s="601"/>
      <c r="S267" s="608" t="s">
        <v>77</v>
      </c>
      <c r="T267" s="604">
        <v>2022</v>
      </c>
      <c r="U267" s="609">
        <v>155.6</v>
      </c>
      <c r="V267" s="609">
        <v>36</v>
      </c>
      <c r="W267" s="610">
        <f>+V267/U267</f>
        <v>0.23136246786632392</v>
      </c>
      <c r="X267" s="609">
        <v>14.7</v>
      </c>
      <c r="Y267" s="609">
        <v>7.2</v>
      </c>
      <c r="Z267" s="601"/>
      <c r="AA267" s="607" t="s">
        <v>140</v>
      </c>
      <c r="AB267" s="609"/>
      <c r="AC267" s="611" t="s">
        <v>153</v>
      </c>
      <c r="AD267" s="611" t="s">
        <v>153</v>
      </c>
      <c r="AE267" s="611" t="s">
        <v>273</v>
      </c>
      <c r="AF267" s="609"/>
      <c r="AG267" s="607"/>
      <c r="AH267" s="601"/>
      <c r="AI267" s="601"/>
      <c r="AJ267" s="612">
        <f t="shared" ca="1" si="28"/>
        <v>237</v>
      </c>
      <c r="AK267" s="612">
        <f t="shared" ca="1" si="29"/>
        <v>210</v>
      </c>
      <c r="AL267" s="613" t="str">
        <f t="shared" si="30"/>
        <v>In touch - Positive</v>
      </c>
      <c r="AM267" s="614">
        <v>45427</v>
      </c>
      <c r="AN267" s="777">
        <v>45439</v>
      </c>
      <c r="AO267" s="38" t="s">
        <v>65</v>
      </c>
      <c r="AP267" s="38"/>
      <c r="AQ267" s="615">
        <v>45442</v>
      </c>
      <c r="AR267" s="616" t="s">
        <v>1818</v>
      </c>
      <c r="AS267" s="245">
        <v>45454</v>
      </c>
      <c r="AT267" s="1020"/>
      <c r="AU267" s="1038"/>
      <c r="AV267" s="1038"/>
      <c r="AW267" s="1038"/>
      <c r="AX267" s="1038"/>
      <c r="AY267" s="1038"/>
      <c r="AZ267" s="1038"/>
      <c r="BA267" s="1038"/>
      <c r="BB267" s="1038"/>
      <c r="BC267" s="1038"/>
    </row>
    <row r="268" spans="1:55" s="271" customFormat="1" x14ac:dyDescent="0.35">
      <c r="A268" s="889"/>
      <c r="B268" s="16" cm="1">
        <f t="array" ref="B268">+_xlfn.IFS(D268="In Touch - Positive",2,D268="Pending",1,D268="No Answer",4,D268="In Touch - Negative",3)</f>
        <v>2</v>
      </c>
      <c r="C268" s="16" t="s">
        <v>3650</v>
      </c>
      <c r="D268" s="99" t="str">
        <f t="shared" si="34"/>
        <v>In touch - Positive</v>
      </c>
      <c r="E268" s="12" t="s">
        <v>3654</v>
      </c>
      <c r="F268" s="12"/>
      <c r="G268" s="13" t="s">
        <v>340</v>
      </c>
      <c r="H268" s="14" t="s">
        <v>3652</v>
      </c>
      <c r="I268" s="13"/>
      <c r="J268" s="914" t="s">
        <v>111</v>
      </c>
      <c r="K268" s="15" t="s">
        <v>3653</v>
      </c>
      <c r="L268" s="15" t="s">
        <v>3651</v>
      </c>
      <c r="M268" s="15"/>
      <c r="N268" s="15"/>
      <c r="O268" s="15"/>
      <c r="P268" s="15"/>
      <c r="Q268" s="15"/>
      <c r="R268" s="16"/>
      <c r="S268" s="35" t="s">
        <v>77</v>
      </c>
      <c r="T268" s="13">
        <v>2022</v>
      </c>
      <c r="U268" s="17">
        <v>340.2</v>
      </c>
      <c r="V268" s="17">
        <v>46.4</v>
      </c>
      <c r="W268" s="248">
        <f>+V268/U268</f>
        <v>0.13639035861258084</v>
      </c>
      <c r="X268" s="17">
        <v>30</v>
      </c>
      <c r="Y268" s="17"/>
      <c r="Z268" s="16"/>
      <c r="AA268" s="15" t="s">
        <v>140</v>
      </c>
      <c r="AB268" s="17"/>
      <c r="AC268" s="21" t="s">
        <v>78</v>
      </c>
      <c r="AD268" s="21" t="s">
        <v>78</v>
      </c>
      <c r="AE268" s="21" t="s">
        <v>78</v>
      </c>
      <c r="AF268" s="17"/>
      <c r="AG268" s="15"/>
      <c r="AH268" s="16"/>
      <c r="AI268" s="16"/>
      <c r="AJ268" s="42">
        <f t="shared" ref="AJ268:AJ331" ca="1" si="35">+TODAY()-AM268</f>
        <v>239</v>
      </c>
      <c r="AK268" s="42">
        <f t="shared" ref="AK268:AK331" ca="1" si="36">+TODAY()-AS268</f>
        <v>239</v>
      </c>
      <c r="AL268" s="130" t="str">
        <f t="shared" ref="AL268:AL331" si="37">+IF(D268="Pending",COUNTA(AM268:AQ268)/5,D268)</f>
        <v>In touch - Positive</v>
      </c>
      <c r="AM268" s="37">
        <v>45425</v>
      </c>
      <c r="AN268" s="777">
        <v>45425</v>
      </c>
      <c r="AO268" s="38"/>
      <c r="AP268" s="615" t="s">
        <v>65</v>
      </c>
      <c r="AQ268" s="38"/>
      <c r="AR268" s="101" t="s">
        <v>1818</v>
      </c>
      <c r="AS268" s="38">
        <v>45425</v>
      </c>
      <c r="AT268" s="904"/>
      <c r="AU268" s="905"/>
      <c r="AV268" s="905"/>
      <c r="AW268" s="905"/>
      <c r="AX268" s="905"/>
      <c r="AY268" s="905"/>
      <c r="AZ268" s="905"/>
      <c r="BA268" s="905"/>
      <c r="BB268" s="905"/>
      <c r="BC268" s="905"/>
    </row>
    <row r="269" spans="1:55" s="271" customFormat="1" x14ac:dyDescent="0.35">
      <c r="A269" s="97"/>
      <c r="B269" s="601" cm="1">
        <f t="array" ref="B269">+_xlfn.IFS(D269="In Touch - Positive",2,D269="Pending",1,D269="No Answer",4,D269="In Touch - Negative",3)</f>
        <v>2</v>
      </c>
      <c r="C269" s="601" t="s">
        <v>3688</v>
      </c>
      <c r="D269" s="602" t="str">
        <f t="shared" si="34"/>
        <v>In touch - Positive</v>
      </c>
      <c r="E269" s="603" t="s">
        <v>3799</v>
      </c>
      <c r="F269" s="603"/>
      <c r="G269" s="604" t="s">
        <v>1309</v>
      </c>
      <c r="H269" s="605"/>
      <c r="I269" s="604"/>
      <c r="J269" s="916" t="s">
        <v>57</v>
      </c>
      <c r="K269" s="607" t="s">
        <v>3798</v>
      </c>
      <c r="L269" s="607" t="s">
        <v>3800</v>
      </c>
      <c r="M269" s="607"/>
      <c r="N269" s="607"/>
      <c r="O269" s="607"/>
      <c r="P269" s="607"/>
      <c r="Q269" s="607"/>
      <c r="R269" s="601"/>
      <c r="S269" s="608"/>
      <c r="T269" s="604"/>
      <c r="U269" s="609"/>
      <c r="V269" s="609"/>
      <c r="W269" s="610"/>
      <c r="X269" s="609"/>
      <c r="Y269" s="609"/>
      <c r="Z269" s="601"/>
      <c r="AA269" s="607" t="s">
        <v>140</v>
      </c>
      <c r="AB269" s="609"/>
      <c r="AC269" s="611" t="s">
        <v>61</v>
      </c>
      <c r="AD269" s="611" t="s">
        <v>61</v>
      </c>
      <c r="AE269" s="611" t="s">
        <v>62</v>
      </c>
      <c r="AF269" s="609"/>
      <c r="AG269" s="607"/>
      <c r="AH269" s="601"/>
      <c r="AI269" s="601"/>
      <c r="AJ269" s="612">
        <f t="shared" ca="1" si="35"/>
        <v>237</v>
      </c>
      <c r="AK269" s="612">
        <f t="shared" ca="1" si="36"/>
        <v>235</v>
      </c>
      <c r="AL269" s="613" t="str">
        <f t="shared" si="37"/>
        <v>In touch - Positive</v>
      </c>
      <c r="AM269" s="614">
        <v>45427</v>
      </c>
      <c r="AN269" s="777">
        <v>45429</v>
      </c>
      <c r="AO269" s="615" t="s">
        <v>65</v>
      </c>
      <c r="AP269" s="615" t="s">
        <v>65</v>
      </c>
      <c r="AQ269" s="615">
        <v>45429</v>
      </c>
      <c r="AR269" s="616" t="s">
        <v>1818</v>
      </c>
      <c r="AS269" s="615">
        <v>45429</v>
      </c>
      <c r="AT269" s="23"/>
    </row>
    <row r="270" spans="1:55" s="271" customFormat="1" x14ac:dyDescent="0.35">
      <c r="B270" s="601" cm="1">
        <f t="array" ref="B270">+_xlfn.IFS(D270="In Touch - Positive",2,D270="Pending",1,D270="No Answer",4,D270="In Touch - Negative",3)</f>
        <v>2</v>
      </c>
      <c r="C270" s="601" t="s">
        <v>3688</v>
      </c>
      <c r="D270" s="602" t="str">
        <f t="shared" si="34"/>
        <v>In touch - Positive</v>
      </c>
      <c r="E270" s="603" t="s">
        <v>3806</v>
      </c>
      <c r="F270" s="603"/>
      <c r="G270" s="604" t="s">
        <v>103</v>
      </c>
      <c r="H270" s="605"/>
      <c r="I270" s="604"/>
      <c r="J270" s="916" t="s">
        <v>433</v>
      </c>
      <c r="K270" s="607" t="s">
        <v>3808</v>
      </c>
      <c r="L270" s="607" t="s">
        <v>3809</v>
      </c>
      <c r="M270" s="607"/>
      <c r="N270" s="607"/>
      <c r="O270" s="607"/>
      <c r="P270" s="607"/>
      <c r="Q270" s="607"/>
      <c r="R270" s="601"/>
      <c r="S270" s="608"/>
      <c r="T270" s="604"/>
      <c r="U270" s="609"/>
      <c r="V270" s="609"/>
      <c r="W270" s="610"/>
      <c r="X270" s="609"/>
      <c r="Y270" s="609"/>
      <c r="Z270" s="601"/>
      <c r="AA270" s="607" t="s">
        <v>140</v>
      </c>
      <c r="AB270" s="609"/>
      <c r="AC270" s="611" t="s">
        <v>61</v>
      </c>
      <c r="AD270" s="611" t="s">
        <v>61</v>
      </c>
      <c r="AE270" s="611" t="s">
        <v>128</v>
      </c>
      <c r="AF270" s="609"/>
      <c r="AG270" s="607"/>
      <c r="AH270" s="601"/>
      <c r="AI270" s="601"/>
      <c r="AJ270" s="612">
        <f t="shared" ca="1" si="35"/>
        <v>237</v>
      </c>
      <c r="AK270" s="612">
        <f t="shared" ca="1" si="36"/>
        <v>235</v>
      </c>
      <c r="AL270" s="613" t="str">
        <f t="shared" si="37"/>
        <v>In touch - Positive</v>
      </c>
      <c r="AM270" s="614">
        <v>45427</v>
      </c>
      <c r="AN270" s="777">
        <v>45429</v>
      </c>
      <c r="AO270" s="615" t="s">
        <v>65</v>
      </c>
      <c r="AP270" s="38"/>
      <c r="AQ270" s="615">
        <v>45429</v>
      </c>
      <c r="AR270" s="616" t="s">
        <v>1818</v>
      </c>
      <c r="AS270" s="615">
        <v>45429</v>
      </c>
      <c r="AT270" s="904"/>
      <c r="AU270" s="905"/>
      <c r="AV270" s="905"/>
      <c r="AW270" s="905"/>
      <c r="AX270" s="905"/>
      <c r="AY270" s="905"/>
      <c r="AZ270" s="905"/>
      <c r="BA270" s="905"/>
      <c r="BB270" s="905"/>
      <c r="BC270" s="905"/>
    </row>
    <row r="271" spans="1:55" s="271" customFormat="1" x14ac:dyDescent="0.35">
      <c r="B271" s="16" cm="1">
        <f t="array" ref="B271">+_xlfn.IFS(D271="In Touch - Positive",2,D271="Pending",1,D271="No Answer",4,D271="In Touch - Negative",3)</f>
        <v>2</v>
      </c>
      <c r="C271" s="16" t="s">
        <v>3609</v>
      </c>
      <c r="D271" s="99" t="str">
        <f t="shared" si="34"/>
        <v>In touch - Positive</v>
      </c>
      <c r="E271" s="12" t="s">
        <v>3628</v>
      </c>
      <c r="F271" s="20"/>
      <c r="G271" s="13" t="s">
        <v>103</v>
      </c>
      <c r="H271" s="14" t="s">
        <v>3629</v>
      </c>
      <c r="I271" s="13"/>
      <c r="J271" s="915" t="s">
        <v>83</v>
      </c>
      <c r="K271" s="15" t="s">
        <v>3630</v>
      </c>
      <c r="L271" s="15"/>
      <c r="M271" s="15"/>
      <c r="N271" s="15"/>
      <c r="O271" s="15"/>
      <c r="P271" s="15"/>
      <c r="Q271" s="15"/>
      <c r="R271" s="16"/>
      <c r="S271" s="35"/>
      <c r="T271" s="13"/>
      <c r="U271" s="17"/>
      <c r="V271" s="17"/>
      <c r="W271" s="248" t="e">
        <f>+V271/U271</f>
        <v>#DIV/0!</v>
      </c>
      <c r="X271" s="17"/>
      <c r="Y271" s="17"/>
      <c r="Z271" s="16"/>
      <c r="AA271" s="15" t="s">
        <v>140</v>
      </c>
      <c r="AB271" s="17"/>
      <c r="AC271" s="17" t="s">
        <v>61</v>
      </c>
      <c r="AD271" s="21" t="s">
        <v>153</v>
      </c>
      <c r="AE271" s="21" t="s">
        <v>62</v>
      </c>
      <c r="AF271" s="17"/>
      <c r="AG271" s="15"/>
      <c r="AH271" s="16"/>
      <c r="AI271" s="16"/>
      <c r="AJ271" s="42">
        <f t="shared" ca="1" si="35"/>
        <v>259</v>
      </c>
      <c r="AK271" s="42">
        <f t="shared" ca="1" si="36"/>
        <v>259</v>
      </c>
      <c r="AL271" s="130" t="str">
        <f t="shared" si="37"/>
        <v>In touch - Positive</v>
      </c>
      <c r="AM271" s="37">
        <v>45405</v>
      </c>
      <c r="AN271" s="38"/>
      <c r="AO271" s="38"/>
      <c r="AP271" s="449">
        <v>45425</v>
      </c>
      <c r="AQ271" s="38">
        <v>45427</v>
      </c>
      <c r="AR271" s="101" t="s">
        <v>1818</v>
      </c>
      <c r="AS271" s="38">
        <v>45405</v>
      </c>
      <c r="AT271" s="23"/>
    </row>
    <row r="272" spans="1:55" s="271" customFormat="1" x14ac:dyDescent="0.35">
      <c r="B272" s="463" cm="1">
        <f t="array" ref="B272">+_xlfn.IFS(D272="In Touch - Positive",2,D272="Pending",1,D272="No Answer",4,D272="In Touch - Negative",3)</f>
        <v>2</v>
      </c>
      <c r="C272" s="463" t="s">
        <v>3548</v>
      </c>
      <c r="D272" s="464" t="str">
        <f t="shared" si="34"/>
        <v>In touch - Positive</v>
      </c>
      <c r="E272" s="476" t="s">
        <v>3549</v>
      </c>
      <c r="F272" s="465"/>
      <c r="G272" s="466" t="s">
        <v>215</v>
      </c>
      <c r="H272" s="477" t="s">
        <v>3550</v>
      </c>
      <c r="I272" s="466"/>
      <c r="J272" s="917" t="s">
        <v>3548</v>
      </c>
      <c r="K272" s="467" t="s">
        <v>3551</v>
      </c>
      <c r="L272" s="467" t="s">
        <v>3552</v>
      </c>
      <c r="M272" s="467" t="s">
        <v>3552</v>
      </c>
      <c r="N272" s="467" t="s">
        <v>3553</v>
      </c>
      <c r="O272" s="467" t="s">
        <v>3554</v>
      </c>
      <c r="P272" s="467"/>
      <c r="Q272" s="467"/>
      <c r="R272" s="463"/>
      <c r="S272" s="468" t="s">
        <v>77</v>
      </c>
      <c r="T272" s="466">
        <v>2022</v>
      </c>
      <c r="U272" s="469"/>
      <c r="V272" s="469"/>
      <c r="W272" s="470" t="e">
        <f>+V272/U272</f>
        <v>#DIV/0!</v>
      </c>
      <c r="X272" s="469"/>
      <c r="Y272" s="469"/>
      <c r="Z272" s="463"/>
      <c r="AA272" s="467" t="s">
        <v>140</v>
      </c>
      <c r="AB272" s="469"/>
      <c r="AC272" s="478" t="s">
        <v>61</v>
      </c>
      <c r="AD272" s="478" t="s">
        <v>61</v>
      </c>
      <c r="AE272" s="478" t="s">
        <v>79</v>
      </c>
      <c r="AF272" s="469"/>
      <c r="AG272" s="467"/>
      <c r="AH272" s="463"/>
      <c r="AI272" s="463"/>
      <c r="AJ272" s="471">
        <f t="shared" ca="1" si="35"/>
        <v>288</v>
      </c>
      <c r="AK272" s="471">
        <f t="shared" ca="1" si="36"/>
        <v>239</v>
      </c>
      <c r="AL272" s="472" t="str">
        <f t="shared" si="37"/>
        <v>In touch - Positive</v>
      </c>
      <c r="AM272" s="473">
        <v>45376</v>
      </c>
      <c r="AN272" s="38">
        <v>45376</v>
      </c>
      <c r="AO272" s="449">
        <v>45406</v>
      </c>
      <c r="AP272" s="563"/>
      <c r="AQ272" s="449">
        <v>45425</v>
      </c>
      <c r="AR272" s="474" t="s">
        <v>1818</v>
      </c>
      <c r="AS272" s="449">
        <v>45425</v>
      </c>
      <c r="AT272" s="23"/>
    </row>
    <row r="273" spans="1:55" s="271" customFormat="1" x14ac:dyDescent="0.35">
      <c r="A273" s="97"/>
      <c r="B273" s="564" cm="1">
        <f t="array" ref="B273">+_xlfn.IFS(D273="In Touch - Positive",2,D273="Pending",1,D273="No Answer",4,D273="In Touch - Negative",3)</f>
        <v>2</v>
      </c>
      <c r="C273" s="564" t="s">
        <v>57</v>
      </c>
      <c r="D273" s="565" t="str">
        <f t="shared" si="34"/>
        <v>In touch - Positive</v>
      </c>
      <c r="E273" s="566" t="s">
        <v>3642</v>
      </c>
      <c r="F273" s="566"/>
      <c r="G273" s="562" t="s">
        <v>326</v>
      </c>
      <c r="H273" s="567" t="s">
        <v>3645</v>
      </c>
      <c r="I273" s="562"/>
      <c r="J273" s="918" t="s">
        <v>57</v>
      </c>
      <c r="K273" s="568" t="s">
        <v>3643</v>
      </c>
      <c r="L273" s="568"/>
      <c r="M273" s="568"/>
      <c r="N273" s="568"/>
      <c r="O273" s="568"/>
      <c r="P273" s="568"/>
      <c r="Q273" s="568"/>
      <c r="R273" s="564"/>
      <c r="S273" s="569"/>
      <c r="T273" s="562"/>
      <c r="U273" s="570"/>
      <c r="V273" s="570"/>
      <c r="W273" s="571"/>
      <c r="X273" s="570"/>
      <c r="Y273" s="570"/>
      <c r="Z273" s="564"/>
      <c r="AA273" s="568" t="s">
        <v>3644</v>
      </c>
      <c r="AB273" s="570"/>
      <c r="AC273" s="572" t="s">
        <v>61</v>
      </c>
      <c r="AD273" s="572" t="s">
        <v>61</v>
      </c>
      <c r="AE273" s="573" t="s">
        <v>128</v>
      </c>
      <c r="AF273" s="570"/>
      <c r="AG273" s="568"/>
      <c r="AH273" s="564"/>
      <c r="AI273" s="564"/>
      <c r="AJ273" s="574">
        <f t="shared" ca="1" si="35"/>
        <v>245</v>
      </c>
      <c r="AK273" s="574">
        <f t="shared" ca="1" si="36"/>
        <v>245</v>
      </c>
      <c r="AL273" s="575" t="str">
        <f t="shared" si="37"/>
        <v>In touch - Positive</v>
      </c>
      <c r="AM273" s="576">
        <v>45419</v>
      </c>
      <c r="AN273" s="777">
        <v>45419</v>
      </c>
      <c r="AO273" s="563"/>
      <c r="AP273" s="38" t="s">
        <v>65</v>
      </c>
      <c r="AQ273" s="563"/>
      <c r="AR273" s="577" t="s">
        <v>1818</v>
      </c>
      <c r="AS273" s="563">
        <v>45419</v>
      </c>
      <c r="AT273" s="23"/>
    </row>
    <row r="274" spans="1:55" s="271" customFormat="1" x14ac:dyDescent="0.35">
      <c r="A274" s="97"/>
      <c r="B274" s="16" cm="1">
        <f t="array" ref="B274">+_xlfn.IFS(D274="In Touch - Positive",2,D274="Pending",1,D274="No Answer",4,D274="In Touch - Negative",3)</f>
        <v>2</v>
      </c>
      <c r="C274" s="16" t="s">
        <v>3536</v>
      </c>
      <c r="D274" s="99" t="str">
        <f t="shared" si="34"/>
        <v>In touch - Positive</v>
      </c>
      <c r="E274" s="12" t="s">
        <v>3532</v>
      </c>
      <c r="F274" s="12"/>
      <c r="G274" s="13" t="s">
        <v>538</v>
      </c>
      <c r="H274" s="14" t="s">
        <v>3533</v>
      </c>
      <c r="I274" s="14"/>
      <c r="J274" s="915" t="s">
        <v>3539</v>
      </c>
      <c r="K274" s="15" t="s">
        <v>3534</v>
      </c>
      <c r="L274" s="15"/>
      <c r="M274" s="15" t="s">
        <v>3540</v>
      </c>
      <c r="N274" s="15"/>
      <c r="O274" s="15"/>
      <c r="P274" s="15" t="s">
        <v>3540</v>
      </c>
      <c r="Q274" s="15"/>
      <c r="R274" s="16"/>
      <c r="S274" s="35" t="s">
        <v>77</v>
      </c>
      <c r="T274" s="13"/>
      <c r="U274" s="17"/>
      <c r="V274" s="17"/>
      <c r="W274" s="248"/>
      <c r="X274" s="17"/>
      <c r="Y274" s="17"/>
      <c r="Z274" s="16"/>
      <c r="AA274" s="15" t="s">
        <v>140</v>
      </c>
      <c r="AB274" s="17"/>
      <c r="AC274" s="21" t="s">
        <v>78</v>
      </c>
      <c r="AD274" s="21" t="s">
        <v>78</v>
      </c>
      <c r="AE274" s="21" t="s">
        <v>128</v>
      </c>
      <c r="AF274" s="17"/>
      <c r="AG274" s="15"/>
      <c r="AH274" s="16"/>
      <c r="AI274" s="16"/>
      <c r="AJ274" s="42">
        <f t="shared" ca="1" si="35"/>
        <v>288</v>
      </c>
      <c r="AK274" s="42">
        <f t="shared" ca="1" si="36"/>
        <v>280</v>
      </c>
      <c r="AL274" s="130" t="str">
        <f t="shared" si="37"/>
        <v>In touch - Positive</v>
      </c>
      <c r="AM274" s="37">
        <v>45376</v>
      </c>
      <c r="AN274" s="38">
        <v>45384</v>
      </c>
      <c r="AO274" s="38" t="s">
        <v>65</v>
      </c>
      <c r="AP274" s="38"/>
      <c r="AQ274" s="38">
        <v>45384</v>
      </c>
      <c r="AR274" s="101" t="s">
        <v>1818</v>
      </c>
      <c r="AS274" s="38">
        <v>45384</v>
      </c>
      <c r="AT274" s="23"/>
    </row>
    <row r="275" spans="1:55" s="271" customFormat="1" x14ac:dyDescent="0.35">
      <c r="A275" s="889"/>
      <c r="B275" s="16" cm="1">
        <f t="array" ref="B275">+_xlfn.IFS(D275="In Touch - Positive",2,D275="Pending",1,D275="No Answer",4,D275="In Touch - Negative",3)</f>
        <v>2</v>
      </c>
      <c r="C275" s="16" t="s">
        <v>3474</v>
      </c>
      <c r="D275" s="99" t="str">
        <f t="shared" si="34"/>
        <v>In touch - Positive</v>
      </c>
      <c r="E275" s="12" t="s">
        <v>3475</v>
      </c>
      <c r="F275" s="12"/>
      <c r="G275" s="13" t="s">
        <v>174</v>
      </c>
      <c r="H275" s="14" t="s">
        <v>3476</v>
      </c>
      <c r="I275" s="14"/>
      <c r="J275" s="915" t="s">
        <v>1589</v>
      </c>
      <c r="K275" s="15" t="s">
        <v>3477</v>
      </c>
      <c r="L275" s="15" t="s">
        <v>3478</v>
      </c>
      <c r="M275" s="15" t="s">
        <v>3478</v>
      </c>
      <c r="N275" s="15"/>
      <c r="O275" s="15"/>
      <c r="P275" s="15"/>
      <c r="Q275" s="15"/>
      <c r="R275" s="16"/>
      <c r="S275" s="35" t="s">
        <v>77</v>
      </c>
      <c r="T275" s="13">
        <v>2022</v>
      </c>
      <c r="U275" s="17">
        <v>50.055008000000001</v>
      </c>
      <c r="V275" s="17">
        <v>11.616712999999999</v>
      </c>
      <c r="W275" s="248">
        <f t="shared" ref="W275:W281" si="38">+V275/U275</f>
        <v>0.23207893603772869</v>
      </c>
      <c r="X275" s="17"/>
      <c r="Y275" s="17"/>
      <c r="Z275" s="16"/>
      <c r="AA275" s="15" t="s">
        <v>2901</v>
      </c>
      <c r="AB275" s="17"/>
      <c r="AC275" s="21" t="s">
        <v>78</v>
      </c>
      <c r="AD275" s="21" t="s">
        <v>78</v>
      </c>
      <c r="AE275" s="21" t="s">
        <v>79</v>
      </c>
      <c r="AF275" s="17"/>
      <c r="AG275" s="15"/>
      <c r="AH275" s="16"/>
      <c r="AI275" s="16"/>
      <c r="AJ275" s="42">
        <f t="shared" ca="1" si="35"/>
        <v>300</v>
      </c>
      <c r="AK275" s="42">
        <f t="shared" ca="1" si="36"/>
        <v>300</v>
      </c>
      <c r="AL275" s="130" t="str">
        <f t="shared" si="37"/>
        <v>In touch - Positive</v>
      </c>
      <c r="AM275" s="37">
        <v>45364</v>
      </c>
      <c r="AN275" s="777">
        <v>45364</v>
      </c>
      <c r="AO275" s="38"/>
      <c r="AP275" s="38"/>
      <c r="AQ275" s="38"/>
      <c r="AR275" s="101" t="s">
        <v>1818</v>
      </c>
      <c r="AS275" s="38">
        <v>45364</v>
      </c>
      <c r="AT275" s="904"/>
      <c r="AU275" s="905"/>
      <c r="AV275" s="905"/>
      <c r="AW275" s="905"/>
      <c r="AX275" s="905"/>
      <c r="AY275" s="905"/>
      <c r="AZ275" s="905"/>
      <c r="BA275" s="905"/>
      <c r="BB275" s="905"/>
      <c r="BC275" s="905"/>
    </row>
    <row r="276" spans="1:55" s="271" customFormat="1" x14ac:dyDescent="0.35">
      <c r="A276" s="97"/>
      <c r="B276" s="16" cm="1">
        <f t="array" ref="B276">+_xlfn.IFS(D276="In Touch - Positive",2,D276="Pending",1,D276="No Answer",4,D276="In Touch - Negative",3)</f>
        <v>2</v>
      </c>
      <c r="C276" s="16" t="s">
        <v>3474</v>
      </c>
      <c r="D276" s="99" t="str">
        <f t="shared" si="34"/>
        <v>In touch - Positive</v>
      </c>
      <c r="E276" s="12" t="s">
        <v>3479</v>
      </c>
      <c r="F276" s="12"/>
      <c r="G276" s="13" t="s">
        <v>538</v>
      </c>
      <c r="H276" s="14" t="s">
        <v>3480</v>
      </c>
      <c r="I276" s="14"/>
      <c r="J276" s="915" t="s">
        <v>1589</v>
      </c>
      <c r="K276" s="15" t="s">
        <v>3481</v>
      </c>
      <c r="L276" s="15" t="s">
        <v>3482</v>
      </c>
      <c r="M276" s="15" t="s">
        <v>3482</v>
      </c>
      <c r="N276" s="15"/>
      <c r="O276" s="15"/>
      <c r="P276" s="15"/>
      <c r="Q276" s="15"/>
      <c r="R276" s="16"/>
      <c r="S276" s="35" t="s">
        <v>77</v>
      </c>
      <c r="T276" s="13">
        <v>2022</v>
      </c>
      <c r="U276" s="17">
        <v>43.624690000000001</v>
      </c>
      <c r="V276" s="17">
        <v>4.4643490000000003</v>
      </c>
      <c r="W276" s="248">
        <f t="shared" si="38"/>
        <v>0.10233537476140232</v>
      </c>
      <c r="X276" s="17"/>
      <c r="Y276" s="17"/>
      <c r="Z276" s="16"/>
      <c r="AA276" s="15" t="s">
        <v>2901</v>
      </c>
      <c r="AB276" s="17"/>
      <c r="AC276" s="21" t="s">
        <v>78</v>
      </c>
      <c r="AD276" s="21" t="s">
        <v>78</v>
      </c>
      <c r="AE276" s="21" t="s">
        <v>79</v>
      </c>
      <c r="AF276" s="17"/>
      <c r="AG276" s="15"/>
      <c r="AH276" s="16"/>
      <c r="AI276" s="16"/>
      <c r="AJ276" s="42">
        <f t="shared" ca="1" si="35"/>
        <v>300</v>
      </c>
      <c r="AK276" s="42">
        <f t="shared" ca="1" si="36"/>
        <v>300</v>
      </c>
      <c r="AL276" s="130" t="str">
        <f t="shared" si="37"/>
        <v>In touch - Positive</v>
      </c>
      <c r="AM276" s="37">
        <v>45364</v>
      </c>
      <c r="AN276" s="777">
        <v>45364</v>
      </c>
      <c r="AO276" s="38"/>
      <c r="AP276" s="38"/>
      <c r="AQ276" s="38"/>
      <c r="AR276" s="101" t="s">
        <v>1818</v>
      </c>
      <c r="AS276" s="38">
        <v>45364</v>
      </c>
      <c r="AT276" s="23"/>
    </row>
    <row r="277" spans="1:55" s="271" customFormat="1" x14ac:dyDescent="0.35">
      <c r="A277" s="1131"/>
      <c r="B277" s="16" cm="1">
        <f t="array" ref="B277">+_xlfn.IFS(D277="In Touch - Positive",2,D277="Pending",1,D277="No Answer",4,D277="In Touch - Negative",3)</f>
        <v>2</v>
      </c>
      <c r="C277" s="16" t="s">
        <v>3474</v>
      </c>
      <c r="D277" s="99" t="str">
        <f t="shared" si="34"/>
        <v>In touch - Positive</v>
      </c>
      <c r="E277" s="12" t="s">
        <v>3483</v>
      </c>
      <c r="F277" s="12"/>
      <c r="G277" s="13" t="s">
        <v>278</v>
      </c>
      <c r="H277" s="14" t="s">
        <v>3484</v>
      </c>
      <c r="I277" s="14"/>
      <c r="J277" s="915" t="s">
        <v>1589</v>
      </c>
      <c r="K277" s="15" t="s">
        <v>3485</v>
      </c>
      <c r="L277" s="15" t="s">
        <v>3486</v>
      </c>
      <c r="M277" s="15" t="s">
        <v>3486</v>
      </c>
      <c r="N277" s="15"/>
      <c r="O277" s="15"/>
      <c r="P277" s="15"/>
      <c r="Q277" s="15"/>
      <c r="R277" s="16"/>
      <c r="S277" s="35" t="s">
        <v>77</v>
      </c>
      <c r="T277" s="13">
        <v>2022</v>
      </c>
      <c r="U277" s="17">
        <v>19.718281999999999</v>
      </c>
      <c r="V277" s="17">
        <v>2.3293539999999999</v>
      </c>
      <c r="W277" s="248">
        <f t="shared" si="38"/>
        <v>0.11813169118891799</v>
      </c>
      <c r="X277" s="17"/>
      <c r="Y277" s="17"/>
      <c r="Z277" s="16"/>
      <c r="AA277" s="15" t="s">
        <v>2901</v>
      </c>
      <c r="AB277" s="17"/>
      <c r="AC277" s="21" t="s">
        <v>78</v>
      </c>
      <c r="AD277" s="21" t="s">
        <v>78</v>
      </c>
      <c r="AE277" s="21" t="s">
        <v>79</v>
      </c>
      <c r="AF277" s="17"/>
      <c r="AG277" s="15"/>
      <c r="AH277" s="16"/>
      <c r="AI277" s="16"/>
      <c r="AJ277" s="42">
        <f t="shared" ca="1" si="35"/>
        <v>300</v>
      </c>
      <c r="AK277" s="42">
        <f t="shared" ca="1" si="36"/>
        <v>300</v>
      </c>
      <c r="AL277" s="130" t="str">
        <f t="shared" si="37"/>
        <v>In touch - Positive</v>
      </c>
      <c r="AM277" s="37">
        <v>45364</v>
      </c>
      <c r="AN277" s="777">
        <v>45364</v>
      </c>
      <c r="AO277" s="38"/>
      <c r="AP277" s="38"/>
      <c r="AQ277" s="38"/>
      <c r="AR277" s="101" t="s">
        <v>1818</v>
      </c>
      <c r="AS277" s="38">
        <v>45364</v>
      </c>
      <c r="AT277" s="1127"/>
      <c r="AU277" s="1137"/>
      <c r="AV277" s="1137"/>
      <c r="AW277" s="1137"/>
      <c r="AX277" s="1137"/>
      <c r="AY277" s="1137"/>
      <c r="AZ277" s="1137"/>
      <c r="BA277" s="1137"/>
      <c r="BB277" s="1137"/>
      <c r="BC277" s="1137"/>
    </row>
    <row r="278" spans="1:55" s="271" customFormat="1" x14ac:dyDescent="0.35">
      <c r="A278" s="1131"/>
      <c r="B278" s="16" cm="1">
        <f t="array" ref="B278">+_xlfn.IFS(D278="In Touch - Positive",2,D278="Pending",1,D278="No Answer",4,D278="In Touch - Negative",3)</f>
        <v>2</v>
      </c>
      <c r="C278" s="16" t="s">
        <v>3474</v>
      </c>
      <c r="D278" s="99" t="str">
        <f t="shared" si="34"/>
        <v>In touch - Positive</v>
      </c>
      <c r="E278" s="12" t="s">
        <v>3487</v>
      </c>
      <c r="F278" s="12"/>
      <c r="G278" s="13" t="s">
        <v>166</v>
      </c>
      <c r="H278" s="14" t="s">
        <v>3488</v>
      </c>
      <c r="I278" s="14"/>
      <c r="J278" s="915" t="s">
        <v>1589</v>
      </c>
      <c r="K278" s="15" t="s">
        <v>3489</v>
      </c>
      <c r="L278" s="15" t="s">
        <v>3490</v>
      </c>
      <c r="M278" s="15"/>
      <c r="N278" s="15"/>
      <c r="O278" s="15"/>
      <c r="P278" s="15"/>
      <c r="Q278" s="15"/>
      <c r="R278" s="16"/>
      <c r="S278" s="35" t="s">
        <v>77</v>
      </c>
      <c r="T278" s="13">
        <v>2022</v>
      </c>
      <c r="U278" s="17">
        <v>19.304206999999998</v>
      </c>
      <c r="V278" s="17">
        <v>2.6680070000000002</v>
      </c>
      <c r="W278" s="248">
        <f t="shared" si="38"/>
        <v>0.13820857805762238</v>
      </c>
      <c r="X278" s="17"/>
      <c r="Y278" s="17"/>
      <c r="Z278" s="16"/>
      <c r="AA278" s="15" t="s">
        <v>2901</v>
      </c>
      <c r="AB278" s="17"/>
      <c r="AC278" s="21" t="s">
        <v>78</v>
      </c>
      <c r="AD278" s="21" t="s">
        <v>78</v>
      </c>
      <c r="AE278" s="21" t="s">
        <v>79</v>
      </c>
      <c r="AF278" s="17"/>
      <c r="AG278" s="15"/>
      <c r="AH278" s="16"/>
      <c r="AI278" s="16"/>
      <c r="AJ278" s="42">
        <f t="shared" ca="1" si="35"/>
        <v>300</v>
      </c>
      <c r="AK278" s="42">
        <f t="shared" ca="1" si="36"/>
        <v>300</v>
      </c>
      <c r="AL278" s="130" t="str">
        <f t="shared" si="37"/>
        <v>In touch - Positive</v>
      </c>
      <c r="AM278" s="37">
        <v>45364</v>
      </c>
      <c r="AN278" s="777">
        <v>45364</v>
      </c>
      <c r="AO278" s="38"/>
      <c r="AP278" s="38"/>
      <c r="AQ278" s="38"/>
      <c r="AR278" s="101" t="s">
        <v>1818</v>
      </c>
      <c r="AS278" s="38">
        <v>45364</v>
      </c>
      <c r="AT278" s="1127"/>
      <c r="AU278" s="1137"/>
      <c r="AV278" s="1137"/>
      <c r="AW278" s="1137"/>
      <c r="AX278" s="1137"/>
      <c r="AY278" s="1137"/>
      <c r="AZ278" s="1137"/>
      <c r="BA278" s="1137"/>
      <c r="BB278" s="1137"/>
      <c r="BC278" s="1137"/>
    </row>
    <row r="279" spans="1:55" s="271" customFormat="1" x14ac:dyDescent="0.35">
      <c r="A279" s="1131"/>
      <c r="B279" s="16" cm="1">
        <f t="array" ref="B279">+_xlfn.IFS(D279="In Touch - Positive",2,D279="Pending",1,D279="No Answer",4,D279="In Touch - Negative",3)</f>
        <v>2</v>
      </c>
      <c r="C279" s="16" t="s">
        <v>3474</v>
      </c>
      <c r="D279" s="99" t="str">
        <f t="shared" si="34"/>
        <v>In touch - Positive</v>
      </c>
      <c r="E279" s="12" t="s">
        <v>3491</v>
      </c>
      <c r="F279" s="12"/>
      <c r="G279" s="13" t="s">
        <v>103</v>
      </c>
      <c r="H279" s="14" t="s">
        <v>3492</v>
      </c>
      <c r="I279" s="14"/>
      <c r="J279" s="915" t="s">
        <v>1589</v>
      </c>
      <c r="K279" s="15" t="s">
        <v>3489</v>
      </c>
      <c r="L279" s="15" t="s">
        <v>3493</v>
      </c>
      <c r="M279" s="15" t="s">
        <v>3493</v>
      </c>
      <c r="N279" s="15"/>
      <c r="O279" s="15"/>
      <c r="P279" s="15"/>
      <c r="Q279" s="15"/>
      <c r="R279" s="16"/>
      <c r="S279" s="35" t="s">
        <v>77</v>
      </c>
      <c r="T279" s="13">
        <v>2022</v>
      </c>
      <c r="U279" s="17">
        <v>18.828254000000001</v>
      </c>
      <c r="V279" s="17">
        <v>3.2254200000000002</v>
      </c>
      <c r="W279" s="248">
        <f t="shared" si="38"/>
        <v>0.17130744040313031</v>
      </c>
      <c r="X279" s="17"/>
      <c r="Y279" s="17"/>
      <c r="Z279" s="16"/>
      <c r="AA279" s="15" t="s">
        <v>2901</v>
      </c>
      <c r="AB279" s="17"/>
      <c r="AC279" s="21" t="s">
        <v>78</v>
      </c>
      <c r="AD279" s="21" t="s">
        <v>78</v>
      </c>
      <c r="AE279" s="21" t="s">
        <v>79</v>
      </c>
      <c r="AF279" s="17"/>
      <c r="AG279" s="15"/>
      <c r="AH279" s="16"/>
      <c r="AI279" s="16"/>
      <c r="AJ279" s="42">
        <f t="shared" ca="1" si="35"/>
        <v>300</v>
      </c>
      <c r="AK279" s="42">
        <f t="shared" ca="1" si="36"/>
        <v>300</v>
      </c>
      <c r="AL279" s="130" t="str">
        <f t="shared" si="37"/>
        <v>In touch - Positive</v>
      </c>
      <c r="AM279" s="37">
        <v>45364</v>
      </c>
      <c r="AN279" s="777">
        <v>45364</v>
      </c>
      <c r="AO279" s="38"/>
      <c r="AP279" s="38"/>
      <c r="AQ279" s="38"/>
      <c r="AR279" s="101" t="s">
        <v>1818</v>
      </c>
      <c r="AS279" s="38">
        <v>45364</v>
      </c>
      <c r="AT279" s="1127"/>
      <c r="AU279" s="1137"/>
      <c r="AV279" s="1137"/>
      <c r="AW279" s="1137"/>
      <c r="AX279" s="1137"/>
      <c r="AY279" s="1137"/>
      <c r="AZ279" s="1137"/>
      <c r="BA279" s="1137"/>
      <c r="BB279" s="1137"/>
      <c r="BC279" s="1137"/>
    </row>
    <row r="280" spans="1:55" s="271" customFormat="1" x14ac:dyDescent="0.35">
      <c r="A280" s="97"/>
      <c r="B280" s="16" cm="1">
        <f t="array" ref="B280">+_xlfn.IFS(D280="In Touch - Positive",2,D280="Pending",1,D280="No Answer",4,D280="In Touch - Negative",3)</f>
        <v>2</v>
      </c>
      <c r="C280" s="16" t="s">
        <v>3474</v>
      </c>
      <c r="D280" s="99" t="str">
        <f t="shared" si="34"/>
        <v>In touch - Positive</v>
      </c>
      <c r="E280" s="12" t="s">
        <v>3494</v>
      </c>
      <c r="F280" s="12"/>
      <c r="G280" s="13" t="s">
        <v>386</v>
      </c>
      <c r="H280" s="14"/>
      <c r="I280" s="14"/>
      <c r="J280" s="915" t="s">
        <v>1589</v>
      </c>
      <c r="K280" s="15" t="s">
        <v>3495</v>
      </c>
      <c r="L280" s="15" t="s">
        <v>3496</v>
      </c>
      <c r="M280" s="15" t="s">
        <v>3496</v>
      </c>
      <c r="N280" s="15"/>
      <c r="O280" s="15"/>
      <c r="P280" s="15"/>
      <c r="Q280" s="15"/>
      <c r="R280" s="16"/>
      <c r="S280" s="35" t="s">
        <v>77</v>
      </c>
      <c r="T280" s="13">
        <v>2022</v>
      </c>
      <c r="U280" s="17">
        <v>55.771999999999998</v>
      </c>
      <c r="V280" s="17">
        <v>5.9269999999999996</v>
      </c>
      <c r="W280" s="248">
        <f t="shared" si="38"/>
        <v>0.10627196442659398</v>
      </c>
      <c r="X280" s="17"/>
      <c r="Y280" s="17"/>
      <c r="Z280" s="16"/>
      <c r="AA280" s="15" t="s">
        <v>2901</v>
      </c>
      <c r="AB280" s="17"/>
      <c r="AC280" s="21" t="s">
        <v>78</v>
      </c>
      <c r="AD280" s="21" t="s">
        <v>78</v>
      </c>
      <c r="AE280" s="21" t="s">
        <v>79</v>
      </c>
      <c r="AF280" s="17"/>
      <c r="AG280" s="15"/>
      <c r="AH280" s="16"/>
      <c r="AI280" s="16"/>
      <c r="AJ280" s="42">
        <f t="shared" ca="1" si="35"/>
        <v>300</v>
      </c>
      <c r="AK280" s="42">
        <f t="shared" ca="1" si="36"/>
        <v>300</v>
      </c>
      <c r="AL280" s="130" t="str">
        <f t="shared" si="37"/>
        <v>In touch - Positive</v>
      </c>
      <c r="AM280" s="37">
        <v>45364</v>
      </c>
      <c r="AN280" s="777">
        <v>45364</v>
      </c>
      <c r="AO280" s="38"/>
      <c r="AP280" s="38"/>
      <c r="AQ280" s="38"/>
      <c r="AR280" s="101" t="s">
        <v>1818</v>
      </c>
      <c r="AS280" s="38">
        <v>45364</v>
      </c>
      <c r="AT280" s="23"/>
    </row>
    <row r="281" spans="1:55" s="271" customFormat="1" x14ac:dyDescent="0.35">
      <c r="B281" s="16" cm="1">
        <f t="array" ref="B281">+_xlfn.IFS(D281="In Touch - Positive",2,D281="Pending",1,D281="No Answer",4,D281="In Touch - Negative",3)</f>
        <v>2</v>
      </c>
      <c r="C281" s="16" t="s">
        <v>3474</v>
      </c>
      <c r="D281" s="99" t="str">
        <f t="shared" si="34"/>
        <v>In touch - Positive</v>
      </c>
      <c r="E281" s="12" t="s">
        <v>3497</v>
      </c>
      <c r="F281" s="12"/>
      <c r="G281" s="13" t="s">
        <v>288</v>
      </c>
      <c r="H281" s="14"/>
      <c r="I281" s="14"/>
      <c r="J281" s="915" t="s">
        <v>1589</v>
      </c>
      <c r="K281" s="15" t="s">
        <v>3498</v>
      </c>
      <c r="L281" s="15" t="s">
        <v>3499</v>
      </c>
      <c r="M281" s="15" t="s">
        <v>3499</v>
      </c>
      <c r="N281" s="15"/>
      <c r="O281" s="15"/>
      <c r="P281" s="15"/>
      <c r="Q281" s="15"/>
      <c r="R281" s="16"/>
      <c r="S281" s="35" t="s">
        <v>77</v>
      </c>
      <c r="T281" s="13">
        <v>2022</v>
      </c>
      <c r="U281" s="17">
        <v>54.591000000000001</v>
      </c>
      <c r="V281" s="17">
        <v>5.0389999999999997</v>
      </c>
      <c r="W281" s="248">
        <f t="shared" si="38"/>
        <v>9.2304592332069377E-2</v>
      </c>
      <c r="X281" s="17"/>
      <c r="Y281" s="17"/>
      <c r="Z281" s="16"/>
      <c r="AA281" s="15" t="s">
        <v>2901</v>
      </c>
      <c r="AB281" s="17"/>
      <c r="AC281" s="21" t="s">
        <v>78</v>
      </c>
      <c r="AD281" s="21" t="s">
        <v>78</v>
      </c>
      <c r="AE281" s="21" t="s">
        <v>79</v>
      </c>
      <c r="AF281" s="17"/>
      <c r="AG281" s="15"/>
      <c r="AH281" s="16"/>
      <c r="AI281" s="16"/>
      <c r="AJ281" s="42">
        <f t="shared" ca="1" si="35"/>
        <v>300</v>
      </c>
      <c r="AK281" s="42">
        <f t="shared" ca="1" si="36"/>
        <v>300</v>
      </c>
      <c r="AL281" s="130" t="str">
        <f t="shared" si="37"/>
        <v>In touch - Positive</v>
      </c>
      <c r="AM281" s="37">
        <v>45364</v>
      </c>
      <c r="AN281" s="777">
        <v>45364</v>
      </c>
      <c r="AO281" s="38"/>
      <c r="AP281" s="38" t="s">
        <v>65</v>
      </c>
      <c r="AQ281" s="38"/>
      <c r="AR281" s="101" t="s">
        <v>1818</v>
      </c>
      <c r="AS281" s="38">
        <v>45364</v>
      </c>
      <c r="AT281" s="853"/>
    </row>
    <row r="282" spans="1:55" s="271" customFormat="1" x14ac:dyDescent="0.35">
      <c r="A282" s="97"/>
      <c r="B282" s="231" cm="1">
        <f t="array" ref="B282">+_xlfn.IFS(D282="In Touch - Positive",2,D282="Pending",1,D282="No Answer",4,D282="In Touch - Negative",3)</f>
        <v>2</v>
      </c>
      <c r="C282" s="16" t="s">
        <v>3175</v>
      </c>
      <c r="D282" s="232" t="str">
        <f t="shared" si="34"/>
        <v>In touch - Positive</v>
      </c>
      <c r="E282" s="12" t="s">
        <v>3243</v>
      </c>
      <c r="F282" s="233"/>
      <c r="G282" s="13" t="s">
        <v>2288</v>
      </c>
      <c r="H282" s="235"/>
      <c r="I282" s="234"/>
      <c r="J282" s="915" t="s">
        <v>1839</v>
      </c>
      <c r="K282" s="15" t="s">
        <v>3244</v>
      </c>
      <c r="L282" s="15" t="s">
        <v>3301</v>
      </c>
      <c r="M282" s="237"/>
      <c r="N282" s="237"/>
      <c r="O282" s="237"/>
      <c r="P282" s="237"/>
      <c r="Q282" s="237"/>
      <c r="R282" s="231"/>
      <c r="S282" s="238"/>
      <c r="T282" s="234">
        <v>2023</v>
      </c>
      <c r="U282" s="239"/>
      <c r="V282" s="239"/>
      <c r="W282" s="248"/>
      <c r="X282" s="239"/>
      <c r="Y282" s="239"/>
      <c r="Z282" s="231"/>
      <c r="AA282" s="237" t="s">
        <v>140</v>
      </c>
      <c r="AB282" s="239"/>
      <c r="AC282" s="21" t="s">
        <v>78</v>
      </c>
      <c r="AD282" s="21" t="s">
        <v>78</v>
      </c>
      <c r="AE282" s="21" t="s">
        <v>128</v>
      </c>
      <c r="AF282" s="239"/>
      <c r="AG282" s="237"/>
      <c r="AH282" s="231"/>
      <c r="AI282" s="231"/>
      <c r="AJ282" s="242">
        <f t="shared" ca="1" si="35"/>
        <v>341</v>
      </c>
      <c r="AK282" s="242">
        <f t="shared" ca="1" si="36"/>
        <v>329</v>
      </c>
      <c r="AL282" s="243" t="str">
        <f t="shared" si="37"/>
        <v>In touch - Positive</v>
      </c>
      <c r="AM282" s="244">
        <v>45323</v>
      </c>
      <c r="AN282" s="777">
        <v>45331</v>
      </c>
      <c r="AO282" s="38" t="s">
        <v>65</v>
      </c>
      <c r="AP282" s="411" t="s">
        <v>65</v>
      </c>
      <c r="AQ282" s="38" t="s">
        <v>65</v>
      </c>
      <c r="AR282" s="246" t="s">
        <v>1818</v>
      </c>
      <c r="AS282" s="245">
        <v>45335</v>
      </c>
      <c r="AT282" s="23"/>
    </row>
    <row r="283" spans="1:55" s="271" customFormat="1" x14ac:dyDescent="0.35">
      <c r="A283" s="97"/>
      <c r="B283" s="398" cm="1">
        <f t="array" ref="B283">+_xlfn.IFS(D283="In Touch - Positive",2,D283="Pending",1,D283="No Answer",4,D283="In Touch - Negative",3)</f>
        <v>2</v>
      </c>
      <c r="C283" s="398" t="s">
        <v>3175</v>
      </c>
      <c r="D283" s="399" t="str">
        <f t="shared" si="34"/>
        <v>In touch - Positive</v>
      </c>
      <c r="E283" s="400" t="s">
        <v>3298</v>
      </c>
      <c r="F283" s="400"/>
      <c r="G283" s="401" t="s">
        <v>1309</v>
      </c>
      <c r="H283" s="402"/>
      <c r="I283" s="401"/>
      <c r="J283" s="919" t="s">
        <v>251</v>
      </c>
      <c r="K283" s="403" t="s">
        <v>3299</v>
      </c>
      <c r="L283" s="403" t="s">
        <v>3300</v>
      </c>
      <c r="M283" s="403"/>
      <c r="N283" s="403"/>
      <c r="O283" s="403"/>
      <c r="P283" s="403"/>
      <c r="Q283" s="403"/>
      <c r="R283" s="398"/>
      <c r="S283" s="404"/>
      <c r="T283" s="401">
        <v>2023</v>
      </c>
      <c r="U283" s="405">
        <v>300</v>
      </c>
      <c r="V283" s="405">
        <v>30</v>
      </c>
      <c r="W283" s="406">
        <f>V283/U283</f>
        <v>0.1</v>
      </c>
      <c r="X283" s="405"/>
      <c r="Y283" s="405"/>
      <c r="Z283" s="398"/>
      <c r="AA283" s="403" t="s">
        <v>140</v>
      </c>
      <c r="AB283" s="405"/>
      <c r="AC283" s="407" t="s">
        <v>78</v>
      </c>
      <c r="AD283" s="407" t="s">
        <v>78</v>
      </c>
      <c r="AE283" s="407" t="s">
        <v>128</v>
      </c>
      <c r="AF283" s="405"/>
      <c r="AG283" s="403"/>
      <c r="AH283" s="398"/>
      <c r="AI283" s="398"/>
      <c r="AJ283" s="408">
        <f t="shared" ca="1" si="35"/>
        <v>341</v>
      </c>
      <c r="AK283" s="408">
        <f t="shared" ca="1" si="36"/>
        <v>329</v>
      </c>
      <c r="AL283" s="409" t="str">
        <f t="shared" si="37"/>
        <v>In touch - Positive</v>
      </c>
      <c r="AM283" s="410">
        <v>45323</v>
      </c>
      <c r="AN283" s="777">
        <v>45331</v>
      </c>
      <c r="AO283" s="411" t="s">
        <v>65</v>
      </c>
      <c r="AP283" s="245"/>
      <c r="AQ283" s="411" t="s">
        <v>65</v>
      </c>
      <c r="AR283" s="412" t="s">
        <v>1818</v>
      </c>
      <c r="AS283" s="411">
        <v>45335</v>
      </c>
      <c r="AT283" s="23"/>
    </row>
    <row r="284" spans="1:55" s="271" customFormat="1" x14ac:dyDescent="0.35">
      <c r="A284" s="97"/>
      <c r="B284" s="231" cm="1">
        <f t="array" ref="B284">+_xlfn.IFS(D284="In Touch - Positive",2,D284="Pending",1,D284="No Answer",4,D284="In Touch - Negative",3)</f>
        <v>2</v>
      </c>
      <c r="C284" s="231" t="s">
        <v>2800</v>
      </c>
      <c r="D284" s="232" t="str">
        <f t="shared" si="34"/>
        <v>In touch - Positive</v>
      </c>
      <c r="E284" s="233" t="s">
        <v>2987</v>
      </c>
      <c r="F284" s="233"/>
      <c r="G284" s="234" t="s">
        <v>572</v>
      </c>
      <c r="H284" s="235" t="s">
        <v>3001</v>
      </c>
      <c r="I284" s="234"/>
      <c r="J284" s="920" t="s">
        <v>3011</v>
      </c>
      <c r="K284" s="237"/>
      <c r="L284" s="237" t="s">
        <v>3017</v>
      </c>
      <c r="M284" s="237"/>
      <c r="N284" s="237"/>
      <c r="O284" s="237"/>
      <c r="P284" s="237"/>
      <c r="Q284" s="237"/>
      <c r="R284" s="231"/>
      <c r="S284" s="238"/>
      <c r="T284" s="234">
        <v>2022</v>
      </c>
      <c r="U284" s="239">
        <v>273.60000000000002</v>
      </c>
      <c r="V284" s="239">
        <v>75.25</v>
      </c>
      <c r="W284" s="248">
        <f>+V284/U284</f>
        <v>0.27503654970760233</v>
      </c>
      <c r="X284" s="239"/>
      <c r="Y284" s="239"/>
      <c r="Z284" s="231"/>
      <c r="AA284" s="237" t="s">
        <v>140</v>
      </c>
      <c r="AB284" s="239"/>
      <c r="AC284" s="241" t="s">
        <v>153</v>
      </c>
      <c r="AD284" s="241" t="s">
        <v>153</v>
      </c>
      <c r="AE284" s="241" t="s">
        <v>273</v>
      </c>
      <c r="AF284" s="239"/>
      <c r="AG284" s="237"/>
      <c r="AH284" s="231"/>
      <c r="AI284" s="231"/>
      <c r="AJ284" s="242">
        <f t="shared" ca="1" si="35"/>
        <v>341</v>
      </c>
      <c r="AK284" s="242">
        <f t="shared" ca="1" si="36"/>
        <v>335</v>
      </c>
      <c r="AL284" s="243" t="str">
        <f t="shared" si="37"/>
        <v>In touch - Positive</v>
      </c>
      <c r="AM284" s="244">
        <v>45323</v>
      </c>
      <c r="AN284" s="777">
        <v>45329</v>
      </c>
      <c r="AO284" s="245"/>
      <c r="AP284" s="38"/>
      <c r="AQ284" s="245"/>
      <c r="AR284" s="246" t="s">
        <v>1818</v>
      </c>
      <c r="AS284" s="245">
        <v>45329</v>
      </c>
      <c r="AT284" s="23"/>
    </row>
    <row r="285" spans="1:55" s="271" customFormat="1" x14ac:dyDescent="0.35">
      <c r="B285" s="16" cm="1">
        <f t="array" ref="B285">+_xlfn.IFS(D285="In Touch - Positive",2,D285="Pending",1,D285="No Answer",4,D285="In Touch - Negative",3)</f>
        <v>2</v>
      </c>
      <c r="C285" s="16" t="s">
        <v>2745</v>
      </c>
      <c r="D285" s="99" t="str">
        <f t="shared" si="34"/>
        <v>In touch - Positive</v>
      </c>
      <c r="E285" s="12" t="s">
        <v>2761</v>
      </c>
      <c r="F285" s="12"/>
      <c r="G285" s="13" t="s">
        <v>760</v>
      </c>
      <c r="H285" s="14"/>
      <c r="I285" s="13"/>
      <c r="J285" s="915" t="s">
        <v>2772</v>
      </c>
      <c r="K285" s="15"/>
      <c r="L285" s="15" t="s">
        <v>2786</v>
      </c>
      <c r="M285" s="15"/>
      <c r="N285" s="15"/>
      <c r="O285" s="15"/>
      <c r="P285" s="15"/>
      <c r="Q285" s="15"/>
      <c r="R285" s="16"/>
      <c r="S285" s="35"/>
      <c r="T285" s="13">
        <v>2022</v>
      </c>
      <c r="U285" s="17">
        <v>34.868000000000002</v>
      </c>
      <c r="V285" s="17">
        <v>3.5209999999999999</v>
      </c>
      <c r="W285" s="248">
        <f>+V285/U285</f>
        <v>0.10098084203280945</v>
      </c>
      <c r="X285" s="17"/>
      <c r="Y285" s="17"/>
      <c r="Z285" s="16"/>
      <c r="AA285" s="15" t="s">
        <v>140</v>
      </c>
      <c r="AB285" s="17"/>
      <c r="AC285" s="21" t="s">
        <v>153</v>
      </c>
      <c r="AD285" s="21" t="s">
        <v>153</v>
      </c>
      <c r="AE285" s="21"/>
      <c r="AF285" s="17"/>
      <c r="AG285" s="15"/>
      <c r="AH285" s="16"/>
      <c r="AI285" s="16"/>
      <c r="AJ285" s="42">
        <f t="shared" ca="1" si="35"/>
        <v>355</v>
      </c>
      <c r="AK285" s="42">
        <f t="shared" ca="1" si="36"/>
        <v>347</v>
      </c>
      <c r="AL285" s="130" t="str">
        <f t="shared" si="37"/>
        <v>In touch - Positive</v>
      </c>
      <c r="AM285" s="37">
        <v>45309</v>
      </c>
      <c r="AN285" s="38">
        <v>45316</v>
      </c>
      <c r="AO285" s="38" t="s">
        <v>65</v>
      </c>
      <c r="AP285" s="38" t="s">
        <v>65</v>
      </c>
      <c r="AQ285" s="38">
        <v>45317</v>
      </c>
      <c r="AR285" s="101" t="s">
        <v>1818</v>
      </c>
      <c r="AS285" s="38">
        <v>45317</v>
      </c>
      <c r="AT285" s="904"/>
      <c r="AU285" s="905"/>
      <c r="AV285" s="905"/>
      <c r="AW285" s="905"/>
      <c r="AX285" s="905"/>
      <c r="AY285" s="905"/>
      <c r="AZ285" s="905"/>
      <c r="BA285" s="905"/>
      <c r="BB285" s="905"/>
      <c r="BC285" s="905"/>
    </row>
    <row r="286" spans="1:55" s="271" customFormat="1" x14ac:dyDescent="0.35">
      <c r="A286" s="889"/>
      <c r="B286" s="16" cm="1">
        <f t="array" ref="B286">+_xlfn.IFS(D286="In Touch - Positive",2,D286="Pending",1,D286="No Answer",4,D286="In Touch - Negative",3)</f>
        <v>2</v>
      </c>
      <c r="C286" s="16" t="s">
        <v>2745</v>
      </c>
      <c r="D286" s="99" t="str">
        <f t="shared" si="34"/>
        <v>In touch - Positive</v>
      </c>
      <c r="E286" s="249" t="s">
        <v>2764</v>
      </c>
      <c r="F286" s="12"/>
      <c r="G286" s="13" t="s">
        <v>288</v>
      </c>
      <c r="H286" s="14"/>
      <c r="I286" s="13"/>
      <c r="J286" s="915" t="s">
        <v>111</v>
      </c>
      <c r="K286" s="15"/>
      <c r="L286" s="15" t="s">
        <v>2789</v>
      </c>
      <c r="M286" s="15"/>
      <c r="N286" s="15"/>
      <c r="O286" s="15"/>
      <c r="P286" s="15"/>
      <c r="Q286" s="15"/>
      <c r="R286" s="16"/>
      <c r="S286" s="35"/>
      <c r="T286" s="13">
        <v>2022</v>
      </c>
      <c r="U286" s="17">
        <v>41.591999999999999</v>
      </c>
      <c r="V286" s="17">
        <v>14.295</v>
      </c>
      <c r="W286" s="248">
        <f>+V286/U286</f>
        <v>0.34369590305828046</v>
      </c>
      <c r="X286" s="17"/>
      <c r="Y286" s="17"/>
      <c r="Z286" s="16"/>
      <c r="AA286" s="15" t="s">
        <v>60</v>
      </c>
      <c r="AB286" s="17"/>
      <c r="AC286" s="21" t="s">
        <v>78</v>
      </c>
      <c r="AD286" s="21" t="s">
        <v>153</v>
      </c>
      <c r="AE286" s="21"/>
      <c r="AF286" s="17"/>
      <c r="AG286" s="15"/>
      <c r="AH286" s="16"/>
      <c r="AI286" s="16"/>
      <c r="AJ286" s="42">
        <f t="shared" ca="1" si="35"/>
        <v>355</v>
      </c>
      <c r="AK286" s="42">
        <f t="shared" ca="1" si="36"/>
        <v>349</v>
      </c>
      <c r="AL286" s="130" t="str">
        <f t="shared" si="37"/>
        <v>In touch - Positive</v>
      </c>
      <c r="AM286" s="37">
        <v>45309</v>
      </c>
      <c r="AN286" s="38">
        <v>45313</v>
      </c>
      <c r="AO286" s="38" t="s">
        <v>65</v>
      </c>
      <c r="AP286" s="38"/>
      <c r="AQ286" s="38">
        <v>45315</v>
      </c>
      <c r="AR286" s="101" t="s">
        <v>1818</v>
      </c>
      <c r="AS286" s="38">
        <v>45315</v>
      </c>
      <c r="AT286" s="904"/>
      <c r="AU286" s="905"/>
      <c r="AV286" s="905"/>
      <c r="AW286" s="905"/>
      <c r="AX286" s="905"/>
      <c r="AY286" s="905"/>
      <c r="AZ286" s="905"/>
      <c r="BA286" s="905"/>
      <c r="BB286" s="905"/>
      <c r="BC286" s="905"/>
    </row>
    <row r="287" spans="1:55" s="271" customFormat="1" x14ac:dyDescent="0.35">
      <c r="A287" s="1002"/>
      <c r="B287" s="140" cm="1">
        <f t="array" ref="B287">+_xlfn.IFS(D287="In Touch - Positive",2,D287="Pending",1,D287="No Answer",4,D287="In Touch - Negative",3)</f>
        <v>2</v>
      </c>
      <c r="C287" s="140" t="s">
        <v>2539</v>
      </c>
      <c r="D287" s="99" t="str">
        <f t="shared" si="34"/>
        <v>In touch - Positive</v>
      </c>
      <c r="E287" s="141" t="s">
        <v>2530</v>
      </c>
      <c r="F287" s="141"/>
      <c r="G287" s="13" t="s">
        <v>326</v>
      </c>
      <c r="H287" s="14" t="s">
        <v>2562</v>
      </c>
      <c r="I287" s="13">
        <v>702209</v>
      </c>
      <c r="J287" s="915" t="s">
        <v>779</v>
      </c>
      <c r="K287" s="15" t="s">
        <v>2546</v>
      </c>
      <c r="L287" s="15" t="s">
        <v>2590</v>
      </c>
      <c r="M287" s="15"/>
      <c r="N287" s="15"/>
      <c r="O287" s="15"/>
      <c r="P287" s="15"/>
      <c r="Q287" s="15"/>
      <c r="R287" s="16"/>
      <c r="S287" s="35"/>
      <c r="T287" s="13">
        <v>2022</v>
      </c>
      <c r="U287" s="17">
        <v>37.417999999999999</v>
      </c>
      <c r="V287" s="17">
        <v>5.7469999999999999</v>
      </c>
      <c r="W287" s="60">
        <f>+V287/U287</f>
        <v>0.15358918167726762</v>
      </c>
      <c r="X287" s="17">
        <v>2.2040000000000002</v>
      </c>
      <c r="Y287" s="17">
        <v>-7.5990000000000002</v>
      </c>
      <c r="Z287" s="16"/>
      <c r="AA287" s="15" t="s">
        <v>140</v>
      </c>
      <c r="AB287" s="17"/>
      <c r="AC287" s="21" t="s">
        <v>153</v>
      </c>
      <c r="AD287" s="21" t="s">
        <v>153</v>
      </c>
      <c r="AE287" s="142" t="s">
        <v>154</v>
      </c>
      <c r="AF287" s="17"/>
      <c r="AG287" s="15"/>
      <c r="AH287" s="16"/>
      <c r="AI287" s="16"/>
      <c r="AJ287" s="42">
        <f t="shared" ca="1" si="35"/>
        <v>425</v>
      </c>
      <c r="AK287" s="42">
        <f t="shared" ca="1" si="36"/>
        <v>425</v>
      </c>
      <c r="AL287" s="130" t="str">
        <f t="shared" si="37"/>
        <v>In touch - Positive</v>
      </c>
      <c r="AM287" s="37">
        <v>45239</v>
      </c>
      <c r="AN287" s="38">
        <v>45259</v>
      </c>
      <c r="AO287" s="38">
        <v>45309</v>
      </c>
      <c r="AP287" s="38" t="s">
        <v>65</v>
      </c>
      <c r="AQ287" s="38">
        <v>45279</v>
      </c>
      <c r="AR287" s="101" t="s">
        <v>1818</v>
      </c>
      <c r="AS287" s="38">
        <v>45239</v>
      </c>
      <c r="AT287" s="1007"/>
      <c r="AU287" s="1008"/>
      <c r="AV287" s="1008"/>
      <c r="AW287" s="1008"/>
      <c r="AX287" s="1008"/>
      <c r="AY287" s="1008"/>
      <c r="AZ287" s="1008"/>
      <c r="BA287" s="1008"/>
      <c r="BB287" s="1008"/>
      <c r="BC287" s="1008"/>
    </row>
    <row r="288" spans="1:55" s="271" customFormat="1" x14ac:dyDescent="0.35">
      <c r="A288" s="1002"/>
      <c r="B288" s="16" cm="1">
        <f t="array" ref="B288">+_xlfn.IFS(D288="In Touch - Positive",2,D288="Pending",1,D288="No Answer",4,D288="In Touch - Negative",3)</f>
        <v>2</v>
      </c>
      <c r="C288" s="16" t="s">
        <v>1768</v>
      </c>
      <c r="D288" s="99" t="str">
        <f t="shared" si="34"/>
        <v>In touch - Positive</v>
      </c>
      <c r="E288" s="12" t="s">
        <v>1828</v>
      </c>
      <c r="F288" s="12"/>
      <c r="G288" s="13"/>
      <c r="H288" s="13"/>
      <c r="I288" s="13"/>
      <c r="J288" s="127" t="s">
        <v>4271</v>
      </c>
      <c r="K288" s="15"/>
      <c r="L288" s="15"/>
      <c r="M288" s="15"/>
      <c r="N288" s="15"/>
      <c r="O288" s="15"/>
      <c r="P288" s="15"/>
      <c r="Q288" s="15"/>
      <c r="R288" s="16"/>
      <c r="S288" s="35"/>
      <c r="T288" s="13"/>
      <c r="U288" s="17"/>
      <c r="V288" s="17"/>
      <c r="W288" s="60"/>
      <c r="X288" s="17"/>
      <c r="Y288" s="17"/>
      <c r="Z288" s="16"/>
      <c r="AA288" s="15" t="s">
        <v>140</v>
      </c>
      <c r="AB288" s="17"/>
      <c r="AC288" s="21" t="s">
        <v>153</v>
      </c>
      <c r="AD288" s="21" t="s">
        <v>153</v>
      </c>
      <c r="AE288" s="21" t="s">
        <v>155</v>
      </c>
      <c r="AF288" s="17"/>
      <c r="AG288" s="15"/>
      <c r="AH288" s="16"/>
      <c r="AI288" s="16"/>
      <c r="AJ288" s="42">
        <f t="shared" ca="1" si="35"/>
        <v>475</v>
      </c>
      <c r="AK288" s="42">
        <f t="shared" ca="1" si="36"/>
        <v>468</v>
      </c>
      <c r="AL288" s="130" t="str">
        <f t="shared" si="37"/>
        <v>In touch - Positive</v>
      </c>
      <c r="AM288" s="37">
        <v>45189</v>
      </c>
      <c r="AN288" s="38">
        <v>45195</v>
      </c>
      <c r="AO288" s="38" t="s">
        <v>65</v>
      </c>
      <c r="AP288" s="38" t="s">
        <v>65</v>
      </c>
      <c r="AQ288" s="38">
        <v>45196</v>
      </c>
      <c r="AR288" s="101" t="s">
        <v>1818</v>
      </c>
      <c r="AS288" s="38">
        <v>45196</v>
      </c>
      <c r="AT288" s="1007"/>
      <c r="AU288" s="1008"/>
      <c r="AV288" s="1008"/>
      <c r="AW288" s="1008"/>
      <c r="AX288" s="1008"/>
      <c r="AY288" s="1008"/>
      <c r="AZ288" s="1008"/>
      <c r="BA288" s="1008"/>
      <c r="BB288" s="1008"/>
      <c r="BC288" s="1008"/>
    </row>
    <row r="289" spans="1:55" s="271" customFormat="1" x14ac:dyDescent="0.35">
      <c r="A289" s="1002"/>
      <c r="B289" s="16" cm="1">
        <f t="array" ref="B289">+_xlfn.IFS(D289="In Touch - Positive",2,D289="Pending",1,D289="No Answer",4,D289="In Touch - Negative",3)</f>
        <v>2</v>
      </c>
      <c r="C289" s="16" t="s">
        <v>1768</v>
      </c>
      <c r="D289" s="99" t="str">
        <f t="shared" si="34"/>
        <v>In touch - Positive</v>
      </c>
      <c r="E289" s="12" t="s">
        <v>1829</v>
      </c>
      <c r="F289" s="12"/>
      <c r="G289" s="13"/>
      <c r="H289" s="13"/>
      <c r="I289" s="13"/>
      <c r="J289" s="127" t="s">
        <v>4271</v>
      </c>
      <c r="K289" s="15"/>
      <c r="L289" s="15"/>
      <c r="M289" s="15"/>
      <c r="N289" s="15"/>
      <c r="O289" s="15"/>
      <c r="P289" s="15"/>
      <c r="Q289" s="15"/>
      <c r="R289" s="16"/>
      <c r="S289" s="35"/>
      <c r="T289" s="13"/>
      <c r="U289" s="17"/>
      <c r="V289" s="17"/>
      <c r="W289" s="60"/>
      <c r="X289" s="17"/>
      <c r="Y289" s="17"/>
      <c r="Z289" s="16"/>
      <c r="AA289" s="15" t="s">
        <v>140</v>
      </c>
      <c r="AB289" s="17"/>
      <c r="AC289" s="21" t="s">
        <v>153</v>
      </c>
      <c r="AD289" s="21" t="s">
        <v>153</v>
      </c>
      <c r="AE289" s="21" t="s">
        <v>155</v>
      </c>
      <c r="AF289" s="17"/>
      <c r="AG289" s="15"/>
      <c r="AH289" s="16"/>
      <c r="AI289" s="16"/>
      <c r="AJ289" s="42">
        <f t="shared" ca="1" si="35"/>
        <v>475</v>
      </c>
      <c r="AK289" s="42">
        <f t="shared" ca="1" si="36"/>
        <v>468</v>
      </c>
      <c r="AL289" s="130" t="str">
        <f t="shared" si="37"/>
        <v>In touch - Positive</v>
      </c>
      <c r="AM289" s="37">
        <v>45189</v>
      </c>
      <c r="AN289" s="38">
        <v>45195</v>
      </c>
      <c r="AO289" s="38" t="s">
        <v>65</v>
      </c>
      <c r="AP289" s="38" t="s">
        <v>65</v>
      </c>
      <c r="AQ289" s="38">
        <v>45196</v>
      </c>
      <c r="AR289" s="101" t="s">
        <v>1818</v>
      </c>
      <c r="AS289" s="38">
        <v>45196</v>
      </c>
      <c r="AT289" s="1007"/>
      <c r="AU289" s="1008"/>
      <c r="AV289" s="1008"/>
      <c r="AW289" s="1008"/>
      <c r="AX289" s="1008"/>
      <c r="AY289" s="1008"/>
      <c r="AZ289" s="1008"/>
      <c r="BA289" s="1008"/>
      <c r="BB289" s="1008"/>
      <c r="BC289" s="1008"/>
    </row>
    <row r="290" spans="1:55" s="271" customFormat="1" x14ac:dyDescent="0.35">
      <c r="A290" s="1002"/>
      <c r="B290" s="16" cm="1">
        <f t="array" ref="B290">+_xlfn.IFS(D290="In Touch - Positive",2,D290="Pending",1,D290="No Answer",4,D290="In Touch - Negative",3)</f>
        <v>2</v>
      </c>
      <c r="C290" s="16" t="s">
        <v>1768</v>
      </c>
      <c r="D290" s="99" t="str">
        <f t="shared" si="34"/>
        <v>In touch - Positive</v>
      </c>
      <c r="E290" s="12" t="s">
        <v>1830</v>
      </c>
      <c r="F290" s="12"/>
      <c r="G290" s="13"/>
      <c r="H290" s="13"/>
      <c r="I290" s="13"/>
      <c r="J290" s="127" t="s">
        <v>4271</v>
      </c>
      <c r="K290" s="15"/>
      <c r="L290" s="15"/>
      <c r="M290" s="15"/>
      <c r="N290" s="15"/>
      <c r="O290" s="15"/>
      <c r="P290" s="15"/>
      <c r="Q290" s="15"/>
      <c r="R290" s="16"/>
      <c r="S290" s="35"/>
      <c r="T290" s="13"/>
      <c r="U290" s="17"/>
      <c r="V290" s="17"/>
      <c r="W290" s="60"/>
      <c r="X290" s="17"/>
      <c r="Y290" s="17"/>
      <c r="Z290" s="16"/>
      <c r="AA290" s="15" t="s">
        <v>140</v>
      </c>
      <c r="AB290" s="17"/>
      <c r="AC290" s="21" t="s">
        <v>153</v>
      </c>
      <c r="AD290" s="21" t="s">
        <v>153</v>
      </c>
      <c r="AE290" s="21" t="s">
        <v>155</v>
      </c>
      <c r="AF290" s="17"/>
      <c r="AG290" s="15"/>
      <c r="AH290" s="16"/>
      <c r="AI290" s="16"/>
      <c r="AJ290" s="42">
        <f t="shared" ca="1" si="35"/>
        <v>475</v>
      </c>
      <c r="AK290" s="42">
        <f t="shared" ca="1" si="36"/>
        <v>468</v>
      </c>
      <c r="AL290" s="130" t="str">
        <f t="shared" si="37"/>
        <v>In touch - Positive</v>
      </c>
      <c r="AM290" s="37">
        <v>45189</v>
      </c>
      <c r="AN290" s="38">
        <v>45195</v>
      </c>
      <c r="AO290" s="38" t="s">
        <v>65</v>
      </c>
      <c r="AP290" s="38">
        <v>45299</v>
      </c>
      <c r="AQ290" s="38">
        <v>45196</v>
      </c>
      <c r="AR290" s="101" t="s">
        <v>1818</v>
      </c>
      <c r="AS290" s="38">
        <v>45196</v>
      </c>
      <c r="AT290" s="1007"/>
      <c r="AU290" s="1008"/>
      <c r="AV290" s="1008"/>
      <c r="AW290" s="1008"/>
      <c r="AX290" s="1008"/>
      <c r="AY290" s="1008"/>
      <c r="AZ290" s="1008"/>
      <c r="BA290" s="1008"/>
      <c r="BB290" s="1008"/>
      <c r="BC290" s="1008"/>
    </row>
    <row r="291" spans="1:55" s="271" customFormat="1" x14ac:dyDescent="0.35">
      <c r="A291" s="1002"/>
      <c r="B291" s="140" cm="1">
        <f t="array" ref="B291">+_xlfn.IFS(D291="In Touch - Positive",2,D291="Pending",1,D291="No Answer",4,D291="In Touch - Negative",3)</f>
        <v>2</v>
      </c>
      <c r="C291" s="16" t="s">
        <v>2613</v>
      </c>
      <c r="D291" s="99" t="str">
        <f t="shared" si="34"/>
        <v>In touch - Positive</v>
      </c>
      <c r="E291" s="12" t="s">
        <v>2648</v>
      </c>
      <c r="F291" s="12"/>
      <c r="G291" s="13" t="s">
        <v>308</v>
      </c>
      <c r="H291" s="145"/>
      <c r="I291" s="13"/>
      <c r="J291" s="100" t="s">
        <v>2623</v>
      </c>
      <c r="K291" s="15" t="s">
        <v>2622</v>
      </c>
      <c r="L291" s="15"/>
      <c r="M291" s="15"/>
      <c r="N291" s="15"/>
      <c r="O291" s="15"/>
      <c r="P291" s="15"/>
      <c r="Q291" s="15"/>
      <c r="R291" s="16"/>
      <c r="S291" s="35"/>
      <c r="T291" s="13"/>
      <c r="U291" s="17"/>
      <c r="V291" s="17"/>
      <c r="W291" s="60"/>
      <c r="X291" s="17"/>
      <c r="Y291" s="17"/>
      <c r="Z291" s="16"/>
      <c r="AA291" s="15" t="s">
        <v>140</v>
      </c>
      <c r="AB291" s="17"/>
      <c r="AC291" s="21" t="s">
        <v>61</v>
      </c>
      <c r="AD291" s="21" t="s">
        <v>61</v>
      </c>
      <c r="AE291" s="21" t="s">
        <v>128</v>
      </c>
      <c r="AF291" s="17"/>
      <c r="AG291" s="15"/>
      <c r="AH291" s="16"/>
      <c r="AI291" s="16"/>
      <c r="AJ291" s="42">
        <f t="shared" ca="1" si="35"/>
        <v>400</v>
      </c>
      <c r="AK291" s="42">
        <f t="shared" ca="1" si="36"/>
        <v>365</v>
      </c>
      <c r="AL291" s="130" t="str">
        <f t="shared" si="37"/>
        <v>In touch - Positive</v>
      </c>
      <c r="AM291" s="37">
        <v>45264</v>
      </c>
      <c r="AN291" s="38">
        <v>45265</v>
      </c>
      <c r="AO291" s="38">
        <v>45271</v>
      </c>
      <c r="AP291" s="38" t="s">
        <v>65</v>
      </c>
      <c r="AQ291" s="38">
        <v>45306</v>
      </c>
      <c r="AR291" s="101" t="s">
        <v>1818</v>
      </c>
      <c r="AS291" s="38">
        <v>45299</v>
      </c>
      <c r="AT291" s="1007"/>
      <c r="AU291" s="1008"/>
      <c r="AV291" s="1008"/>
      <c r="AW291" s="1008"/>
      <c r="AX291" s="1008"/>
      <c r="AY291" s="1008"/>
      <c r="AZ291" s="1008"/>
      <c r="BA291" s="1008"/>
      <c r="BB291" s="1008"/>
      <c r="BC291" s="1008"/>
    </row>
    <row r="292" spans="1:55" s="271" customFormat="1" x14ac:dyDescent="0.35">
      <c r="B292" s="140" cm="1">
        <f t="array" ref="B292">+_xlfn.IFS(D292="In Touch - Positive",2,D292="Pending",1,D292="No Answer",4,D292="In Touch - Negative",3)</f>
        <v>2</v>
      </c>
      <c r="C292" s="16" t="s">
        <v>2613</v>
      </c>
      <c r="D292" s="99" t="str">
        <f t="shared" si="34"/>
        <v>In touch - Positive</v>
      </c>
      <c r="E292" s="141" t="s">
        <v>2650</v>
      </c>
      <c r="F292" s="141"/>
      <c r="G292" s="13" t="s">
        <v>2621</v>
      </c>
      <c r="H292" s="14"/>
      <c r="I292" s="13"/>
      <c r="J292" s="100" t="s">
        <v>2623</v>
      </c>
      <c r="K292" s="15" t="s">
        <v>2622</v>
      </c>
      <c r="L292" s="15"/>
      <c r="M292" s="15"/>
      <c r="N292" s="15"/>
      <c r="O292" s="15"/>
      <c r="P292" s="15"/>
      <c r="Q292" s="15"/>
      <c r="R292" s="16"/>
      <c r="S292" s="35"/>
      <c r="T292" s="13"/>
      <c r="U292" s="17"/>
      <c r="V292" s="17"/>
      <c r="W292" s="60"/>
      <c r="X292" s="17"/>
      <c r="Y292" s="17"/>
      <c r="Z292" s="16"/>
      <c r="AA292" s="15" t="s">
        <v>140</v>
      </c>
      <c r="AB292" s="17"/>
      <c r="AC292" s="21" t="s">
        <v>61</v>
      </c>
      <c r="AD292" s="21" t="s">
        <v>61</v>
      </c>
      <c r="AE292" s="21" t="s">
        <v>128</v>
      </c>
      <c r="AF292" s="17"/>
      <c r="AG292" s="15"/>
      <c r="AH292" s="16"/>
      <c r="AI292" s="16"/>
      <c r="AJ292" s="42">
        <f t="shared" ca="1" si="35"/>
        <v>400</v>
      </c>
      <c r="AK292" s="42">
        <f t="shared" ca="1" si="36"/>
        <v>383</v>
      </c>
      <c r="AL292" s="130" t="str">
        <f t="shared" si="37"/>
        <v>In touch - Positive</v>
      </c>
      <c r="AM292" s="37">
        <v>45264</v>
      </c>
      <c r="AN292" s="38">
        <v>45265</v>
      </c>
      <c r="AO292" s="38">
        <v>45271</v>
      </c>
      <c r="AP292" s="38" t="s">
        <v>65</v>
      </c>
      <c r="AQ292" s="38">
        <v>45281</v>
      </c>
      <c r="AR292" s="101" t="s">
        <v>1818</v>
      </c>
      <c r="AS292" s="38">
        <v>45281</v>
      </c>
      <c r="AT292" s="1007"/>
      <c r="AU292" s="1008"/>
      <c r="AV292" s="1008"/>
      <c r="AW292" s="1008"/>
      <c r="AX292" s="1008"/>
      <c r="AY292" s="1008"/>
      <c r="AZ292" s="1008"/>
      <c r="BA292" s="1008"/>
      <c r="BB292" s="1008"/>
      <c r="BC292" s="1008"/>
    </row>
    <row r="293" spans="1:55" s="271" customFormat="1" x14ac:dyDescent="0.35">
      <c r="A293" s="1002"/>
      <c r="B293" s="140" cm="1">
        <f t="array" ref="B293">+_xlfn.IFS(D293="In Touch - Positive",2,D293="Pending",1,D293="No Answer",4,D293="In Touch - Negative",3)</f>
        <v>2</v>
      </c>
      <c r="C293" s="16" t="s">
        <v>2613</v>
      </c>
      <c r="D293" s="99" t="str">
        <f t="shared" si="34"/>
        <v>In touch - Positive</v>
      </c>
      <c r="E293" s="141" t="s">
        <v>2614</v>
      </c>
      <c r="F293" s="141"/>
      <c r="G293" s="13" t="s">
        <v>2618</v>
      </c>
      <c r="H293" s="14"/>
      <c r="I293" s="13"/>
      <c r="J293" s="100" t="s">
        <v>2623</v>
      </c>
      <c r="K293" s="15" t="s">
        <v>2622</v>
      </c>
      <c r="L293" s="15"/>
      <c r="M293" s="15"/>
      <c r="N293" s="15"/>
      <c r="O293" s="15"/>
      <c r="P293" s="15"/>
      <c r="Q293" s="15"/>
      <c r="R293" s="16"/>
      <c r="S293" s="35"/>
      <c r="T293" s="13"/>
      <c r="U293" s="17"/>
      <c r="V293" s="17"/>
      <c r="W293" s="60"/>
      <c r="X293" s="17"/>
      <c r="Y293" s="17"/>
      <c r="Z293" s="16"/>
      <c r="AA293" s="15" t="s">
        <v>140</v>
      </c>
      <c r="AB293" s="17"/>
      <c r="AC293" s="21" t="s">
        <v>61</v>
      </c>
      <c r="AD293" s="21" t="s">
        <v>61</v>
      </c>
      <c r="AE293" s="21" t="s">
        <v>128</v>
      </c>
      <c r="AF293" s="17"/>
      <c r="AG293" s="15"/>
      <c r="AH293" s="16"/>
      <c r="AI293" s="16"/>
      <c r="AJ293" s="42">
        <f t="shared" ca="1" si="35"/>
        <v>400</v>
      </c>
      <c r="AK293" s="42">
        <f t="shared" ca="1" si="36"/>
        <v>399</v>
      </c>
      <c r="AL293" s="130" t="str">
        <f t="shared" si="37"/>
        <v>In touch - Positive</v>
      </c>
      <c r="AM293" s="37">
        <v>45264</v>
      </c>
      <c r="AN293" s="38">
        <v>45265</v>
      </c>
      <c r="AO293" s="38">
        <v>45271</v>
      </c>
      <c r="AP293" s="38" t="s">
        <v>65</v>
      </c>
      <c r="AQ293" s="38">
        <v>45274</v>
      </c>
      <c r="AR293" s="101" t="s">
        <v>1818</v>
      </c>
      <c r="AS293" s="38">
        <v>45265</v>
      </c>
      <c r="AT293" s="1007"/>
      <c r="AU293" s="1008"/>
      <c r="AV293" s="1008"/>
      <c r="AW293" s="1008"/>
      <c r="AX293" s="1008"/>
      <c r="AY293" s="1008"/>
      <c r="AZ293" s="1008"/>
      <c r="BA293" s="1008"/>
      <c r="BB293" s="1008"/>
      <c r="BC293" s="1008"/>
    </row>
    <row r="294" spans="1:55" s="271" customFormat="1" x14ac:dyDescent="0.35">
      <c r="B294" s="140" cm="1">
        <f t="array" ref="B294">+_xlfn.IFS(D294="In Touch - Positive",2,D294="Pending",1,D294="No Answer",4,D294="In Touch - Negative",3)</f>
        <v>2</v>
      </c>
      <c r="C294" s="16" t="s">
        <v>2613</v>
      </c>
      <c r="D294" s="99" t="str">
        <f t="shared" si="34"/>
        <v>In touch - Positive</v>
      </c>
      <c r="E294" s="12" t="s">
        <v>2642</v>
      </c>
      <c r="F294" s="12"/>
      <c r="G294" s="13" t="s">
        <v>2616</v>
      </c>
      <c r="H294" s="14"/>
      <c r="I294" s="13"/>
      <c r="J294" s="100" t="s">
        <v>2623</v>
      </c>
      <c r="K294" s="15" t="s">
        <v>2622</v>
      </c>
      <c r="L294" s="15"/>
      <c r="M294" s="15"/>
      <c r="N294" s="15"/>
      <c r="O294" s="15"/>
      <c r="P294" s="15"/>
      <c r="Q294" s="15"/>
      <c r="R294" s="16"/>
      <c r="S294" s="35"/>
      <c r="T294" s="13"/>
      <c r="U294" s="17"/>
      <c r="V294" s="17"/>
      <c r="W294" s="39"/>
      <c r="X294" s="17"/>
      <c r="Y294" s="17"/>
      <c r="Z294" s="16"/>
      <c r="AA294" s="15" t="s">
        <v>140</v>
      </c>
      <c r="AB294" s="17"/>
      <c r="AC294" s="21" t="s">
        <v>61</v>
      </c>
      <c r="AD294" s="21" t="s">
        <v>61</v>
      </c>
      <c r="AE294" s="21" t="s">
        <v>128</v>
      </c>
      <c r="AF294" s="17"/>
      <c r="AG294" s="15"/>
      <c r="AH294" s="16"/>
      <c r="AI294" s="16"/>
      <c r="AJ294" s="42">
        <f t="shared" ca="1" si="35"/>
        <v>400</v>
      </c>
      <c r="AK294" s="42">
        <f t="shared" ca="1" si="36"/>
        <v>397</v>
      </c>
      <c r="AL294" s="130" t="str">
        <f t="shared" si="37"/>
        <v>In touch - Positive</v>
      </c>
      <c r="AM294" s="37">
        <v>45264</v>
      </c>
      <c r="AN294" s="38">
        <v>45265</v>
      </c>
      <c r="AO294" s="38" t="s">
        <v>65</v>
      </c>
      <c r="AP294" s="38" t="s">
        <v>65</v>
      </c>
      <c r="AQ294" s="38">
        <v>45267</v>
      </c>
      <c r="AR294" s="101" t="s">
        <v>1818</v>
      </c>
      <c r="AS294" s="38">
        <v>45267</v>
      </c>
      <c r="AT294" s="932"/>
      <c r="AU294" s="933"/>
      <c r="AV294" s="933"/>
      <c r="AW294" s="933"/>
      <c r="AX294" s="933"/>
      <c r="AY294" s="933"/>
      <c r="AZ294" s="933"/>
      <c r="BA294" s="933"/>
      <c r="BB294" s="933"/>
      <c r="BC294" s="933"/>
    </row>
    <row r="295" spans="1:55" s="271" customFormat="1" x14ac:dyDescent="0.35">
      <c r="A295" s="889"/>
      <c r="B295" s="140" cm="1">
        <f t="array" ref="B295">+_xlfn.IFS(D295="In Touch - Positive",2,D295="Pending",1,D295="No Answer",4,D295="In Touch - Negative",3)</f>
        <v>2</v>
      </c>
      <c r="C295" s="16" t="s">
        <v>2613</v>
      </c>
      <c r="D295" s="99" t="str">
        <f t="shared" si="34"/>
        <v>In touch - Positive</v>
      </c>
      <c r="E295" s="141" t="s">
        <v>2643</v>
      </c>
      <c r="F295" s="141"/>
      <c r="G295" s="13" t="s">
        <v>2617</v>
      </c>
      <c r="H295" s="14"/>
      <c r="I295" s="13"/>
      <c r="J295" s="100" t="s">
        <v>2623</v>
      </c>
      <c r="K295" s="15" t="s">
        <v>2622</v>
      </c>
      <c r="L295" s="15"/>
      <c r="M295" s="15"/>
      <c r="N295" s="15"/>
      <c r="O295" s="15"/>
      <c r="P295" s="15"/>
      <c r="Q295" s="15"/>
      <c r="R295" s="16"/>
      <c r="S295" s="35"/>
      <c r="T295" s="13"/>
      <c r="U295" s="17"/>
      <c r="V295" s="17"/>
      <c r="W295" s="60"/>
      <c r="X295" s="17"/>
      <c r="Y295" s="17"/>
      <c r="Z295" s="16"/>
      <c r="AA295" s="15" t="s">
        <v>140</v>
      </c>
      <c r="AB295" s="17"/>
      <c r="AC295" s="21" t="s">
        <v>61</v>
      </c>
      <c r="AD295" s="21" t="s">
        <v>61</v>
      </c>
      <c r="AE295" s="21" t="s">
        <v>128</v>
      </c>
      <c r="AF295" s="17"/>
      <c r="AG295" s="15"/>
      <c r="AH295" s="16"/>
      <c r="AI295" s="16"/>
      <c r="AJ295" s="42">
        <f t="shared" ca="1" si="35"/>
        <v>400</v>
      </c>
      <c r="AK295" s="42">
        <f t="shared" ca="1" si="36"/>
        <v>393</v>
      </c>
      <c r="AL295" s="130" t="str">
        <f t="shared" si="37"/>
        <v>In touch - Positive</v>
      </c>
      <c r="AM295" s="37">
        <v>45264</v>
      </c>
      <c r="AN295" s="38">
        <v>45265</v>
      </c>
      <c r="AO295" s="38" t="s">
        <v>65</v>
      </c>
      <c r="AP295" s="38" t="s">
        <v>65</v>
      </c>
      <c r="AQ295" s="38">
        <v>45271</v>
      </c>
      <c r="AR295" s="101" t="s">
        <v>1818</v>
      </c>
      <c r="AS295" s="38">
        <v>45271</v>
      </c>
      <c r="AT295" s="904"/>
      <c r="AU295" s="905"/>
      <c r="AV295" s="905"/>
      <c r="AW295" s="905"/>
      <c r="AX295" s="905"/>
      <c r="AY295" s="905"/>
      <c r="AZ295" s="905"/>
      <c r="BA295" s="905"/>
      <c r="BB295" s="905"/>
      <c r="BC295" s="905"/>
    </row>
    <row r="296" spans="1:55" s="271" customFormat="1" x14ac:dyDescent="0.35">
      <c r="B296" s="140" cm="1">
        <f t="array" ref="B296">+_xlfn.IFS(D296="In Touch - Positive",2,D296="Pending",1,D296="No Answer",4,D296="In Touch - Negative",3)</f>
        <v>2</v>
      </c>
      <c r="C296" s="16" t="s">
        <v>2613</v>
      </c>
      <c r="D296" s="99" t="str">
        <f t="shared" si="34"/>
        <v>In touch - Positive</v>
      </c>
      <c r="E296" s="141" t="s">
        <v>2645</v>
      </c>
      <c r="F296" s="141"/>
      <c r="G296" s="13" t="s">
        <v>2619</v>
      </c>
      <c r="H296" s="14"/>
      <c r="I296" s="13"/>
      <c r="J296" s="100" t="s">
        <v>2623</v>
      </c>
      <c r="K296" s="15" t="s">
        <v>2622</v>
      </c>
      <c r="L296" s="15"/>
      <c r="M296" s="15"/>
      <c r="N296" s="15"/>
      <c r="O296" s="15"/>
      <c r="P296" s="15"/>
      <c r="Q296" s="15"/>
      <c r="R296" s="16"/>
      <c r="S296" s="35"/>
      <c r="T296" s="13"/>
      <c r="U296" s="17"/>
      <c r="V296" s="17"/>
      <c r="W296" s="60"/>
      <c r="X296" s="17"/>
      <c r="Y296" s="17"/>
      <c r="Z296" s="16"/>
      <c r="AA296" s="15" t="s">
        <v>140</v>
      </c>
      <c r="AB296" s="17"/>
      <c r="AC296" s="21" t="s">
        <v>61</v>
      </c>
      <c r="AD296" s="21" t="s">
        <v>61</v>
      </c>
      <c r="AE296" s="21" t="s">
        <v>128</v>
      </c>
      <c r="AF296" s="17"/>
      <c r="AG296" s="15"/>
      <c r="AH296" s="16"/>
      <c r="AI296" s="16"/>
      <c r="AJ296" s="42">
        <f t="shared" ca="1" si="35"/>
        <v>400</v>
      </c>
      <c r="AK296" s="42">
        <f t="shared" ca="1" si="36"/>
        <v>393</v>
      </c>
      <c r="AL296" s="130" t="str">
        <f t="shared" si="37"/>
        <v>In touch - Positive</v>
      </c>
      <c r="AM296" s="37">
        <v>45264</v>
      </c>
      <c r="AN296" s="38">
        <v>45265</v>
      </c>
      <c r="AO296" s="38" t="s">
        <v>65</v>
      </c>
      <c r="AP296" s="38" t="s">
        <v>65</v>
      </c>
      <c r="AQ296" s="38">
        <v>45267</v>
      </c>
      <c r="AR296" s="101" t="s">
        <v>1818</v>
      </c>
      <c r="AS296" s="38">
        <v>45271</v>
      </c>
      <c r="AT296" s="853"/>
    </row>
    <row r="297" spans="1:55" s="271" customFormat="1" x14ac:dyDescent="0.35">
      <c r="A297" s="837"/>
      <c r="B297" s="140" cm="1">
        <f t="array" ref="B297">+_xlfn.IFS(D297="In Touch - Positive",2,D297="Pending",1,D297="No Answer",4,D297="In Touch - Negative",3)</f>
        <v>2</v>
      </c>
      <c r="C297" s="16" t="s">
        <v>2613</v>
      </c>
      <c r="D297" s="99" t="str">
        <f t="shared" ref="D297:D328" si="39">+AR297</f>
        <v>In touch - Positive</v>
      </c>
      <c r="E297" s="141" t="s">
        <v>2653</v>
      </c>
      <c r="F297" s="141"/>
      <c r="G297" s="13" t="s">
        <v>2615</v>
      </c>
      <c r="H297" s="14"/>
      <c r="I297" s="13"/>
      <c r="J297" s="100" t="s">
        <v>2623</v>
      </c>
      <c r="K297" s="15" t="s">
        <v>2622</v>
      </c>
      <c r="L297" s="15"/>
      <c r="M297" s="15"/>
      <c r="N297" s="15"/>
      <c r="O297" s="15"/>
      <c r="P297" s="15"/>
      <c r="Q297" s="15"/>
      <c r="R297" s="16"/>
      <c r="S297" s="35"/>
      <c r="T297" s="13"/>
      <c r="U297" s="17"/>
      <c r="V297" s="17"/>
      <c r="W297" s="60"/>
      <c r="X297" s="17"/>
      <c r="Y297" s="17"/>
      <c r="Z297" s="16"/>
      <c r="AA297" s="15" t="s">
        <v>140</v>
      </c>
      <c r="AB297" s="17"/>
      <c r="AC297" s="21" t="s">
        <v>61</v>
      </c>
      <c r="AD297" s="21" t="s">
        <v>61</v>
      </c>
      <c r="AE297" s="21" t="s">
        <v>128</v>
      </c>
      <c r="AF297" s="17"/>
      <c r="AG297" s="15"/>
      <c r="AH297" s="16"/>
      <c r="AI297" s="16"/>
      <c r="AJ297" s="42">
        <f t="shared" ca="1" si="35"/>
        <v>400</v>
      </c>
      <c r="AK297" s="42">
        <f t="shared" ca="1" si="36"/>
        <v>393</v>
      </c>
      <c r="AL297" s="130" t="str">
        <f t="shared" si="37"/>
        <v>In touch - Positive</v>
      </c>
      <c r="AM297" s="37">
        <v>45264</v>
      </c>
      <c r="AN297" s="38">
        <v>45264</v>
      </c>
      <c r="AO297" s="38">
        <v>45271</v>
      </c>
      <c r="AP297" s="38" t="s">
        <v>65</v>
      </c>
      <c r="AQ297" s="38">
        <v>45271</v>
      </c>
      <c r="AR297" s="101" t="s">
        <v>1818</v>
      </c>
      <c r="AS297" s="38">
        <v>45271</v>
      </c>
      <c r="AT297" s="853"/>
    </row>
    <row r="298" spans="1:55" s="271" customFormat="1" x14ac:dyDescent="0.35">
      <c r="A298" s="837"/>
      <c r="B298" s="140" cm="1">
        <f t="array" ref="B298">+_xlfn.IFS(D298="In Touch - Positive",2,D298="Pending",1,D298="No Answer",4,D298="In Touch - Negative",3)</f>
        <v>2</v>
      </c>
      <c r="C298" s="16" t="s">
        <v>2613</v>
      </c>
      <c r="D298" s="99" t="str">
        <f t="shared" si="39"/>
        <v>In touch - Positive</v>
      </c>
      <c r="E298" s="141" t="s">
        <v>2654</v>
      </c>
      <c r="F298" s="141"/>
      <c r="G298" s="13" t="s">
        <v>2615</v>
      </c>
      <c r="H298" s="14"/>
      <c r="I298" s="13"/>
      <c r="J298" s="100" t="s">
        <v>2623</v>
      </c>
      <c r="K298" s="15" t="s">
        <v>2622</v>
      </c>
      <c r="L298" s="15"/>
      <c r="M298" s="15"/>
      <c r="N298" s="15"/>
      <c r="O298" s="15"/>
      <c r="P298" s="15"/>
      <c r="Q298" s="15"/>
      <c r="R298" s="16"/>
      <c r="S298" s="35"/>
      <c r="T298" s="13"/>
      <c r="U298" s="17"/>
      <c r="V298" s="17"/>
      <c r="W298" s="39"/>
      <c r="X298" s="17"/>
      <c r="Y298" s="17"/>
      <c r="Z298" s="16"/>
      <c r="AA298" s="15" t="s">
        <v>140</v>
      </c>
      <c r="AB298" s="17"/>
      <c r="AC298" s="21" t="s">
        <v>61</v>
      </c>
      <c r="AD298" s="21" t="s">
        <v>61</v>
      </c>
      <c r="AE298" s="21" t="s">
        <v>128</v>
      </c>
      <c r="AF298" s="17"/>
      <c r="AG298" s="15"/>
      <c r="AH298" s="16"/>
      <c r="AI298" s="16"/>
      <c r="AJ298" s="42">
        <f t="shared" ca="1" si="35"/>
        <v>400</v>
      </c>
      <c r="AK298" s="42">
        <f t="shared" ca="1" si="36"/>
        <v>393</v>
      </c>
      <c r="AL298" s="130" t="str">
        <f t="shared" si="37"/>
        <v>In touch - Positive</v>
      </c>
      <c r="AM298" s="37">
        <v>45264</v>
      </c>
      <c r="AN298" s="38">
        <v>45264</v>
      </c>
      <c r="AO298" s="38">
        <v>45271</v>
      </c>
      <c r="AP298" s="38"/>
      <c r="AQ298" s="38">
        <v>45271</v>
      </c>
      <c r="AR298" s="101" t="s">
        <v>1818</v>
      </c>
      <c r="AS298" s="38">
        <v>45271</v>
      </c>
      <c r="AT298" s="853"/>
    </row>
    <row r="299" spans="1:55" s="271" customFormat="1" x14ac:dyDescent="0.35">
      <c r="A299" s="837"/>
      <c r="B299" s="16" cm="1">
        <f t="array" ref="B299">+_xlfn.IFS(D299="In Touch - Positive",2,D299="Pending",1,D299="No Answer",4,D299="In Touch - Negative",3)</f>
        <v>2</v>
      </c>
      <c r="C299" s="16" t="s">
        <v>1010</v>
      </c>
      <c r="D299" s="99" t="str">
        <f t="shared" si="39"/>
        <v>In touch - Positive</v>
      </c>
      <c r="E299" s="12" t="s">
        <v>1833</v>
      </c>
      <c r="F299" s="12"/>
      <c r="G299" s="13" t="s">
        <v>428</v>
      </c>
      <c r="H299" s="14"/>
      <c r="I299" s="13"/>
      <c r="J299" s="100" t="s">
        <v>377</v>
      </c>
      <c r="K299" s="15"/>
      <c r="L299" s="15"/>
      <c r="M299" s="15"/>
      <c r="N299" s="15"/>
      <c r="O299" s="15"/>
      <c r="P299" s="15"/>
      <c r="Q299" s="15"/>
      <c r="R299" s="16"/>
      <c r="S299" s="35"/>
      <c r="T299" s="13"/>
      <c r="U299" s="17"/>
      <c r="V299" s="17"/>
      <c r="W299" s="39"/>
      <c r="X299" s="17"/>
      <c r="Y299" s="17"/>
      <c r="Z299" s="16"/>
      <c r="AA299" s="15" t="s">
        <v>140</v>
      </c>
      <c r="AB299" s="17"/>
      <c r="AC299" s="21" t="s">
        <v>153</v>
      </c>
      <c r="AD299" s="21" t="s">
        <v>153</v>
      </c>
      <c r="AE299" s="61" t="s">
        <v>1792</v>
      </c>
      <c r="AF299" s="17"/>
      <c r="AG299" s="15"/>
      <c r="AH299" s="16"/>
      <c r="AI299" s="16"/>
      <c r="AJ299" s="42">
        <f t="shared" ca="1" si="35"/>
        <v>589</v>
      </c>
      <c r="AK299" s="42">
        <f t="shared" ca="1" si="36"/>
        <v>477</v>
      </c>
      <c r="AL299" s="130" t="str">
        <f t="shared" si="37"/>
        <v>In touch - Positive</v>
      </c>
      <c r="AM299" s="37">
        <v>45075</v>
      </c>
      <c r="AN299" s="38">
        <v>45187</v>
      </c>
      <c r="AO299" s="38"/>
      <c r="AP299" s="38" t="s">
        <v>65</v>
      </c>
      <c r="AQ299" s="38"/>
      <c r="AR299" s="101" t="s">
        <v>1818</v>
      </c>
      <c r="AS299" s="38">
        <v>45187</v>
      </c>
      <c r="AT299" s="853"/>
    </row>
    <row r="300" spans="1:55" s="271" customFormat="1" x14ac:dyDescent="0.35">
      <c r="A300" s="837"/>
      <c r="B300" s="16" cm="1">
        <f t="array" ref="B300">+_xlfn.IFS(D300="In Touch - Positive",2,D300="Pending",1,D300="No Answer",4,D300="In Touch - Negative",3)</f>
        <v>2</v>
      </c>
      <c r="C300" s="16" t="s">
        <v>213</v>
      </c>
      <c r="D300" s="99" t="str">
        <f t="shared" si="39"/>
        <v>In touch - Positive</v>
      </c>
      <c r="E300" s="12" t="s">
        <v>436</v>
      </c>
      <c r="F300" s="12"/>
      <c r="G300" s="13"/>
      <c r="H300" s="13"/>
      <c r="I300" s="13"/>
      <c r="J300" s="100" t="s">
        <v>1817</v>
      </c>
      <c r="K300" s="15"/>
      <c r="L300" s="15"/>
      <c r="M300" s="15"/>
      <c r="N300" s="15"/>
      <c r="O300" s="15"/>
      <c r="P300" s="15"/>
      <c r="Q300" s="15"/>
      <c r="R300" s="16"/>
      <c r="S300" s="35"/>
      <c r="T300" s="13"/>
      <c r="U300" s="17"/>
      <c r="V300" s="17"/>
      <c r="W300" s="60"/>
      <c r="X300" s="17"/>
      <c r="Y300" s="17"/>
      <c r="Z300" s="16"/>
      <c r="AA300" s="15" t="s">
        <v>140</v>
      </c>
      <c r="AB300" s="17"/>
      <c r="AC300" s="21" t="s">
        <v>78</v>
      </c>
      <c r="AD300" s="21" t="s">
        <v>78</v>
      </c>
      <c r="AE300" s="21" t="s">
        <v>86</v>
      </c>
      <c r="AF300" s="17"/>
      <c r="AG300" s="15"/>
      <c r="AH300" s="16"/>
      <c r="AI300" s="16"/>
      <c r="AJ300" s="42">
        <f t="shared" ca="1" si="35"/>
        <v>439</v>
      </c>
      <c r="AK300" s="42">
        <f t="shared" ca="1" si="36"/>
        <v>435</v>
      </c>
      <c r="AL300" s="130" t="str">
        <f t="shared" si="37"/>
        <v>In touch - Positive</v>
      </c>
      <c r="AM300" s="37">
        <v>45225</v>
      </c>
      <c r="AN300" s="38">
        <v>45225</v>
      </c>
      <c r="AO300" s="38" t="s">
        <v>65</v>
      </c>
      <c r="AP300" s="38" t="s">
        <v>65</v>
      </c>
      <c r="AQ300" s="38">
        <v>45229</v>
      </c>
      <c r="AR300" s="101" t="s">
        <v>1818</v>
      </c>
      <c r="AS300" s="38">
        <v>45229</v>
      </c>
      <c r="AT300" s="853"/>
    </row>
    <row r="301" spans="1:55" s="271" customFormat="1" x14ac:dyDescent="0.35">
      <c r="A301" s="837"/>
      <c r="B301" s="16" cm="1">
        <f t="array" ref="B301">+_xlfn.IFS(D301="In Touch - Positive",2,D301="Pending",1,D301="No Answer",4,D301="In Touch - Negative",3)</f>
        <v>2</v>
      </c>
      <c r="C301" s="16" t="s">
        <v>213</v>
      </c>
      <c r="D301" s="99" t="str">
        <f t="shared" si="39"/>
        <v>In touch - Positive</v>
      </c>
      <c r="E301" s="12" t="s">
        <v>1819</v>
      </c>
      <c r="F301" s="12"/>
      <c r="G301" s="13" t="s">
        <v>1820</v>
      </c>
      <c r="H301" s="14"/>
      <c r="I301" s="13"/>
      <c r="J301" s="15" t="s">
        <v>1821</v>
      </c>
      <c r="K301" s="15" t="s">
        <v>1822</v>
      </c>
      <c r="L301" s="15"/>
      <c r="M301" s="15"/>
      <c r="N301" s="15"/>
      <c r="O301" s="15"/>
      <c r="P301" s="15"/>
      <c r="Q301" s="15"/>
      <c r="R301" s="16"/>
      <c r="S301" s="35"/>
      <c r="T301" s="13"/>
      <c r="U301" s="17"/>
      <c r="V301" s="17"/>
      <c r="W301" s="60"/>
      <c r="X301" s="17"/>
      <c r="Y301" s="17"/>
      <c r="Z301" s="16"/>
      <c r="AA301" s="15" t="s">
        <v>140</v>
      </c>
      <c r="AB301" s="17"/>
      <c r="AC301" s="21" t="s">
        <v>78</v>
      </c>
      <c r="AD301" s="21" t="s">
        <v>78</v>
      </c>
      <c r="AE301" s="21" t="s">
        <v>86</v>
      </c>
      <c r="AF301" s="17"/>
      <c r="AG301" s="15"/>
      <c r="AH301" s="16"/>
      <c r="AI301" s="16"/>
      <c r="AJ301" s="42">
        <f t="shared" ca="1" si="35"/>
        <v>464</v>
      </c>
      <c r="AK301" s="42">
        <f t="shared" ca="1" si="36"/>
        <v>442</v>
      </c>
      <c r="AL301" s="130" t="str">
        <f t="shared" si="37"/>
        <v>In touch - Positive</v>
      </c>
      <c r="AM301" s="37">
        <v>45200</v>
      </c>
      <c r="AN301" s="38">
        <v>45202</v>
      </c>
      <c r="AO301" s="38" t="s">
        <v>65</v>
      </c>
      <c r="AP301" s="38" t="s">
        <v>65</v>
      </c>
      <c r="AQ301" s="38">
        <v>45229</v>
      </c>
      <c r="AR301" s="101" t="s">
        <v>1818</v>
      </c>
      <c r="AS301" s="38">
        <v>45222</v>
      </c>
      <c r="AT301" s="853"/>
    </row>
    <row r="302" spans="1:55" s="271" customFormat="1" x14ac:dyDescent="0.35">
      <c r="A302" s="837"/>
      <c r="B302" s="16" cm="1">
        <f t="array" ref="B302">+_xlfn.IFS(D302="In Touch - Positive",2,D302="Pending",1,D302="No Answer",4,D302="In Touch - Negative",3)</f>
        <v>2</v>
      </c>
      <c r="C302" s="16" t="s">
        <v>78</v>
      </c>
      <c r="D302" s="99" t="str">
        <f t="shared" si="39"/>
        <v>In touch - Positive</v>
      </c>
      <c r="E302" s="12" t="s">
        <v>1823</v>
      </c>
      <c r="F302" s="12"/>
      <c r="G302" s="13" t="s">
        <v>371</v>
      </c>
      <c r="H302" s="14"/>
      <c r="I302" s="13"/>
      <c r="J302" s="100" t="s">
        <v>132</v>
      </c>
      <c r="K302" s="15" t="s">
        <v>739</v>
      </c>
      <c r="L302" s="15" t="s">
        <v>1824</v>
      </c>
      <c r="M302" s="15"/>
      <c r="N302" s="15"/>
      <c r="O302" s="15"/>
      <c r="P302" s="15"/>
      <c r="Q302" s="15"/>
      <c r="R302" s="16"/>
      <c r="S302" s="35"/>
      <c r="T302" s="13"/>
      <c r="U302" s="17"/>
      <c r="V302" s="17"/>
      <c r="W302" s="60"/>
      <c r="X302" s="17"/>
      <c r="Y302" s="17"/>
      <c r="Z302" s="16"/>
      <c r="AA302" s="15" t="s">
        <v>60</v>
      </c>
      <c r="AB302" s="17"/>
      <c r="AC302" s="21" t="s">
        <v>78</v>
      </c>
      <c r="AD302" s="21" t="s">
        <v>78</v>
      </c>
      <c r="AE302" s="61"/>
      <c r="AF302" s="17"/>
      <c r="AG302" s="15"/>
      <c r="AH302" s="16"/>
      <c r="AI302" s="16"/>
      <c r="AJ302" s="42">
        <f t="shared" ca="1" si="35"/>
        <v>652</v>
      </c>
      <c r="AK302" s="42">
        <f t="shared" ca="1" si="36"/>
        <v>459</v>
      </c>
      <c r="AL302" s="130" t="str">
        <f t="shared" si="37"/>
        <v>In touch - Positive</v>
      </c>
      <c r="AM302" s="37">
        <v>45012</v>
      </c>
      <c r="AN302" s="38">
        <v>45205</v>
      </c>
      <c r="AO302" s="38">
        <v>45217</v>
      </c>
      <c r="AP302" s="38" t="s">
        <v>65</v>
      </c>
      <c r="AQ302" s="38">
        <v>45219</v>
      </c>
      <c r="AR302" s="101" t="s">
        <v>1818</v>
      </c>
      <c r="AS302" s="38">
        <v>45205</v>
      </c>
      <c r="AT302" s="853"/>
    </row>
    <row r="303" spans="1:55" s="851" customFormat="1" x14ac:dyDescent="0.35">
      <c r="A303" s="837"/>
      <c r="B303" s="16" cm="1">
        <f t="array" ref="B303">+_xlfn.IFS(D303="In Touch - Positive",2,D303="Pending",1,D303="No Answer",4,D303="In Touch - Negative",3)</f>
        <v>2</v>
      </c>
      <c r="C303" s="16" t="s">
        <v>213</v>
      </c>
      <c r="D303" s="99" t="str">
        <f t="shared" si="39"/>
        <v>In touch - Positive</v>
      </c>
      <c r="E303" s="12" t="s">
        <v>1825</v>
      </c>
      <c r="F303" s="12"/>
      <c r="G303" s="13" t="s">
        <v>572</v>
      </c>
      <c r="H303" s="14"/>
      <c r="I303" s="13"/>
      <c r="J303" s="15" t="s">
        <v>1826</v>
      </c>
      <c r="K303" s="15" t="s">
        <v>1827</v>
      </c>
      <c r="L303" s="15"/>
      <c r="M303" s="15"/>
      <c r="N303" s="15"/>
      <c r="O303" s="15"/>
      <c r="P303" s="15"/>
      <c r="Q303" s="15"/>
      <c r="R303" s="16"/>
      <c r="S303" s="35"/>
      <c r="T303" s="13"/>
      <c r="U303" s="17"/>
      <c r="V303" s="17"/>
      <c r="W303" s="60"/>
      <c r="X303" s="17"/>
      <c r="Y303" s="17"/>
      <c r="Z303" s="16"/>
      <c r="AA303" s="15" t="s">
        <v>140</v>
      </c>
      <c r="AB303" s="17"/>
      <c r="AC303" s="21" t="s">
        <v>78</v>
      </c>
      <c r="AD303" s="21" t="s">
        <v>78</v>
      </c>
      <c r="AE303" s="21" t="s">
        <v>86</v>
      </c>
      <c r="AF303" s="17"/>
      <c r="AG303" s="15"/>
      <c r="AH303" s="16"/>
      <c r="AI303" s="16"/>
      <c r="AJ303" s="42">
        <f t="shared" ca="1" si="35"/>
        <v>464</v>
      </c>
      <c r="AK303" s="42">
        <f t="shared" ca="1" si="36"/>
        <v>462</v>
      </c>
      <c r="AL303" s="130" t="str">
        <f t="shared" si="37"/>
        <v>In touch - Positive</v>
      </c>
      <c r="AM303" s="37">
        <v>45200</v>
      </c>
      <c r="AN303" s="38">
        <v>45202</v>
      </c>
      <c r="AO303" s="38">
        <v>45218</v>
      </c>
      <c r="AP303" s="38"/>
      <c r="AQ303" s="38">
        <v>45218</v>
      </c>
      <c r="AR303" s="101" t="s">
        <v>1818</v>
      </c>
      <c r="AS303" s="38">
        <v>45202</v>
      </c>
      <c r="AT303" s="853"/>
    </row>
    <row r="304" spans="1:55" s="851" customFormat="1" x14ac:dyDescent="0.35">
      <c r="B304" s="16" cm="1">
        <f t="array" ref="B304">+_xlfn.IFS(D304="In Touch - Positive",2,D304="Pending",1,D304="No Answer",4,D304="In Touch - Negative",3)</f>
        <v>2</v>
      </c>
      <c r="C304" s="16" t="s">
        <v>1010</v>
      </c>
      <c r="D304" s="99" t="str">
        <f t="shared" si="39"/>
        <v>In touch - Positive</v>
      </c>
      <c r="E304" s="12" t="s">
        <v>1834</v>
      </c>
      <c r="F304" s="12"/>
      <c r="G304" s="13" t="s">
        <v>147</v>
      </c>
      <c r="H304" s="14"/>
      <c r="I304" s="13"/>
      <c r="J304" s="100" t="s">
        <v>1835</v>
      </c>
      <c r="K304" s="15"/>
      <c r="L304" s="15"/>
      <c r="M304" s="15"/>
      <c r="N304" s="15"/>
      <c r="O304" s="15"/>
      <c r="P304" s="15"/>
      <c r="Q304" s="15"/>
      <c r="R304" s="16"/>
      <c r="S304" s="35"/>
      <c r="T304" s="13"/>
      <c r="U304" s="17"/>
      <c r="V304" s="17"/>
      <c r="W304" s="39"/>
      <c r="X304" s="17"/>
      <c r="Y304" s="17"/>
      <c r="Z304" s="16"/>
      <c r="AA304" s="15" t="s">
        <v>140</v>
      </c>
      <c r="AB304" s="17"/>
      <c r="AC304" s="21" t="s">
        <v>153</v>
      </c>
      <c r="AD304" s="21" t="s">
        <v>153</v>
      </c>
      <c r="AE304" s="61" t="s">
        <v>1792</v>
      </c>
      <c r="AF304" s="17"/>
      <c r="AG304" s="15"/>
      <c r="AH304" s="16"/>
      <c r="AI304" s="16"/>
      <c r="AJ304" s="42">
        <f t="shared" ca="1" si="35"/>
        <v>589</v>
      </c>
      <c r="AK304" s="42">
        <f t="shared" ca="1" si="36"/>
        <v>477</v>
      </c>
      <c r="AL304" s="130" t="str">
        <f t="shared" si="37"/>
        <v>In touch - Positive</v>
      </c>
      <c r="AM304" s="37">
        <v>45075</v>
      </c>
      <c r="AN304" s="38">
        <v>45187</v>
      </c>
      <c r="AO304" s="38"/>
      <c r="AP304" s="38"/>
      <c r="AQ304" s="38"/>
      <c r="AR304" s="101" t="s">
        <v>1818</v>
      </c>
      <c r="AS304" s="38">
        <v>45187</v>
      </c>
      <c r="AT304" s="853"/>
    </row>
    <row r="305" spans="1:46" s="271" customFormat="1" x14ac:dyDescent="0.35">
      <c r="A305" s="600"/>
      <c r="B305" s="16" cm="1">
        <f t="array" ref="B305">+_xlfn.IFS(D305="In Touch - Positive",2,D305="Pending",1,D305="No Answer",4,D305="In Touch - Negative",3)</f>
        <v>2</v>
      </c>
      <c r="C305" s="16" t="s">
        <v>1790</v>
      </c>
      <c r="D305" s="122" t="str">
        <f t="shared" si="39"/>
        <v>In touch - Positive</v>
      </c>
      <c r="E305" s="12" t="s">
        <v>1836</v>
      </c>
      <c r="F305" s="12"/>
      <c r="G305" s="13" t="s">
        <v>278</v>
      </c>
      <c r="H305" s="14"/>
      <c r="I305" s="13"/>
      <c r="J305" s="100" t="s">
        <v>111</v>
      </c>
      <c r="K305" s="15"/>
      <c r="L305" s="15"/>
      <c r="M305" s="15"/>
      <c r="N305" s="15"/>
      <c r="O305" s="15"/>
      <c r="P305" s="15"/>
      <c r="Q305" s="15"/>
      <c r="R305" s="16"/>
      <c r="S305" s="35"/>
      <c r="T305" s="13"/>
      <c r="U305" s="17"/>
      <c r="V305" s="17"/>
      <c r="W305" s="39"/>
      <c r="X305" s="17"/>
      <c r="Y305" s="17"/>
      <c r="Z305" s="16"/>
      <c r="AA305" s="15" t="s">
        <v>140</v>
      </c>
      <c r="AB305" s="17"/>
      <c r="AC305" s="21" t="s">
        <v>153</v>
      </c>
      <c r="AD305" s="21" t="s">
        <v>153</v>
      </c>
      <c r="AE305" s="61" t="s">
        <v>1792</v>
      </c>
      <c r="AF305" s="17"/>
      <c r="AG305" s="15"/>
      <c r="AH305" s="16"/>
      <c r="AI305" s="16"/>
      <c r="AJ305" s="42">
        <f t="shared" ca="1" si="35"/>
        <v>589</v>
      </c>
      <c r="AK305" s="42">
        <f t="shared" ca="1" si="36"/>
        <v>477</v>
      </c>
      <c r="AL305" s="130" t="str">
        <f t="shared" si="37"/>
        <v>In touch - Positive</v>
      </c>
      <c r="AM305" s="37">
        <v>45075</v>
      </c>
      <c r="AN305" s="123">
        <v>45078</v>
      </c>
      <c r="AO305" s="38">
        <v>45187</v>
      </c>
      <c r="AP305" s="38"/>
      <c r="AQ305" s="38"/>
      <c r="AR305" s="101" t="s">
        <v>1818</v>
      </c>
      <c r="AS305" s="38">
        <v>45187</v>
      </c>
      <c r="AT305" s="11"/>
    </row>
    <row r="306" spans="1:46" s="271" customFormat="1" x14ac:dyDescent="0.35">
      <c r="B306" s="16" cm="1">
        <f t="array" ref="B306">+_xlfn.IFS(D306="In Touch - Positive",2,D306="Pending",1,D306="No Answer",4,D306="In Touch - Negative",3)</f>
        <v>2</v>
      </c>
      <c r="C306" s="16" t="s">
        <v>1831</v>
      </c>
      <c r="D306" s="99" t="str">
        <f t="shared" si="39"/>
        <v>In touch - Positive</v>
      </c>
      <c r="E306" s="12" t="s">
        <v>390</v>
      </c>
      <c r="F306" s="12"/>
      <c r="G306" s="13" t="s">
        <v>270</v>
      </c>
      <c r="H306" s="14"/>
      <c r="I306" s="13"/>
      <c r="J306" s="100" t="s">
        <v>202</v>
      </c>
      <c r="K306" s="15" t="s">
        <v>393</v>
      </c>
      <c r="L306" s="15"/>
      <c r="M306" s="15"/>
      <c r="N306" s="15"/>
      <c r="O306" s="15"/>
      <c r="P306" s="15"/>
      <c r="Q306" s="15"/>
      <c r="R306" s="16"/>
      <c r="S306" s="35"/>
      <c r="T306" s="13"/>
      <c r="U306" s="17"/>
      <c r="V306" s="17"/>
      <c r="W306" s="60"/>
      <c r="X306" s="17"/>
      <c r="Y306" s="17"/>
      <c r="Z306" s="16"/>
      <c r="AA306" s="15" t="s">
        <v>140</v>
      </c>
      <c r="AB306" s="17"/>
      <c r="AC306" s="21" t="s">
        <v>78</v>
      </c>
      <c r="AD306" s="21" t="s">
        <v>78</v>
      </c>
      <c r="AE306" s="21" t="s">
        <v>128</v>
      </c>
      <c r="AF306" s="17"/>
      <c r="AG306" s="15"/>
      <c r="AH306" s="16"/>
      <c r="AI306" s="16"/>
      <c r="AJ306" s="42">
        <f t="shared" ca="1" si="35"/>
        <v>477</v>
      </c>
      <c r="AK306" s="42">
        <f t="shared" ca="1" si="36"/>
        <v>473</v>
      </c>
      <c r="AL306" s="130" t="str">
        <f t="shared" si="37"/>
        <v>In touch - Positive</v>
      </c>
      <c r="AM306" s="37">
        <v>45187</v>
      </c>
      <c r="AN306" s="38">
        <v>45190</v>
      </c>
      <c r="AO306" s="38"/>
      <c r="AP306" s="38" t="s">
        <v>65</v>
      </c>
      <c r="AQ306" s="38">
        <v>45191</v>
      </c>
      <c r="AR306" s="101" t="s">
        <v>1818</v>
      </c>
      <c r="AS306" s="38">
        <v>45191</v>
      </c>
      <c r="AT306" s="11"/>
    </row>
    <row r="307" spans="1:46" s="271" customFormat="1" x14ac:dyDescent="0.35">
      <c r="A307" s="600"/>
      <c r="B307" s="16" cm="1">
        <f t="array" ref="B307">+_xlfn.IFS(D307="In Touch - Positive",2,D307="Pending",1,D307="No Answer",4,D307="In Touch - Negative",3)</f>
        <v>2</v>
      </c>
      <c r="C307" s="16" t="s">
        <v>1831</v>
      </c>
      <c r="D307" s="99" t="str">
        <f t="shared" si="39"/>
        <v>In touch - Positive</v>
      </c>
      <c r="E307" s="12" t="s">
        <v>277</v>
      </c>
      <c r="F307" s="12"/>
      <c r="G307" s="13" t="s">
        <v>278</v>
      </c>
      <c r="H307" s="14"/>
      <c r="I307" s="13"/>
      <c r="J307" s="100" t="s">
        <v>111</v>
      </c>
      <c r="K307" s="15" t="s">
        <v>1832</v>
      </c>
      <c r="L307" s="15"/>
      <c r="M307" s="15"/>
      <c r="N307" s="15"/>
      <c r="O307" s="15"/>
      <c r="P307" s="15"/>
      <c r="Q307" s="15"/>
      <c r="R307" s="16"/>
      <c r="S307" s="35"/>
      <c r="T307" s="13"/>
      <c r="U307" s="17"/>
      <c r="V307" s="17"/>
      <c r="W307" s="60"/>
      <c r="X307" s="17"/>
      <c r="Y307" s="17"/>
      <c r="Z307" s="16"/>
      <c r="AA307" s="15" t="s">
        <v>140</v>
      </c>
      <c r="AB307" s="17"/>
      <c r="AC307" s="21" t="s">
        <v>78</v>
      </c>
      <c r="AD307" s="21" t="s">
        <v>78</v>
      </c>
      <c r="AE307" s="21" t="s">
        <v>128</v>
      </c>
      <c r="AF307" s="17"/>
      <c r="AG307" s="15"/>
      <c r="AH307" s="16"/>
      <c r="AI307" s="16"/>
      <c r="AJ307" s="42">
        <f t="shared" ca="1" si="35"/>
        <v>477</v>
      </c>
      <c r="AK307" s="42">
        <f t="shared" ca="1" si="36"/>
        <v>476</v>
      </c>
      <c r="AL307" s="130" t="str">
        <f t="shared" si="37"/>
        <v>In touch - Positive</v>
      </c>
      <c r="AM307" s="37">
        <v>45187</v>
      </c>
      <c r="AN307" s="38">
        <v>45188</v>
      </c>
      <c r="AO307" s="38">
        <v>45194</v>
      </c>
      <c r="AP307" s="38"/>
      <c r="AQ307" s="38">
        <v>45203</v>
      </c>
      <c r="AR307" s="101" t="s">
        <v>1818</v>
      </c>
      <c r="AS307" s="38">
        <v>45188</v>
      </c>
      <c r="AT307" s="617"/>
    </row>
    <row r="308" spans="1:46" s="271" customFormat="1" x14ac:dyDescent="0.35">
      <c r="A308" s="600"/>
      <c r="B308" s="16" cm="1">
        <f t="array" ref="B308">+_xlfn.IFS(D308="In Touch - Positive",2,D308="Pending",1,D308="No Answer",4,D308="In Touch - Negative",3)</f>
        <v>2</v>
      </c>
      <c r="C308" s="16" t="s">
        <v>213</v>
      </c>
      <c r="D308" s="99" t="str">
        <f t="shared" si="39"/>
        <v>In touch - Positive</v>
      </c>
      <c r="E308" s="12" t="s">
        <v>1837</v>
      </c>
      <c r="F308" s="12"/>
      <c r="G308" s="13" t="s">
        <v>159</v>
      </c>
      <c r="H308" s="14"/>
      <c r="I308" s="13"/>
      <c r="J308" s="15" t="s">
        <v>1821</v>
      </c>
      <c r="K308" s="15" t="s">
        <v>1822</v>
      </c>
      <c r="L308" s="15"/>
      <c r="M308" s="15"/>
      <c r="N308" s="15"/>
      <c r="O308" s="15"/>
      <c r="P308" s="15"/>
      <c r="Q308" s="15"/>
      <c r="R308" s="16"/>
      <c r="S308" s="35"/>
      <c r="T308" s="13"/>
      <c r="U308" s="17"/>
      <c r="V308" s="17"/>
      <c r="W308" s="60"/>
      <c r="X308" s="17"/>
      <c r="Y308" s="17"/>
      <c r="Z308" s="16"/>
      <c r="AA308" s="15" t="s">
        <v>140</v>
      </c>
      <c r="AB308" s="17"/>
      <c r="AC308" s="21" t="s">
        <v>78</v>
      </c>
      <c r="AD308" s="21" t="s">
        <v>78</v>
      </c>
      <c r="AE308" s="21" t="s">
        <v>86</v>
      </c>
      <c r="AF308" s="17"/>
      <c r="AG308" s="15"/>
      <c r="AH308" s="16"/>
      <c r="AI308" s="16"/>
      <c r="AJ308" s="42">
        <f t="shared" ca="1" si="35"/>
        <v>464</v>
      </c>
      <c r="AK308" s="42">
        <f t="shared" ca="1" si="36"/>
        <v>456</v>
      </c>
      <c r="AL308" s="130" t="str">
        <f t="shared" si="37"/>
        <v>In touch - Positive</v>
      </c>
      <c r="AM308" s="37">
        <v>45200</v>
      </c>
      <c r="AN308" s="38">
        <v>45202</v>
      </c>
      <c r="AO308" s="38"/>
      <c r="AP308" s="38">
        <v>45198</v>
      </c>
      <c r="AQ308" s="38"/>
      <c r="AR308" s="101" t="s">
        <v>1818</v>
      </c>
      <c r="AS308" s="38">
        <v>45208</v>
      </c>
      <c r="AT308" s="617"/>
    </row>
    <row r="309" spans="1:46" s="271" customFormat="1" x14ac:dyDescent="0.35">
      <c r="A309" s="600"/>
      <c r="B309" s="16" cm="1">
        <f t="array" ref="B309">+_xlfn.IFS(D309="In Touch - Positive",2,D309="Pending",1,D309="No Answer",4,D309="In Touch - Negative",3)</f>
        <v>2</v>
      </c>
      <c r="C309" s="16" t="s">
        <v>213</v>
      </c>
      <c r="D309" s="99" t="str">
        <f t="shared" si="39"/>
        <v>In touch - Positive</v>
      </c>
      <c r="E309" s="12" t="s">
        <v>1838</v>
      </c>
      <c r="F309" s="12"/>
      <c r="G309" s="13" t="s">
        <v>103</v>
      </c>
      <c r="H309" s="13"/>
      <c r="I309" s="13"/>
      <c r="J309" s="100" t="s">
        <v>1839</v>
      </c>
      <c r="K309" s="15" t="s">
        <v>1840</v>
      </c>
      <c r="L309" s="15"/>
      <c r="M309" s="15"/>
      <c r="N309" s="15"/>
      <c r="O309" s="15"/>
      <c r="P309" s="15"/>
      <c r="Q309" s="15"/>
      <c r="R309" s="16"/>
      <c r="S309" s="35"/>
      <c r="T309" s="13"/>
      <c r="U309" s="17"/>
      <c r="V309" s="17"/>
      <c r="W309" s="60"/>
      <c r="X309" s="17"/>
      <c r="Y309" s="17"/>
      <c r="Z309" s="16"/>
      <c r="AA309" s="15" t="s">
        <v>140</v>
      </c>
      <c r="AB309" s="17"/>
      <c r="AC309" s="21" t="s">
        <v>78</v>
      </c>
      <c r="AD309" s="21" t="s">
        <v>78</v>
      </c>
      <c r="AE309" s="21" t="s">
        <v>86</v>
      </c>
      <c r="AF309" s="17"/>
      <c r="AG309" s="15"/>
      <c r="AH309" s="16"/>
      <c r="AI309" s="16"/>
      <c r="AJ309" s="42">
        <f t="shared" ca="1" si="35"/>
        <v>498</v>
      </c>
      <c r="AK309" s="42">
        <f t="shared" ca="1" si="36"/>
        <v>462</v>
      </c>
      <c r="AL309" s="130" t="str">
        <f t="shared" si="37"/>
        <v>In touch - Positive</v>
      </c>
      <c r="AM309" s="37">
        <v>45166</v>
      </c>
      <c r="AN309" s="38">
        <v>45181</v>
      </c>
      <c r="AO309" s="38">
        <v>45187</v>
      </c>
      <c r="AP309" s="38" t="s">
        <v>65</v>
      </c>
      <c r="AQ309" s="38">
        <v>45202</v>
      </c>
      <c r="AR309" s="101" t="s">
        <v>1818</v>
      </c>
      <c r="AS309" s="38">
        <v>45202</v>
      </c>
      <c r="AT309" s="617"/>
    </row>
    <row r="310" spans="1:46" s="271" customFormat="1" x14ac:dyDescent="0.35">
      <c r="A310" s="600"/>
      <c r="B310" s="16" cm="1">
        <f t="array" ref="B310">+_xlfn.IFS(D310="In Touch - Positive",2,D310="Pending",1,D310="No Answer",4,D310="In Touch - Negative",3)</f>
        <v>2</v>
      </c>
      <c r="C310" s="16" t="s">
        <v>213</v>
      </c>
      <c r="D310" s="99" t="str">
        <f t="shared" si="39"/>
        <v>In touch - Positive</v>
      </c>
      <c r="E310" s="12" t="s">
        <v>432</v>
      </c>
      <c r="F310" s="12"/>
      <c r="G310" s="13" t="s">
        <v>103</v>
      </c>
      <c r="H310" s="14"/>
      <c r="I310" s="13"/>
      <c r="J310" s="100" t="s">
        <v>433</v>
      </c>
      <c r="K310" s="15" t="s">
        <v>1841</v>
      </c>
      <c r="L310" s="15"/>
      <c r="M310" s="15"/>
      <c r="N310" s="15"/>
      <c r="O310" s="15"/>
      <c r="P310" s="15"/>
      <c r="Q310" s="15"/>
      <c r="R310" s="16"/>
      <c r="S310" s="35"/>
      <c r="T310" s="13"/>
      <c r="U310" s="17"/>
      <c r="V310" s="17"/>
      <c r="W310" s="60"/>
      <c r="X310" s="17"/>
      <c r="Y310" s="17"/>
      <c r="Z310" s="16"/>
      <c r="AA310" s="15" t="s">
        <v>140</v>
      </c>
      <c r="AB310" s="17"/>
      <c r="AC310" s="21" t="s">
        <v>78</v>
      </c>
      <c r="AD310" s="21" t="s">
        <v>78</v>
      </c>
      <c r="AE310" s="21" t="s">
        <v>86</v>
      </c>
      <c r="AF310" s="17"/>
      <c r="AG310" s="15"/>
      <c r="AH310" s="16"/>
      <c r="AI310" s="16"/>
      <c r="AJ310" s="42">
        <f t="shared" ca="1" si="35"/>
        <v>484</v>
      </c>
      <c r="AK310" s="42">
        <f t="shared" ca="1" si="36"/>
        <v>477</v>
      </c>
      <c r="AL310" s="130" t="str">
        <f t="shared" si="37"/>
        <v>In touch - Positive</v>
      </c>
      <c r="AM310" s="37">
        <v>45180</v>
      </c>
      <c r="AN310" s="38">
        <v>45181</v>
      </c>
      <c r="AO310" s="38">
        <v>45187</v>
      </c>
      <c r="AP310" s="38">
        <v>45190</v>
      </c>
      <c r="AQ310" s="38">
        <v>45187</v>
      </c>
      <c r="AR310" s="101" t="s">
        <v>1818</v>
      </c>
      <c r="AS310" s="38">
        <v>45187</v>
      </c>
      <c r="AT310" s="617"/>
    </row>
    <row r="311" spans="1:46" s="271" customFormat="1" x14ac:dyDescent="0.35">
      <c r="B311" s="16" cm="1">
        <f t="array" ref="B311">+_xlfn.IFS(D311="In Touch - Positive",2,D311="Pending",1,D311="No Answer",4,D311="In Touch - Negative",3)</f>
        <v>2</v>
      </c>
      <c r="C311" s="16" t="s">
        <v>213</v>
      </c>
      <c r="D311" s="99" t="str">
        <f t="shared" si="39"/>
        <v>In touch - Positive</v>
      </c>
      <c r="E311" s="12" t="s">
        <v>1842</v>
      </c>
      <c r="F311" s="12"/>
      <c r="G311" s="13" t="s">
        <v>91</v>
      </c>
      <c r="H311" s="14"/>
      <c r="I311" s="13"/>
      <c r="J311" s="100" t="s">
        <v>132</v>
      </c>
      <c r="K311" s="15" t="s">
        <v>1843</v>
      </c>
      <c r="L311" s="15"/>
      <c r="M311" s="15"/>
      <c r="N311" s="15"/>
      <c r="O311" s="15"/>
      <c r="P311" s="15"/>
      <c r="Q311" s="15"/>
      <c r="R311" s="16"/>
      <c r="S311" s="35"/>
      <c r="T311" s="13"/>
      <c r="U311" s="17"/>
      <c r="V311" s="17"/>
      <c r="W311" s="60"/>
      <c r="X311" s="17"/>
      <c r="Y311" s="17"/>
      <c r="Z311" s="16"/>
      <c r="AA311" s="15" t="s">
        <v>140</v>
      </c>
      <c r="AB311" s="17"/>
      <c r="AC311" s="21" t="s">
        <v>78</v>
      </c>
      <c r="AD311" s="21" t="s">
        <v>78</v>
      </c>
      <c r="AE311" s="21" t="s">
        <v>86</v>
      </c>
      <c r="AF311" s="17"/>
      <c r="AG311" s="15"/>
      <c r="AH311" s="16"/>
      <c r="AI311" s="16"/>
      <c r="AJ311" s="42">
        <f t="shared" ca="1" si="35"/>
        <v>498</v>
      </c>
      <c r="AK311" s="42">
        <f t="shared" ca="1" si="36"/>
        <v>477</v>
      </c>
      <c r="AL311" s="130" t="str">
        <f t="shared" si="37"/>
        <v>In touch - Positive</v>
      </c>
      <c r="AM311" s="37">
        <v>45166</v>
      </c>
      <c r="AN311" s="38">
        <v>45181</v>
      </c>
      <c r="AO311" s="38">
        <v>45187</v>
      </c>
      <c r="AP311" s="38" t="s">
        <v>65</v>
      </c>
      <c r="AQ311" s="38">
        <v>45190</v>
      </c>
      <c r="AR311" s="101" t="s">
        <v>1818</v>
      </c>
      <c r="AS311" s="38">
        <v>45187</v>
      </c>
      <c r="AT311" s="617"/>
    </row>
    <row r="312" spans="1:46" s="271" customFormat="1" x14ac:dyDescent="0.35">
      <c r="A312" s="600"/>
      <c r="B312" s="16" cm="1">
        <f t="array" ref="B312">+_xlfn.IFS(D312="In Touch - Positive",2,D312="Pending",1,D312="No Answer",4,D312="In Touch - Negative",3)</f>
        <v>2</v>
      </c>
      <c r="C312" s="16" t="s">
        <v>213</v>
      </c>
      <c r="D312" s="99" t="str">
        <f t="shared" si="39"/>
        <v>In touch - Positive</v>
      </c>
      <c r="E312" s="12" t="s">
        <v>194</v>
      </c>
      <c r="F312" s="12"/>
      <c r="G312" s="13" t="s">
        <v>103</v>
      </c>
      <c r="H312" s="14"/>
      <c r="I312" s="13"/>
      <c r="J312" s="100" t="s">
        <v>132</v>
      </c>
      <c r="K312" s="15" t="s">
        <v>1844</v>
      </c>
      <c r="L312" s="15"/>
      <c r="M312" s="15"/>
      <c r="N312" s="15"/>
      <c r="O312" s="15"/>
      <c r="P312" s="15"/>
      <c r="Q312" s="15"/>
      <c r="R312" s="16"/>
      <c r="S312" s="35"/>
      <c r="T312" s="13"/>
      <c r="U312" s="17"/>
      <c r="V312" s="17"/>
      <c r="W312" s="60"/>
      <c r="X312" s="17"/>
      <c r="Y312" s="17"/>
      <c r="Z312" s="16"/>
      <c r="AA312" s="15" t="s">
        <v>140</v>
      </c>
      <c r="AB312" s="17"/>
      <c r="AC312" s="21" t="s">
        <v>78</v>
      </c>
      <c r="AD312" s="21" t="s">
        <v>78</v>
      </c>
      <c r="AE312" s="21" t="s">
        <v>86</v>
      </c>
      <c r="AF312" s="17"/>
      <c r="AG312" s="15"/>
      <c r="AH312" s="16"/>
      <c r="AI312" s="16"/>
      <c r="AJ312" s="42">
        <f t="shared" ca="1" si="35"/>
        <v>498</v>
      </c>
      <c r="AK312" s="42">
        <f t="shared" ca="1" si="36"/>
        <v>477</v>
      </c>
      <c r="AL312" s="130" t="str">
        <f t="shared" si="37"/>
        <v>In touch - Positive</v>
      </c>
      <c r="AM312" s="37">
        <v>45166</v>
      </c>
      <c r="AN312" s="38">
        <v>45181</v>
      </c>
      <c r="AO312" s="38">
        <v>45187</v>
      </c>
      <c r="AP312" s="38" t="s">
        <v>65</v>
      </c>
      <c r="AQ312" s="38">
        <v>45187</v>
      </c>
      <c r="AR312" s="101" t="s">
        <v>1818</v>
      </c>
      <c r="AS312" s="38">
        <v>45187</v>
      </c>
      <c r="AT312" s="617"/>
    </row>
    <row r="313" spans="1:46" s="271" customFormat="1" x14ac:dyDescent="0.35">
      <c r="B313" s="16" cm="1">
        <f t="array" ref="B313">+_xlfn.IFS(D313="In Touch - Positive",2,D313="Pending",1,D313="No Answer",4,D313="In Touch - Negative",3)</f>
        <v>2</v>
      </c>
      <c r="C313" s="16" t="s">
        <v>213</v>
      </c>
      <c r="D313" s="99" t="str">
        <f t="shared" si="39"/>
        <v>In touch - Positive</v>
      </c>
      <c r="E313" s="12" t="s">
        <v>1845</v>
      </c>
      <c r="F313" s="12"/>
      <c r="G313" s="13" t="s">
        <v>572</v>
      </c>
      <c r="H313" s="14"/>
      <c r="I313" s="13"/>
      <c r="J313" s="100" t="s">
        <v>132</v>
      </c>
      <c r="K313" s="15" t="s">
        <v>1846</v>
      </c>
      <c r="L313" s="15"/>
      <c r="M313" s="15"/>
      <c r="N313" s="15"/>
      <c r="O313" s="15"/>
      <c r="P313" s="15"/>
      <c r="Q313" s="15"/>
      <c r="R313" s="16"/>
      <c r="S313" s="35"/>
      <c r="T313" s="13"/>
      <c r="U313" s="17"/>
      <c r="V313" s="17"/>
      <c r="W313" s="60"/>
      <c r="X313" s="17"/>
      <c r="Y313" s="17"/>
      <c r="Z313" s="16"/>
      <c r="AA313" s="15" t="s">
        <v>140</v>
      </c>
      <c r="AB313" s="17"/>
      <c r="AC313" s="21" t="s">
        <v>78</v>
      </c>
      <c r="AD313" s="21" t="s">
        <v>78</v>
      </c>
      <c r="AE313" s="21" t="s">
        <v>86</v>
      </c>
      <c r="AF313" s="17"/>
      <c r="AG313" s="15"/>
      <c r="AH313" s="16"/>
      <c r="AI313" s="16"/>
      <c r="AJ313" s="42">
        <f t="shared" ca="1" si="35"/>
        <v>498</v>
      </c>
      <c r="AK313" s="42">
        <f t="shared" ca="1" si="36"/>
        <v>481</v>
      </c>
      <c r="AL313" s="130" t="str">
        <f t="shared" si="37"/>
        <v>In touch - Positive</v>
      </c>
      <c r="AM313" s="37">
        <v>45166</v>
      </c>
      <c r="AN313" s="38">
        <v>45181</v>
      </c>
      <c r="AO313" s="38" t="s">
        <v>65</v>
      </c>
      <c r="AP313" s="38" t="s">
        <v>65</v>
      </c>
      <c r="AQ313" s="38">
        <v>45183</v>
      </c>
      <c r="AR313" s="101" t="s">
        <v>1818</v>
      </c>
      <c r="AS313" s="38">
        <v>45183</v>
      </c>
      <c r="AT313" s="617"/>
    </row>
    <row r="314" spans="1:46" s="98" customFormat="1" x14ac:dyDescent="0.3">
      <c r="B314" s="16" cm="1">
        <f t="array" ref="B314">+_xlfn.IFS(D314="In Touch - Positive",2,D314="Pending",1,D314="No Answer",4,D314="In Touch - Negative",3)</f>
        <v>2</v>
      </c>
      <c r="C314" s="16" t="s">
        <v>213</v>
      </c>
      <c r="D314" s="99" t="str">
        <f t="shared" si="39"/>
        <v>In touch - Positive</v>
      </c>
      <c r="E314" s="12" t="s">
        <v>1847</v>
      </c>
      <c r="F314" s="12"/>
      <c r="G314" s="13" t="s">
        <v>444</v>
      </c>
      <c r="H314" s="14"/>
      <c r="I314" s="13"/>
      <c r="J314" s="100" t="s">
        <v>132</v>
      </c>
      <c r="K314" s="15" t="s">
        <v>1843</v>
      </c>
      <c r="L314" s="15"/>
      <c r="M314" s="15"/>
      <c r="N314" s="15"/>
      <c r="O314" s="15"/>
      <c r="P314" s="15"/>
      <c r="Q314" s="15"/>
      <c r="R314" s="16"/>
      <c r="S314" s="35"/>
      <c r="T314" s="13"/>
      <c r="U314" s="17"/>
      <c r="V314" s="17"/>
      <c r="W314" s="60"/>
      <c r="X314" s="17"/>
      <c r="Y314" s="17"/>
      <c r="Z314" s="16"/>
      <c r="AA314" s="15" t="s">
        <v>140</v>
      </c>
      <c r="AB314" s="17"/>
      <c r="AC314" s="21" t="s">
        <v>78</v>
      </c>
      <c r="AD314" s="21" t="s">
        <v>78</v>
      </c>
      <c r="AE314" s="21" t="s">
        <v>86</v>
      </c>
      <c r="AF314" s="17"/>
      <c r="AG314" s="15"/>
      <c r="AH314" s="16"/>
      <c r="AI314" s="16"/>
      <c r="AJ314" s="42">
        <f t="shared" ca="1" si="35"/>
        <v>498</v>
      </c>
      <c r="AK314" s="42">
        <f t="shared" ca="1" si="36"/>
        <v>481</v>
      </c>
      <c r="AL314" s="130" t="str">
        <f t="shared" si="37"/>
        <v>In touch - Positive</v>
      </c>
      <c r="AM314" s="37">
        <v>45166</v>
      </c>
      <c r="AN314" s="38">
        <v>45181</v>
      </c>
      <c r="AO314" s="38" t="s">
        <v>65</v>
      </c>
      <c r="AP314" s="38" t="s">
        <v>65</v>
      </c>
      <c r="AQ314" s="38">
        <v>45183</v>
      </c>
      <c r="AR314" s="101" t="s">
        <v>1818</v>
      </c>
      <c r="AS314" s="38">
        <v>45183</v>
      </c>
      <c r="AT314" s="11" t="s">
        <v>7</v>
      </c>
    </row>
    <row r="315" spans="1:46" s="271" customFormat="1" x14ac:dyDescent="0.35">
      <c r="B315" s="16" cm="1">
        <f t="array" ref="B315">+_xlfn.IFS(D315="In Touch - Positive",2,D315="Pending",1,D315="No Answer",4,D315="In Touch - Negative",3)</f>
        <v>2</v>
      </c>
      <c r="C315" s="16" t="s">
        <v>213</v>
      </c>
      <c r="D315" s="99" t="str">
        <f t="shared" si="39"/>
        <v>In touch - Positive</v>
      </c>
      <c r="E315" s="12" t="s">
        <v>640</v>
      </c>
      <c r="F315" s="12"/>
      <c r="G315" s="13" t="s">
        <v>208</v>
      </c>
      <c r="H315" s="14"/>
      <c r="I315" s="13"/>
      <c r="J315" s="100" t="s">
        <v>132</v>
      </c>
      <c r="K315" s="15" t="s">
        <v>1848</v>
      </c>
      <c r="L315" s="15"/>
      <c r="M315" s="15"/>
      <c r="N315" s="15"/>
      <c r="O315" s="15"/>
      <c r="P315" s="15"/>
      <c r="Q315" s="15"/>
      <c r="R315" s="16"/>
      <c r="S315" s="35"/>
      <c r="T315" s="13"/>
      <c r="U315" s="17"/>
      <c r="V315" s="17"/>
      <c r="W315" s="60"/>
      <c r="X315" s="17"/>
      <c r="Y315" s="17"/>
      <c r="Z315" s="16"/>
      <c r="AA315" s="15" t="s">
        <v>140</v>
      </c>
      <c r="AB315" s="17"/>
      <c r="AC315" s="21" t="s">
        <v>78</v>
      </c>
      <c r="AD315" s="21" t="s">
        <v>78</v>
      </c>
      <c r="AE315" s="21" t="s">
        <v>86</v>
      </c>
      <c r="AF315" s="17"/>
      <c r="AG315" s="15"/>
      <c r="AH315" s="16"/>
      <c r="AI315" s="16"/>
      <c r="AJ315" s="42">
        <f t="shared" ca="1" si="35"/>
        <v>498</v>
      </c>
      <c r="AK315" s="42">
        <f t="shared" ca="1" si="36"/>
        <v>482</v>
      </c>
      <c r="AL315" s="130" t="str">
        <f t="shared" si="37"/>
        <v>In touch - Positive</v>
      </c>
      <c r="AM315" s="37">
        <v>45166</v>
      </c>
      <c r="AN315" s="38">
        <v>45181</v>
      </c>
      <c r="AO315" s="38" t="s">
        <v>65</v>
      </c>
      <c r="AP315" s="38" t="s">
        <v>65</v>
      </c>
      <c r="AQ315" s="38">
        <v>45182</v>
      </c>
      <c r="AR315" s="101" t="s">
        <v>1818</v>
      </c>
      <c r="AS315" s="38">
        <v>45182</v>
      </c>
      <c r="AT315" s="617"/>
    </row>
    <row r="316" spans="1:46" s="271" customFormat="1" x14ac:dyDescent="0.35">
      <c r="A316" s="600"/>
      <c r="B316" s="16" cm="1">
        <f t="array" ref="B316">+_xlfn.IFS(D316="In Touch - Positive",2,D316="Pending",1,D316="No Answer",4,D316="In Touch - Negative",3)</f>
        <v>2</v>
      </c>
      <c r="C316" s="16" t="s">
        <v>213</v>
      </c>
      <c r="D316" s="99" t="str">
        <f t="shared" si="39"/>
        <v>In touch - Positive</v>
      </c>
      <c r="E316" s="12" t="s">
        <v>633</v>
      </c>
      <c r="F316" s="12"/>
      <c r="G316" s="13" t="s">
        <v>634</v>
      </c>
      <c r="H316" s="14"/>
      <c r="I316" s="13"/>
      <c r="J316" s="100" t="s">
        <v>132</v>
      </c>
      <c r="K316" s="15" t="s">
        <v>1843</v>
      </c>
      <c r="L316" s="15"/>
      <c r="M316" s="15"/>
      <c r="N316" s="15"/>
      <c r="O316" s="15"/>
      <c r="P316" s="15"/>
      <c r="Q316" s="15"/>
      <c r="R316" s="16"/>
      <c r="S316" s="35"/>
      <c r="T316" s="13"/>
      <c r="U316" s="17"/>
      <c r="V316" s="17"/>
      <c r="W316" s="60"/>
      <c r="X316" s="17"/>
      <c r="Y316" s="17"/>
      <c r="Z316" s="16"/>
      <c r="AA316" s="15" t="s">
        <v>140</v>
      </c>
      <c r="AB316" s="17"/>
      <c r="AC316" s="21" t="s">
        <v>78</v>
      </c>
      <c r="AD316" s="21" t="s">
        <v>78</v>
      </c>
      <c r="AE316" s="21" t="s">
        <v>86</v>
      </c>
      <c r="AF316" s="17"/>
      <c r="AG316" s="15"/>
      <c r="AH316" s="16"/>
      <c r="AI316" s="16"/>
      <c r="AJ316" s="42">
        <f t="shared" ca="1" si="35"/>
        <v>498</v>
      </c>
      <c r="AK316" s="42">
        <f t="shared" ca="1" si="36"/>
        <v>483</v>
      </c>
      <c r="AL316" s="130" t="str">
        <f t="shared" si="37"/>
        <v>In touch - Positive</v>
      </c>
      <c r="AM316" s="37">
        <v>45166</v>
      </c>
      <c r="AN316" s="38">
        <v>45181</v>
      </c>
      <c r="AO316" s="38" t="s">
        <v>65</v>
      </c>
      <c r="AP316" s="38" t="s">
        <v>65</v>
      </c>
      <c r="AQ316" s="38">
        <v>45181</v>
      </c>
      <c r="AR316" s="101" t="s">
        <v>1818</v>
      </c>
      <c r="AS316" s="38">
        <v>45181</v>
      </c>
      <c r="AT316" s="617"/>
    </row>
    <row r="317" spans="1:46" s="271" customFormat="1" x14ac:dyDescent="0.35">
      <c r="A317" s="600"/>
      <c r="B317" s="16" cm="1">
        <f t="array" ref="B317">+_xlfn.IFS(D317="In Touch - Positive",2,D317="Pending",1,D317="No Answer",4,D317="In Touch - Negative",3)</f>
        <v>2</v>
      </c>
      <c r="C317" s="16" t="s">
        <v>1849</v>
      </c>
      <c r="D317" s="122" t="str">
        <f t="shared" si="39"/>
        <v>In touch - Positive</v>
      </c>
      <c r="E317" s="12" t="s">
        <v>314</v>
      </c>
      <c r="F317" s="12"/>
      <c r="G317" s="13" t="s">
        <v>103</v>
      </c>
      <c r="H317" s="13"/>
      <c r="I317" s="13"/>
      <c r="J317" s="100" t="s">
        <v>111</v>
      </c>
      <c r="K317" s="15"/>
      <c r="L317" s="15"/>
      <c r="M317" s="15"/>
      <c r="N317" s="15"/>
      <c r="O317" s="15"/>
      <c r="P317" s="15"/>
      <c r="Q317" s="15"/>
      <c r="R317" s="16"/>
      <c r="S317" s="35"/>
      <c r="T317" s="13"/>
      <c r="U317" s="17"/>
      <c r="V317" s="17"/>
      <c r="W317" s="39"/>
      <c r="X317" s="17"/>
      <c r="Y317" s="17"/>
      <c r="Z317" s="16"/>
      <c r="AA317" s="15" t="s">
        <v>140</v>
      </c>
      <c r="AB317" s="17"/>
      <c r="AC317" s="21" t="s">
        <v>78</v>
      </c>
      <c r="AD317" s="21" t="s">
        <v>78</v>
      </c>
      <c r="AE317" s="61" t="s">
        <v>62</v>
      </c>
      <c r="AF317" s="17"/>
      <c r="AG317" s="15"/>
      <c r="AH317" s="16"/>
      <c r="AI317" s="16"/>
      <c r="AJ317" s="42">
        <f t="shared" ca="1" si="35"/>
        <v>495</v>
      </c>
      <c r="AK317" s="42">
        <f t="shared" ca="1" si="36"/>
        <v>494</v>
      </c>
      <c r="AL317" s="130" t="str">
        <f t="shared" si="37"/>
        <v>In touch - Positive</v>
      </c>
      <c r="AM317" s="37">
        <v>45169</v>
      </c>
      <c r="AN317" s="38">
        <v>45170</v>
      </c>
      <c r="AO317" s="38" t="s">
        <v>65</v>
      </c>
      <c r="AP317" s="38"/>
      <c r="AQ317" s="38">
        <v>45170</v>
      </c>
      <c r="AR317" s="101" t="s">
        <v>1818</v>
      </c>
      <c r="AS317" s="38">
        <v>45170</v>
      </c>
      <c r="AT317" s="617"/>
    </row>
    <row r="318" spans="1:46" s="271" customFormat="1" x14ac:dyDescent="0.35">
      <c r="B318" s="16" cm="1">
        <f t="array" ref="B318">+_xlfn.IFS(D318="In Touch - Positive",2,D318="Pending",1,D318="No Answer",4,D318="In Touch - Negative",3)</f>
        <v>2</v>
      </c>
      <c r="C318" s="16" t="s">
        <v>1849</v>
      </c>
      <c r="D318" s="122" t="str">
        <f t="shared" si="39"/>
        <v>In touch - Positive</v>
      </c>
      <c r="E318" s="12" t="s">
        <v>356</v>
      </c>
      <c r="F318" s="12"/>
      <c r="G318" s="13" t="s">
        <v>103</v>
      </c>
      <c r="H318" s="13"/>
      <c r="I318" s="13"/>
      <c r="J318" s="100" t="s">
        <v>111</v>
      </c>
      <c r="K318" s="15"/>
      <c r="L318" s="15"/>
      <c r="M318" s="15"/>
      <c r="N318" s="15"/>
      <c r="O318" s="15"/>
      <c r="P318" s="15"/>
      <c r="Q318" s="15"/>
      <c r="R318" s="16"/>
      <c r="S318" s="35"/>
      <c r="T318" s="13"/>
      <c r="U318" s="17"/>
      <c r="V318" s="17"/>
      <c r="W318" s="39"/>
      <c r="X318" s="17"/>
      <c r="Y318" s="17"/>
      <c r="Z318" s="16"/>
      <c r="AA318" s="15" t="s">
        <v>140</v>
      </c>
      <c r="AB318" s="17"/>
      <c r="AC318" s="21" t="s">
        <v>78</v>
      </c>
      <c r="AD318" s="21" t="s">
        <v>78</v>
      </c>
      <c r="AE318" s="61" t="s">
        <v>62</v>
      </c>
      <c r="AF318" s="17"/>
      <c r="AG318" s="15"/>
      <c r="AH318" s="16"/>
      <c r="AI318" s="16"/>
      <c r="AJ318" s="42">
        <f t="shared" ca="1" si="35"/>
        <v>495</v>
      </c>
      <c r="AK318" s="42">
        <f t="shared" ca="1" si="36"/>
        <v>494</v>
      </c>
      <c r="AL318" s="130" t="str">
        <f t="shared" si="37"/>
        <v>In touch - Positive</v>
      </c>
      <c r="AM318" s="37">
        <v>45169</v>
      </c>
      <c r="AN318" s="38">
        <v>45170</v>
      </c>
      <c r="AO318" s="38"/>
      <c r="AP318" s="38"/>
      <c r="AQ318" s="38"/>
      <c r="AR318" s="101" t="s">
        <v>1818</v>
      </c>
      <c r="AS318" s="38">
        <v>45170</v>
      </c>
      <c r="AT318" s="617"/>
    </row>
    <row r="319" spans="1:46" s="271" customFormat="1" x14ac:dyDescent="0.35">
      <c r="A319" s="600"/>
      <c r="B319" s="16" cm="1">
        <f t="array" ref="B319">+_xlfn.IFS(D319="In Touch - Positive",2,D319="Pending",1,D319="No Answer",4,D319="In Touch - Negative",3)</f>
        <v>2</v>
      </c>
      <c r="C319" s="16" t="s">
        <v>1850</v>
      </c>
      <c r="D319" s="99" t="str">
        <f t="shared" si="39"/>
        <v>In touch - Positive</v>
      </c>
      <c r="E319" s="12" t="s">
        <v>466</v>
      </c>
      <c r="F319" s="12"/>
      <c r="G319" s="13" t="s">
        <v>371</v>
      </c>
      <c r="H319" s="14" t="s">
        <v>1851</v>
      </c>
      <c r="I319" s="13"/>
      <c r="J319" s="100" t="s">
        <v>111</v>
      </c>
      <c r="K319" s="15" t="s">
        <v>1852</v>
      </c>
      <c r="L319" s="15"/>
      <c r="M319" s="15"/>
      <c r="N319" s="15"/>
      <c r="O319" s="15"/>
      <c r="P319" s="15"/>
      <c r="Q319" s="15"/>
      <c r="R319" s="16"/>
      <c r="S319" s="35"/>
      <c r="T319" s="13">
        <v>2021</v>
      </c>
      <c r="U319" s="17">
        <v>16.119</v>
      </c>
      <c r="V319" s="17">
        <v>2.665</v>
      </c>
      <c r="W319" s="39">
        <f t="shared" ref="W319:W324" si="40">+V319/U319</f>
        <v>0.16533283702462934</v>
      </c>
      <c r="X319" s="17"/>
      <c r="Y319" s="17">
        <v>-16.887</v>
      </c>
      <c r="Z319" s="16"/>
      <c r="AA319" s="15" t="s">
        <v>140</v>
      </c>
      <c r="AB319" s="17"/>
      <c r="AC319" s="21" t="s">
        <v>78</v>
      </c>
      <c r="AD319" s="21" t="s">
        <v>78</v>
      </c>
      <c r="AE319" s="61" t="s">
        <v>62</v>
      </c>
      <c r="AF319" s="17"/>
      <c r="AG319" s="15"/>
      <c r="AH319" s="16"/>
      <c r="AI319" s="16"/>
      <c r="AJ319" s="42">
        <f t="shared" ca="1" si="35"/>
        <v>589</v>
      </c>
      <c r="AK319" s="42">
        <f t="shared" ca="1" si="36"/>
        <v>561</v>
      </c>
      <c r="AL319" s="130" t="str">
        <f t="shared" si="37"/>
        <v>In touch - Positive</v>
      </c>
      <c r="AM319" s="37">
        <v>45075</v>
      </c>
      <c r="AN319" s="38">
        <v>45082</v>
      </c>
      <c r="AO319" s="38"/>
      <c r="AP319" s="38"/>
      <c r="AQ319" s="38">
        <v>45082</v>
      </c>
      <c r="AR319" s="101" t="s">
        <v>1818</v>
      </c>
      <c r="AS319" s="38">
        <v>45103</v>
      </c>
      <c r="AT319" s="617"/>
    </row>
    <row r="320" spans="1:46" s="271" customFormat="1" x14ac:dyDescent="0.3">
      <c r="A320" s="600"/>
      <c r="B320" s="16" cm="1">
        <f t="array" ref="B320">+_xlfn.IFS(D320="In Touch - Positive",2,D320="Pending",1,D320="No Answer",4,D320="In Touch - Negative",3)</f>
        <v>2</v>
      </c>
      <c r="C320" s="16" t="s">
        <v>1850</v>
      </c>
      <c r="D320" s="99" t="str">
        <f t="shared" si="39"/>
        <v>In touch - Positive</v>
      </c>
      <c r="E320" s="12" t="s">
        <v>469</v>
      </c>
      <c r="F320" s="12"/>
      <c r="G320" s="13" t="s">
        <v>308</v>
      </c>
      <c r="H320" s="14" t="s">
        <v>1853</v>
      </c>
      <c r="I320" s="13"/>
      <c r="J320" s="100" t="s">
        <v>111</v>
      </c>
      <c r="K320" s="15" t="s">
        <v>1854</v>
      </c>
      <c r="L320" s="15"/>
      <c r="M320" s="15"/>
      <c r="N320" s="15"/>
      <c r="O320" s="15"/>
      <c r="P320" s="15"/>
      <c r="Q320" s="15"/>
      <c r="R320" s="16"/>
      <c r="S320" s="35"/>
      <c r="T320" s="13">
        <v>2021</v>
      </c>
      <c r="U320" s="17">
        <v>21.12</v>
      </c>
      <c r="V320" s="17">
        <v>3.0449999999999999</v>
      </c>
      <c r="W320" s="39">
        <f t="shared" si="40"/>
        <v>0.14417613636363635</v>
      </c>
      <c r="X320" s="105"/>
      <c r="Y320" s="17">
        <v>-11.121</v>
      </c>
      <c r="Z320" s="16"/>
      <c r="AA320" s="15" t="s">
        <v>140</v>
      </c>
      <c r="AB320" s="17"/>
      <c r="AC320" s="21" t="s">
        <v>78</v>
      </c>
      <c r="AD320" s="21" t="s">
        <v>78</v>
      </c>
      <c r="AE320" s="61" t="s">
        <v>62</v>
      </c>
      <c r="AF320" s="17"/>
      <c r="AG320" s="15"/>
      <c r="AH320" s="16"/>
      <c r="AI320" s="16"/>
      <c r="AJ320" s="42">
        <f t="shared" ca="1" si="35"/>
        <v>589</v>
      </c>
      <c r="AK320" s="42">
        <f t="shared" ca="1" si="36"/>
        <v>561</v>
      </c>
      <c r="AL320" s="130" t="str">
        <f t="shared" si="37"/>
        <v>In touch - Positive</v>
      </c>
      <c r="AM320" s="37">
        <v>45075</v>
      </c>
      <c r="AN320" s="38">
        <v>45082</v>
      </c>
      <c r="AO320" s="38"/>
      <c r="AP320" s="38"/>
      <c r="AQ320" s="38">
        <v>45082</v>
      </c>
      <c r="AR320" s="101" t="s">
        <v>1818</v>
      </c>
      <c r="AS320" s="38">
        <v>45103</v>
      </c>
      <c r="AT320" s="617"/>
    </row>
    <row r="321" spans="1:46" s="271" customFormat="1" x14ac:dyDescent="0.35">
      <c r="A321" s="600"/>
      <c r="B321" s="16" cm="1">
        <f t="array" ref="B321">+_xlfn.IFS(D321="In Touch - Positive",2,D321="Pending",1,D321="No Answer",4,D321="In Touch - Negative",3)</f>
        <v>2</v>
      </c>
      <c r="C321" s="16" t="s">
        <v>1850</v>
      </c>
      <c r="D321" s="99" t="str">
        <f t="shared" si="39"/>
        <v>In touch - Positive</v>
      </c>
      <c r="E321" s="12" t="s">
        <v>476</v>
      </c>
      <c r="F321" s="12"/>
      <c r="G321" s="13" t="s">
        <v>159</v>
      </c>
      <c r="H321" s="14" t="s">
        <v>1855</v>
      </c>
      <c r="I321" s="13"/>
      <c r="J321" s="100" t="s">
        <v>111</v>
      </c>
      <c r="K321" s="15" t="s">
        <v>1856</v>
      </c>
      <c r="L321" s="15"/>
      <c r="M321" s="15"/>
      <c r="N321" s="15"/>
      <c r="O321" s="15"/>
      <c r="P321" s="15"/>
      <c r="Q321" s="15"/>
      <c r="R321" s="16"/>
      <c r="S321" s="35"/>
      <c r="T321" s="13">
        <v>2021</v>
      </c>
      <c r="U321" s="17">
        <v>14.638999999999999</v>
      </c>
      <c r="V321" s="17">
        <v>1.712</v>
      </c>
      <c r="W321" s="39">
        <f t="shared" si="40"/>
        <v>0.11694787895348044</v>
      </c>
      <c r="X321" s="17"/>
      <c r="Y321" s="17">
        <v>-3.6040000000000001</v>
      </c>
      <c r="Z321" s="16"/>
      <c r="AA321" s="15" t="s">
        <v>140</v>
      </c>
      <c r="AB321" s="17"/>
      <c r="AC321" s="21" t="s">
        <v>78</v>
      </c>
      <c r="AD321" s="21" t="s">
        <v>78</v>
      </c>
      <c r="AE321" s="61" t="s">
        <v>62</v>
      </c>
      <c r="AF321" s="17"/>
      <c r="AG321" s="15"/>
      <c r="AH321" s="16"/>
      <c r="AI321" s="16"/>
      <c r="AJ321" s="42">
        <f t="shared" ca="1" si="35"/>
        <v>589</v>
      </c>
      <c r="AK321" s="42">
        <f t="shared" ca="1" si="36"/>
        <v>561</v>
      </c>
      <c r="AL321" s="130" t="str">
        <f t="shared" si="37"/>
        <v>In touch - Positive</v>
      </c>
      <c r="AM321" s="37">
        <v>45075</v>
      </c>
      <c r="AN321" s="38">
        <v>45082</v>
      </c>
      <c r="AO321" s="38"/>
      <c r="AP321" s="38"/>
      <c r="AQ321" s="38">
        <v>45082</v>
      </c>
      <c r="AR321" s="101" t="s">
        <v>1818</v>
      </c>
      <c r="AS321" s="38">
        <v>45103</v>
      </c>
      <c r="AT321" s="617"/>
    </row>
    <row r="322" spans="1:46" s="271" customFormat="1" x14ac:dyDescent="0.35">
      <c r="A322" s="600"/>
      <c r="B322" s="16" cm="1">
        <f t="array" ref="B322">+_xlfn.IFS(D322="In Touch - Positive",2,D322="Pending",1,D322="No Answer",4,D322="In Touch - Negative",3)</f>
        <v>2</v>
      </c>
      <c r="C322" s="16" t="s">
        <v>1850</v>
      </c>
      <c r="D322" s="99" t="str">
        <f t="shared" si="39"/>
        <v>In touch - Positive</v>
      </c>
      <c r="E322" s="12" t="s">
        <v>645</v>
      </c>
      <c r="F322" s="12"/>
      <c r="G322" s="13" t="s">
        <v>333</v>
      </c>
      <c r="H322" s="14" t="s">
        <v>1857</v>
      </c>
      <c r="I322" s="13"/>
      <c r="J322" s="100" t="s">
        <v>111</v>
      </c>
      <c r="K322" s="15" t="s">
        <v>1856</v>
      </c>
      <c r="L322" s="15"/>
      <c r="M322" s="15"/>
      <c r="N322" s="15"/>
      <c r="O322" s="15"/>
      <c r="P322" s="15"/>
      <c r="Q322" s="15"/>
      <c r="R322" s="16"/>
      <c r="S322" s="35"/>
      <c r="T322" s="13">
        <v>2021</v>
      </c>
      <c r="U322" s="17">
        <v>25.065000000000001</v>
      </c>
      <c r="V322" s="17">
        <v>4.9640000000000004</v>
      </c>
      <c r="W322" s="39">
        <f t="shared" si="40"/>
        <v>0.19804508278475963</v>
      </c>
      <c r="X322" s="17"/>
      <c r="Y322" s="17">
        <v>-3.0569999999999999</v>
      </c>
      <c r="Z322" s="16"/>
      <c r="AA322" s="15" t="s">
        <v>140</v>
      </c>
      <c r="AB322" s="17"/>
      <c r="AC322" s="21" t="s">
        <v>78</v>
      </c>
      <c r="AD322" s="21" t="s">
        <v>78</v>
      </c>
      <c r="AE322" s="61" t="s">
        <v>62</v>
      </c>
      <c r="AF322" s="17"/>
      <c r="AG322" s="15"/>
      <c r="AH322" s="16"/>
      <c r="AI322" s="16"/>
      <c r="AJ322" s="42">
        <f t="shared" ca="1" si="35"/>
        <v>589</v>
      </c>
      <c r="AK322" s="42">
        <f t="shared" ca="1" si="36"/>
        <v>561</v>
      </c>
      <c r="AL322" s="130" t="str">
        <f t="shared" si="37"/>
        <v>In touch - Positive</v>
      </c>
      <c r="AM322" s="37">
        <v>45075</v>
      </c>
      <c r="AN322" s="38">
        <v>45082</v>
      </c>
      <c r="AO322" s="38"/>
      <c r="AP322" s="38"/>
      <c r="AQ322" s="38">
        <v>45082</v>
      </c>
      <c r="AR322" s="101" t="s">
        <v>1818</v>
      </c>
      <c r="AS322" s="38">
        <v>45103</v>
      </c>
      <c r="AT322" s="617"/>
    </row>
    <row r="323" spans="1:46" s="271" customFormat="1" x14ac:dyDescent="0.35">
      <c r="B323" s="16" cm="1">
        <f t="array" ref="B323">+_xlfn.IFS(D323="In Touch - Positive",2,D323="Pending",1,D323="No Answer",4,D323="In Touch - Negative",3)</f>
        <v>2</v>
      </c>
      <c r="C323" s="16" t="s">
        <v>1850</v>
      </c>
      <c r="D323" s="99" t="str">
        <f t="shared" si="39"/>
        <v>In touch - Positive</v>
      </c>
      <c r="E323" s="12" t="s">
        <v>472</v>
      </c>
      <c r="F323" s="12"/>
      <c r="G323" s="13" t="s">
        <v>308</v>
      </c>
      <c r="H323" s="14" t="s">
        <v>1858</v>
      </c>
      <c r="I323" s="13"/>
      <c r="J323" s="100" t="s">
        <v>1859</v>
      </c>
      <c r="K323" s="15" t="s">
        <v>1860</v>
      </c>
      <c r="L323" s="24"/>
      <c r="M323" s="15"/>
      <c r="N323" s="15"/>
      <c r="O323" s="15"/>
      <c r="P323" s="15"/>
      <c r="Q323" s="15"/>
      <c r="R323" s="16"/>
      <c r="S323" s="35"/>
      <c r="T323" s="13">
        <v>2021</v>
      </c>
      <c r="U323" s="17">
        <v>26.556999999999999</v>
      </c>
      <c r="V323" s="17">
        <v>7.78</v>
      </c>
      <c r="W323" s="39">
        <f t="shared" si="40"/>
        <v>0.2929547765184321</v>
      </c>
      <c r="X323" s="17"/>
      <c r="Y323" s="17">
        <v>-7.2590000000000003</v>
      </c>
      <c r="Z323" s="16"/>
      <c r="AA323" s="15" t="s">
        <v>140</v>
      </c>
      <c r="AB323" s="17"/>
      <c r="AC323" s="21" t="s">
        <v>78</v>
      </c>
      <c r="AD323" s="21" t="s">
        <v>78</v>
      </c>
      <c r="AE323" s="61" t="s">
        <v>62</v>
      </c>
      <c r="AF323" s="17"/>
      <c r="AG323" s="15"/>
      <c r="AH323" s="16"/>
      <c r="AI323" s="16"/>
      <c r="AJ323" s="42">
        <f t="shared" ca="1" si="35"/>
        <v>589</v>
      </c>
      <c r="AK323" s="42">
        <f t="shared" ca="1" si="36"/>
        <v>561</v>
      </c>
      <c r="AL323" s="130" t="str">
        <f t="shared" si="37"/>
        <v>In touch - Positive</v>
      </c>
      <c r="AM323" s="37">
        <v>45075</v>
      </c>
      <c r="AN323" s="38">
        <v>45082</v>
      </c>
      <c r="AO323" s="38"/>
      <c r="AP323" s="38"/>
      <c r="AQ323" s="38">
        <v>45082</v>
      </c>
      <c r="AR323" s="101" t="s">
        <v>1818</v>
      </c>
      <c r="AS323" s="38">
        <v>45103</v>
      </c>
      <c r="AT323" s="11"/>
    </row>
    <row r="324" spans="1:46" s="271" customFormat="1" x14ac:dyDescent="0.35">
      <c r="A324" s="97"/>
      <c r="B324" s="16" cm="1">
        <f t="array" ref="B324">+_xlfn.IFS(D324="In Touch - Positive",2,D324="Pending",1,D324="No Answer",4,D324="In Touch - Negative",3)</f>
        <v>2</v>
      </c>
      <c r="C324" s="16" t="s">
        <v>1850</v>
      </c>
      <c r="D324" s="99" t="str">
        <f t="shared" si="39"/>
        <v>In touch - Positive</v>
      </c>
      <c r="E324" s="12" t="s">
        <v>1861</v>
      </c>
      <c r="F324" s="12"/>
      <c r="G324" s="13" t="s">
        <v>463</v>
      </c>
      <c r="H324" s="14" t="s">
        <v>1862</v>
      </c>
      <c r="I324" s="13"/>
      <c r="J324" s="100" t="s">
        <v>420</v>
      </c>
      <c r="K324" s="15" t="s">
        <v>1863</v>
      </c>
      <c r="L324" s="15"/>
      <c r="M324" s="15"/>
      <c r="N324" s="15"/>
      <c r="O324" s="15"/>
      <c r="P324" s="15"/>
      <c r="Q324" s="15"/>
      <c r="R324" s="16"/>
      <c r="S324" s="35"/>
      <c r="T324" s="13">
        <v>2021</v>
      </c>
      <c r="U324" s="17">
        <v>20.484999999999999</v>
      </c>
      <c r="V324" s="17">
        <v>2.1160000000000001</v>
      </c>
      <c r="W324" s="39">
        <f t="shared" si="40"/>
        <v>0.10329509397119845</v>
      </c>
      <c r="X324" s="17"/>
      <c r="Y324" s="17">
        <v>-1.226</v>
      </c>
      <c r="Z324" s="16"/>
      <c r="AA324" s="15" t="s">
        <v>140</v>
      </c>
      <c r="AB324" s="17"/>
      <c r="AC324" s="21" t="s">
        <v>78</v>
      </c>
      <c r="AD324" s="21" t="s">
        <v>78</v>
      </c>
      <c r="AE324" s="61" t="s">
        <v>62</v>
      </c>
      <c r="AF324" s="17"/>
      <c r="AG324" s="15"/>
      <c r="AH324" s="16"/>
      <c r="AI324" s="16"/>
      <c r="AJ324" s="42">
        <f t="shared" ca="1" si="35"/>
        <v>589</v>
      </c>
      <c r="AK324" s="42">
        <f t="shared" ca="1" si="36"/>
        <v>561</v>
      </c>
      <c r="AL324" s="130" t="str">
        <f t="shared" si="37"/>
        <v>In touch - Positive</v>
      </c>
      <c r="AM324" s="37">
        <v>45075</v>
      </c>
      <c r="AN324" s="38">
        <v>45082</v>
      </c>
      <c r="AO324" s="38"/>
      <c r="AP324" s="38" t="s">
        <v>65</v>
      </c>
      <c r="AQ324" s="38">
        <v>45082</v>
      </c>
      <c r="AR324" s="101" t="s">
        <v>1818</v>
      </c>
      <c r="AS324" s="38">
        <v>45103</v>
      </c>
      <c r="AT324" s="11"/>
    </row>
    <row r="325" spans="1:46" s="271" customFormat="1" x14ac:dyDescent="0.35">
      <c r="B325" s="16" cm="1">
        <f t="array" ref="B325">+_xlfn.IFS(D325="In Touch - Positive",2,D325="Pending",1,D325="No Answer",4,D325="In Touch - Negative",3)</f>
        <v>2</v>
      </c>
      <c r="C325" s="16" t="s">
        <v>1864</v>
      </c>
      <c r="D325" s="99" t="str">
        <f t="shared" si="39"/>
        <v>In touch - Positive</v>
      </c>
      <c r="E325" s="12" t="s">
        <v>509</v>
      </c>
      <c r="F325" s="12"/>
      <c r="G325" s="13" t="s">
        <v>510</v>
      </c>
      <c r="H325" s="14"/>
      <c r="I325" s="13"/>
      <c r="J325" s="100" t="s">
        <v>57</v>
      </c>
      <c r="K325" s="15" t="s">
        <v>559</v>
      </c>
      <c r="L325" s="15" t="s">
        <v>1865</v>
      </c>
      <c r="M325" s="15"/>
      <c r="N325" s="15"/>
      <c r="O325" s="15"/>
      <c r="P325" s="15"/>
      <c r="Q325" s="15"/>
      <c r="R325" s="16"/>
      <c r="S325" s="35"/>
      <c r="T325" s="13">
        <v>2021</v>
      </c>
      <c r="U325" s="17">
        <v>1.8535170000000001</v>
      </c>
      <c r="V325" s="17">
        <v>1.181305</v>
      </c>
      <c r="W325" s="39">
        <f>V325/U325</f>
        <v>0.63733162415019662</v>
      </c>
      <c r="X325" s="17">
        <v>0.84956699999999996</v>
      </c>
      <c r="Y325" s="17">
        <v>-0.87885500000000005</v>
      </c>
      <c r="Z325" s="16"/>
      <c r="AA325" s="15" t="s">
        <v>140</v>
      </c>
      <c r="AB325" s="17"/>
      <c r="AC325" s="21" t="s">
        <v>61</v>
      </c>
      <c r="AD325" s="21" t="s">
        <v>61</v>
      </c>
      <c r="AE325" s="61" t="s">
        <v>128</v>
      </c>
      <c r="AF325" s="17"/>
      <c r="AG325" s="15"/>
      <c r="AH325" s="16"/>
      <c r="AI325" s="16"/>
      <c r="AJ325" s="42">
        <f t="shared" ca="1" si="35"/>
        <v>749</v>
      </c>
      <c r="AK325" s="42">
        <f t="shared" ca="1" si="36"/>
        <v>596</v>
      </c>
      <c r="AL325" s="130" t="str">
        <f t="shared" si="37"/>
        <v>In touch - Positive</v>
      </c>
      <c r="AM325" s="37">
        <v>44915</v>
      </c>
      <c r="AN325" s="38">
        <v>44945</v>
      </c>
      <c r="AO325" s="38">
        <v>45065</v>
      </c>
      <c r="AP325" s="38" t="s">
        <v>65</v>
      </c>
      <c r="AQ325" s="38">
        <v>45068</v>
      </c>
      <c r="AR325" s="101" t="s">
        <v>1818</v>
      </c>
      <c r="AS325" s="38">
        <v>45068</v>
      </c>
      <c r="AT325" s="11"/>
    </row>
    <row r="326" spans="1:46" s="271" customFormat="1" x14ac:dyDescent="0.35">
      <c r="A326" s="600"/>
      <c r="B326" s="16" cm="1">
        <f t="array" ref="B326">+_xlfn.IFS(D326="In Touch - Positive",2,D326="Pending",1,D326="No Answer",4,D326="In Touch - Negative",3)</f>
        <v>2</v>
      </c>
      <c r="C326" s="16" t="s">
        <v>1864</v>
      </c>
      <c r="D326" s="99" t="str">
        <f t="shared" si="39"/>
        <v>In touch - Positive</v>
      </c>
      <c r="E326" s="12" t="s">
        <v>1866</v>
      </c>
      <c r="F326" s="12"/>
      <c r="G326" s="13" t="s">
        <v>333</v>
      </c>
      <c r="H326" s="14" t="s">
        <v>1867</v>
      </c>
      <c r="I326" s="13"/>
      <c r="J326" s="100" t="s">
        <v>57</v>
      </c>
      <c r="K326" s="15" t="s">
        <v>1868</v>
      </c>
      <c r="L326" s="15"/>
      <c r="M326" s="15"/>
      <c r="N326" s="15"/>
      <c r="O326" s="15"/>
      <c r="P326" s="15"/>
      <c r="Q326" s="15"/>
      <c r="R326" s="16"/>
      <c r="S326" s="35"/>
      <c r="T326" s="13">
        <v>2021</v>
      </c>
      <c r="U326" s="17">
        <v>1.8535170000000001</v>
      </c>
      <c r="V326" s="17">
        <v>1.181305</v>
      </c>
      <c r="W326" s="39">
        <f>V326/U326</f>
        <v>0.63733162415019662</v>
      </c>
      <c r="X326" s="17">
        <v>0.84956699999999996</v>
      </c>
      <c r="Y326" s="17">
        <v>-0.87885500000000005</v>
      </c>
      <c r="Z326" s="16"/>
      <c r="AA326" s="15" t="s">
        <v>140</v>
      </c>
      <c r="AB326" s="17"/>
      <c r="AC326" s="21" t="s">
        <v>61</v>
      </c>
      <c r="AD326" s="21" t="s">
        <v>61</v>
      </c>
      <c r="AE326" s="61" t="s">
        <v>128</v>
      </c>
      <c r="AF326" s="17"/>
      <c r="AG326" s="15"/>
      <c r="AH326" s="16"/>
      <c r="AI326" s="16"/>
      <c r="AJ326" s="42">
        <f t="shared" ca="1" si="35"/>
        <v>749</v>
      </c>
      <c r="AK326" s="42">
        <f t="shared" ca="1" si="36"/>
        <v>602</v>
      </c>
      <c r="AL326" s="130" t="str">
        <f t="shared" si="37"/>
        <v>In touch - Positive</v>
      </c>
      <c r="AM326" s="37">
        <v>44915</v>
      </c>
      <c r="AN326" s="38">
        <v>45013</v>
      </c>
      <c r="AO326" s="38" t="s">
        <v>65</v>
      </c>
      <c r="AP326" s="38" t="s">
        <v>65</v>
      </c>
      <c r="AQ326" s="38">
        <v>45062</v>
      </c>
      <c r="AR326" s="101" t="s">
        <v>1818</v>
      </c>
      <c r="AS326" s="38">
        <v>45062</v>
      </c>
      <c r="AT326" s="617"/>
    </row>
    <row r="327" spans="1:46" s="271" customFormat="1" x14ac:dyDescent="0.35">
      <c r="B327" s="16" cm="1">
        <f t="array" ref="B327">+_xlfn.IFS(D327="In Touch - Positive",2,D327="Pending",1,D327="No Answer",4,D327="In Touch - Negative",3)</f>
        <v>2</v>
      </c>
      <c r="C327" s="16" t="s">
        <v>57</v>
      </c>
      <c r="D327" s="99" t="str">
        <f t="shared" si="39"/>
        <v>In touch - Positive</v>
      </c>
      <c r="E327" s="12" t="s">
        <v>516</v>
      </c>
      <c r="F327" s="12"/>
      <c r="G327" s="13" t="s">
        <v>68</v>
      </c>
      <c r="H327" s="14" t="s">
        <v>1869</v>
      </c>
      <c r="I327" s="13"/>
      <c r="J327" s="100" t="s">
        <v>57</v>
      </c>
      <c r="K327" s="15" t="s">
        <v>1870</v>
      </c>
      <c r="L327" s="15"/>
      <c r="M327" s="15"/>
      <c r="N327" s="15"/>
      <c r="O327" s="15"/>
      <c r="P327" s="15"/>
      <c r="Q327" s="15"/>
      <c r="R327" s="16"/>
      <c r="S327" s="35"/>
      <c r="T327" s="13"/>
      <c r="U327" s="17"/>
      <c r="V327" s="17"/>
      <c r="W327" s="39"/>
      <c r="X327" s="17"/>
      <c r="Y327" s="17"/>
      <c r="Z327" s="16"/>
      <c r="AA327" s="15" t="s">
        <v>140</v>
      </c>
      <c r="AB327" s="17"/>
      <c r="AC327" s="21" t="s">
        <v>61</v>
      </c>
      <c r="AD327" s="21" t="s">
        <v>61</v>
      </c>
      <c r="AE327" s="61" t="s">
        <v>62</v>
      </c>
      <c r="AF327" s="17"/>
      <c r="AG327" s="15"/>
      <c r="AH327" s="16"/>
      <c r="AI327" s="16"/>
      <c r="AJ327" s="42">
        <f t="shared" ca="1" si="35"/>
        <v>631</v>
      </c>
      <c r="AK327" s="42">
        <f t="shared" ca="1" si="36"/>
        <v>620</v>
      </c>
      <c r="AL327" s="130" t="str">
        <f t="shared" si="37"/>
        <v>In touch - Positive</v>
      </c>
      <c r="AM327" s="37">
        <v>45033</v>
      </c>
      <c r="AN327" s="38">
        <v>45042</v>
      </c>
      <c r="AO327" s="38" t="s">
        <v>65</v>
      </c>
      <c r="AP327" s="38" t="s">
        <v>65</v>
      </c>
      <c r="AQ327" s="38">
        <v>45044</v>
      </c>
      <c r="AR327" s="101" t="s">
        <v>1818</v>
      </c>
      <c r="AS327" s="38">
        <v>45044</v>
      </c>
      <c r="AT327" s="11"/>
    </row>
    <row r="328" spans="1:46" s="271" customFormat="1" x14ac:dyDescent="0.35">
      <c r="B328" s="16" cm="1">
        <f t="array" ref="B328">+_xlfn.IFS(D328="In Touch - Positive",2,D328="Pending",1,D328="No Answer",4,D328="In Touch - Negative",3)</f>
        <v>2</v>
      </c>
      <c r="C328" s="16" t="s">
        <v>57</v>
      </c>
      <c r="D328" s="99" t="str">
        <f t="shared" si="39"/>
        <v>In touch - Positive</v>
      </c>
      <c r="E328" s="12" t="s">
        <v>506</v>
      </c>
      <c r="F328" s="12"/>
      <c r="G328" s="13" t="s">
        <v>444</v>
      </c>
      <c r="H328" s="14"/>
      <c r="I328" s="13"/>
      <c r="J328" s="100" t="s">
        <v>57</v>
      </c>
      <c r="K328" s="15" t="s">
        <v>1871</v>
      </c>
      <c r="L328" s="15"/>
      <c r="M328" s="15"/>
      <c r="N328" s="15"/>
      <c r="O328" s="15"/>
      <c r="P328" s="15"/>
      <c r="Q328" s="15"/>
      <c r="R328" s="16"/>
      <c r="S328" s="35"/>
      <c r="T328" s="13"/>
      <c r="U328" s="17"/>
      <c r="V328" s="17"/>
      <c r="W328" s="39"/>
      <c r="X328" s="17"/>
      <c r="Y328" s="17"/>
      <c r="Z328" s="16"/>
      <c r="AA328" s="15" t="s">
        <v>140</v>
      </c>
      <c r="AB328" s="17"/>
      <c r="AC328" s="21" t="s">
        <v>61</v>
      </c>
      <c r="AD328" s="21" t="s">
        <v>61</v>
      </c>
      <c r="AE328" s="61" t="s">
        <v>128</v>
      </c>
      <c r="AF328" s="17"/>
      <c r="AG328" s="15"/>
      <c r="AH328" s="16"/>
      <c r="AI328" s="16"/>
      <c r="AJ328" s="42">
        <f t="shared" ca="1" si="35"/>
        <v>631</v>
      </c>
      <c r="AK328" s="42">
        <f t="shared" ca="1" si="36"/>
        <v>621</v>
      </c>
      <c r="AL328" s="130" t="str">
        <f t="shared" si="37"/>
        <v>In touch - Positive</v>
      </c>
      <c r="AM328" s="37">
        <v>45033</v>
      </c>
      <c r="AN328" s="38">
        <v>45034</v>
      </c>
      <c r="AO328" s="38" t="s">
        <v>65</v>
      </c>
      <c r="AP328" s="38"/>
      <c r="AQ328" s="38">
        <v>45043</v>
      </c>
      <c r="AR328" s="101" t="s">
        <v>1818</v>
      </c>
      <c r="AS328" s="38">
        <v>45043</v>
      </c>
      <c r="AT328" s="578"/>
    </row>
    <row r="329" spans="1:46" s="271" customFormat="1" ht="9.75" customHeight="1" x14ac:dyDescent="0.35">
      <c r="A329" s="463"/>
      <c r="B329" s="16" cm="1">
        <f t="array" ref="B329">+_xlfn.IFS(D329="In Touch - Positive",2,D329="Pending",1,D329="No Answer",4,D329="In Touch - Negative",3)</f>
        <v>2</v>
      </c>
      <c r="C329" s="16" t="s">
        <v>57</v>
      </c>
      <c r="D329" s="99" t="str">
        <f t="shared" ref="D329:D360" si="41">+AR329</f>
        <v>In touch - Positive</v>
      </c>
      <c r="E329" s="12" t="s">
        <v>1872</v>
      </c>
      <c r="F329" s="12"/>
      <c r="G329" s="13" t="s">
        <v>130</v>
      </c>
      <c r="H329" s="14" t="s">
        <v>1873</v>
      </c>
      <c r="I329" s="13"/>
      <c r="J329" s="100" t="s">
        <v>57</v>
      </c>
      <c r="K329" s="15" t="s">
        <v>863</v>
      </c>
      <c r="L329" s="15"/>
      <c r="M329" s="15"/>
      <c r="N329" s="15"/>
      <c r="O329" s="15"/>
      <c r="P329" s="15"/>
      <c r="Q329" s="15"/>
      <c r="R329" s="16"/>
      <c r="S329" s="35"/>
      <c r="T329" s="13">
        <v>2021</v>
      </c>
      <c r="U329" s="17">
        <v>1.8535170000000001</v>
      </c>
      <c r="V329" s="17">
        <v>1.181305</v>
      </c>
      <c r="W329" s="39">
        <f>V329/U329</f>
        <v>0.63733162415019662</v>
      </c>
      <c r="X329" s="17">
        <v>0.84956699999999996</v>
      </c>
      <c r="Y329" s="17">
        <v>-0.87885500000000005</v>
      </c>
      <c r="Z329" s="16"/>
      <c r="AA329" s="15" t="s">
        <v>140</v>
      </c>
      <c r="AB329" s="17"/>
      <c r="AC329" s="21" t="s">
        <v>61</v>
      </c>
      <c r="AD329" s="21" t="s">
        <v>61</v>
      </c>
      <c r="AE329" s="61" t="s">
        <v>128</v>
      </c>
      <c r="AF329" s="17"/>
      <c r="AG329" s="15"/>
      <c r="AH329" s="16"/>
      <c r="AI329" s="16"/>
      <c r="AJ329" s="42">
        <f t="shared" ca="1" si="35"/>
        <v>648</v>
      </c>
      <c r="AK329" s="42">
        <f t="shared" ca="1" si="36"/>
        <v>637</v>
      </c>
      <c r="AL329" s="130" t="str">
        <f t="shared" si="37"/>
        <v>In touch - Positive</v>
      </c>
      <c r="AM329" s="37">
        <v>45016</v>
      </c>
      <c r="AN329" s="38">
        <v>45027</v>
      </c>
      <c r="AO329" s="38"/>
      <c r="AP329" s="38"/>
      <c r="AQ329" s="38">
        <v>45027</v>
      </c>
      <c r="AR329" s="101" t="s">
        <v>1818</v>
      </c>
      <c r="AS329" s="38">
        <v>45027</v>
      </c>
      <c r="AT329" s="475"/>
    </row>
    <row r="330" spans="1:46" s="271" customFormat="1" x14ac:dyDescent="0.35">
      <c r="A330" s="479"/>
      <c r="B330" s="16" cm="1">
        <f t="array" ref="B330">+_xlfn.IFS(D330="In Touch - Positive",2,D330="Pending",1,D330="No Answer",4,D330="In Touch - Negative",3)</f>
        <v>2</v>
      </c>
      <c r="C330" s="16" t="s">
        <v>1864</v>
      </c>
      <c r="D330" s="99" t="str">
        <f t="shared" si="41"/>
        <v>In touch - Positive</v>
      </c>
      <c r="E330" s="12" t="s">
        <v>1874</v>
      </c>
      <c r="F330" s="12"/>
      <c r="G330" s="13" t="s">
        <v>677</v>
      </c>
      <c r="H330" s="14" t="s">
        <v>749</v>
      </c>
      <c r="I330" s="13"/>
      <c r="J330" s="100" t="s">
        <v>57</v>
      </c>
      <c r="K330" s="15" t="s">
        <v>1875</v>
      </c>
      <c r="L330" s="15"/>
      <c r="M330" s="15"/>
      <c r="N330" s="15"/>
      <c r="O330" s="15"/>
      <c r="P330" s="15"/>
      <c r="Q330" s="15"/>
      <c r="R330" s="16"/>
      <c r="S330" s="35"/>
      <c r="T330" s="13">
        <v>2021</v>
      </c>
      <c r="U330" s="17">
        <v>3.890323</v>
      </c>
      <c r="V330" s="17">
        <v>1.3456189999999999</v>
      </c>
      <c r="W330" s="39">
        <f>V330/U330</f>
        <v>0.34588876039341721</v>
      </c>
      <c r="X330" s="17">
        <v>0.93113299999999999</v>
      </c>
      <c r="Y330" s="17">
        <v>-0.58090799999999998</v>
      </c>
      <c r="Z330" s="16"/>
      <c r="AA330" s="15" t="s">
        <v>140</v>
      </c>
      <c r="AB330" s="17"/>
      <c r="AC330" s="21" t="s">
        <v>61</v>
      </c>
      <c r="AD330" s="21" t="s">
        <v>61</v>
      </c>
      <c r="AE330" s="61" t="s">
        <v>128</v>
      </c>
      <c r="AF330" s="17"/>
      <c r="AG330" s="15"/>
      <c r="AH330" s="16"/>
      <c r="AI330" s="16"/>
      <c r="AJ330" s="42">
        <f t="shared" ca="1" si="35"/>
        <v>749</v>
      </c>
      <c r="AK330" s="42">
        <f t="shared" ca="1" si="36"/>
        <v>651</v>
      </c>
      <c r="AL330" s="130" t="str">
        <f t="shared" si="37"/>
        <v>In touch - Positive</v>
      </c>
      <c r="AM330" s="37">
        <v>44915</v>
      </c>
      <c r="AN330" s="38">
        <v>45013</v>
      </c>
      <c r="AO330" s="38"/>
      <c r="AP330" s="38" t="s">
        <v>65</v>
      </c>
      <c r="AQ330" s="38">
        <v>45013</v>
      </c>
      <c r="AR330" s="101" t="s">
        <v>1818</v>
      </c>
      <c r="AS330" s="38">
        <v>45013</v>
      </c>
      <c r="AT330" s="11"/>
    </row>
    <row r="331" spans="1:46" s="271" customFormat="1" x14ac:dyDescent="0.35">
      <c r="B331" s="16" cm="1">
        <f t="array" ref="B331">+_xlfn.IFS(D331="In Touch - Positive",2,D331="Pending",1,D331="No Answer",4,D331="In Touch - Negative",3)</f>
        <v>2</v>
      </c>
      <c r="C331" s="16" t="s">
        <v>1864</v>
      </c>
      <c r="D331" s="99" t="str">
        <f t="shared" si="41"/>
        <v>In touch - Positive</v>
      </c>
      <c r="E331" s="12" t="s">
        <v>676</v>
      </c>
      <c r="F331" s="12"/>
      <c r="G331" s="13" t="s">
        <v>677</v>
      </c>
      <c r="H331" s="14" t="s">
        <v>678</v>
      </c>
      <c r="I331" s="13"/>
      <c r="J331" s="100" t="s">
        <v>57</v>
      </c>
      <c r="K331" s="15" t="s">
        <v>1876</v>
      </c>
      <c r="L331" s="15"/>
      <c r="M331" s="15"/>
      <c r="N331" s="15"/>
      <c r="O331" s="15"/>
      <c r="P331" s="15"/>
      <c r="Q331" s="15"/>
      <c r="R331" s="16"/>
      <c r="S331" s="35"/>
      <c r="T331" s="13">
        <v>2020</v>
      </c>
      <c r="U331" s="17">
        <v>0.86686700000000005</v>
      </c>
      <c r="V331" s="17">
        <v>0.646401</v>
      </c>
      <c r="W331" s="39">
        <f>V331/U331</f>
        <v>0.74567494206146956</v>
      </c>
      <c r="X331" s="17">
        <v>0.31818799999999997</v>
      </c>
      <c r="Y331" s="17">
        <v>1.0242609999999999</v>
      </c>
      <c r="Z331" s="16"/>
      <c r="AA331" s="15" t="s">
        <v>140</v>
      </c>
      <c r="AB331" s="17"/>
      <c r="AC331" s="21" t="s">
        <v>61</v>
      </c>
      <c r="AD331" s="21" t="s">
        <v>61</v>
      </c>
      <c r="AE331" s="61" t="s">
        <v>128</v>
      </c>
      <c r="AF331" s="17"/>
      <c r="AG331" s="15"/>
      <c r="AH331" s="16"/>
      <c r="AI331" s="16"/>
      <c r="AJ331" s="42">
        <f t="shared" ca="1" si="35"/>
        <v>749</v>
      </c>
      <c r="AK331" s="42">
        <f t="shared" ca="1" si="36"/>
        <v>651</v>
      </c>
      <c r="AL331" s="130" t="str">
        <f t="shared" si="37"/>
        <v>In touch - Positive</v>
      </c>
      <c r="AM331" s="37">
        <v>44915</v>
      </c>
      <c r="AN331" s="38">
        <v>44992</v>
      </c>
      <c r="AO331" s="38">
        <v>45005</v>
      </c>
      <c r="AP331" s="38"/>
      <c r="AQ331" s="38">
        <v>45013</v>
      </c>
      <c r="AR331" s="101" t="s">
        <v>1818</v>
      </c>
      <c r="AS331" s="38">
        <v>45013</v>
      </c>
      <c r="AT331" s="11"/>
    </row>
    <row r="332" spans="1:46" s="271" customFormat="1" x14ac:dyDescent="0.35">
      <c r="B332" s="16" cm="1">
        <f t="array" ref="B332">+_xlfn.IFS(D332="In Touch - Positive",2,D332="Pending",1,D332="No Answer",4,D332="In Touch - Negative",3)</f>
        <v>2</v>
      </c>
      <c r="C332" s="16"/>
      <c r="D332" s="99" t="str">
        <f t="shared" si="41"/>
        <v>In touch - Positive</v>
      </c>
      <c r="E332" s="12" t="s">
        <v>517</v>
      </c>
      <c r="F332" s="12"/>
      <c r="G332" s="13" t="s">
        <v>226</v>
      </c>
      <c r="H332" s="14"/>
      <c r="I332" s="13"/>
      <c r="J332" s="100" t="s">
        <v>111</v>
      </c>
      <c r="K332" s="15" t="s">
        <v>1877</v>
      </c>
      <c r="L332" s="15" t="s">
        <v>1878</v>
      </c>
      <c r="M332" s="15"/>
      <c r="N332" s="15"/>
      <c r="O332" s="15"/>
      <c r="P332" s="15"/>
      <c r="Q332" s="15"/>
      <c r="R332" s="16"/>
      <c r="S332" s="35"/>
      <c r="T332" s="13"/>
      <c r="U332" s="17"/>
      <c r="V332" s="17"/>
      <c r="W332" s="60"/>
      <c r="X332" s="17"/>
      <c r="Y332" s="17"/>
      <c r="Z332" s="16"/>
      <c r="AA332" s="15" t="s">
        <v>140</v>
      </c>
      <c r="AB332" s="17"/>
      <c r="AC332" s="21" t="s">
        <v>86</v>
      </c>
      <c r="AD332" s="21" t="s">
        <v>78</v>
      </c>
      <c r="AE332" s="21" t="s">
        <v>86</v>
      </c>
      <c r="AF332" s="17"/>
      <c r="AG332" s="15"/>
      <c r="AH332" s="16"/>
      <c r="AI332" s="16"/>
      <c r="AJ332" s="42">
        <f t="shared" ref="AJ332:AJ395" ca="1" si="42">+TODAY()-AM332</f>
        <v>652</v>
      </c>
      <c r="AK332" s="42">
        <f t="shared" ref="AK332:AK395" ca="1" si="43">+TODAY()-AS332</f>
        <v>652</v>
      </c>
      <c r="AL332" s="130" t="str">
        <f t="shared" ref="AL332:AL395" si="44">+IF(D332="Pending",COUNTA(AM332:AQ332)/5,D332)</f>
        <v>In touch - Positive</v>
      </c>
      <c r="AM332" s="37">
        <v>45012</v>
      </c>
      <c r="AN332" s="38">
        <v>45012</v>
      </c>
      <c r="AO332" s="38"/>
      <c r="AP332" s="38" t="s">
        <v>65</v>
      </c>
      <c r="AQ332" s="38"/>
      <c r="AR332" s="101" t="s">
        <v>1818</v>
      </c>
      <c r="AS332" s="38">
        <v>45012</v>
      </c>
      <c r="AT332" s="11"/>
    </row>
    <row r="333" spans="1:46" s="271" customFormat="1" x14ac:dyDescent="0.35">
      <c r="A333" s="97"/>
      <c r="B333" s="16" cm="1">
        <f t="array" ref="B333">+_xlfn.IFS(D333="In Touch - Positive",2,D333="Pending",1,D333="No Answer",4,D333="In Touch - Negative",3)</f>
        <v>2</v>
      </c>
      <c r="C333" s="16" t="s">
        <v>1864</v>
      </c>
      <c r="D333" s="99" t="str">
        <f t="shared" si="41"/>
        <v>In touch - Positive</v>
      </c>
      <c r="E333" s="12" t="s">
        <v>1879</v>
      </c>
      <c r="F333" s="12"/>
      <c r="G333" s="13" t="s">
        <v>677</v>
      </c>
      <c r="H333" s="14" t="s">
        <v>670</v>
      </c>
      <c r="I333" s="13"/>
      <c r="J333" s="100" t="s">
        <v>57</v>
      </c>
      <c r="K333" s="15" t="s">
        <v>671</v>
      </c>
      <c r="L333" s="15"/>
      <c r="M333" s="15"/>
      <c r="N333" s="15"/>
      <c r="O333" s="15"/>
      <c r="P333" s="15"/>
      <c r="Q333" s="15"/>
      <c r="R333" s="16"/>
      <c r="S333" s="35"/>
      <c r="T333" s="13">
        <v>2021</v>
      </c>
      <c r="U333" s="17">
        <v>8.4602599999999999</v>
      </c>
      <c r="V333" s="17">
        <v>0.42794199999999999</v>
      </c>
      <c r="W333" s="39">
        <f t="shared" ref="W333:W347" si="45">V333/U333</f>
        <v>5.0582606208319836E-2</v>
      </c>
      <c r="X333" s="17">
        <v>0.16553700000000002</v>
      </c>
      <c r="Y333" s="17">
        <v>-1.680285</v>
      </c>
      <c r="Z333" s="16"/>
      <c r="AA333" s="15" t="s">
        <v>140</v>
      </c>
      <c r="AB333" s="17"/>
      <c r="AC333" s="21" t="s">
        <v>61</v>
      </c>
      <c r="AD333" s="21" t="s">
        <v>61</v>
      </c>
      <c r="AE333" s="61" t="s">
        <v>128</v>
      </c>
      <c r="AF333" s="17"/>
      <c r="AG333" s="15"/>
      <c r="AH333" s="16"/>
      <c r="AI333" s="16"/>
      <c r="AJ333" s="42">
        <f t="shared" ca="1" si="42"/>
        <v>749</v>
      </c>
      <c r="AK333" s="42">
        <f t="shared" ca="1" si="43"/>
        <v>652</v>
      </c>
      <c r="AL333" s="130" t="str">
        <f t="shared" si="44"/>
        <v>In touch - Positive</v>
      </c>
      <c r="AM333" s="37">
        <v>44915</v>
      </c>
      <c r="AN333" s="38">
        <v>44992</v>
      </c>
      <c r="AO333" s="38">
        <v>45005</v>
      </c>
      <c r="AP333" s="38" t="s">
        <v>65</v>
      </c>
      <c r="AQ333" s="38">
        <v>45012</v>
      </c>
      <c r="AR333" s="101" t="s">
        <v>1818</v>
      </c>
      <c r="AS333" s="38">
        <v>45012</v>
      </c>
      <c r="AT333" s="11"/>
    </row>
    <row r="334" spans="1:46" s="271" customFormat="1" x14ac:dyDescent="0.35">
      <c r="A334" s="97"/>
      <c r="B334" s="16" cm="1">
        <f t="array" ref="B334">+_xlfn.IFS(D334="In Touch - Positive",2,D334="Pending",1,D334="No Answer",4,D334="In Touch - Negative",3)</f>
        <v>2</v>
      </c>
      <c r="C334" s="16" t="s">
        <v>1864</v>
      </c>
      <c r="D334" s="99" t="str">
        <f t="shared" si="41"/>
        <v>In touch - Positive</v>
      </c>
      <c r="E334" s="12" t="s">
        <v>526</v>
      </c>
      <c r="F334" s="12"/>
      <c r="G334" s="13" t="s">
        <v>166</v>
      </c>
      <c r="H334" s="14" t="s">
        <v>527</v>
      </c>
      <c r="I334" s="13"/>
      <c r="J334" s="100" t="s">
        <v>57</v>
      </c>
      <c r="K334" s="15" t="s">
        <v>1880</v>
      </c>
      <c r="L334" s="15"/>
      <c r="M334" s="15"/>
      <c r="N334" s="15"/>
      <c r="O334" s="15"/>
      <c r="P334" s="15"/>
      <c r="Q334" s="15"/>
      <c r="R334" s="16"/>
      <c r="S334" s="35"/>
      <c r="T334" s="13">
        <v>2021</v>
      </c>
      <c r="U334" s="17">
        <v>2.183913</v>
      </c>
      <c r="V334" s="17">
        <v>0.66003400000000001</v>
      </c>
      <c r="W334" s="39">
        <f t="shared" si="45"/>
        <v>0.30222540916236135</v>
      </c>
      <c r="X334" s="17">
        <v>0.35914299999999999</v>
      </c>
      <c r="Y334" s="17">
        <v>-1.6972660000000002</v>
      </c>
      <c r="Z334" s="16"/>
      <c r="AA334" s="15" t="s">
        <v>140</v>
      </c>
      <c r="AB334" s="17"/>
      <c r="AC334" s="21" t="s">
        <v>61</v>
      </c>
      <c r="AD334" s="21" t="s">
        <v>61</v>
      </c>
      <c r="AE334" s="61" t="s">
        <v>128</v>
      </c>
      <c r="AF334" s="17"/>
      <c r="AG334" s="15"/>
      <c r="AH334" s="16"/>
      <c r="AI334" s="16"/>
      <c r="AJ334" s="42">
        <f t="shared" ca="1" si="42"/>
        <v>749</v>
      </c>
      <c r="AK334" s="42">
        <f t="shared" ca="1" si="43"/>
        <v>656</v>
      </c>
      <c r="AL334" s="130" t="str">
        <f t="shared" si="44"/>
        <v>In touch - Positive</v>
      </c>
      <c r="AM334" s="37">
        <v>44915</v>
      </c>
      <c r="AN334" s="38">
        <v>44992</v>
      </c>
      <c r="AO334" s="38">
        <v>45005</v>
      </c>
      <c r="AP334" s="38" t="s">
        <v>65</v>
      </c>
      <c r="AQ334" s="38">
        <v>45008</v>
      </c>
      <c r="AR334" s="101" t="s">
        <v>1818</v>
      </c>
      <c r="AS334" s="38">
        <v>45008</v>
      </c>
      <c r="AT334" s="11"/>
    </row>
    <row r="335" spans="1:46" s="271" customFormat="1" x14ac:dyDescent="0.35">
      <c r="A335" s="97"/>
      <c r="B335" s="16" cm="1">
        <f t="array" ref="B335">+_xlfn.IFS(D335="In Touch - Positive",2,D335="Pending",1,D335="No Answer",4,D335="In Touch - Negative",3)</f>
        <v>2</v>
      </c>
      <c r="C335" s="16" t="s">
        <v>1864</v>
      </c>
      <c r="D335" s="99" t="str">
        <f t="shared" si="41"/>
        <v>In touch - Positive</v>
      </c>
      <c r="E335" s="12" t="s">
        <v>666</v>
      </c>
      <c r="F335" s="12"/>
      <c r="G335" s="13" t="s">
        <v>288</v>
      </c>
      <c r="H335" s="14" t="s">
        <v>667</v>
      </c>
      <c r="I335" s="13"/>
      <c r="J335" s="100" t="s">
        <v>57</v>
      </c>
      <c r="K335" s="15" t="s">
        <v>1881</v>
      </c>
      <c r="L335" s="15"/>
      <c r="M335" s="15"/>
      <c r="N335" s="15"/>
      <c r="O335" s="15"/>
      <c r="P335" s="15"/>
      <c r="Q335" s="15"/>
      <c r="R335" s="16"/>
      <c r="S335" s="35"/>
      <c r="T335" s="13">
        <v>2021</v>
      </c>
      <c r="U335" s="17">
        <v>2.426355</v>
      </c>
      <c r="V335" s="17">
        <v>0.45950599999999997</v>
      </c>
      <c r="W335" s="39">
        <f t="shared" si="45"/>
        <v>0.18938119112825616</v>
      </c>
      <c r="X335" s="17">
        <v>0.28376100000000004</v>
      </c>
      <c r="Y335" s="17">
        <v>-0.85751999999999995</v>
      </c>
      <c r="Z335" s="16"/>
      <c r="AA335" s="15" t="s">
        <v>140</v>
      </c>
      <c r="AB335" s="17"/>
      <c r="AC335" s="21" t="s">
        <v>61</v>
      </c>
      <c r="AD335" s="21" t="s">
        <v>61</v>
      </c>
      <c r="AE335" s="61" t="s">
        <v>128</v>
      </c>
      <c r="AF335" s="17"/>
      <c r="AG335" s="15"/>
      <c r="AH335" s="16"/>
      <c r="AI335" s="16"/>
      <c r="AJ335" s="42">
        <f t="shared" ca="1" si="42"/>
        <v>749</v>
      </c>
      <c r="AK335" s="42">
        <f t="shared" ca="1" si="43"/>
        <v>659</v>
      </c>
      <c r="AL335" s="130" t="str">
        <f t="shared" si="44"/>
        <v>In touch - Positive</v>
      </c>
      <c r="AM335" s="37">
        <v>44915</v>
      </c>
      <c r="AN335" s="38">
        <v>44992</v>
      </c>
      <c r="AO335" s="38">
        <v>45005</v>
      </c>
      <c r="AP335" s="38" t="s">
        <v>65</v>
      </c>
      <c r="AQ335" s="38">
        <v>45005</v>
      </c>
      <c r="AR335" s="101" t="s">
        <v>1818</v>
      </c>
      <c r="AS335" s="38">
        <v>45005</v>
      </c>
      <c r="AT335" s="11"/>
    </row>
    <row r="336" spans="1:46" s="271" customFormat="1" x14ac:dyDescent="0.35">
      <c r="A336" s="97"/>
      <c r="B336" s="16" cm="1">
        <f t="array" ref="B336">+_xlfn.IFS(D336="In Touch - Positive",2,D336="Pending",1,D336="No Answer",4,D336="In Touch - Negative",3)</f>
        <v>2</v>
      </c>
      <c r="C336" s="16" t="s">
        <v>1864</v>
      </c>
      <c r="D336" s="99" t="str">
        <f t="shared" si="41"/>
        <v>In touch - Positive</v>
      </c>
      <c r="E336" s="12" t="s">
        <v>1882</v>
      </c>
      <c r="F336" s="12"/>
      <c r="G336" s="13" t="s">
        <v>683</v>
      </c>
      <c r="H336" s="14" t="s">
        <v>684</v>
      </c>
      <c r="I336" s="13"/>
      <c r="J336" s="100" t="s">
        <v>57</v>
      </c>
      <c r="K336" s="15" t="s">
        <v>1883</v>
      </c>
      <c r="L336" s="15"/>
      <c r="M336" s="907"/>
      <c r="N336" s="15"/>
      <c r="O336" s="15"/>
      <c r="P336" s="15"/>
      <c r="Q336" s="15"/>
      <c r="R336" s="16"/>
      <c r="S336" s="35"/>
      <c r="T336" s="13">
        <v>2021</v>
      </c>
      <c r="U336" s="17">
        <v>1.726669</v>
      </c>
      <c r="V336" s="17">
        <v>0.73670000000000002</v>
      </c>
      <c r="W336" s="39">
        <f t="shared" si="45"/>
        <v>0.4266596550931302</v>
      </c>
      <c r="X336" s="17">
        <v>0.45660099999999998</v>
      </c>
      <c r="Y336" s="17">
        <v>-0.19922100000000001</v>
      </c>
      <c r="Z336" s="16"/>
      <c r="AA336" s="15" t="s">
        <v>140</v>
      </c>
      <c r="AB336" s="17"/>
      <c r="AC336" s="21" t="s">
        <v>61</v>
      </c>
      <c r="AD336" s="21" t="s">
        <v>61</v>
      </c>
      <c r="AE336" s="61" t="s">
        <v>128</v>
      </c>
      <c r="AF336" s="17"/>
      <c r="AG336" s="15"/>
      <c r="AH336" s="16"/>
      <c r="AI336" s="16"/>
      <c r="AJ336" s="42">
        <f t="shared" ca="1" si="42"/>
        <v>749</v>
      </c>
      <c r="AK336" s="42">
        <f t="shared" ca="1" si="43"/>
        <v>659</v>
      </c>
      <c r="AL336" s="130" t="str">
        <f t="shared" si="44"/>
        <v>In touch - Positive</v>
      </c>
      <c r="AM336" s="37">
        <v>44915</v>
      </c>
      <c r="AN336" s="38">
        <v>44992</v>
      </c>
      <c r="AO336" s="38">
        <v>45005</v>
      </c>
      <c r="AP336" s="38" t="s">
        <v>65</v>
      </c>
      <c r="AQ336" s="38">
        <v>45005</v>
      </c>
      <c r="AR336" s="101" t="s">
        <v>1818</v>
      </c>
      <c r="AS336" s="38">
        <v>45005</v>
      </c>
      <c r="AT336" s="11"/>
    </row>
    <row r="337" spans="1:46" s="271" customFormat="1" x14ac:dyDescent="0.35">
      <c r="A337" s="16"/>
      <c r="B337" s="16" cm="1">
        <f t="array" ref="B337">+_xlfn.IFS(D337="In Touch - Positive",2,D337="Pending",1,D337="No Answer",4,D337="In Touch - Negative",3)</f>
        <v>2</v>
      </c>
      <c r="C337" s="16" t="s">
        <v>1864</v>
      </c>
      <c r="D337" s="99" t="str">
        <f t="shared" si="41"/>
        <v>In touch - Positive</v>
      </c>
      <c r="E337" s="12" t="s">
        <v>514</v>
      </c>
      <c r="F337" s="12"/>
      <c r="G337" s="13" t="s">
        <v>103</v>
      </c>
      <c r="H337" s="14" t="s">
        <v>515</v>
      </c>
      <c r="I337" s="13"/>
      <c r="J337" s="100" t="s">
        <v>57</v>
      </c>
      <c r="K337" s="15" t="s">
        <v>671</v>
      </c>
      <c r="L337" s="15"/>
      <c r="M337" s="907"/>
      <c r="N337" s="15"/>
      <c r="O337" s="15"/>
      <c r="P337" s="15"/>
      <c r="Q337" s="15"/>
      <c r="R337" s="16"/>
      <c r="S337" s="35"/>
      <c r="T337" s="13">
        <v>2021</v>
      </c>
      <c r="U337" s="17">
        <v>12.189449</v>
      </c>
      <c r="V337" s="17">
        <v>0.82436599999999993</v>
      </c>
      <c r="W337" s="39">
        <f t="shared" si="45"/>
        <v>6.7629472013049974E-2</v>
      </c>
      <c r="X337" s="17">
        <v>0.45372299999999999</v>
      </c>
      <c r="Y337" s="17">
        <v>-1.357567</v>
      </c>
      <c r="Z337" s="16"/>
      <c r="AA337" s="15" t="s">
        <v>140</v>
      </c>
      <c r="AB337" s="17"/>
      <c r="AC337" s="21" t="s">
        <v>61</v>
      </c>
      <c r="AD337" s="21" t="s">
        <v>61</v>
      </c>
      <c r="AE337" s="61" t="s">
        <v>128</v>
      </c>
      <c r="AF337" s="17"/>
      <c r="AG337" s="15"/>
      <c r="AH337" s="16"/>
      <c r="AI337" s="16"/>
      <c r="AJ337" s="42">
        <f t="shared" ca="1" si="42"/>
        <v>749</v>
      </c>
      <c r="AK337" s="42">
        <f t="shared" ca="1" si="43"/>
        <v>659</v>
      </c>
      <c r="AL337" s="130" t="str">
        <f t="shared" si="44"/>
        <v>In touch - Positive</v>
      </c>
      <c r="AM337" s="37">
        <v>44915</v>
      </c>
      <c r="AN337" s="38">
        <v>44991</v>
      </c>
      <c r="AO337" s="38">
        <v>45005</v>
      </c>
      <c r="AP337" s="38"/>
      <c r="AQ337" s="38">
        <v>45006</v>
      </c>
      <c r="AR337" s="101" t="s">
        <v>1818</v>
      </c>
      <c r="AS337" s="38">
        <v>45005</v>
      </c>
      <c r="AT337" s="11"/>
    </row>
    <row r="338" spans="1:46" s="271" customFormat="1" x14ac:dyDescent="0.35">
      <c r="A338" s="97"/>
      <c r="B338" s="16" cm="1">
        <f t="array" ref="B338">+_xlfn.IFS(D338="In Touch - Positive",2,D338="Pending",1,D338="No Answer",4,D338="In Touch - Negative",3)</f>
        <v>2</v>
      </c>
      <c r="C338" s="16" t="s">
        <v>1864</v>
      </c>
      <c r="D338" s="99" t="str">
        <f t="shared" si="41"/>
        <v>In touch - Positive</v>
      </c>
      <c r="E338" s="12" t="s">
        <v>1884</v>
      </c>
      <c r="F338" s="12"/>
      <c r="G338" s="13" t="s">
        <v>333</v>
      </c>
      <c r="H338" s="14" t="s">
        <v>334</v>
      </c>
      <c r="I338" s="13"/>
      <c r="J338" s="100" t="s">
        <v>57</v>
      </c>
      <c r="K338" s="15" t="s">
        <v>4465</v>
      </c>
      <c r="L338" s="15"/>
      <c r="M338" s="15"/>
      <c r="N338" s="15"/>
      <c r="O338" s="15"/>
      <c r="P338" s="15"/>
      <c r="Q338" s="15"/>
      <c r="R338" s="16"/>
      <c r="S338" s="35"/>
      <c r="T338" s="13">
        <v>2021</v>
      </c>
      <c r="U338" s="17">
        <v>3.3338399999999999</v>
      </c>
      <c r="V338" s="17">
        <v>0.42466799999999999</v>
      </c>
      <c r="W338" s="39">
        <f t="shared" si="45"/>
        <v>0.12738103808221152</v>
      </c>
      <c r="X338" s="17">
        <v>2.2897999999999998E-2</v>
      </c>
      <c r="Y338" s="17">
        <v>1.8040699999999998</v>
      </c>
      <c r="Z338" s="16"/>
      <c r="AA338" s="15" t="s">
        <v>140</v>
      </c>
      <c r="AB338" s="17"/>
      <c r="AC338" s="21" t="s">
        <v>61</v>
      </c>
      <c r="AD338" s="21" t="s">
        <v>61</v>
      </c>
      <c r="AE338" s="61" t="s">
        <v>128</v>
      </c>
      <c r="AF338" s="17"/>
      <c r="AG338" s="15"/>
      <c r="AH338" s="16"/>
      <c r="AI338" s="16"/>
      <c r="AJ338" s="42">
        <f t="shared" ca="1" si="42"/>
        <v>749</v>
      </c>
      <c r="AK338" s="42">
        <f t="shared" ca="1" si="43"/>
        <v>666</v>
      </c>
      <c r="AL338" s="130" t="str">
        <f t="shared" si="44"/>
        <v>In touch - Positive</v>
      </c>
      <c r="AM338" s="37">
        <v>44915</v>
      </c>
      <c r="AN338" s="38">
        <v>44992</v>
      </c>
      <c r="AO338" s="38"/>
      <c r="AP338" s="38" t="s">
        <v>65</v>
      </c>
      <c r="AQ338" s="38">
        <v>44998</v>
      </c>
      <c r="AR338" s="101" t="s">
        <v>1818</v>
      </c>
      <c r="AS338" s="38">
        <v>44998</v>
      </c>
      <c r="AT338" s="11"/>
    </row>
    <row r="339" spans="1:46" s="271" customFormat="1" x14ac:dyDescent="0.35">
      <c r="A339" s="97"/>
      <c r="B339" s="16" cm="1">
        <f t="array" ref="B339">+_xlfn.IFS(D339="In Touch - Positive",2,D339="Pending",1,D339="No Answer",4,D339="In Touch - Negative",3)</f>
        <v>2</v>
      </c>
      <c r="C339" s="16" t="s">
        <v>1864</v>
      </c>
      <c r="D339" s="99" t="str">
        <f t="shared" si="41"/>
        <v>In touch - Positive</v>
      </c>
      <c r="E339" s="12" t="s">
        <v>673</v>
      </c>
      <c r="F339" s="12"/>
      <c r="G339" s="13" t="s">
        <v>147</v>
      </c>
      <c r="H339" s="14" t="s">
        <v>674</v>
      </c>
      <c r="I339" s="13"/>
      <c r="J339" s="100" t="s">
        <v>57</v>
      </c>
      <c r="K339" s="15" t="s">
        <v>1885</v>
      </c>
      <c r="L339" s="15"/>
      <c r="M339" s="15"/>
      <c r="N339" s="15"/>
      <c r="O339" s="15"/>
      <c r="P339" s="15"/>
      <c r="Q339" s="15"/>
      <c r="R339" s="16"/>
      <c r="S339" s="35"/>
      <c r="T339" s="13">
        <v>2021</v>
      </c>
      <c r="U339" s="17">
        <v>2.3994759999999999</v>
      </c>
      <c r="V339" s="17">
        <v>0.54828299999999996</v>
      </c>
      <c r="W339" s="39">
        <f t="shared" si="45"/>
        <v>0.22850113941543904</v>
      </c>
      <c r="X339" s="17">
        <v>0.37592700000000001</v>
      </c>
      <c r="Y339" s="17">
        <v>-0.19887100000000002</v>
      </c>
      <c r="Z339" s="16"/>
      <c r="AA339" s="15" t="s">
        <v>140</v>
      </c>
      <c r="AB339" s="17"/>
      <c r="AC339" s="21" t="s">
        <v>61</v>
      </c>
      <c r="AD339" s="21" t="s">
        <v>61</v>
      </c>
      <c r="AE339" s="61" t="s">
        <v>128</v>
      </c>
      <c r="AF339" s="17"/>
      <c r="AG339" s="15"/>
      <c r="AH339" s="16"/>
      <c r="AI339" s="16"/>
      <c r="AJ339" s="42">
        <f t="shared" ca="1" si="42"/>
        <v>749</v>
      </c>
      <c r="AK339" s="42">
        <f t="shared" ca="1" si="43"/>
        <v>671</v>
      </c>
      <c r="AL339" s="130" t="str">
        <f t="shared" si="44"/>
        <v>In touch - Positive</v>
      </c>
      <c r="AM339" s="37">
        <v>44915</v>
      </c>
      <c r="AN339" s="38">
        <v>44992</v>
      </c>
      <c r="AO339" s="38" t="s">
        <v>65</v>
      </c>
      <c r="AP339" s="38"/>
      <c r="AQ339" s="38">
        <v>44993</v>
      </c>
      <c r="AR339" s="101" t="s">
        <v>1818</v>
      </c>
      <c r="AS339" s="38">
        <v>44993</v>
      </c>
      <c r="AT339" s="11"/>
    </row>
    <row r="340" spans="1:46" s="271" customFormat="1" x14ac:dyDescent="0.35">
      <c r="A340" s="97"/>
      <c r="B340" s="16" cm="1">
        <f t="array" ref="B340">+_xlfn.IFS(D340="In Touch - Positive",2,D340="Pending",1,D340="No Answer",4,D340="In Touch - Negative",3)</f>
        <v>2</v>
      </c>
      <c r="C340" s="16" t="s">
        <v>1864</v>
      </c>
      <c r="D340" s="99" t="str">
        <f t="shared" si="41"/>
        <v>In touch - Positive</v>
      </c>
      <c r="E340" s="12" t="s">
        <v>511</v>
      </c>
      <c r="F340" s="12"/>
      <c r="G340" s="13" t="s">
        <v>677</v>
      </c>
      <c r="H340" s="14" t="s">
        <v>512</v>
      </c>
      <c r="I340" s="13"/>
      <c r="J340" s="100" t="s">
        <v>57</v>
      </c>
      <c r="K340" s="15" t="s">
        <v>1880</v>
      </c>
      <c r="L340" s="15"/>
      <c r="M340" s="15"/>
      <c r="N340" s="15"/>
      <c r="O340" s="15"/>
      <c r="P340" s="15"/>
      <c r="Q340" s="15"/>
      <c r="R340" s="16"/>
      <c r="S340" s="35"/>
      <c r="T340" s="13">
        <v>2021</v>
      </c>
      <c r="U340" s="17">
        <v>2.8831319999999998</v>
      </c>
      <c r="V340" s="17">
        <v>0.44250299999999998</v>
      </c>
      <c r="W340" s="39">
        <f t="shared" si="45"/>
        <v>0.153479965537478</v>
      </c>
      <c r="X340" s="17">
        <v>0.17905000000000001</v>
      </c>
      <c r="Y340" s="17">
        <v>0.95189299999999999</v>
      </c>
      <c r="Z340" s="16"/>
      <c r="AA340" s="15" t="s">
        <v>140</v>
      </c>
      <c r="AB340" s="17"/>
      <c r="AC340" s="21" t="s">
        <v>61</v>
      </c>
      <c r="AD340" s="21" t="s">
        <v>61</v>
      </c>
      <c r="AE340" s="61" t="s">
        <v>128</v>
      </c>
      <c r="AF340" s="17"/>
      <c r="AG340" s="15"/>
      <c r="AH340" s="16"/>
      <c r="AI340" s="16"/>
      <c r="AJ340" s="42">
        <f t="shared" ca="1" si="42"/>
        <v>749</v>
      </c>
      <c r="AK340" s="42">
        <f t="shared" ca="1" si="43"/>
        <v>671</v>
      </c>
      <c r="AL340" s="130" t="str">
        <f t="shared" si="44"/>
        <v>In touch - Positive</v>
      </c>
      <c r="AM340" s="37">
        <v>44915</v>
      </c>
      <c r="AN340" s="38">
        <v>44992</v>
      </c>
      <c r="AO340" s="38"/>
      <c r="AP340" s="38" t="s">
        <v>65</v>
      </c>
      <c r="AQ340" s="38">
        <v>44993</v>
      </c>
      <c r="AR340" s="101" t="s">
        <v>1818</v>
      </c>
      <c r="AS340" s="38">
        <v>44993</v>
      </c>
      <c r="AT340" s="11"/>
    </row>
    <row r="341" spans="1:46" s="271" customFormat="1" x14ac:dyDescent="0.35">
      <c r="A341" s="97"/>
      <c r="B341" s="16" cm="1">
        <f t="array" ref="B341">+_xlfn.IFS(D341="In Touch - Positive",2,D341="Pending",1,D341="No Answer",4,D341="In Touch - Negative",3)</f>
        <v>2</v>
      </c>
      <c r="C341" s="16" t="s">
        <v>1864</v>
      </c>
      <c r="D341" s="99" t="str">
        <f t="shared" si="41"/>
        <v>In touch - Positive</v>
      </c>
      <c r="E341" s="12" t="s">
        <v>1886</v>
      </c>
      <c r="F341" s="12"/>
      <c r="G341" s="13" t="s">
        <v>271</v>
      </c>
      <c r="H341" s="14" t="s">
        <v>530</v>
      </c>
      <c r="I341" s="13"/>
      <c r="J341" s="100" t="s">
        <v>57</v>
      </c>
      <c r="K341" s="15" t="s">
        <v>1887</v>
      </c>
      <c r="L341" s="15"/>
      <c r="M341" s="15"/>
      <c r="N341" s="15"/>
      <c r="O341" s="15"/>
      <c r="P341" s="15"/>
      <c r="Q341" s="15"/>
      <c r="R341" s="16"/>
      <c r="S341" s="35"/>
      <c r="T341" s="13">
        <v>2021</v>
      </c>
      <c r="U341" s="17">
        <v>1.089145</v>
      </c>
      <c r="V341" s="17">
        <v>0.43418200000000001</v>
      </c>
      <c r="W341" s="39">
        <f t="shared" si="45"/>
        <v>0.39864480854248058</v>
      </c>
      <c r="X341" s="17">
        <v>0.35080900000000004</v>
      </c>
      <c r="Y341" s="17">
        <v>-0.14202899999999999</v>
      </c>
      <c r="Z341" s="16"/>
      <c r="AA341" s="15" t="s">
        <v>140</v>
      </c>
      <c r="AB341" s="17"/>
      <c r="AC341" s="21" t="s">
        <v>61</v>
      </c>
      <c r="AD341" s="21" t="s">
        <v>61</v>
      </c>
      <c r="AE341" s="61" t="s">
        <v>128</v>
      </c>
      <c r="AF341" s="17"/>
      <c r="AG341" s="15"/>
      <c r="AH341" s="16"/>
      <c r="AI341" s="16"/>
      <c r="AJ341" s="42">
        <f t="shared" ca="1" si="42"/>
        <v>749</v>
      </c>
      <c r="AK341" s="42">
        <f t="shared" ca="1" si="43"/>
        <v>672</v>
      </c>
      <c r="AL341" s="130" t="str">
        <f t="shared" si="44"/>
        <v>In touch - Positive</v>
      </c>
      <c r="AM341" s="37">
        <v>44915</v>
      </c>
      <c r="AN341" s="38">
        <v>44992</v>
      </c>
      <c r="AO341" s="38" t="s">
        <v>65</v>
      </c>
      <c r="AP341" s="38"/>
      <c r="AQ341" s="38">
        <v>45002</v>
      </c>
      <c r="AR341" s="101" t="s">
        <v>1818</v>
      </c>
      <c r="AS341" s="38">
        <v>44992</v>
      </c>
      <c r="AT341" s="11"/>
    </row>
    <row r="342" spans="1:46" s="271" customFormat="1" x14ac:dyDescent="0.35">
      <c r="A342" s="97"/>
      <c r="B342" s="16" cm="1">
        <f t="array" ref="B342">+_xlfn.IFS(D342="In Touch - Positive",2,D342="Pending",1,D342="No Answer",4,D342="In Touch - Negative",3)</f>
        <v>2</v>
      </c>
      <c r="C342" s="16" t="s">
        <v>1864</v>
      </c>
      <c r="D342" s="99" t="str">
        <f t="shared" si="41"/>
        <v>In touch - Positive</v>
      </c>
      <c r="E342" s="12" t="s">
        <v>523</v>
      </c>
      <c r="F342" s="12"/>
      <c r="G342" s="13" t="s">
        <v>1228</v>
      </c>
      <c r="H342" s="14" t="s">
        <v>525</v>
      </c>
      <c r="I342" s="13"/>
      <c r="J342" s="100" t="s">
        <v>57</v>
      </c>
      <c r="K342" s="15" t="s">
        <v>1880</v>
      </c>
      <c r="L342" s="15"/>
      <c r="M342" s="15"/>
      <c r="N342" s="15"/>
      <c r="O342" s="15"/>
      <c r="P342" s="15"/>
      <c r="Q342" s="15"/>
      <c r="R342" s="16"/>
      <c r="S342" s="35"/>
      <c r="T342" s="13">
        <v>2020</v>
      </c>
      <c r="U342" s="17">
        <v>2.8061500000000001</v>
      </c>
      <c r="V342" s="17">
        <v>1.362201</v>
      </c>
      <c r="W342" s="39">
        <f t="shared" si="45"/>
        <v>0.48543413573757638</v>
      </c>
      <c r="X342" s="17">
        <v>0.897096</v>
      </c>
      <c r="Y342" s="17">
        <v>-1.3437439999999998</v>
      </c>
      <c r="Z342" s="16"/>
      <c r="AA342" s="15" t="s">
        <v>140</v>
      </c>
      <c r="AB342" s="17"/>
      <c r="AC342" s="21" t="s">
        <v>61</v>
      </c>
      <c r="AD342" s="21" t="s">
        <v>61</v>
      </c>
      <c r="AE342" s="61" t="s">
        <v>128</v>
      </c>
      <c r="AF342" s="17"/>
      <c r="AG342" s="15"/>
      <c r="AH342" s="16"/>
      <c r="AI342" s="16"/>
      <c r="AJ342" s="42">
        <f t="shared" ca="1" si="42"/>
        <v>749</v>
      </c>
      <c r="AK342" s="42">
        <f t="shared" ca="1" si="43"/>
        <v>672</v>
      </c>
      <c r="AL342" s="130" t="str">
        <f t="shared" si="44"/>
        <v>In touch - Positive</v>
      </c>
      <c r="AM342" s="37">
        <v>44915</v>
      </c>
      <c r="AN342" s="38">
        <v>44992</v>
      </c>
      <c r="AO342" s="38" t="s">
        <v>65</v>
      </c>
      <c r="AP342" s="38" t="s">
        <v>65</v>
      </c>
      <c r="AQ342" s="38">
        <v>44994</v>
      </c>
      <c r="AR342" s="101" t="s">
        <v>1818</v>
      </c>
      <c r="AS342" s="38">
        <v>44992</v>
      </c>
      <c r="AT342" s="11"/>
    </row>
    <row r="343" spans="1:46" s="271" customFormat="1" x14ac:dyDescent="0.35">
      <c r="A343" s="97"/>
      <c r="B343" s="16" cm="1">
        <f t="array" ref="B343">+_xlfn.IFS(D343="In Touch - Positive",2,D343="Pending",1,D343="No Answer",4,D343="In Touch - Negative",3)</f>
        <v>2</v>
      </c>
      <c r="C343" s="16" t="s">
        <v>1864</v>
      </c>
      <c r="D343" s="99" t="str">
        <f t="shared" si="41"/>
        <v>In touch - Positive</v>
      </c>
      <c r="E343" s="12" t="s">
        <v>1888</v>
      </c>
      <c r="F343" s="12"/>
      <c r="G343" s="13" t="s">
        <v>270</v>
      </c>
      <c r="H343" s="14" t="s">
        <v>528</v>
      </c>
      <c r="I343" s="13"/>
      <c r="J343" s="100" t="s">
        <v>57</v>
      </c>
      <c r="K343" s="15" t="s">
        <v>1889</v>
      </c>
      <c r="L343" s="15"/>
      <c r="M343" s="15"/>
      <c r="N343" s="15"/>
      <c r="O343" s="15"/>
      <c r="P343" s="15"/>
      <c r="Q343" s="15"/>
      <c r="R343" s="16"/>
      <c r="S343" s="35"/>
      <c r="T343" s="13">
        <v>2021</v>
      </c>
      <c r="U343" s="17">
        <v>2.1250420000000001</v>
      </c>
      <c r="V343" s="17">
        <v>1.0625519999999999</v>
      </c>
      <c r="W343" s="39">
        <f t="shared" si="45"/>
        <v>0.50001458794696763</v>
      </c>
      <c r="X343" s="17">
        <v>0.7416950000000001</v>
      </c>
      <c r="Y343" s="17" t="s">
        <v>236</v>
      </c>
      <c r="Z343" s="16"/>
      <c r="AA343" s="15" t="s">
        <v>140</v>
      </c>
      <c r="AB343" s="17"/>
      <c r="AC343" s="21" t="s">
        <v>61</v>
      </c>
      <c r="AD343" s="21" t="s">
        <v>61</v>
      </c>
      <c r="AE343" s="61" t="s">
        <v>128</v>
      </c>
      <c r="AF343" s="17"/>
      <c r="AG343" s="15"/>
      <c r="AH343" s="16"/>
      <c r="AI343" s="16"/>
      <c r="AJ343" s="42">
        <f t="shared" ca="1" si="42"/>
        <v>749</v>
      </c>
      <c r="AK343" s="42">
        <f t="shared" ca="1" si="43"/>
        <v>672</v>
      </c>
      <c r="AL343" s="130" t="str">
        <f t="shared" si="44"/>
        <v>In touch - Positive</v>
      </c>
      <c r="AM343" s="37">
        <v>44915</v>
      </c>
      <c r="AN343" s="38">
        <v>44992</v>
      </c>
      <c r="AO343" s="38" t="s">
        <v>65</v>
      </c>
      <c r="AP343" s="38" t="s">
        <v>65</v>
      </c>
      <c r="AQ343" s="38">
        <v>44992</v>
      </c>
      <c r="AR343" s="101" t="s">
        <v>1818</v>
      </c>
      <c r="AS343" s="38">
        <v>44992</v>
      </c>
      <c r="AT343" s="11"/>
    </row>
    <row r="344" spans="1:46" s="271" customFormat="1" x14ac:dyDescent="0.35">
      <c r="A344" s="97"/>
      <c r="B344" s="16" cm="1">
        <f t="array" ref="B344">+_xlfn.IFS(D344="In Touch - Positive",2,D344="Pending",1,D344="No Answer",4,D344="In Touch - Negative",3)</f>
        <v>2</v>
      </c>
      <c r="C344" s="16" t="s">
        <v>1864</v>
      </c>
      <c r="D344" s="99" t="str">
        <f t="shared" si="41"/>
        <v>In touch - Positive</v>
      </c>
      <c r="E344" s="12" t="s">
        <v>1890</v>
      </c>
      <c r="F344" s="12"/>
      <c r="G344" s="13" t="s">
        <v>232</v>
      </c>
      <c r="H344" s="14" t="s">
        <v>769</v>
      </c>
      <c r="I344" s="13"/>
      <c r="J344" s="100" t="s">
        <v>57</v>
      </c>
      <c r="K344" s="15" t="s">
        <v>1880</v>
      </c>
      <c r="L344" s="15"/>
      <c r="M344" s="15"/>
      <c r="N344" s="15"/>
      <c r="O344" s="15"/>
      <c r="P344" s="15"/>
      <c r="Q344" s="15"/>
      <c r="R344" s="16"/>
      <c r="S344" s="35"/>
      <c r="T344" s="13">
        <v>2021</v>
      </c>
      <c r="U344" s="17">
        <v>3.1205660000000002</v>
      </c>
      <c r="V344" s="17">
        <v>0.73548900000000006</v>
      </c>
      <c r="W344" s="39">
        <f t="shared" si="45"/>
        <v>0.23569089710007737</v>
      </c>
      <c r="X344" s="17">
        <v>0.49121900000000002</v>
      </c>
      <c r="Y344" s="17">
        <v>-0.60421100000000005</v>
      </c>
      <c r="Z344" s="16"/>
      <c r="AA344" s="15" t="s">
        <v>140</v>
      </c>
      <c r="AB344" s="17"/>
      <c r="AC344" s="21" t="s">
        <v>61</v>
      </c>
      <c r="AD344" s="21" t="s">
        <v>61</v>
      </c>
      <c r="AE344" s="61" t="s">
        <v>128</v>
      </c>
      <c r="AF344" s="17"/>
      <c r="AG344" s="15"/>
      <c r="AH344" s="16"/>
      <c r="AI344" s="16"/>
      <c r="AJ344" s="42">
        <f t="shared" ca="1" si="42"/>
        <v>749</v>
      </c>
      <c r="AK344" s="42">
        <f t="shared" ca="1" si="43"/>
        <v>672</v>
      </c>
      <c r="AL344" s="130" t="str">
        <f t="shared" si="44"/>
        <v>In touch - Positive</v>
      </c>
      <c r="AM344" s="37">
        <v>44915</v>
      </c>
      <c r="AN344" s="38">
        <v>44992</v>
      </c>
      <c r="AO344" s="38" t="s">
        <v>65</v>
      </c>
      <c r="AP344" s="38" t="s">
        <v>65</v>
      </c>
      <c r="AQ344" s="38">
        <v>44998</v>
      </c>
      <c r="AR344" s="101" t="s">
        <v>1818</v>
      </c>
      <c r="AS344" s="38">
        <v>44992</v>
      </c>
      <c r="AT344" s="11"/>
    </row>
    <row r="345" spans="1:46" s="271" customFormat="1" x14ac:dyDescent="0.35">
      <c r="A345" s="97"/>
      <c r="B345" s="16" cm="1">
        <f t="array" ref="B345">+_xlfn.IFS(D345="In Touch - Positive",2,D345="Pending",1,D345="No Answer",4,D345="In Touch - Negative",3)</f>
        <v>2</v>
      </c>
      <c r="C345" s="16" t="s">
        <v>1864</v>
      </c>
      <c r="D345" s="99" t="str">
        <f t="shared" si="41"/>
        <v>In touch - Positive</v>
      </c>
      <c r="E345" s="12" t="s">
        <v>1891</v>
      </c>
      <c r="F345" s="12"/>
      <c r="G345" s="13" t="s">
        <v>103</v>
      </c>
      <c r="H345" s="14" t="s">
        <v>665</v>
      </c>
      <c r="I345" s="13"/>
      <c r="J345" s="100" t="s">
        <v>57</v>
      </c>
      <c r="K345" s="15" t="s">
        <v>1881</v>
      </c>
      <c r="L345" s="15"/>
      <c r="M345" s="15"/>
      <c r="N345" s="15"/>
      <c r="O345" s="15"/>
      <c r="P345" s="15"/>
      <c r="Q345" s="15"/>
      <c r="R345" s="16"/>
      <c r="S345" s="35"/>
      <c r="T345" s="13">
        <v>2020</v>
      </c>
      <c r="U345" s="17">
        <v>3.1446149999999999</v>
      </c>
      <c r="V345" s="17">
        <v>0.642482</v>
      </c>
      <c r="W345" s="39">
        <f t="shared" si="45"/>
        <v>0.20431181559586786</v>
      </c>
      <c r="X345" s="17">
        <v>0.42821199999999998</v>
      </c>
      <c r="Y345" s="17">
        <v>-0.53618299999999997</v>
      </c>
      <c r="Z345" s="16"/>
      <c r="AA345" s="15" t="s">
        <v>140</v>
      </c>
      <c r="AB345" s="17"/>
      <c r="AC345" s="21" t="s">
        <v>61</v>
      </c>
      <c r="AD345" s="21" t="s">
        <v>61</v>
      </c>
      <c r="AE345" s="61" t="s">
        <v>128</v>
      </c>
      <c r="AF345" s="17"/>
      <c r="AG345" s="15"/>
      <c r="AH345" s="16"/>
      <c r="AI345" s="16"/>
      <c r="AJ345" s="42">
        <f t="shared" ca="1" si="42"/>
        <v>749</v>
      </c>
      <c r="AK345" s="42">
        <f t="shared" ca="1" si="43"/>
        <v>672</v>
      </c>
      <c r="AL345" s="130" t="str">
        <f t="shared" si="44"/>
        <v>In touch - Positive</v>
      </c>
      <c r="AM345" s="37">
        <v>44915</v>
      </c>
      <c r="AN345" s="38">
        <v>44992</v>
      </c>
      <c r="AO345" s="38" t="s">
        <v>65</v>
      </c>
      <c r="AP345" s="38"/>
      <c r="AQ345" s="38">
        <v>44992</v>
      </c>
      <c r="AR345" s="101" t="s">
        <v>1818</v>
      </c>
      <c r="AS345" s="38">
        <v>44992</v>
      </c>
      <c r="AT345" s="11"/>
    </row>
    <row r="346" spans="1:46" s="271" customFormat="1" x14ac:dyDescent="0.35">
      <c r="A346" s="97"/>
      <c r="B346" s="16" cm="1">
        <f t="array" ref="B346">+_xlfn.IFS(D346="In Touch - Positive",2,D346="Pending",1,D346="No Answer",4,D346="In Touch - Negative",3)</f>
        <v>2</v>
      </c>
      <c r="C346" s="16" t="s">
        <v>57</v>
      </c>
      <c r="D346" s="99" t="str">
        <f t="shared" si="41"/>
        <v>In touch - Positive</v>
      </c>
      <c r="E346" s="12" t="s">
        <v>734</v>
      </c>
      <c r="F346" s="12"/>
      <c r="G346" s="13" t="s">
        <v>103</v>
      </c>
      <c r="H346" s="14"/>
      <c r="I346" s="13"/>
      <c r="J346" s="100"/>
      <c r="K346" s="15" t="s">
        <v>513</v>
      </c>
      <c r="L346" s="15"/>
      <c r="M346" s="15"/>
      <c r="N346" s="15"/>
      <c r="O346" s="15"/>
      <c r="P346" s="15"/>
      <c r="Q346" s="15"/>
      <c r="R346" s="16"/>
      <c r="S346" s="35"/>
      <c r="T346" s="13"/>
      <c r="U346" s="17"/>
      <c r="V346" s="17"/>
      <c r="W346" s="60" t="e">
        <f t="shared" si="45"/>
        <v>#DIV/0!</v>
      </c>
      <c r="X346" s="17"/>
      <c r="Y346" s="17"/>
      <c r="Z346" s="16"/>
      <c r="AA346" s="15" t="s">
        <v>140</v>
      </c>
      <c r="AB346" s="17"/>
      <c r="AC346" s="21" t="s">
        <v>61</v>
      </c>
      <c r="AD346" s="21" t="s">
        <v>61</v>
      </c>
      <c r="AE346" s="61" t="s">
        <v>79</v>
      </c>
      <c r="AF346" s="17"/>
      <c r="AG346" s="15"/>
      <c r="AH346" s="16"/>
      <c r="AI346" s="16"/>
      <c r="AJ346" s="42">
        <f t="shared" ca="1" si="42"/>
        <v>697</v>
      </c>
      <c r="AK346" s="42">
        <f t="shared" ca="1" si="43"/>
        <v>673</v>
      </c>
      <c r="AL346" s="130" t="str">
        <f t="shared" si="44"/>
        <v>In touch - Positive</v>
      </c>
      <c r="AM346" s="37">
        <v>44967</v>
      </c>
      <c r="AN346" s="38">
        <v>44936</v>
      </c>
      <c r="AO346" s="38"/>
      <c r="AP346" s="38" t="s">
        <v>65</v>
      </c>
      <c r="AQ346" s="38">
        <v>44969</v>
      </c>
      <c r="AR346" s="101" t="s">
        <v>1818</v>
      </c>
      <c r="AS346" s="38">
        <v>44991</v>
      </c>
      <c r="AT346" s="11"/>
    </row>
    <row r="347" spans="1:46" s="271" customFormat="1" x14ac:dyDescent="0.35">
      <c r="A347" s="97"/>
      <c r="B347" s="16" cm="1">
        <f t="array" ref="B347">+_xlfn.IFS(D347="In Touch - Positive",2,D347="Pending",1,D347="No Answer",4,D347="In Touch - Negative",3)</f>
        <v>2</v>
      </c>
      <c r="C347" s="16" t="s">
        <v>1864</v>
      </c>
      <c r="D347" s="99" t="str">
        <f t="shared" si="41"/>
        <v>In touch - Positive</v>
      </c>
      <c r="E347" s="12" t="s">
        <v>1892</v>
      </c>
      <c r="F347" s="12"/>
      <c r="G347" s="13" t="s">
        <v>103</v>
      </c>
      <c r="H347" s="14" t="s">
        <v>735</v>
      </c>
      <c r="I347" s="13"/>
      <c r="J347" s="100" t="s">
        <v>57</v>
      </c>
      <c r="K347" s="15" t="s">
        <v>1880</v>
      </c>
      <c r="L347" s="15"/>
      <c r="M347" s="15"/>
      <c r="N347" s="15"/>
      <c r="O347" s="15"/>
      <c r="P347" s="15"/>
      <c r="Q347" s="15"/>
      <c r="R347" s="16"/>
      <c r="S347" s="35"/>
      <c r="T347" s="13">
        <v>2021</v>
      </c>
      <c r="U347" s="17">
        <v>1.9795849999999999</v>
      </c>
      <c r="V347" s="17">
        <v>1.0694670000000002</v>
      </c>
      <c r="W347" s="39">
        <f t="shared" si="45"/>
        <v>0.54024808230007815</v>
      </c>
      <c r="X347" s="17">
        <v>1.2493259999999999</v>
      </c>
      <c r="Y347" s="17">
        <v>-0.91374300000000008</v>
      </c>
      <c r="Z347" s="16"/>
      <c r="AA347" s="15" t="s">
        <v>140</v>
      </c>
      <c r="AB347" s="17"/>
      <c r="AC347" s="21" t="s">
        <v>61</v>
      </c>
      <c r="AD347" s="21" t="s">
        <v>61</v>
      </c>
      <c r="AE347" s="61" t="s">
        <v>128</v>
      </c>
      <c r="AF347" s="17"/>
      <c r="AG347" s="15"/>
      <c r="AH347" s="16"/>
      <c r="AI347" s="16"/>
      <c r="AJ347" s="42">
        <f t="shared" ca="1" si="42"/>
        <v>749</v>
      </c>
      <c r="AK347" s="42">
        <f t="shared" ca="1" si="43"/>
        <v>673</v>
      </c>
      <c r="AL347" s="130" t="str">
        <f t="shared" si="44"/>
        <v>In touch - Positive</v>
      </c>
      <c r="AM347" s="37">
        <v>44915</v>
      </c>
      <c r="AN347" s="38">
        <v>44991</v>
      </c>
      <c r="AO347" s="38" t="s">
        <v>65</v>
      </c>
      <c r="AP347" s="38" t="s">
        <v>65</v>
      </c>
      <c r="AQ347" s="38">
        <v>44992</v>
      </c>
      <c r="AR347" s="101" t="s">
        <v>1818</v>
      </c>
      <c r="AS347" s="38">
        <v>44991</v>
      </c>
      <c r="AT347" s="11"/>
    </row>
    <row r="348" spans="1:46" s="271" customFormat="1" x14ac:dyDescent="0.35">
      <c r="A348" s="97"/>
      <c r="B348" s="16" cm="1">
        <f t="array" ref="B348">+_xlfn.IFS(D348="In Touch - Positive",2,D348="Pending",1,D348="No Answer",4,D348="In Touch - Negative",3)</f>
        <v>2</v>
      </c>
      <c r="C348" s="16" t="s">
        <v>78</v>
      </c>
      <c r="D348" s="99" t="str">
        <f t="shared" si="41"/>
        <v>In touch - Positive</v>
      </c>
      <c r="E348" s="12" t="s">
        <v>518</v>
      </c>
      <c r="F348" s="12"/>
      <c r="G348" s="13" t="s">
        <v>147</v>
      </c>
      <c r="H348" s="14"/>
      <c r="I348" s="13"/>
      <c r="J348" s="100" t="s">
        <v>267</v>
      </c>
      <c r="K348" s="15" t="s">
        <v>519</v>
      </c>
      <c r="L348" s="15" t="s">
        <v>520</v>
      </c>
      <c r="M348" s="15"/>
      <c r="N348" s="15"/>
      <c r="O348" s="15"/>
      <c r="P348" s="15"/>
      <c r="Q348" s="15"/>
      <c r="R348" s="16"/>
      <c r="S348" s="35"/>
      <c r="T348" s="13"/>
      <c r="U348" s="17"/>
      <c r="V348" s="17"/>
      <c r="W348" s="60"/>
      <c r="X348" s="17"/>
      <c r="Y348" s="17"/>
      <c r="Z348" s="16"/>
      <c r="AA348" s="15" t="s">
        <v>140</v>
      </c>
      <c r="AB348" s="17"/>
      <c r="AC348" s="21" t="s">
        <v>78</v>
      </c>
      <c r="AD348" s="21" t="s">
        <v>78</v>
      </c>
      <c r="AE348" s="61"/>
      <c r="AF348" s="17"/>
      <c r="AG348" s="15"/>
      <c r="AH348" s="16"/>
      <c r="AI348" s="16"/>
      <c r="AJ348" s="42">
        <f t="shared" ca="1" si="42"/>
        <v>683</v>
      </c>
      <c r="AK348" s="42">
        <f t="shared" ca="1" si="43"/>
        <v>683</v>
      </c>
      <c r="AL348" s="130" t="str">
        <f t="shared" si="44"/>
        <v>In touch - Positive</v>
      </c>
      <c r="AM348" s="37">
        <v>44981</v>
      </c>
      <c r="AN348" s="38">
        <v>44991</v>
      </c>
      <c r="AO348" s="38">
        <v>45005</v>
      </c>
      <c r="AP348" s="38"/>
      <c r="AQ348" s="38">
        <v>45005</v>
      </c>
      <c r="AR348" s="101" t="s">
        <v>1818</v>
      </c>
      <c r="AS348" s="38">
        <v>44981</v>
      </c>
      <c r="AT348" s="11"/>
    </row>
    <row r="349" spans="1:46" s="271" customFormat="1" x14ac:dyDescent="0.35">
      <c r="A349" s="97"/>
      <c r="B349" s="16" cm="1">
        <f t="array" ref="B349">+_xlfn.IFS(D349="In Touch - Positive",2,D349="Pending",1,D349="No Answer",4,D349="In Touch - Negative",3)</f>
        <v>2</v>
      </c>
      <c r="C349" s="16" t="s">
        <v>1893</v>
      </c>
      <c r="D349" s="99" t="str">
        <f t="shared" si="41"/>
        <v>In touch - Positive</v>
      </c>
      <c r="E349" s="12" t="s">
        <v>1894</v>
      </c>
      <c r="F349" s="12"/>
      <c r="G349" s="13" t="s">
        <v>226</v>
      </c>
      <c r="H349" s="14" t="s">
        <v>1895</v>
      </c>
      <c r="I349" s="13"/>
      <c r="J349" s="100"/>
      <c r="K349" s="15"/>
      <c r="L349" s="15" t="s">
        <v>1896</v>
      </c>
      <c r="M349" s="15"/>
      <c r="N349" s="15"/>
      <c r="O349" s="15"/>
      <c r="P349" s="15"/>
      <c r="Q349" s="15"/>
      <c r="R349" s="16"/>
      <c r="S349" s="35"/>
      <c r="T349" s="13"/>
      <c r="U349" s="17"/>
      <c r="V349" s="17"/>
      <c r="W349" s="60" t="e">
        <f t="shared" ref="W349:W357" si="46">V349/U349</f>
        <v>#DIV/0!</v>
      </c>
      <c r="X349" s="17"/>
      <c r="Y349" s="17"/>
      <c r="Z349" s="16"/>
      <c r="AA349" s="15" t="s">
        <v>140</v>
      </c>
      <c r="AB349" s="17"/>
      <c r="AC349" s="21" t="s">
        <v>78</v>
      </c>
      <c r="AD349" s="21" t="s">
        <v>78</v>
      </c>
      <c r="AE349" s="61" t="s">
        <v>86</v>
      </c>
      <c r="AF349" s="17"/>
      <c r="AG349" s="15"/>
      <c r="AH349" s="16"/>
      <c r="AI349" s="16"/>
      <c r="AJ349" s="42">
        <f t="shared" ca="1" si="42"/>
        <v>691</v>
      </c>
      <c r="AK349" s="42">
        <f t="shared" ca="1" si="43"/>
        <v>690</v>
      </c>
      <c r="AL349" s="130" t="str">
        <f t="shared" si="44"/>
        <v>In touch - Positive</v>
      </c>
      <c r="AM349" s="37">
        <v>44973</v>
      </c>
      <c r="AN349" s="38">
        <v>44973</v>
      </c>
      <c r="AO349" s="38"/>
      <c r="AP349" s="38"/>
      <c r="AQ349" s="38">
        <v>44973</v>
      </c>
      <c r="AR349" s="101" t="s">
        <v>1818</v>
      </c>
      <c r="AS349" s="38">
        <v>44974</v>
      </c>
      <c r="AT349" s="11"/>
    </row>
    <row r="350" spans="1:46" s="271" customFormat="1" x14ac:dyDescent="0.35">
      <c r="A350" s="97"/>
      <c r="B350" s="16" cm="1">
        <f t="array" ref="B350">+_xlfn.IFS(D350="In Touch - Positive",2,D350="Pending",1,D350="No Answer",4,D350="In Touch - Negative",3)</f>
        <v>2</v>
      </c>
      <c r="C350" s="16" t="s">
        <v>1897</v>
      </c>
      <c r="D350" s="99" t="str">
        <f t="shared" si="41"/>
        <v>In touch - Positive</v>
      </c>
      <c r="E350" s="12" t="s">
        <v>1898</v>
      </c>
      <c r="F350" s="12"/>
      <c r="G350" s="13" t="s">
        <v>1309</v>
      </c>
      <c r="H350" s="14"/>
      <c r="I350" s="13"/>
      <c r="J350" s="100"/>
      <c r="K350" s="15"/>
      <c r="L350" s="15" t="s">
        <v>1899</v>
      </c>
      <c r="M350" s="15"/>
      <c r="N350" s="15"/>
      <c r="O350" s="15"/>
      <c r="P350" s="15"/>
      <c r="Q350" s="15"/>
      <c r="R350" s="16"/>
      <c r="S350" s="35"/>
      <c r="T350" s="13"/>
      <c r="U350" s="17"/>
      <c r="V350" s="17"/>
      <c r="W350" s="60" t="e">
        <f t="shared" si="46"/>
        <v>#DIV/0!</v>
      </c>
      <c r="X350" s="17"/>
      <c r="Y350" s="17"/>
      <c r="Z350" s="16"/>
      <c r="AA350" s="15" t="s">
        <v>140</v>
      </c>
      <c r="AB350" s="17"/>
      <c r="AC350" s="21" t="s">
        <v>78</v>
      </c>
      <c r="AD350" s="21" t="s">
        <v>78</v>
      </c>
      <c r="AE350" s="61" t="s">
        <v>79</v>
      </c>
      <c r="AF350" s="17"/>
      <c r="AG350" s="15"/>
      <c r="AH350" s="16"/>
      <c r="AI350" s="16"/>
      <c r="AJ350" s="42">
        <f t="shared" ca="1" si="42"/>
        <v>697</v>
      </c>
      <c r="AK350" s="42">
        <f t="shared" ca="1" si="43"/>
        <v>697</v>
      </c>
      <c r="AL350" s="130" t="str">
        <f t="shared" si="44"/>
        <v>In touch - Positive</v>
      </c>
      <c r="AM350" s="37">
        <v>44967</v>
      </c>
      <c r="AN350" s="38">
        <v>44936</v>
      </c>
      <c r="AO350" s="38"/>
      <c r="AP350" s="38"/>
      <c r="AQ350" s="38"/>
      <c r="AR350" s="101" t="s">
        <v>1818</v>
      </c>
      <c r="AS350" s="38">
        <v>44967</v>
      </c>
      <c r="AT350" s="11"/>
    </row>
    <row r="351" spans="1:46" s="271" customFormat="1" x14ac:dyDescent="0.35">
      <c r="A351" s="97"/>
      <c r="B351" s="16" cm="1">
        <f t="array" ref="B351">+_xlfn.IFS(D351="In Touch - Positive",2,D351="Pending",1,D351="No Answer",4,D351="In Touch - Negative",3)</f>
        <v>2</v>
      </c>
      <c r="C351" s="16" t="s">
        <v>1897</v>
      </c>
      <c r="D351" s="99" t="str">
        <f t="shared" si="41"/>
        <v>In touch - Positive</v>
      </c>
      <c r="E351" s="12" t="s">
        <v>1900</v>
      </c>
      <c r="F351" s="12"/>
      <c r="G351" s="13" t="s">
        <v>425</v>
      </c>
      <c r="H351" s="14"/>
      <c r="I351" s="13"/>
      <c r="J351" s="100"/>
      <c r="K351" s="15"/>
      <c r="L351" s="15" t="s">
        <v>1901</v>
      </c>
      <c r="M351" s="15"/>
      <c r="N351" s="15"/>
      <c r="O351" s="15"/>
      <c r="P351" s="15"/>
      <c r="Q351" s="15"/>
      <c r="R351" s="16"/>
      <c r="S351" s="35"/>
      <c r="T351" s="13"/>
      <c r="U351" s="17"/>
      <c r="V351" s="17"/>
      <c r="W351" s="60" t="e">
        <f t="shared" si="46"/>
        <v>#DIV/0!</v>
      </c>
      <c r="X351" s="17"/>
      <c r="Y351" s="17"/>
      <c r="Z351" s="16"/>
      <c r="AA351" s="15" t="s">
        <v>140</v>
      </c>
      <c r="AB351" s="17"/>
      <c r="AC351" s="21" t="s">
        <v>78</v>
      </c>
      <c r="AD351" s="21" t="s">
        <v>78</v>
      </c>
      <c r="AE351" s="61" t="s">
        <v>79</v>
      </c>
      <c r="AF351" s="17"/>
      <c r="AG351" s="15"/>
      <c r="AH351" s="16"/>
      <c r="AI351" s="16"/>
      <c r="AJ351" s="42">
        <f t="shared" ca="1" si="42"/>
        <v>697</v>
      </c>
      <c r="AK351" s="42">
        <f t="shared" ca="1" si="43"/>
        <v>697</v>
      </c>
      <c r="AL351" s="130" t="str">
        <f t="shared" si="44"/>
        <v>In touch - Positive</v>
      </c>
      <c r="AM351" s="37">
        <v>44967</v>
      </c>
      <c r="AN351" s="38">
        <v>44936</v>
      </c>
      <c r="AO351" s="38"/>
      <c r="AP351" s="38"/>
      <c r="AQ351" s="38">
        <v>44971</v>
      </c>
      <c r="AR351" s="101" t="s">
        <v>1818</v>
      </c>
      <c r="AS351" s="38">
        <v>44967</v>
      </c>
      <c r="AT351" s="11"/>
    </row>
    <row r="352" spans="1:46" s="271" customFormat="1" x14ac:dyDescent="0.35">
      <c r="A352" s="97"/>
      <c r="B352" s="16" cm="1">
        <f t="array" ref="B352">+_xlfn.IFS(D352="In Touch - Positive",2,D352="Pending",1,D352="No Answer",4,D352="In Touch - Negative",3)</f>
        <v>2</v>
      </c>
      <c r="C352" s="16" t="s">
        <v>1897</v>
      </c>
      <c r="D352" s="99" t="str">
        <f t="shared" si="41"/>
        <v>In touch - Positive</v>
      </c>
      <c r="E352" s="12" t="s">
        <v>1902</v>
      </c>
      <c r="F352" s="12"/>
      <c r="G352" s="13" t="s">
        <v>68</v>
      </c>
      <c r="H352" s="14"/>
      <c r="I352" s="13"/>
      <c r="J352" s="100"/>
      <c r="K352" s="15"/>
      <c r="L352" s="15" t="s">
        <v>1903</v>
      </c>
      <c r="M352" s="15"/>
      <c r="N352" s="15"/>
      <c r="O352" s="15"/>
      <c r="P352" s="15"/>
      <c r="Q352" s="15"/>
      <c r="R352" s="16"/>
      <c r="S352" s="35"/>
      <c r="T352" s="13"/>
      <c r="U352" s="17"/>
      <c r="V352" s="17"/>
      <c r="W352" s="60" t="e">
        <f t="shared" si="46"/>
        <v>#DIV/0!</v>
      </c>
      <c r="X352" s="17"/>
      <c r="Y352" s="17"/>
      <c r="Z352" s="16"/>
      <c r="AA352" s="15" t="s">
        <v>140</v>
      </c>
      <c r="AB352" s="17"/>
      <c r="AC352" s="21" t="s">
        <v>78</v>
      </c>
      <c r="AD352" s="21" t="s">
        <v>78</v>
      </c>
      <c r="AE352" s="61" t="s">
        <v>79</v>
      </c>
      <c r="AF352" s="17"/>
      <c r="AG352" s="15"/>
      <c r="AH352" s="16"/>
      <c r="AI352" s="16"/>
      <c r="AJ352" s="42">
        <f t="shared" ca="1" si="42"/>
        <v>697</v>
      </c>
      <c r="AK352" s="42">
        <f t="shared" ca="1" si="43"/>
        <v>697</v>
      </c>
      <c r="AL352" s="130" t="str">
        <f t="shared" si="44"/>
        <v>In touch - Positive</v>
      </c>
      <c r="AM352" s="37">
        <v>44967</v>
      </c>
      <c r="AN352" s="38">
        <v>44936</v>
      </c>
      <c r="AO352" s="38"/>
      <c r="AP352" s="38"/>
      <c r="AQ352" s="38">
        <v>44986</v>
      </c>
      <c r="AR352" s="101" t="s">
        <v>1818</v>
      </c>
      <c r="AS352" s="38">
        <v>44967</v>
      </c>
      <c r="AT352" s="11"/>
    </row>
    <row r="353" spans="1:46" s="271" customFormat="1" x14ac:dyDescent="0.35">
      <c r="A353" s="97"/>
      <c r="B353" s="16" cm="1">
        <f t="array" ref="B353">+_xlfn.IFS(D353="In Touch - Positive",2,D353="Pending",1,D353="No Answer",4,D353="In Touch - Negative",3)</f>
        <v>2</v>
      </c>
      <c r="C353" s="16" t="s">
        <v>1897</v>
      </c>
      <c r="D353" s="99" t="str">
        <f t="shared" si="41"/>
        <v>In touch - Positive</v>
      </c>
      <c r="E353" s="12" t="s">
        <v>1904</v>
      </c>
      <c r="F353" s="12"/>
      <c r="G353" s="13" t="s">
        <v>1905</v>
      </c>
      <c r="H353" s="14"/>
      <c r="I353" s="13"/>
      <c r="J353" s="100"/>
      <c r="K353" s="15"/>
      <c r="L353" s="15" t="s">
        <v>1906</v>
      </c>
      <c r="M353" s="15"/>
      <c r="N353" s="15"/>
      <c r="O353" s="15"/>
      <c r="P353" s="15"/>
      <c r="Q353" s="15"/>
      <c r="R353" s="16"/>
      <c r="S353" s="35"/>
      <c r="T353" s="13"/>
      <c r="U353" s="17"/>
      <c r="V353" s="17"/>
      <c r="W353" s="60" t="e">
        <f t="shared" si="46"/>
        <v>#DIV/0!</v>
      </c>
      <c r="X353" s="17"/>
      <c r="Y353" s="17"/>
      <c r="Z353" s="16"/>
      <c r="AA353" s="15" t="s">
        <v>140</v>
      </c>
      <c r="AB353" s="17"/>
      <c r="AC353" s="21" t="s">
        <v>78</v>
      </c>
      <c r="AD353" s="21" t="s">
        <v>78</v>
      </c>
      <c r="AE353" s="61" t="s">
        <v>79</v>
      </c>
      <c r="AF353" s="17"/>
      <c r="AG353" s="15"/>
      <c r="AH353" s="16"/>
      <c r="AI353" s="16"/>
      <c r="AJ353" s="42">
        <f t="shared" ca="1" si="42"/>
        <v>697</v>
      </c>
      <c r="AK353" s="42">
        <f t="shared" ca="1" si="43"/>
        <v>697</v>
      </c>
      <c r="AL353" s="130" t="str">
        <f t="shared" si="44"/>
        <v>In touch - Positive</v>
      </c>
      <c r="AM353" s="37">
        <v>44967</v>
      </c>
      <c r="AN353" s="38">
        <v>44936</v>
      </c>
      <c r="AO353" s="38"/>
      <c r="AP353" s="38"/>
      <c r="AQ353" s="38">
        <v>44988</v>
      </c>
      <c r="AR353" s="101" t="s">
        <v>1818</v>
      </c>
      <c r="AS353" s="38">
        <v>44967</v>
      </c>
      <c r="AT353" s="11"/>
    </row>
    <row r="354" spans="1:46" s="271" customFormat="1" x14ac:dyDescent="0.35">
      <c r="A354" s="97"/>
      <c r="B354" s="16" cm="1">
        <f t="array" ref="B354">+_xlfn.IFS(D354="In Touch - Positive",2,D354="Pending",1,D354="No Answer",4,D354="In Touch - Negative",3)</f>
        <v>2</v>
      </c>
      <c r="C354" s="16" t="s">
        <v>1897</v>
      </c>
      <c r="D354" s="99" t="str">
        <f t="shared" si="41"/>
        <v>In touch - Positive</v>
      </c>
      <c r="E354" s="12" t="s">
        <v>812</v>
      </c>
      <c r="F354" s="12"/>
      <c r="G354" s="13" t="s">
        <v>538</v>
      </c>
      <c r="H354" s="14"/>
      <c r="I354" s="13"/>
      <c r="J354" s="100"/>
      <c r="K354" s="15"/>
      <c r="L354" s="15" t="s">
        <v>815</v>
      </c>
      <c r="M354" s="15"/>
      <c r="N354" s="15"/>
      <c r="O354" s="15"/>
      <c r="P354" s="15"/>
      <c r="Q354" s="15"/>
      <c r="R354" s="16"/>
      <c r="S354" s="35"/>
      <c r="T354" s="13"/>
      <c r="U354" s="17"/>
      <c r="V354" s="17"/>
      <c r="W354" s="60" t="e">
        <f t="shared" si="46"/>
        <v>#DIV/0!</v>
      </c>
      <c r="X354" s="17"/>
      <c r="Y354" s="17"/>
      <c r="Z354" s="16"/>
      <c r="AA354" s="15" t="s">
        <v>140</v>
      </c>
      <c r="AB354" s="17"/>
      <c r="AC354" s="21" t="s">
        <v>78</v>
      </c>
      <c r="AD354" s="21" t="s">
        <v>78</v>
      </c>
      <c r="AE354" s="61" t="s">
        <v>79</v>
      </c>
      <c r="AF354" s="17"/>
      <c r="AG354" s="15"/>
      <c r="AH354" s="16"/>
      <c r="AI354" s="16"/>
      <c r="AJ354" s="42">
        <f t="shared" ca="1" si="42"/>
        <v>697</v>
      </c>
      <c r="AK354" s="42">
        <f t="shared" ca="1" si="43"/>
        <v>697</v>
      </c>
      <c r="AL354" s="130" t="str">
        <f t="shared" si="44"/>
        <v>In touch - Positive</v>
      </c>
      <c r="AM354" s="37">
        <v>44967</v>
      </c>
      <c r="AN354" s="38">
        <v>44936</v>
      </c>
      <c r="AO354" s="38"/>
      <c r="AP354" s="38"/>
      <c r="AQ354" s="38">
        <v>44968</v>
      </c>
      <c r="AR354" s="101" t="s">
        <v>1818</v>
      </c>
      <c r="AS354" s="38">
        <v>44967</v>
      </c>
      <c r="AT354" s="11"/>
    </row>
    <row r="355" spans="1:46" s="271" customFormat="1" x14ac:dyDescent="0.35">
      <c r="A355" s="97"/>
      <c r="B355" s="16" cm="1">
        <f t="array" ref="B355">+_xlfn.IFS(D355="In Touch - Positive",2,D355="Pending",1,D355="No Answer",4,D355="In Touch - Negative",3)</f>
        <v>2</v>
      </c>
      <c r="C355" s="16" t="s">
        <v>1897</v>
      </c>
      <c r="D355" s="99" t="str">
        <f t="shared" si="41"/>
        <v>In touch - Positive</v>
      </c>
      <c r="E355" s="12" t="s">
        <v>817</v>
      </c>
      <c r="F355" s="12"/>
      <c r="G355" s="13" t="s">
        <v>554</v>
      </c>
      <c r="H355" s="14"/>
      <c r="I355" s="13"/>
      <c r="J355" s="100"/>
      <c r="K355" s="15"/>
      <c r="L355" s="15" t="s">
        <v>818</v>
      </c>
      <c r="M355" s="15"/>
      <c r="N355" s="15"/>
      <c r="O355" s="15"/>
      <c r="P355" s="15"/>
      <c r="Q355" s="15"/>
      <c r="R355" s="16"/>
      <c r="S355" s="35"/>
      <c r="T355" s="13"/>
      <c r="U355" s="17"/>
      <c r="V355" s="17"/>
      <c r="W355" s="60" t="e">
        <f t="shared" si="46"/>
        <v>#DIV/0!</v>
      </c>
      <c r="X355" s="17"/>
      <c r="Y355" s="17"/>
      <c r="Z355" s="16"/>
      <c r="AA355" s="15" t="s">
        <v>140</v>
      </c>
      <c r="AB355" s="17"/>
      <c r="AC355" s="21" t="s">
        <v>78</v>
      </c>
      <c r="AD355" s="21" t="s">
        <v>78</v>
      </c>
      <c r="AE355" s="61" t="s">
        <v>79</v>
      </c>
      <c r="AF355" s="17"/>
      <c r="AG355" s="15"/>
      <c r="AH355" s="16"/>
      <c r="AI355" s="16"/>
      <c r="AJ355" s="42">
        <f t="shared" ca="1" si="42"/>
        <v>697</v>
      </c>
      <c r="AK355" s="42">
        <f t="shared" ca="1" si="43"/>
        <v>697</v>
      </c>
      <c r="AL355" s="130" t="str">
        <f t="shared" si="44"/>
        <v>In touch - Positive</v>
      </c>
      <c r="AM355" s="37">
        <v>44967</v>
      </c>
      <c r="AN355" s="38">
        <v>44936</v>
      </c>
      <c r="AO355" s="38"/>
      <c r="AP355" s="38"/>
      <c r="AQ355" s="38">
        <v>44969</v>
      </c>
      <c r="AR355" s="101" t="s">
        <v>1818</v>
      </c>
      <c r="AS355" s="38">
        <v>44967</v>
      </c>
      <c r="AT355" s="11"/>
    </row>
    <row r="356" spans="1:46" s="271" customFormat="1" x14ac:dyDescent="0.35">
      <c r="B356" s="16" cm="1">
        <f t="array" ref="B356">+_xlfn.IFS(D356="In Touch - Positive",2,D356="Pending",1,D356="No Answer",4,D356="In Touch - Negative",3)</f>
        <v>2</v>
      </c>
      <c r="C356" s="16" t="s">
        <v>1897</v>
      </c>
      <c r="D356" s="99" t="str">
        <f t="shared" si="41"/>
        <v>In touch - Positive</v>
      </c>
      <c r="E356" s="12" t="s">
        <v>1907</v>
      </c>
      <c r="F356" s="12"/>
      <c r="G356" s="13" t="s">
        <v>554</v>
      </c>
      <c r="H356" s="14"/>
      <c r="I356" s="13"/>
      <c r="J356" s="100"/>
      <c r="K356" s="15"/>
      <c r="L356" s="15" t="s">
        <v>1908</v>
      </c>
      <c r="M356" s="15"/>
      <c r="N356" s="15"/>
      <c r="O356" s="15"/>
      <c r="P356" s="15"/>
      <c r="Q356" s="15"/>
      <c r="R356" s="16"/>
      <c r="S356" s="35"/>
      <c r="T356" s="13"/>
      <c r="U356" s="17"/>
      <c r="V356" s="17"/>
      <c r="W356" s="60" t="e">
        <f t="shared" si="46"/>
        <v>#DIV/0!</v>
      </c>
      <c r="X356" s="17"/>
      <c r="Y356" s="17"/>
      <c r="Z356" s="16"/>
      <c r="AA356" s="15" t="s">
        <v>140</v>
      </c>
      <c r="AB356" s="17"/>
      <c r="AC356" s="21" t="s">
        <v>78</v>
      </c>
      <c r="AD356" s="21" t="s">
        <v>78</v>
      </c>
      <c r="AE356" s="61" t="s">
        <v>79</v>
      </c>
      <c r="AF356" s="17"/>
      <c r="AG356" s="15"/>
      <c r="AH356" s="16"/>
      <c r="AI356" s="16"/>
      <c r="AJ356" s="42">
        <f t="shared" ca="1" si="42"/>
        <v>697</v>
      </c>
      <c r="AK356" s="42">
        <f t="shared" ca="1" si="43"/>
        <v>697</v>
      </c>
      <c r="AL356" s="130" t="str">
        <f t="shared" si="44"/>
        <v>In touch - Positive</v>
      </c>
      <c r="AM356" s="37">
        <v>44967</v>
      </c>
      <c r="AN356" s="38">
        <v>44936</v>
      </c>
      <c r="AO356" s="38"/>
      <c r="AP356" s="38"/>
      <c r="AQ356" s="38"/>
      <c r="AR356" s="101" t="s">
        <v>1818</v>
      </c>
      <c r="AS356" s="38">
        <v>44967</v>
      </c>
      <c r="AT356" s="11"/>
    </row>
    <row r="357" spans="1:46" s="271" customFormat="1" x14ac:dyDescent="0.35">
      <c r="A357" s="97"/>
      <c r="B357" s="16" cm="1">
        <f t="array" ref="B357">+_xlfn.IFS(D357="In Touch - Positive",2,D357="Pending",1,D357="No Answer",4,D357="In Touch - Negative",3)</f>
        <v>2</v>
      </c>
      <c r="C357" s="16" t="s">
        <v>1897</v>
      </c>
      <c r="D357" s="99" t="str">
        <f t="shared" si="41"/>
        <v>In touch - Positive</v>
      </c>
      <c r="E357" s="12" t="s">
        <v>1909</v>
      </c>
      <c r="F357" s="12"/>
      <c r="G357" s="13" t="s">
        <v>554</v>
      </c>
      <c r="H357" s="14"/>
      <c r="I357" s="13"/>
      <c r="J357" s="100"/>
      <c r="K357" s="15"/>
      <c r="L357" s="15" t="s">
        <v>1910</v>
      </c>
      <c r="M357" s="15"/>
      <c r="N357" s="15"/>
      <c r="O357" s="15"/>
      <c r="P357" s="15"/>
      <c r="Q357" s="15"/>
      <c r="R357" s="16"/>
      <c r="S357" s="35"/>
      <c r="T357" s="13"/>
      <c r="U357" s="17"/>
      <c r="V357" s="17"/>
      <c r="W357" s="60" t="e">
        <f t="shared" si="46"/>
        <v>#DIV/0!</v>
      </c>
      <c r="X357" s="17"/>
      <c r="Y357" s="17"/>
      <c r="Z357" s="16"/>
      <c r="AA357" s="15" t="s">
        <v>140</v>
      </c>
      <c r="AB357" s="17"/>
      <c r="AC357" s="21" t="s">
        <v>78</v>
      </c>
      <c r="AD357" s="21" t="s">
        <v>78</v>
      </c>
      <c r="AE357" s="61" t="s">
        <v>79</v>
      </c>
      <c r="AF357" s="17"/>
      <c r="AG357" s="15"/>
      <c r="AH357" s="16"/>
      <c r="AI357" s="16"/>
      <c r="AJ357" s="42">
        <f t="shared" ca="1" si="42"/>
        <v>697</v>
      </c>
      <c r="AK357" s="42">
        <f t="shared" ca="1" si="43"/>
        <v>697</v>
      </c>
      <c r="AL357" s="130" t="str">
        <f t="shared" si="44"/>
        <v>In touch - Positive</v>
      </c>
      <c r="AM357" s="37">
        <v>44967</v>
      </c>
      <c r="AN357" s="38">
        <v>44936</v>
      </c>
      <c r="AO357" s="38"/>
      <c r="AP357" s="38"/>
      <c r="AQ357" s="38"/>
      <c r="AR357" s="101" t="s">
        <v>1818</v>
      </c>
      <c r="AS357" s="38">
        <v>44967</v>
      </c>
      <c r="AT357" s="11"/>
    </row>
    <row r="358" spans="1:46" s="271" customFormat="1" x14ac:dyDescent="0.35">
      <c r="B358" s="16" cm="1">
        <f t="array" ref="B358">+_xlfn.IFS(D358="In Touch - Positive",2,D358="Pending",1,D358="No Answer",4,D358="In Touch - Negative",3)</f>
        <v>2</v>
      </c>
      <c r="C358" s="16" t="s">
        <v>612</v>
      </c>
      <c r="D358" s="99" t="str">
        <f t="shared" si="41"/>
        <v>In touch - Positive</v>
      </c>
      <c r="E358" s="12" t="s">
        <v>680</v>
      </c>
      <c r="F358" s="12"/>
      <c r="G358" s="13" t="s">
        <v>1911</v>
      </c>
      <c r="H358" s="13"/>
      <c r="I358" s="13"/>
      <c r="J358" s="13"/>
      <c r="K358" s="15"/>
      <c r="L358" s="15" t="s">
        <v>1912</v>
      </c>
      <c r="M358" s="15"/>
      <c r="N358" s="15"/>
      <c r="O358" s="15"/>
      <c r="P358" s="15"/>
      <c r="Q358" s="15"/>
      <c r="R358" s="16"/>
      <c r="S358" s="35"/>
      <c r="T358" s="13"/>
      <c r="U358" s="17"/>
      <c r="V358" s="17"/>
      <c r="W358" s="60" t="e">
        <f>+V358/U358</f>
        <v>#DIV/0!</v>
      </c>
      <c r="X358" s="17"/>
      <c r="Y358" s="17"/>
      <c r="Z358" s="16"/>
      <c r="AA358" s="15" t="s">
        <v>140</v>
      </c>
      <c r="AB358" s="17"/>
      <c r="AC358" s="21" t="s">
        <v>61</v>
      </c>
      <c r="AD358" s="21" t="s">
        <v>61</v>
      </c>
      <c r="AE358" s="17" t="s">
        <v>79</v>
      </c>
      <c r="AF358" s="17"/>
      <c r="AG358" s="15"/>
      <c r="AH358" s="16"/>
      <c r="AI358" s="16"/>
      <c r="AJ358" s="42">
        <f t="shared" ca="1" si="42"/>
        <v>733</v>
      </c>
      <c r="AK358" s="42">
        <f t="shared" ca="1" si="43"/>
        <v>733</v>
      </c>
      <c r="AL358" s="130" t="str">
        <f t="shared" si="44"/>
        <v>In touch - Positive</v>
      </c>
      <c r="AM358" s="37">
        <v>44931</v>
      </c>
      <c r="AN358" s="38">
        <v>44931</v>
      </c>
      <c r="AO358" s="38"/>
      <c r="AP358" s="38"/>
      <c r="AQ358" s="38"/>
      <c r="AR358" s="101" t="s">
        <v>1818</v>
      </c>
      <c r="AS358" s="38">
        <v>44931</v>
      </c>
      <c r="AT358" s="11"/>
    </row>
    <row r="359" spans="1:46" s="271" customFormat="1" x14ac:dyDescent="0.35">
      <c r="A359" s="97"/>
      <c r="B359" s="16" cm="1">
        <f t="array" ref="B359">+_xlfn.IFS(D359="In Touch - Positive",2,D359="Pending",1,D359="No Answer",4,D359="In Touch - Negative",3)</f>
        <v>2</v>
      </c>
      <c r="C359" s="16" t="s">
        <v>612</v>
      </c>
      <c r="D359" s="99" t="str">
        <f t="shared" si="41"/>
        <v>In touch - Positive</v>
      </c>
      <c r="E359" s="12" t="s">
        <v>1913</v>
      </c>
      <c r="F359" s="12"/>
      <c r="G359" s="13" t="s">
        <v>712</v>
      </c>
      <c r="H359" s="13"/>
      <c r="I359" s="13"/>
      <c r="J359" s="13"/>
      <c r="K359" s="15"/>
      <c r="L359" s="15" t="s">
        <v>1914</v>
      </c>
      <c r="M359" s="15"/>
      <c r="N359" s="15"/>
      <c r="O359" s="15"/>
      <c r="P359" s="15"/>
      <c r="Q359" s="15"/>
      <c r="R359" s="16"/>
      <c r="S359" s="35"/>
      <c r="T359" s="13"/>
      <c r="U359" s="17"/>
      <c r="V359" s="17"/>
      <c r="W359" s="60" t="e">
        <f>+V359/U359</f>
        <v>#DIV/0!</v>
      </c>
      <c r="X359" s="17"/>
      <c r="Y359" s="17"/>
      <c r="Z359" s="16"/>
      <c r="AA359" s="15" t="s">
        <v>140</v>
      </c>
      <c r="AB359" s="17"/>
      <c r="AC359" s="21" t="s">
        <v>61</v>
      </c>
      <c r="AD359" s="21" t="s">
        <v>61</v>
      </c>
      <c r="AE359" s="17" t="s">
        <v>79</v>
      </c>
      <c r="AF359" s="17"/>
      <c r="AG359" s="15"/>
      <c r="AH359" s="16"/>
      <c r="AI359" s="16"/>
      <c r="AJ359" s="42">
        <f t="shared" ca="1" si="42"/>
        <v>733</v>
      </c>
      <c r="AK359" s="42">
        <f t="shared" ca="1" si="43"/>
        <v>733</v>
      </c>
      <c r="AL359" s="130" t="str">
        <f t="shared" si="44"/>
        <v>In touch - Positive</v>
      </c>
      <c r="AM359" s="37">
        <v>44931</v>
      </c>
      <c r="AN359" s="38">
        <v>44931</v>
      </c>
      <c r="AO359" s="38"/>
      <c r="AP359" s="38"/>
      <c r="AQ359" s="38"/>
      <c r="AR359" s="101" t="s">
        <v>1818</v>
      </c>
      <c r="AS359" s="38">
        <v>44931</v>
      </c>
      <c r="AT359" s="11"/>
    </row>
    <row r="360" spans="1:46" s="271" customFormat="1" x14ac:dyDescent="0.35">
      <c r="A360" s="97"/>
      <c r="B360" s="16" cm="1">
        <f t="array" ref="B360">+_xlfn.IFS(D360="In Touch - Positive",2,D360="Pending",1,D360="No Answer",4,D360="In Touch - Negative",3)</f>
        <v>2</v>
      </c>
      <c r="C360" s="16" t="s">
        <v>612</v>
      </c>
      <c r="D360" s="99" t="str">
        <f t="shared" si="41"/>
        <v>In touch - Positive</v>
      </c>
      <c r="E360" s="12" t="s">
        <v>1915</v>
      </c>
      <c r="F360" s="12"/>
      <c r="G360" s="13" t="s">
        <v>1911</v>
      </c>
      <c r="H360" s="13"/>
      <c r="I360" s="13"/>
      <c r="J360" s="13"/>
      <c r="K360" s="15"/>
      <c r="L360" s="15" t="s">
        <v>1916</v>
      </c>
      <c r="M360" s="15"/>
      <c r="N360" s="15"/>
      <c r="O360" s="15"/>
      <c r="P360" s="15"/>
      <c r="Q360" s="15"/>
      <c r="R360" s="16"/>
      <c r="S360" s="35"/>
      <c r="T360" s="13"/>
      <c r="U360" s="17"/>
      <c r="V360" s="17"/>
      <c r="W360" s="60" t="e">
        <f>+V360/U360</f>
        <v>#DIV/0!</v>
      </c>
      <c r="X360" s="17"/>
      <c r="Y360" s="17"/>
      <c r="Z360" s="16"/>
      <c r="AA360" s="15" t="s">
        <v>140</v>
      </c>
      <c r="AB360" s="17"/>
      <c r="AC360" s="21" t="s">
        <v>61</v>
      </c>
      <c r="AD360" s="21" t="s">
        <v>61</v>
      </c>
      <c r="AE360" s="17" t="s">
        <v>79</v>
      </c>
      <c r="AF360" s="17"/>
      <c r="AG360" s="15"/>
      <c r="AH360" s="16"/>
      <c r="AI360" s="16"/>
      <c r="AJ360" s="42">
        <f t="shared" ca="1" si="42"/>
        <v>733</v>
      </c>
      <c r="AK360" s="42">
        <f t="shared" ca="1" si="43"/>
        <v>733</v>
      </c>
      <c r="AL360" s="130" t="str">
        <f t="shared" si="44"/>
        <v>In touch - Positive</v>
      </c>
      <c r="AM360" s="37">
        <v>44931</v>
      </c>
      <c r="AN360" s="38">
        <v>44931</v>
      </c>
      <c r="AO360" s="38"/>
      <c r="AP360" s="38"/>
      <c r="AQ360" s="38"/>
      <c r="AR360" s="101" t="s">
        <v>1818</v>
      </c>
      <c r="AS360" s="38">
        <v>44931</v>
      </c>
      <c r="AT360" s="11"/>
    </row>
    <row r="361" spans="1:46" s="271" customFormat="1" x14ac:dyDescent="0.35">
      <c r="A361" s="97"/>
      <c r="B361" s="16" cm="1">
        <f t="array" ref="B361">+_xlfn.IFS(D361="In Touch - Positive",2,D361="Pending",1,D361="No Answer",4,D361="In Touch - Negative",3)</f>
        <v>2</v>
      </c>
      <c r="C361" s="16" t="s">
        <v>612</v>
      </c>
      <c r="D361" s="99" t="str">
        <f t="shared" ref="D361:D392" si="47">+AR361</f>
        <v>In touch - Positive</v>
      </c>
      <c r="E361" s="12" t="s">
        <v>931</v>
      </c>
      <c r="F361" s="12"/>
      <c r="G361" s="13" t="s">
        <v>1911</v>
      </c>
      <c r="H361" s="13"/>
      <c r="I361" s="13"/>
      <c r="J361" s="13"/>
      <c r="K361" s="15"/>
      <c r="L361" s="15" t="s">
        <v>1917</v>
      </c>
      <c r="M361" s="15"/>
      <c r="N361" s="15"/>
      <c r="O361" s="15"/>
      <c r="P361" s="15"/>
      <c r="Q361" s="15"/>
      <c r="R361" s="16"/>
      <c r="S361" s="35"/>
      <c r="T361" s="13"/>
      <c r="U361" s="17"/>
      <c r="V361" s="17"/>
      <c r="W361" s="60" t="e">
        <f>+V361/U361</f>
        <v>#DIV/0!</v>
      </c>
      <c r="X361" s="17"/>
      <c r="Y361" s="17"/>
      <c r="Z361" s="16"/>
      <c r="AA361" s="15" t="s">
        <v>140</v>
      </c>
      <c r="AB361" s="17"/>
      <c r="AC361" s="21" t="s">
        <v>61</v>
      </c>
      <c r="AD361" s="21" t="s">
        <v>61</v>
      </c>
      <c r="AE361" s="17" t="s">
        <v>79</v>
      </c>
      <c r="AF361" s="17"/>
      <c r="AG361" s="15"/>
      <c r="AH361" s="16"/>
      <c r="AI361" s="16"/>
      <c r="AJ361" s="42">
        <f t="shared" ca="1" si="42"/>
        <v>734</v>
      </c>
      <c r="AK361" s="42">
        <f t="shared" ca="1" si="43"/>
        <v>734</v>
      </c>
      <c r="AL361" s="130" t="str">
        <f t="shared" si="44"/>
        <v>In touch - Positive</v>
      </c>
      <c r="AM361" s="37">
        <v>44930</v>
      </c>
      <c r="AN361" s="38">
        <v>44930</v>
      </c>
      <c r="AO361" s="38"/>
      <c r="AP361" s="38"/>
      <c r="AQ361" s="38"/>
      <c r="AR361" s="101" t="s">
        <v>1818</v>
      </c>
      <c r="AS361" s="38">
        <v>44930</v>
      </c>
      <c r="AT361" s="11"/>
    </row>
    <row r="362" spans="1:46" s="271" customFormat="1" x14ac:dyDescent="0.35">
      <c r="A362" s="97"/>
      <c r="B362" s="16" cm="1">
        <f t="array" ref="B362">+_xlfn.IFS(D362="In Touch - Positive",2,D362="Pending",1,D362="No Answer",4,D362="In Touch - Negative",3)</f>
        <v>2</v>
      </c>
      <c r="C362" s="16" t="s">
        <v>1918</v>
      </c>
      <c r="D362" s="99" t="str">
        <f t="shared" si="47"/>
        <v>In touch - Positive</v>
      </c>
      <c r="E362" s="12" t="s">
        <v>1919</v>
      </c>
      <c r="F362" s="12"/>
      <c r="G362" s="13"/>
      <c r="H362" s="14"/>
      <c r="I362" s="13"/>
      <c r="J362" s="13"/>
      <c r="K362" s="15"/>
      <c r="L362" s="15" t="s">
        <v>1039</v>
      </c>
      <c r="M362" s="15"/>
      <c r="N362" s="15"/>
      <c r="O362" s="15"/>
      <c r="P362" s="15"/>
      <c r="Q362" s="15"/>
      <c r="R362" s="16"/>
      <c r="S362" s="35"/>
      <c r="T362" s="13"/>
      <c r="U362" s="17"/>
      <c r="V362" s="17"/>
      <c r="W362" s="60"/>
      <c r="X362" s="17"/>
      <c r="Y362" s="17"/>
      <c r="Z362" s="16"/>
      <c r="AA362" s="15" t="s">
        <v>140</v>
      </c>
      <c r="AB362" s="17"/>
      <c r="AC362" s="21" t="s">
        <v>78</v>
      </c>
      <c r="AD362" s="21" t="s">
        <v>78</v>
      </c>
      <c r="AE362" s="61" t="s">
        <v>62</v>
      </c>
      <c r="AF362" s="17"/>
      <c r="AG362" s="15"/>
      <c r="AH362" s="16"/>
      <c r="AI362" s="16"/>
      <c r="AJ362" s="42">
        <f t="shared" ca="1" si="42"/>
        <v>803</v>
      </c>
      <c r="AK362" s="42">
        <f t="shared" ca="1" si="43"/>
        <v>763</v>
      </c>
      <c r="AL362" s="130" t="str">
        <f t="shared" si="44"/>
        <v>In touch - Positive</v>
      </c>
      <c r="AM362" s="37">
        <v>44861</v>
      </c>
      <c r="AN362" s="38">
        <v>44861</v>
      </c>
      <c r="AO362" s="38"/>
      <c r="AP362" s="38"/>
      <c r="AQ362" s="38">
        <v>44861</v>
      </c>
      <c r="AR362" s="101" t="s">
        <v>1818</v>
      </c>
      <c r="AS362" s="38">
        <v>44901</v>
      </c>
      <c r="AT362" s="11"/>
    </row>
    <row r="363" spans="1:46" s="271" customFormat="1" x14ac:dyDescent="0.35">
      <c r="B363" s="16" cm="1">
        <f t="array" ref="B363">+_xlfn.IFS(D363="In Touch - Positive",2,D363="Pending",1,D363="No Answer",4,D363="In Touch - Negative",3)</f>
        <v>2</v>
      </c>
      <c r="C363" s="16" t="s">
        <v>1918</v>
      </c>
      <c r="D363" s="99" t="str">
        <f t="shared" si="47"/>
        <v>In touch - Positive</v>
      </c>
      <c r="E363" s="12" t="s">
        <v>960</v>
      </c>
      <c r="F363" s="12"/>
      <c r="G363" s="13"/>
      <c r="H363" s="14"/>
      <c r="I363" s="13"/>
      <c r="J363" s="100"/>
      <c r="K363" s="15"/>
      <c r="L363" s="15" t="s">
        <v>961</v>
      </c>
      <c r="M363" s="15"/>
      <c r="N363" s="15"/>
      <c r="O363" s="15"/>
      <c r="P363" s="15"/>
      <c r="Q363" s="15"/>
      <c r="R363" s="16"/>
      <c r="S363" s="35"/>
      <c r="T363" s="13"/>
      <c r="U363" s="17"/>
      <c r="V363" s="17"/>
      <c r="W363" s="60" t="e">
        <f>V363/U363</f>
        <v>#DIV/0!</v>
      </c>
      <c r="X363" s="17"/>
      <c r="Y363" s="17"/>
      <c r="Z363" s="16"/>
      <c r="AA363" s="15" t="s">
        <v>140</v>
      </c>
      <c r="AB363" s="17"/>
      <c r="AC363" s="21" t="s">
        <v>78</v>
      </c>
      <c r="AD363" s="21" t="s">
        <v>78</v>
      </c>
      <c r="AE363" s="61" t="s">
        <v>62</v>
      </c>
      <c r="AF363" s="17"/>
      <c r="AG363" s="15"/>
      <c r="AH363" s="16"/>
      <c r="AI363" s="16"/>
      <c r="AJ363" s="42">
        <f t="shared" ca="1" si="42"/>
        <v>803</v>
      </c>
      <c r="AK363" s="42">
        <f t="shared" ca="1" si="43"/>
        <v>802</v>
      </c>
      <c r="AL363" s="130" t="str">
        <f t="shared" si="44"/>
        <v>In touch - Positive</v>
      </c>
      <c r="AM363" s="37">
        <v>44861</v>
      </c>
      <c r="AN363" s="38">
        <v>44861</v>
      </c>
      <c r="AO363" s="38"/>
      <c r="AP363" s="38"/>
      <c r="AQ363" s="38">
        <v>44861</v>
      </c>
      <c r="AR363" s="101" t="s">
        <v>1818</v>
      </c>
      <c r="AS363" s="38">
        <v>44862</v>
      </c>
      <c r="AT363" s="11"/>
    </row>
    <row r="364" spans="1:46" s="271" customFormat="1" x14ac:dyDescent="0.35">
      <c r="A364" s="97"/>
      <c r="B364" s="16" cm="1">
        <f t="array" ref="B364">+_xlfn.IFS(D364="In Touch - Positive",2,D364="Pending",1,D364="No Answer",4,D364="In Touch - Negative",3)</f>
        <v>2</v>
      </c>
      <c r="C364" s="16" t="s">
        <v>1920</v>
      </c>
      <c r="D364" s="99" t="str">
        <f t="shared" si="47"/>
        <v>In touch - Positive</v>
      </c>
      <c r="E364" s="12" t="s">
        <v>265</v>
      </c>
      <c r="F364" s="12"/>
      <c r="G364" s="13" t="s">
        <v>103</v>
      </c>
      <c r="H364" s="14" t="s">
        <v>266</v>
      </c>
      <c r="I364" s="13"/>
      <c r="J364" s="100" t="s">
        <v>267</v>
      </c>
      <c r="K364" s="15" t="s">
        <v>268</v>
      </c>
      <c r="L364" s="15"/>
      <c r="M364" s="15"/>
      <c r="N364" s="15"/>
      <c r="O364" s="15"/>
      <c r="P364" s="15"/>
      <c r="Q364" s="15"/>
      <c r="R364" s="16"/>
      <c r="S364" s="35" t="s">
        <v>77</v>
      </c>
      <c r="T364" s="13">
        <v>2021</v>
      </c>
      <c r="U364" s="17">
        <v>69</v>
      </c>
      <c r="V364" s="17">
        <v>2.8</v>
      </c>
      <c r="W364" s="60">
        <f>V364/U364</f>
        <v>4.0579710144927533E-2</v>
      </c>
      <c r="X364" s="17">
        <v>0.22700000000000001</v>
      </c>
      <c r="Y364" s="17">
        <v>1.6093624</v>
      </c>
      <c r="Z364" s="16"/>
      <c r="AA364" s="15" t="s">
        <v>140</v>
      </c>
      <c r="AB364" s="17"/>
      <c r="AC364" s="21" t="s">
        <v>61</v>
      </c>
      <c r="AD364" s="21" t="s">
        <v>61</v>
      </c>
      <c r="AE364" s="61" t="s">
        <v>86</v>
      </c>
      <c r="AF364" s="17" t="s">
        <v>128</v>
      </c>
      <c r="AG364" s="15"/>
      <c r="AH364" s="16"/>
      <c r="AI364" s="16"/>
      <c r="AJ364" s="42">
        <f t="shared" ca="1" si="42"/>
        <v>835</v>
      </c>
      <c r="AK364" s="42">
        <f t="shared" ca="1" si="43"/>
        <v>808</v>
      </c>
      <c r="AL364" s="130" t="str">
        <f t="shared" si="44"/>
        <v>In touch - Positive</v>
      </c>
      <c r="AM364" s="37">
        <v>44829</v>
      </c>
      <c r="AN364" s="38">
        <v>44855</v>
      </c>
      <c r="AO364" s="38"/>
      <c r="AP364" s="38"/>
      <c r="AQ364" s="38">
        <v>44856</v>
      </c>
      <c r="AR364" s="101" t="s">
        <v>1818</v>
      </c>
      <c r="AS364" s="38">
        <v>44856</v>
      </c>
      <c r="AT364" s="11"/>
    </row>
    <row r="365" spans="1:46" s="271" customFormat="1" x14ac:dyDescent="0.35">
      <c r="B365" s="16" cm="1">
        <f t="array" ref="B365">+_xlfn.IFS(D365="In Touch - Positive",2,D365="Pending",1,D365="No Answer",4,D365="In Touch - Negative",3)</f>
        <v>2</v>
      </c>
      <c r="C365" s="16" t="s">
        <v>1921</v>
      </c>
      <c r="D365" s="99" t="str">
        <f t="shared" si="47"/>
        <v>In touch - Positive</v>
      </c>
      <c r="E365" s="12" t="s">
        <v>1922</v>
      </c>
      <c r="F365" s="12"/>
      <c r="G365" s="13" t="s">
        <v>68</v>
      </c>
      <c r="H365" s="14" t="s">
        <v>1923</v>
      </c>
      <c r="I365" s="13"/>
      <c r="J365" s="13" t="s">
        <v>1010</v>
      </c>
      <c r="K365" s="15"/>
      <c r="L365" s="15"/>
      <c r="M365" s="15"/>
      <c r="N365" s="15"/>
      <c r="O365" s="15"/>
      <c r="P365" s="15"/>
      <c r="Q365" s="15"/>
      <c r="R365" s="16"/>
      <c r="S365" s="35"/>
      <c r="T365" s="13">
        <v>2020</v>
      </c>
      <c r="U365" s="17">
        <v>25.916097000000001</v>
      </c>
      <c r="V365" s="17">
        <v>9.4407720000000008</v>
      </c>
      <c r="W365" s="60">
        <f t="shared" ref="W365:W380" si="48">+V365/U365</f>
        <v>0.36428216795144736</v>
      </c>
      <c r="X365" s="17"/>
      <c r="Y365" s="17">
        <v>-4.6859869999999999</v>
      </c>
      <c r="Z365" s="16"/>
      <c r="AA365" s="15" t="s">
        <v>140</v>
      </c>
      <c r="AB365" s="17"/>
      <c r="AC365" s="21" t="s">
        <v>61</v>
      </c>
      <c r="AD365" s="21" t="s">
        <v>61</v>
      </c>
      <c r="AE365" s="61" t="s">
        <v>986</v>
      </c>
      <c r="AF365" s="17"/>
      <c r="AG365" s="15"/>
      <c r="AH365" s="16"/>
      <c r="AI365" s="16"/>
      <c r="AJ365" s="42">
        <f t="shared" ca="1" si="42"/>
        <v>968</v>
      </c>
      <c r="AK365" s="42">
        <f t="shared" ca="1" si="43"/>
        <v>833</v>
      </c>
      <c r="AL365" s="130" t="str">
        <f t="shared" si="44"/>
        <v>In touch - Positive</v>
      </c>
      <c r="AM365" s="37">
        <v>44696</v>
      </c>
      <c r="AN365" s="38">
        <v>44755</v>
      </c>
      <c r="AO365" s="38">
        <v>44830</v>
      </c>
      <c r="AP365" s="38"/>
      <c r="AQ365" s="38"/>
      <c r="AR365" s="101" t="s">
        <v>1818</v>
      </c>
      <c r="AS365" s="38">
        <v>44831</v>
      </c>
      <c r="AT365" s="11"/>
    </row>
    <row r="366" spans="1:46" s="271" customFormat="1" x14ac:dyDescent="0.35">
      <c r="A366" s="97"/>
      <c r="B366" s="16" cm="1">
        <f t="array" ref="B366">+_xlfn.IFS(D366="In Touch - Positive",2,D366="Pending",1,D366="No Answer",4,D366="In Touch - Negative",3)</f>
        <v>2</v>
      </c>
      <c r="C366" s="16" t="s">
        <v>1924</v>
      </c>
      <c r="D366" s="99" t="str">
        <f t="shared" si="47"/>
        <v>In touch - Positive</v>
      </c>
      <c r="E366" s="12" t="s">
        <v>1925</v>
      </c>
      <c r="F366" s="12"/>
      <c r="G366" s="13" t="s">
        <v>428</v>
      </c>
      <c r="H366" s="14" t="s">
        <v>1926</v>
      </c>
      <c r="I366" s="13">
        <v>244200</v>
      </c>
      <c r="J366" s="13" t="s">
        <v>1927</v>
      </c>
      <c r="K366" s="15" t="s">
        <v>1928</v>
      </c>
      <c r="L366" s="15"/>
      <c r="M366" s="15"/>
      <c r="N366" s="15"/>
      <c r="O366" s="15"/>
      <c r="P366" s="15"/>
      <c r="Q366" s="15"/>
      <c r="R366" s="16"/>
      <c r="S366" s="35" t="s">
        <v>144</v>
      </c>
      <c r="T366" s="13">
        <v>2021</v>
      </c>
      <c r="U366" s="17">
        <v>354.54399999999998</v>
      </c>
      <c r="V366" s="17">
        <v>35.661000000000001</v>
      </c>
      <c r="W366" s="60">
        <f t="shared" si="48"/>
        <v>0.10058272033936551</v>
      </c>
      <c r="X366" s="17">
        <v>16.812999999999999</v>
      </c>
      <c r="Y366" s="17">
        <v>17.582000000000001</v>
      </c>
      <c r="Z366" s="16"/>
      <c r="AA366" s="15" t="s">
        <v>140</v>
      </c>
      <c r="AB366" s="17"/>
      <c r="AC366" s="21" t="s">
        <v>78</v>
      </c>
      <c r="AD366" s="21" t="s">
        <v>78</v>
      </c>
      <c r="AE366" s="61" t="s">
        <v>86</v>
      </c>
      <c r="AF366" s="17"/>
      <c r="AG366" s="15"/>
      <c r="AH366" s="16"/>
      <c r="AI366" s="16"/>
      <c r="AJ366" s="42">
        <f t="shared" ca="1" si="42"/>
        <v>844</v>
      </c>
      <c r="AK366" s="42">
        <f t="shared" ca="1" si="43"/>
        <v>840</v>
      </c>
      <c r="AL366" s="130" t="str">
        <f t="shared" si="44"/>
        <v>In touch - Positive</v>
      </c>
      <c r="AM366" s="37">
        <v>44820</v>
      </c>
      <c r="AN366" s="38">
        <v>44820</v>
      </c>
      <c r="AO366" s="38">
        <v>44824</v>
      </c>
      <c r="AP366" s="38"/>
      <c r="AQ366" s="38"/>
      <c r="AR366" s="101" t="s">
        <v>1818</v>
      </c>
      <c r="AS366" s="38">
        <v>44824</v>
      </c>
      <c r="AT366" s="11"/>
    </row>
    <row r="367" spans="1:46" s="271" customFormat="1" x14ac:dyDescent="0.35">
      <c r="B367" s="16" cm="1">
        <f t="array" ref="B367">+_xlfn.IFS(D367="In Touch - Positive",2,D367="Pending",1,D367="No Answer",4,D367="In Touch - Negative",3)</f>
        <v>2</v>
      </c>
      <c r="C367" s="16" t="s">
        <v>1921</v>
      </c>
      <c r="D367" s="99" t="str">
        <f t="shared" si="47"/>
        <v>In touch - Positive</v>
      </c>
      <c r="E367" s="12" t="s">
        <v>1929</v>
      </c>
      <c r="F367" s="12"/>
      <c r="G367" s="13" t="s">
        <v>68</v>
      </c>
      <c r="H367" s="14" t="s">
        <v>1150</v>
      </c>
      <c r="I367" s="13"/>
      <c r="J367" s="13" t="s">
        <v>1930</v>
      </c>
      <c r="K367" s="15"/>
      <c r="L367" s="15"/>
      <c r="M367" s="15"/>
      <c r="N367" s="15"/>
      <c r="O367" s="15"/>
      <c r="P367" s="15"/>
      <c r="Q367" s="15"/>
      <c r="R367" s="16"/>
      <c r="S367" s="35"/>
      <c r="T367" s="13">
        <v>2020</v>
      </c>
      <c r="U367" s="17">
        <v>32.141512999999996</v>
      </c>
      <c r="V367" s="17">
        <v>4.8275800000000002</v>
      </c>
      <c r="W367" s="60">
        <f t="shared" si="48"/>
        <v>0.1501976587100925</v>
      </c>
      <c r="X367" s="17"/>
      <c r="Y367" s="17">
        <v>-14.310879999999999</v>
      </c>
      <c r="Z367" s="16"/>
      <c r="AA367" s="15" t="s">
        <v>140</v>
      </c>
      <c r="AB367" s="17"/>
      <c r="AC367" s="21" t="s">
        <v>61</v>
      </c>
      <c r="AD367" s="21" t="s">
        <v>61</v>
      </c>
      <c r="AE367" s="61" t="s">
        <v>986</v>
      </c>
      <c r="AF367" s="17"/>
      <c r="AG367" s="15"/>
      <c r="AH367" s="16"/>
      <c r="AI367" s="16"/>
      <c r="AJ367" s="42">
        <f t="shared" ca="1" si="42"/>
        <v>968</v>
      </c>
      <c r="AK367" s="42">
        <f t="shared" ca="1" si="43"/>
        <v>840</v>
      </c>
      <c r="AL367" s="130" t="str">
        <f t="shared" si="44"/>
        <v>In touch - Positive</v>
      </c>
      <c r="AM367" s="37">
        <v>44696</v>
      </c>
      <c r="AN367" s="38">
        <v>44754</v>
      </c>
      <c r="AO367" s="38">
        <v>44824</v>
      </c>
      <c r="AP367" s="38"/>
      <c r="AQ367" s="38"/>
      <c r="AR367" s="101" t="s">
        <v>1818</v>
      </c>
      <c r="AS367" s="38">
        <v>44824</v>
      </c>
      <c r="AT367" s="11"/>
    </row>
    <row r="368" spans="1:46" s="98" customFormat="1" x14ac:dyDescent="0.3">
      <c r="A368" s="16"/>
      <c r="B368" s="16" cm="1">
        <f t="array" ref="B368">+_xlfn.IFS(D368="In Touch - Positive",2,D368="Pending",1,D368="No Answer",4,D368="In Touch - Negative",3)</f>
        <v>2</v>
      </c>
      <c r="C368" s="16" t="s">
        <v>1921</v>
      </c>
      <c r="D368" s="99" t="str">
        <f t="shared" si="47"/>
        <v>In touch - Positive</v>
      </c>
      <c r="E368" s="12" t="s">
        <v>1931</v>
      </c>
      <c r="F368" s="12"/>
      <c r="G368" s="13" t="s">
        <v>68</v>
      </c>
      <c r="H368" s="14" t="s">
        <v>584</v>
      </c>
      <c r="I368" s="13"/>
      <c r="J368" s="13" t="s">
        <v>202</v>
      </c>
      <c r="K368" s="15"/>
      <c r="L368" s="15"/>
      <c r="M368" s="15"/>
      <c r="N368" s="15"/>
      <c r="O368" s="15"/>
      <c r="P368" s="15"/>
      <c r="Q368" s="15"/>
      <c r="R368" s="16"/>
      <c r="S368" s="35"/>
      <c r="T368" s="13">
        <v>2020</v>
      </c>
      <c r="U368" s="17">
        <v>92.717382999999998</v>
      </c>
      <c r="V368" s="17">
        <v>9.1895900000000008</v>
      </c>
      <c r="W368" s="60">
        <f t="shared" si="48"/>
        <v>9.9113992464606129E-2</v>
      </c>
      <c r="X368" s="17"/>
      <c r="Y368" s="17">
        <v>32.870000999999995</v>
      </c>
      <c r="Z368" s="16"/>
      <c r="AA368" s="15" t="s">
        <v>140</v>
      </c>
      <c r="AB368" s="17"/>
      <c r="AC368" s="21" t="s">
        <v>61</v>
      </c>
      <c r="AD368" s="21" t="s">
        <v>61</v>
      </c>
      <c r="AE368" s="61" t="s">
        <v>986</v>
      </c>
      <c r="AF368" s="17"/>
      <c r="AG368" s="15"/>
      <c r="AH368" s="16"/>
      <c r="AI368" s="16"/>
      <c r="AJ368" s="42">
        <f t="shared" ca="1" si="42"/>
        <v>968</v>
      </c>
      <c r="AK368" s="42">
        <f t="shared" ca="1" si="43"/>
        <v>840</v>
      </c>
      <c r="AL368" s="130" t="str">
        <f t="shared" si="44"/>
        <v>In touch - Positive</v>
      </c>
      <c r="AM368" s="37">
        <v>44696</v>
      </c>
      <c r="AN368" s="38">
        <v>44753</v>
      </c>
      <c r="AO368" s="38">
        <v>44824</v>
      </c>
      <c r="AP368" s="38"/>
      <c r="AQ368" s="38"/>
      <c r="AR368" s="101" t="s">
        <v>1818</v>
      </c>
      <c r="AS368" s="38">
        <v>44824</v>
      </c>
      <c r="AT368" s="247"/>
    </row>
    <row r="369" spans="1:46" s="98" customFormat="1" x14ac:dyDescent="0.3">
      <c r="A369" s="16"/>
      <c r="B369" s="16" cm="1">
        <f t="array" ref="B369">+_xlfn.IFS(D369="In Touch - Positive",2,D369="Pending",1,D369="No Answer",4,D369="In Touch - Negative",3)</f>
        <v>2</v>
      </c>
      <c r="C369" s="16" t="s">
        <v>57</v>
      </c>
      <c r="D369" s="99" t="str">
        <f t="shared" si="47"/>
        <v>In touch - Positive</v>
      </c>
      <c r="E369" s="12" t="s">
        <v>861</v>
      </c>
      <c r="F369" s="12"/>
      <c r="G369" s="13" t="s">
        <v>278</v>
      </c>
      <c r="H369" s="14" t="s">
        <v>862</v>
      </c>
      <c r="I369" s="13">
        <v>852000</v>
      </c>
      <c r="J369" s="13" t="s">
        <v>57</v>
      </c>
      <c r="K369" s="15" t="s">
        <v>863</v>
      </c>
      <c r="L369" s="15"/>
      <c r="M369" s="15"/>
      <c r="N369" s="15"/>
      <c r="O369" s="15"/>
      <c r="P369" s="15"/>
      <c r="Q369" s="15"/>
      <c r="R369" s="16"/>
      <c r="S369" s="35" t="s">
        <v>77</v>
      </c>
      <c r="T369" s="13">
        <v>2021</v>
      </c>
      <c r="U369" s="17">
        <v>5.5110000000000001</v>
      </c>
      <c r="V369" s="17">
        <v>0.84399999999999997</v>
      </c>
      <c r="W369" s="60">
        <f t="shared" si="48"/>
        <v>0.15314824895663218</v>
      </c>
      <c r="X369" s="17">
        <v>0.64400000000000002</v>
      </c>
      <c r="Y369" s="17">
        <v>-1.07</v>
      </c>
      <c r="Z369" s="16"/>
      <c r="AA369" s="15" t="s">
        <v>140</v>
      </c>
      <c r="AB369" s="17"/>
      <c r="AC369" s="21" t="s">
        <v>61</v>
      </c>
      <c r="AD369" s="21" t="s">
        <v>61</v>
      </c>
      <c r="AE369" s="61" t="s">
        <v>562</v>
      </c>
      <c r="AF369" s="17"/>
      <c r="AG369" s="15"/>
      <c r="AH369" s="16"/>
      <c r="AI369" s="16"/>
      <c r="AJ369" s="42">
        <f t="shared" ca="1" si="42"/>
        <v>845</v>
      </c>
      <c r="AK369" s="42">
        <f t="shared" ca="1" si="43"/>
        <v>845</v>
      </c>
      <c r="AL369" s="130" t="str">
        <f t="shared" si="44"/>
        <v>In touch - Positive</v>
      </c>
      <c r="AM369" s="37">
        <v>44819</v>
      </c>
      <c r="AN369" s="38">
        <v>44819</v>
      </c>
      <c r="AO369" s="38"/>
      <c r="AP369" s="38"/>
      <c r="AQ369" s="38">
        <v>44819</v>
      </c>
      <c r="AR369" s="101" t="s">
        <v>1818</v>
      </c>
      <c r="AS369" s="38">
        <v>44819</v>
      </c>
      <c r="AT369" s="247"/>
    </row>
    <row r="370" spans="1:46" s="98" customFormat="1" x14ac:dyDescent="0.3">
      <c r="A370" s="16"/>
      <c r="B370" s="16" cm="1">
        <f t="array" ref="B370">+_xlfn.IFS(D370="In Touch - Positive",2,D370="Pending",1,D370="No Answer",4,D370="In Touch - Negative",3)</f>
        <v>2</v>
      </c>
      <c r="C370" s="16" t="s">
        <v>57</v>
      </c>
      <c r="D370" s="99" t="str">
        <f t="shared" si="47"/>
        <v>In touch - Positive</v>
      </c>
      <c r="E370" s="12" t="s">
        <v>1091</v>
      </c>
      <c r="F370" s="12"/>
      <c r="G370" s="13" t="s">
        <v>103</v>
      </c>
      <c r="H370" s="14" t="s">
        <v>1092</v>
      </c>
      <c r="I370" s="13">
        <v>889100</v>
      </c>
      <c r="J370" s="13" t="s">
        <v>57</v>
      </c>
      <c r="K370" s="15" t="s">
        <v>1093</v>
      </c>
      <c r="L370" s="15"/>
      <c r="M370" s="15"/>
      <c r="N370" s="15"/>
      <c r="O370" s="15"/>
      <c r="P370" s="15"/>
      <c r="Q370" s="15"/>
      <c r="R370" s="16"/>
      <c r="S370" s="35" t="s">
        <v>77</v>
      </c>
      <c r="T370" s="13">
        <v>2021</v>
      </c>
      <c r="U370" s="17">
        <v>0.66200000000000003</v>
      </c>
      <c r="V370" s="17">
        <v>8.8999999999999996E-2</v>
      </c>
      <c r="W370" s="60">
        <f t="shared" si="48"/>
        <v>0.13444108761329304</v>
      </c>
      <c r="X370" s="17">
        <v>4.7E-2</v>
      </c>
      <c r="Y370" s="17">
        <v>8.4000000000000005E-2</v>
      </c>
      <c r="Z370" s="16"/>
      <c r="AA370" s="15" t="s">
        <v>140</v>
      </c>
      <c r="AB370" s="17"/>
      <c r="AC370" s="21" t="s">
        <v>61</v>
      </c>
      <c r="AD370" s="21" t="s">
        <v>61</v>
      </c>
      <c r="AE370" s="61" t="s">
        <v>62</v>
      </c>
      <c r="AF370" s="17"/>
      <c r="AG370" s="15"/>
      <c r="AH370" s="16"/>
      <c r="AI370" s="16"/>
      <c r="AJ370" s="42">
        <f t="shared" ca="1" si="42"/>
        <v>845</v>
      </c>
      <c r="AK370" s="42">
        <f t="shared" ca="1" si="43"/>
        <v>845</v>
      </c>
      <c r="AL370" s="130" t="str">
        <f t="shared" si="44"/>
        <v>In touch - Positive</v>
      </c>
      <c r="AM370" s="37">
        <v>44819</v>
      </c>
      <c r="AN370" s="38">
        <v>44819</v>
      </c>
      <c r="AO370" s="38"/>
      <c r="AP370" s="38"/>
      <c r="AQ370" s="38">
        <v>44819</v>
      </c>
      <c r="AR370" s="101" t="s">
        <v>1818</v>
      </c>
      <c r="AS370" s="38">
        <v>44819</v>
      </c>
      <c r="AT370" s="247"/>
    </row>
    <row r="371" spans="1:46" s="98" customFormat="1" x14ac:dyDescent="0.3">
      <c r="A371" s="16"/>
      <c r="B371" s="16" cm="1">
        <f t="array" ref="B371">+_xlfn.IFS(D371="In Touch - Positive",2,D371="Pending",1,D371="No Answer",4,D371="In Touch - Negative",3)</f>
        <v>2</v>
      </c>
      <c r="C371" s="16" t="s">
        <v>57</v>
      </c>
      <c r="D371" s="99" t="str">
        <f t="shared" si="47"/>
        <v>In touch - Positive</v>
      </c>
      <c r="E371" s="12" t="s">
        <v>560</v>
      </c>
      <c r="F371" s="12"/>
      <c r="G371" s="13" t="s">
        <v>208</v>
      </c>
      <c r="H371" s="14" t="s">
        <v>561</v>
      </c>
      <c r="I371" s="13">
        <v>851000</v>
      </c>
      <c r="J371" s="13" t="s">
        <v>57</v>
      </c>
      <c r="K371" s="15" t="s">
        <v>1932</v>
      </c>
      <c r="L371" s="15"/>
      <c r="M371" s="15"/>
      <c r="N371" s="15"/>
      <c r="O371" s="15"/>
      <c r="P371" s="15"/>
      <c r="Q371" s="15"/>
      <c r="R371" s="16"/>
      <c r="S371" s="35" t="s">
        <v>77</v>
      </c>
      <c r="T371" s="13">
        <v>2021</v>
      </c>
      <c r="U371" s="17">
        <v>3.863</v>
      </c>
      <c r="V371" s="17">
        <v>0.2</v>
      </c>
      <c r="W371" s="60">
        <f t="shared" si="48"/>
        <v>5.177323323841574E-2</v>
      </c>
      <c r="X371" s="17">
        <v>0.12</v>
      </c>
      <c r="Y371" s="17">
        <v>-1.712</v>
      </c>
      <c r="Z371" s="16"/>
      <c r="AA371" s="15" t="s">
        <v>140</v>
      </c>
      <c r="AB371" s="17"/>
      <c r="AC371" s="21" t="s">
        <v>61</v>
      </c>
      <c r="AD371" s="21" t="s">
        <v>61</v>
      </c>
      <c r="AE371" s="61" t="s">
        <v>562</v>
      </c>
      <c r="AF371" s="17"/>
      <c r="AG371" s="15"/>
      <c r="AH371" s="16"/>
      <c r="AI371" s="16"/>
      <c r="AJ371" s="42">
        <f t="shared" ca="1" si="42"/>
        <v>845</v>
      </c>
      <c r="AK371" s="42">
        <f t="shared" ca="1" si="43"/>
        <v>845</v>
      </c>
      <c r="AL371" s="130" t="str">
        <f t="shared" si="44"/>
        <v>In touch - Positive</v>
      </c>
      <c r="AM371" s="37">
        <v>44819</v>
      </c>
      <c r="AN371" s="38">
        <v>44819</v>
      </c>
      <c r="AO371" s="38"/>
      <c r="AP371" s="38"/>
      <c r="AQ371" s="38"/>
      <c r="AR371" s="101" t="s">
        <v>1818</v>
      </c>
      <c r="AS371" s="38">
        <v>44819</v>
      </c>
      <c r="AT371" s="247"/>
    </row>
    <row r="372" spans="1:46" s="98" customFormat="1" x14ac:dyDescent="0.3">
      <c r="A372" s="16"/>
      <c r="B372" s="16" cm="1">
        <f t="array" ref="B372">+_xlfn.IFS(D372="In Touch - Positive",2,D372="Pending",1,D372="No Answer",4,D372="In Touch - Negative",3)</f>
        <v>2</v>
      </c>
      <c r="C372" s="16" t="s">
        <v>1933</v>
      </c>
      <c r="D372" s="99" t="str">
        <f t="shared" si="47"/>
        <v>In touch - Positive</v>
      </c>
      <c r="E372" s="12" t="s">
        <v>1934</v>
      </c>
      <c r="F372" s="12"/>
      <c r="G372" s="13" t="s">
        <v>326</v>
      </c>
      <c r="H372" s="14" t="s">
        <v>1152</v>
      </c>
      <c r="I372" s="13">
        <v>108600</v>
      </c>
      <c r="J372" s="13" t="s">
        <v>83</v>
      </c>
      <c r="K372" s="15" t="s">
        <v>1935</v>
      </c>
      <c r="L372" s="15"/>
      <c r="M372" s="15"/>
      <c r="N372" s="15"/>
      <c r="O372" s="15"/>
      <c r="P372" s="15"/>
      <c r="Q372" s="15"/>
      <c r="R372" s="16"/>
      <c r="S372" s="35" t="s">
        <v>77</v>
      </c>
      <c r="T372" s="13">
        <v>2020</v>
      </c>
      <c r="U372" s="17">
        <v>9.34</v>
      </c>
      <c r="V372" s="17">
        <v>2.7690000000000001</v>
      </c>
      <c r="W372" s="60">
        <f t="shared" si="48"/>
        <v>0.29646680942184156</v>
      </c>
      <c r="X372" s="17">
        <v>1.875</v>
      </c>
      <c r="Y372" s="17">
        <v>-2.29</v>
      </c>
      <c r="Z372" s="16"/>
      <c r="AA372" s="15" t="s">
        <v>140</v>
      </c>
      <c r="AB372" s="17"/>
      <c r="AC372" s="21" t="s">
        <v>61</v>
      </c>
      <c r="AD372" s="21" t="s">
        <v>61</v>
      </c>
      <c r="AE372" s="61" t="s">
        <v>986</v>
      </c>
      <c r="AF372" s="17"/>
      <c r="AG372" s="15"/>
      <c r="AH372" s="16"/>
      <c r="AI372" s="16"/>
      <c r="AJ372" s="42">
        <f t="shared" ca="1" si="42"/>
        <v>968</v>
      </c>
      <c r="AK372" s="42">
        <f t="shared" ca="1" si="43"/>
        <v>845</v>
      </c>
      <c r="AL372" s="130" t="str">
        <f t="shared" si="44"/>
        <v>In touch - Positive</v>
      </c>
      <c r="AM372" s="37">
        <v>44696</v>
      </c>
      <c r="AN372" s="38">
        <v>44755</v>
      </c>
      <c r="AO372" s="38">
        <v>44819</v>
      </c>
      <c r="AP372" s="38"/>
      <c r="AQ372" s="38"/>
      <c r="AR372" s="101" t="s">
        <v>1818</v>
      </c>
      <c r="AS372" s="38">
        <v>44819</v>
      </c>
      <c r="AT372" s="247"/>
    </row>
    <row r="373" spans="1:46" s="98" customFormat="1" x14ac:dyDescent="0.3">
      <c r="A373" s="16"/>
      <c r="B373" s="16" cm="1">
        <f t="array" ref="B373">+_xlfn.IFS(D373="In Touch - Positive",2,D373="Pending",1,D373="No Answer",4,D373="In Touch - Negative",3)</f>
        <v>2</v>
      </c>
      <c r="C373" s="16" t="s">
        <v>1921</v>
      </c>
      <c r="D373" s="99" t="str">
        <f t="shared" si="47"/>
        <v>In touch - Positive</v>
      </c>
      <c r="E373" s="12" t="s">
        <v>1936</v>
      </c>
      <c r="F373" s="12"/>
      <c r="G373" s="13" t="s">
        <v>68</v>
      </c>
      <c r="H373" s="14" t="s">
        <v>1937</v>
      </c>
      <c r="I373" s="13"/>
      <c r="J373" s="13" t="s">
        <v>1010</v>
      </c>
      <c r="K373" s="15"/>
      <c r="L373" s="15"/>
      <c r="M373" s="15"/>
      <c r="N373" s="15"/>
      <c r="O373" s="15"/>
      <c r="P373" s="15"/>
      <c r="Q373" s="15"/>
      <c r="R373" s="16"/>
      <c r="S373" s="35"/>
      <c r="T373" s="13">
        <v>2020</v>
      </c>
      <c r="U373" s="17">
        <v>30.729598000000003</v>
      </c>
      <c r="V373" s="17">
        <v>2.8700419999999998</v>
      </c>
      <c r="W373" s="60">
        <f t="shared" si="48"/>
        <v>9.3396665976561086E-2</v>
      </c>
      <c r="X373" s="17"/>
      <c r="Y373" s="17">
        <v>5.1320030000000001</v>
      </c>
      <c r="Z373" s="16"/>
      <c r="AA373" s="15" t="s">
        <v>140</v>
      </c>
      <c r="AB373" s="17"/>
      <c r="AC373" s="21" t="s">
        <v>61</v>
      </c>
      <c r="AD373" s="21" t="s">
        <v>61</v>
      </c>
      <c r="AE373" s="61" t="s">
        <v>986</v>
      </c>
      <c r="AF373" s="17"/>
      <c r="AG373" s="15"/>
      <c r="AH373" s="16"/>
      <c r="AI373" s="16"/>
      <c r="AJ373" s="42">
        <f t="shared" ca="1" si="42"/>
        <v>968</v>
      </c>
      <c r="AK373" s="42">
        <f t="shared" ca="1" si="43"/>
        <v>852</v>
      </c>
      <c r="AL373" s="130" t="str">
        <f t="shared" si="44"/>
        <v>In touch - Positive</v>
      </c>
      <c r="AM373" s="37">
        <v>44696</v>
      </c>
      <c r="AN373" s="38">
        <v>44755</v>
      </c>
      <c r="AO373" s="38">
        <v>44812</v>
      </c>
      <c r="AP373" s="38"/>
      <c r="AQ373" s="38"/>
      <c r="AR373" s="101" t="s">
        <v>1818</v>
      </c>
      <c r="AS373" s="38">
        <v>44812</v>
      </c>
      <c r="AT373" s="247"/>
    </row>
    <row r="374" spans="1:46" s="98" customFormat="1" x14ac:dyDescent="0.3">
      <c r="B374" s="16" cm="1">
        <f t="array" ref="B374">+_xlfn.IFS(D374="In Touch - Positive",2,D374="Pending",1,D374="No Answer",4,D374="In Touch - Negative",3)</f>
        <v>2</v>
      </c>
      <c r="C374" s="16" t="s">
        <v>1921</v>
      </c>
      <c r="D374" s="99" t="str">
        <f t="shared" si="47"/>
        <v>In touch - Positive</v>
      </c>
      <c r="E374" s="12" t="s">
        <v>1938</v>
      </c>
      <c r="F374" s="12"/>
      <c r="G374" s="13" t="s">
        <v>68</v>
      </c>
      <c r="H374" s="14" t="s">
        <v>1939</v>
      </c>
      <c r="I374" s="13"/>
      <c r="J374" s="13" t="s">
        <v>111</v>
      </c>
      <c r="K374" s="15"/>
      <c r="L374" s="15"/>
      <c r="M374" s="15"/>
      <c r="N374" s="15"/>
      <c r="O374" s="15"/>
      <c r="P374" s="15"/>
      <c r="Q374" s="15"/>
      <c r="R374" s="16"/>
      <c r="S374" s="35"/>
      <c r="T374" s="13">
        <v>2020</v>
      </c>
      <c r="U374" s="17">
        <v>31.886517000000001</v>
      </c>
      <c r="V374" s="17">
        <v>5.0015070000000001</v>
      </c>
      <c r="W374" s="60">
        <f t="shared" si="48"/>
        <v>0.1568533496461843</v>
      </c>
      <c r="X374" s="17"/>
      <c r="Y374" s="17">
        <v>-38.128478000000001</v>
      </c>
      <c r="Z374" s="16"/>
      <c r="AA374" s="15" t="s">
        <v>140</v>
      </c>
      <c r="AB374" s="17"/>
      <c r="AC374" s="21" t="s">
        <v>61</v>
      </c>
      <c r="AD374" s="21" t="s">
        <v>61</v>
      </c>
      <c r="AE374" s="61" t="s">
        <v>986</v>
      </c>
      <c r="AF374" s="17"/>
      <c r="AG374" s="15"/>
      <c r="AH374" s="16"/>
      <c r="AI374" s="16"/>
      <c r="AJ374" s="42">
        <f t="shared" ca="1" si="42"/>
        <v>968</v>
      </c>
      <c r="AK374" s="42">
        <f t="shared" ca="1" si="43"/>
        <v>854</v>
      </c>
      <c r="AL374" s="130" t="str">
        <f t="shared" si="44"/>
        <v>In touch - Positive</v>
      </c>
      <c r="AM374" s="37">
        <v>44696</v>
      </c>
      <c r="AN374" s="38">
        <v>44754</v>
      </c>
      <c r="AO374" s="38">
        <v>44810</v>
      </c>
      <c r="AP374" s="38">
        <v>44797</v>
      </c>
      <c r="AQ374" s="38"/>
      <c r="AR374" s="101" t="s">
        <v>1818</v>
      </c>
      <c r="AS374" s="38">
        <v>44810</v>
      </c>
      <c r="AT374" s="247"/>
    </row>
    <row r="375" spans="1:46" s="98" customFormat="1" x14ac:dyDescent="0.3">
      <c r="A375" s="231"/>
      <c r="B375" s="16" cm="1">
        <f t="array" ref="B375">+_xlfn.IFS(D375="In Touch - Positive",2,D375="Pending",1,D375="No Answer",4,D375="In Touch - Negative",3)</f>
        <v>2</v>
      </c>
      <c r="C375" s="16" t="s">
        <v>1940</v>
      </c>
      <c r="D375" s="99" t="str">
        <f t="shared" si="47"/>
        <v>In touch - Positive</v>
      </c>
      <c r="E375" s="12" t="s">
        <v>1941</v>
      </c>
      <c r="F375" s="12"/>
      <c r="G375" s="13" t="s">
        <v>68</v>
      </c>
      <c r="H375" s="14" t="s">
        <v>1942</v>
      </c>
      <c r="I375" s="13">
        <v>106120</v>
      </c>
      <c r="J375" s="13" t="s">
        <v>83</v>
      </c>
      <c r="K375" s="15" t="s">
        <v>1943</v>
      </c>
      <c r="L375" s="15"/>
      <c r="M375" s="15"/>
      <c r="N375" s="15"/>
      <c r="O375" s="15"/>
      <c r="P375" s="15"/>
      <c r="Q375" s="15"/>
      <c r="R375" s="16"/>
      <c r="S375" s="35" t="s">
        <v>77</v>
      </c>
      <c r="T375" s="13">
        <v>2020</v>
      </c>
      <c r="U375" s="17">
        <v>39.174999999999997</v>
      </c>
      <c r="V375" s="17">
        <v>4.1420000000000003</v>
      </c>
      <c r="W375" s="60">
        <f t="shared" si="48"/>
        <v>0.10573069559668158</v>
      </c>
      <c r="X375" s="17">
        <v>2.3279999999999998</v>
      </c>
      <c r="Y375" s="17">
        <v>4.367</v>
      </c>
      <c r="Z375" s="16"/>
      <c r="AA375" s="15" t="s">
        <v>140</v>
      </c>
      <c r="AB375" s="17"/>
      <c r="AC375" s="21" t="s">
        <v>61</v>
      </c>
      <c r="AD375" s="21" t="s">
        <v>61</v>
      </c>
      <c r="AE375" s="17" t="s">
        <v>986</v>
      </c>
      <c r="AF375" s="17"/>
      <c r="AG375" s="15"/>
      <c r="AH375" s="16"/>
      <c r="AI375" s="16"/>
      <c r="AJ375" s="42">
        <f t="shared" ca="1" si="42"/>
        <v>1075</v>
      </c>
      <c r="AK375" s="42">
        <f t="shared" ca="1" si="43"/>
        <v>867</v>
      </c>
      <c r="AL375" s="130" t="str">
        <f t="shared" si="44"/>
        <v>In touch - Positive</v>
      </c>
      <c r="AM375" s="37">
        <v>44589</v>
      </c>
      <c r="AN375" s="38">
        <v>44589</v>
      </c>
      <c r="AO375" s="38">
        <v>44599</v>
      </c>
      <c r="AP375" s="38"/>
      <c r="AQ375" s="38"/>
      <c r="AR375" s="101" t="s">
        <v>1818</v>
      </c>
      <c r="AS375" s="38">
        <v>44797</v>
      </c>
      <c r="AT375" s="247"/>
    </row>
    <row r="376" spans="1:46" s="98" customFormat="1" x14ac:dyDescent="0.3">
      <c r="A376" s="231"/>
      <c r="B376" s="16" cm="1">
        <f t="array" ref="B376">+_xlfn.IFS(D376="In Touch - Positive",2,D376="Pending",1,D376="No Answer",4,D376="In Touch - Negative",3)</f>
        <v>2</v>
      </c>
      <c r="C376" s="16" t="s">
        <v>1921</v>
      </c>
      <c r="D376" s="99" t="str">
        <f t="shared" si="47"/>
        <v>In touch - Positive</v>
      </c>
      <c r="E376" s="12" t="s">
        <v>1944</v>
      </c>
      <c r="F376" s="12"/>
      <c r="G376" s="13" t="s">
        <v>68</v>
      </c>
      <c r="H376" s="14" t="s">
        <v>1945</v>
      </c>
      <c r="I376" s="13"/>
      <c r="J376" s="13" t="s">
        <v>111</v>
      </c>
      <c r="K376" s="15"/>
      <c r="L376" s="15"/>
      <c r="M376" s="15"/>
      <c r="N376" s="15"/>
      <c r="O376" s="15"/>
      <c r="P376" s="15"/>
      <c r="Q376" s="15"/>
      <c r="R376" s="16"/>
      <c r="S376" s="35"/>
      <c r="T376" s="13">
        <v>2020</v>
      </c>
      <c r="U376" s="17">
        <v>23.292190999999999</v>
      </c>
      <c r="V376" s="17">
        <v>1.996097</v>
      </c>
      <c r="W376" s="60">
        <f t="shared" si="48"/>
        <v>8.5698120885235748E-2</v>
      </c>
      <c r="X376" s="17"/>
      <c r="Y376" s="17">
        <v>4.2454300000000007</v>
      </c>
      <c r="Z376" s="16"/>
      <c r="AA376" s="15" t="s">
        <v>140</v>
      </c>
      <c r="AB376" s="17"/>
      <c r="AC376" s="21" t="s">
        <v>61</v>
      </c>
      <c r="AD376" s="21" t="s">
        <v>61</v>
      </c>
      <c r="AE376" s="61" t="s">
        <v>986</v>
      </c>
      <c r="AF376" s="17"/>
      <c r="AG376" s="15"/>
      <c r="AH376" s="16"/>
      <c r="AI376" s="16"/>
      <c r="AJ376" s="42">
        <f t="shared" ca="1" si="42"/>
        <v>968</v>
      </c>
      <c r="AK376" s="42">
        <f t="shared" ca="1" si="43"/>
        <v>896</v>
      </c>
      <c r="AL376" s="130" t="str">
        <f t="shared" si="44"/>
        <v>In touch - Positive</v>
      </c>
      <c r="AM376" s="37">
        <v>44696</v>
      </c>
      <c r="AN376" s="38">
        <v>44755</v>
      </c>
      <c r="AO376" s="38"/>
      <c r="AP376" s="38"/>
      <c r="AQ376" s="38">
        <v>44756</v>
      </c>
      <c r="AR376" s="101" t="s">
        <v>1818</v>
      </c>
      <c r="AS376" s="38">
        <v>44768</v>
      </c>
      <c r="AT376" s="247"/>
    </row>
    <row r="377" spans="1:46" s="98" customFormat="1" x14ac:dyDescent="0.3">
      <c r="A377" s="231"/>
      <c r="B377" s="16" cm="1">
        <f t="array" ref="B377">+_xlfn.IFS(D377="In Touch - Positive",2,D377="Pending",1,D377="No Answer",4,D377="In Touch - Negative",3)</f>
        <v>2</v>
      </c>
      <c r="C377" s="16" t="s">
        <v>1921</v>
      </c>
      <c r="D377" s="99" t="str">
        <f t="shared" si="47"/>
        <v>In touch - Positive</v>
      </c>
      <c r="E377" s="12" t="s">
        <v>1946</v>
      </c>
      <c r="F377" s="12"/>
      <c r="G377" s="13" t="s">
        <v>68</v>
      </c>
      <c r="H377" s="14" t="s">
        <v>1147</v>
      </c>
      <c r="I377" s="13"/>
      <c r="J377" s="13" t="s">
        <v>149</v>
      </c>
      <c r="K377" s="15"/>
      <c r="L377" s="15"/>
      <c r="M377" s="15"/>
      <c r="N377" s="15"/>
      <c r="O377" s="15"/>
      <c r="P377" s="15"/>
      <c r="Q377" s="15"/>
      <c r="R377" s="16"/>
      <c r="S377" s="35"/>
      <c r="T377" s="13">
        <v>2020</v>
      </c>
      <c r="U377" s="17">
        <v>35.549872000000001</v>
      </c>
      <c r="V377" s="17">
        <v>3.4591989999999999</v>
      </c>
      <c r="W377" s="60">
        <f t="shared" si="48"/>
        <v>9.7305526163357206E-2</v>
      </c>
      <c r="X377" s="17"/>
      <c r="Y377" s="17">
        <v>3.9357739999999999</v>
      </c>
      <c r="Z377" s="16"/>
      <c r="AA377" s="15" t="s">
        <v>140</v>
      </c>
      <c r="AB377" s="17"/>
      <c r="AC377" s="21" t="s">
        <v>61</v>
      </c>
      <c r="AD377" s="21" t="s">
        <v>61</v>
      </c>
      <c r="AE377" s="61" t="s">
        <v>986</v>
      </c>
      <c r="AF377" s="17"/>
      <c r="AG377" s="15"/>
      <c r="AH377" s="16"/>
      <c r="AI377" s="16"/>
      <c r="AJ377" s="42">
        <f t="shared" ca="1" si="42"/>
        <v>968</v>
      </c>
      <c r="AK377" s="42">
        <f t="shared" ca="1" si="43"/>
        <v>901</v>
      </c>
      <c r="AL377" s="130" t="str">
        <f t="shared" si="44"/>
        <v>In touch - Positive</v>
      </c>
      <c r="AM377" s="37">
        <v>44696</v>
      </c>
      <c r="AN377" s="38">
        <v>44753</v>
      </c>
      <c r="AO377" s="38"/>
      <c r="AP377" s="38" t="s">
        <v>65</v>
      </c>
      <c r="AQ377" s="38">
        <v>44754</v>
      </c>
      <c r="AR377" s="101" t="s">
        <v>1818</v>
      </c>
      <c r="AS377" s="38">
        <v>44763</v>
      </c>
      <c r="AT377" s="247"/>
    </row>
    <row r="378" spans="1:46" s="98" customFormat="1" x14ac:dyDescent="0.3">
      <c r="A378" s="231"/>
      <c r="B378" s="16" cm="1">
        <f t="array" ref="B378">+_xlfn.IFS(D378="In Touch - Positive",2,D378="Pending",1,D378="No Answer",4,D378="In Touch - Negative",3)</f>
        <v>2</v>
      </c>
      <c r="C378" s="16" t="s">
        <v>57</v>
      </c>
      <c r="D378" s="99" t="str">
        <f t="shared" si="47"/>
        <v>In touch - Positive</v>
      </c>
      <c r="E378" s="20" t="s">
        <v>135</v>
      </c>
      <c r="F378" s="20"/>
      <c r="G378" s="13" t="s">
        <v>137</v>
      </c>
      <c r="H378" s="14" t="s">
        <v>138</v>
      </c>
      <c r="I378" s="13">
        <v>889100</v>
      </c>
      <c r="J378" s="13" t="s">
        <v>57</v>
      </c>
      <c r="K378" s="15" t="s">
        <v>58</v>
      </c>
      <c r="L378" s="15" t="s">
        <v>139</v>
      </c>
      <c r="M378" s="15"/>
      <c r="N378" s="15"/>
      <c r="O378" s="15"/>
      <c r="P378" s="15"/>
      <c r="Q378" s="15"/>
      <c r="R378" s="16"/>
      <c r="S378" s="35" t="s">
        <v>77</v>
      </c>
      <c r="T378" s="13">
        <v>2020</v>
      </c>
      <c r="U378" s="17">
        <v>1.0840000000000001</v>
      </c>
      <c r="V378" s="17">
        <v>8.5000000000000006E-2</v>
      </c>
      <c r="W378" s="60">
        <f t="shared" si="48"/>
        <v>7.8413284132841335E-2</v>
      </c>
      <c r="X378" s="17">
        <v>-6.5000000000000002E-2</v>
      </c>
      <c r="Y378" s="17">
        <v>-0.56100000000000005</v>
      </c>
      <c r="Z378" s="16"/>
      <c r="AA378" s="15" t="s">
        <v>140</v>
      </c>
      <c r="AB378" s="17"/>
      <c r="AC378" s="17" t="s">
        <v>61</v>
      </c>
      <c r="AD378" s="17" t="s">
        <v>61</v>
      </c>
      <c r="AE378" s="17" t="s">
        <v>62</v>
      </c>
      <c r="AF378" s="17"/>
      <c r="AG378" s="15"/>
      <c r="AH378" s="16"/>
      <c r="AI378" s="16"/>
      <c r="AJ378" s="42">
        <f t="shared" ca="1" si="42"/>
        <v>963</v>
      </c>
      <c r="AK378" s="42">
        <f t="shared" ca="1" si="43"/>
        <v>936</v>
      </c>
      <c r="AL378" s="130" t="str">
        <f t="shared" si="44"/>
        <v>In touch - Positive</v>
      </c>
      <c r="AM378" s="37">
        <v>44701</v>
      </c>
      <c r="AN378" s="38">
        <v>44701</v>
      </c>
      <c r="AO378" s="38" t="s">
        <v>65</v>
      </c>
      <c r="AP378" s="38" t="s">
        <v>65</v>
      </c>
      <c r="AQ378" s="38">
        <v>44704</v>
      </c>
      <c r="AR378" s="101" t="s">
        <v>1818</v>
      </c>
      <c r="AS378" s="38">
        <v>44728</v>
      </c>
      <c r="AT378" s="247"/>
    </row>
    <row r="379" spans="1:46" s="98" customFormat="1" x14ac:dyDescent="0.3">
      <c r="A379" s="231"/>
      <c r="B379" s="16" cm="1">
        <f t="array" ref="B379">+_xlfn.IFS(D379="In Touch - Positive",2,D379="Pending",1,D379="No Answer",4,D379="In Touch - Negative",3)</f>
        <v>2</v>
      </c>
      <c r="C379" s="16" t="s">
        <v>57</v>
      </c>
      <c r="D379" s="99" t="str">
        <f t="shared" si="47"/>
        <v>In touch - Positive</v>
      </c>
      <c r="E379" s="20" t="s">
        <v>1194</v>
      </c>
      <c r="F379" s="20"/>
      <c r="G379" s="13" t="s">
        <v>1195</v>
      </c>
      <c r="H379" s="14" t="s">
        <v>1196</v>
      </c>
      <c r="I379" s="13">
        <v>889100</v>
      </c>
      <c r="J379" s="13" t="s">
        <v>57</v>
      </c>
      <c r="K379" s="15" t="s">
        <v>58</v>
      </c>
      <c r="L379" s="15" t="s">
        <v>1197</v>
      </c>
      <c r="M379" s="15"/>
      <c r="N379" s="15"/>
      <c r="O379" s="15"/>
      <c r="P379" s="15"/>
      <c r="Q379" s="15"/>
      <c r="R379" s="16"/>
      <c r="S379" s="35" t="s">
        <v>77</v>
      </c>
      <c r="T379" s="13">
        <v>2020</v>
      </c>
      <c r="U379" s="17">
        <v>0.34799999999999998</v>
      </c>
      <c r="V379" s="17">
        <v>0.11</v>
      </c>
      <c r="W379" s="60">
        <f t="shared" si="48"/>
        <v>0.31609195402298851</v>
      </c>
      <c r="X379" s="17"/>
      <c r="Y379" s="17"/>
      <c r="Z379" s="16"/>
      <c r="AA379" s="15" t="s">
        <v>140</v>
      </c>
      <c r="AB379" s="17"/>
      <c r="AC379" s="17" t="s">
        <v>61</v>
      </c>
      <c r="AD379" s="17" t="s">
        <v>61</v>
      </c>
      <c r="AE379" s="17" t="s">
        <v>62</v>
      </c>
      <c r="AF379" s="17"/>
      <c r="AG379" s="15"/>
      <c r="AH379" s="16"/>
      <c r="AI379" s="16"/>
      <c r="AJ379" s="42">
        <f t="shared" ca="1" si="42"/>
        <v>1118</v>
      </c>
      <c r="AK379" s="42">
        <f t="shared" ca="1" si="43"/>
        <v>938</v>
      </c>
      <c r="AL379" s="130" t="str">
        <f t="shared" si="44"/>
        <v>In touch - Positive</v>
      </c>
      <c r="AM379" s="37">
        <v>44546</v>
      </c>
      <c r="AN379" s="38">
        <v>44546</v>
      </c>
      <c r="AO379" s="38" t="s">
        <v>65</v>
      </c>
      <c r="AP379" s="38" t="s">
        <v>65</v>
      </c>
      <c r="AQ379" s="38">
        <v>44657</v>
      </c>
      <c r="AR379" s="101" t="s">
        <v>1818</v>
      </c>
      <c r="AS379" s="38">
        <v>44726</v>
      </c>
      <c r="AT379" s="247"/>
    </row>
    <row r="380" spans="1:46" s="98" customFormat="1" x14ac:dyDescent="0.3">
      <c r="A380" s="231"/>
      <c r="B380" s="16" cm="1">
        <f t="array" ref="B380">+_xlfn.IFS(D380="In Touch - Positive",2,D380="Pending",1,D380="No Answer",4,D380="In Touch - Negative",3)</f>
        <v>2</v>
      </c>
      <c r="C380" s="16" t="s">
        <v>57</v>
      </c>
      <c r="D380" s="99" t="str">
        <f t="shared" si="47"/>
        <v>In touch - Positive</v>
      </c>
      <c r="E380" s="12" t="s">
        <v>907</v>
      </c>
      <c r="F380" s="12"/>
      <c r="G380" s="13" t="s">
        <v>159</v>
      </c>
      <c r="H380" s="14" t="s">
        <v>908</v>
      </c>
      <c r="I380" s="13">
        <v>889100</v>
      </c>
      <c r="J380" s="13" t="s">
        <v>57</v>
      </c>
      <c r="K380" s="15" t="s">
        <v>58</v>
      </c>
      <c r="L380" s="15" t="s">
        <v>909</v>
      </c>
      <c r="M380" s="15"/>
      <c r="N380" s="15"/>
      <c r="O380" s="15"/>
      <c r="P380" s="15"/>
      <c r="Q380" s="15"/>
      <c r="R380" s="16"/>
      <c r="S380" s="35" t="s">
        <v>77</v>
      </c>
      <c r="T380" s="13">
        <v>2020</v>
      </c>
      <c r="U380" s="17">
        <v>0.71299999999999997</v>
      </c>
      <c r="V380" s="17">
        <v>0.11799999999999999</v>
      </c>
      <c r="W380" s="60">
        <f t="shared" si="48"/>
        <v>0.16549789621318373</v>
      </c>
      <c r="X380" s="17">
        <v>6.8000000000000005E-2</v>
      </c>
      <c r="Y380" s="17">
        <v>-0.27600000000000002</v>
      </c>
      <c r="Z380" s="16"/>
      <c r="AA380" s="15" t="s">
        <v>140</v>
      </c>
      <c r="AB380" s="17"/>
      <c r="AC380" s="21" t="s">
        <v>61</v>
      </c>
      <c r="AD380" s="21" t="s">
        <v>61</v>
      </c>
      <c r="AE380" s="17" t="s">
        <v>62</v>
      </c>
      <c r="AF380" s="17"/>
      <c r="AG380" s="15"/>
      <c r="AH380" s="16"/>
      <c r="AI380" s="16"/>
      <c r="AJ380" s="42">
        <f t="shared" ca="1" si="42"/>
        <v>963</v>
      </c>
      <c r="AK380" s="42">
        <f t="shared" ca="1" si="43"/>
        <v>942</v>
      </c>
      <c r="AL380" s="130" t="str">
        <f t="shared" si="44"/>
        <v>In touch - Positive</v>
      </c>
      <c r="AM380" s="37">
        <v>44701</v>
      </c>
      <c r="AN380" s="38">
        <v>44701</v>
      </c>
      <c r="AO380" s="38" t="s">
        <v>65</v>
      </c>
      <c r="AP380" s="38" t="s">
        <v>65</v>
      </c>
      <c r="AQ380" s="38">
        <v>44701</v>
      </c>
      <c r="AR380" s="101" t="s">
        <v>1818</v>
      </c>
      <c r="AS380" s="38">
        <v>44722</v>
      </c>
      <c r="AT380" s="247"/>
    </row>
    <row r="381" spans="1:46" s="98" customFormat="1" x14ac:dyDescent="0.3">
      <c r="A381" s="231"/>
      <c r="B381" s="16" cm="1">
        <f t="array" ref="B381">+_xlfn.IFS(D381="In Touch - Positive",2,D381="Pending",1,D381="No Answer",4,D381="In Touch - Negative",3)</f>
        <v>2</v>
      </c>
      <c r="C381" s="16" t="s">
        <v>57</v>
      </c>
      <c r="D381" s="99" t="str">
        <f t="shared" si="47"/>
        <v>In touch - Positive</v>
      </c>
      <c r="E381" s="12" t="s">
        <v>1192</v>
      </c>
      <c r="F381" s="12"/>
      <c r="G381" s="14" t="s">
        <v>326</v>
      </c>
      <c r="H381" s="14" t="s">
        <v>1193</v>
      </c>
      <c r="I381" s="13"/>
      <c r="J381" s="13" t="s">
        <v>57</v>
      </c>
      <c r="K381" s="15" t="s">
        <v>58</v>
      </c>
      <c r="L381" s="15" t="s">
        <v>1947</v>
      </c>
      <c r="M381" s="15"/>
      <c r="N381" s="15"/>
      <c r="O381" s="15"/>
      <c r="P381" s="15"/>
      <c r="Q381" s="15"/>
      <c r="R381" s="16"/>
      <c r="S381" s="63" t="s">
        <v>77</v>
      </c>
      <c r="T381" s="13"/>
      <c r="U381" s="17"/>
      <c r="V381" s="17"/>
      <c r="W381" s="64"/>
      <c r="X381" s="17"/>
      <c r="Y381" s="17"/>
      <c r="Z381" s="16"/>
      <c r="AA381" s="15" t="s">
        <v>431</v>
      </c>
      <c r="AB381" s="17"/>
      <c r="AC381" s="21" t="s">
        <v>61</v>
      </c>
      <c r="AD381" s="21" t="s">
        <v>61</v>
      </c>
      <c r="AE381" s="61" t="s">
        <v>62</v>
      </c>
      <c r="AF381" s="17"/>
      <c r="AG381" s="15"/>
      <c r="AH381" s="16"/>
      <c r="AI381" s="16"/>
      <c r="AJ381" s="42">
        <f t="shared" ca="1" si="42"/>
        <v>1292</v>
      </c>
      <c r="AK381" s="42">
        <f t="shared" ca="1" si="43"/>
        <v>942</v>
      </c>
      <c r="AL381" s="130" t="str">
        <f t="shared" si="44"/>
        <v>In touch - Positive</v>
      </c>
      <c r="AM381" s="37">
        <v>44372</v>
      </c>
      <c r="AN381" s="38">
        <v>44372</v>
      </c>
      <c r="AO381" s="38" t="s">
        <v>65</v>
      </c>
      <c r="AP381" s="38" t="s">
        <v>65</v>
      </c>
      <c r="AQ381" s="38">
        <v>44372</v>
      </c>
      <c r="AR381" s="101" t="s">
        <v>1818</v>
      </c>
      <c r="AS381" s="38">
        <v>44722</v>
      </c>
      <c r="AT381" s="247"/>
    </row>
    <row r="382" spans="1:46" s="98" customFormat="1" x14ac:dyDescent="0.3">
      <c r="A382" s="231"/>
      <c r="B382" s="16" cm="1">
        <f t="array" ref="B382">+_xlfn.IFS(D382="In Touch - Positive",2,D382="Pending",1,D382="No Answer",4,D382="In Touch - Negative",3)</f>
        <v>2</v>
      </c>
      <c r="C382" s="16" t="s">
        <v>57</v>
      </c>
      <c r="D382" s="99" t="str">
        <f t="shared" si="47"/>
        <v>In touch - Positive</v>
      </c>
      <c r="E382" s="12" t="s">
        <v>571</v>
      </c>
      <c r="F382" s="12"/>
      <c r="G382" s="13" t="s">
        <v>572</v>
      </c>
      <c r="H382" s="14" t="s">
        <v>573</v>
      </c>
      <c r="I382" s="13">
        <v>851000</v>
      </c>
      <c r="J382" s="13" t="s">
        <v>57</v>
      </c>
      <c r="K382" s="15" t="s">
        <v>58</v>
      </c>
      <c r="L382" s="15" t="s">
        <v>574</v>
      </c>
      <c r="M382" s="15"/>
      <c r="N382" s="15"/>
      <c r="O382" s="15"/>
      <c r="P382" s="15"/>
      <c r="Q382" s="15"/>
      <c r="R382" s="16"/>
      <c r="S382" s="35" t="s">
        <v>77</v>
      </c>
      <c r="T382" s="13">
        <v>2021</v>
      </c>
      <c r="U382" s="17">
        <v>2.294</v>
      </c>
      <c r="V382" s="17">
        <v>0.45200000000000001</v>
      </c>
      <c r="W382" s="60">
        <f t="shared" ref="W382:W388" si="49">+V382/U382</f>
        <v>0.19703574542284219</v>
      </c>
      <c r="X382" s="17">
        <v>0.16700000000000001</v>
      </c>
      <c r="Y382" s="17">
        <v>-0.48499999999999999</v>
      </c>
      <c r="Z382" s="16"/>
      <c r="AA382" s="15" t="s">
        <v>431</v>
      </c>
      <c r="AB382" s="17"/>
      <c r="AC382" s="21" t="s">
        <v>61</v>
      </c>
      <c r="AD382" s="21" t="s">
        <v>61</v>
      </c>
      <c r="AE382" s="17" t="s">
        <v>62</v>
      </c>
      <c r="AF382" s="17"/>
      <c r="AG382" s="15"/>
      <c r="AH382" s="16"/>
      <c r="AI382" s="16"/>
      <c r="AJ382" s="42">
        <f t="shared" ca="1" si="42"/>
        <v>963</v>
      </c>
      <c r="AK382" s="42">
        <f t="shared" ca="1" si="43"/>
        <v>946</v>
      </c>
      <c r="AL382" s="130" t="str">
        <f t="shared" si="44"/>
        <v>In touch - Positive</v>
      </c>
      <c r="AM382" s="37">
        <v>44701</v>
      </c>
      <c r="AN382" s="38">
        <v>44701</v>
      </c>
      <c r="AO382" s="38" t="s">
        <v>65</v>
      </c>
      <c r="AP382" s="38" t="s">
        <v>65</v>
      </c>
      <c r="AQ382" s="38">
        <v>44701</v>
      </c>
      <c r="AR382" s="101" t="s">
        <v>1818</v>
      </c>
      <c r="AS382" s="38">
        <v>44718</v>
      </c>
      <c r="AT382" s="247"/>
    </row>
    <row r="383" spans="1:46" s="98" customFormat="1" x14ac:dyDescent="0.3">
      <c r="A383" s="231"/>
      <c r="B383" s="16" cm="1">
        <f t="array" ref="B383">+_xlfn.IFS(D383="In Touch - Positive",2,D383="Pending",1,D383="No Answer",4,D383="In Touch - Negative",3)</f>
        <v>2</v>
      </c>
      <c r="C383" s="16" t="s">
        <v>1049</v>
      </c>
      <c r="D383" s="99" t="str">
        <f t="shared" si="47"/>
        <v>In touch - Positive</v>
      </c>
      <c r="E383" s="20" t="s">
        <v>1463</v>
      </c>
      <c r="F383" s="20"/>
      <c r="G383" s="13" t="s">
        <v>137</v>
      </c>
      <c r="H383" s="14" t="s">
        <v>1464</v>
      </c>
      <c r="I383" s="13">
        <v>382200</v>
      </c>
      <c r="J383" s="13" t="s">
        <v>111</v>
      </c>
      <c r="K383" s="15" t="s">
        <v>1065</v>
      </c>
      <c r="L383" s="15" t="s">
        <v>1465</v>
      </c>
      <c r="M383" s="15" t="s">
        <v>1465</v>
      </c>
      <c r="N383" s="15"/>
      <c r="O383" s="15"/>
      <c r="P383" s="15" t="s">
        <v>1465</v>
      </c>
      <c r="Q383" s="15"/>
      <c r="R383" s="16"/>
      <c r="S383" s="35" t="s">
        <v>77</v>
      </c>
      <c r="T383" s="13">
        <v>2020</v>
      </c>
      <c r="U383" s="17">
        <v>13.3</v>
      </c>
      <c r="V383" s="17">
        <v>0.84199999999999997</v>
      </c>
      <c r="W383" s="60">
        <f t="shared" si="49"/>
        <v>6.330827067669173E-2</v>
      </c>
      <c r="X383" s="17">
        <v>0.28899999999999998</v>
      </c>
      <c r="Y383" s="17">
        <v>2.2000000000000002</v>
      </c>
      <c r="Z383" s="16"/>
      <c r="AA383" s="15" t="s">
        <v>99</v>
      </c>
      <c r="AB383" s="17" t="s">
        <v>1070</v>
      </c>
      <c r="AC383" s="17" t="s">
        <v>61</v>
      </c>
      <c r="AD383" s="17" t="s">
        <v>61</v>
      </c>
      <c r="AE383" s="17" t="s">
        <v>86</v>
      </c>
      <c r="AF383" s="17"/>
      <c r="AG383" s="15"/>
      <c r="AH383" s="16"/>
      <c r="AI383" s="16"/>
      <c r="AJ383" s="42">
        <f t="shared" ca="1" si="42"/>
        <v>956</v>
      </c>
      <c r="AK383" s="42">
        <f t="shared" ca="1" si="43"/>
        <v>956</v>
      </c>
      <c r="AL383" s="130" t="str">
        <f t="shared" si="44"/>
        <v>In touch - Positive</v>
      </c>
      <c r="AM383" s="37">
        <v>44708</v>
      </c>
      <c r="AN383" s="38">
        <v>44708</v>
      </c>
      <c r="AO383" s="38" t="s">
        <v>65</v>
      </c>
      <c r="AP383" s="38" t="s">
        <v>65</v>
      </c>
      <c r="AQ383" s="38" t="s">
        <v>65</v>
      </c>
      <c r="AR383" s="101" t="s">
        <v>1818</v>
      </c>
      <c r="AS383" s="38">
        <v>44708</v>
      </c>
      <c r="AT383" s="247"/>
    </row>
    <row r="384" spans="1:46" s="98" customFormat="1" x14ac:dyDescent="0.3">
      <c r="A384" s="231"/>
      <c r="B384" s="16" cm="1">
        <f t="array" ref="B384">+_xlfn.IFS(D384="In Touch - Positive",2,D384="Pending",1,D384="No Answer",4,D384="In Touch - Negative",3)</f>
        <v>2</v>
      </c>
      <c r="C384" s="16" t="s">
        <v>1049</v>
      </c>
      <c r="D384" s="99" t="str">
        <f t="shared" si="47"/>
        <v>In touch - Positive</v>
      </c>
      <c r="E384" s="20" t="s">
        <v>1067</v>
      </c>
      <c r="F384" s="20"/>
      <c r="G384" s="13" t="s">
        <v>159</v>
      </c>
      <c r="H384" s="14" t="s">
        <v>1068</v>
      </c>
      <c r="I384" s="13">
        <v>382200</v>
      </c>
      <c r="J384" s="13" t="s">
        <v>111</v>
      </c>
      <c r="K384" s="15" t="s">
        <v>1065</v>
      </c>
      <c r="L384" s="15" t="s">
        <v>1069</v>
      </c>
      <c r="M384" s="15" t="s">
        <v>1069</v>
      </c>
      <c r="N384" s="15"/>
      <c r="O384" s="15"/>
      <c r="P384" s="15" t="s">
        <v>1069</v>
      </c>
      <c r="Q384" s="15"/>
      <c r="R384" s="16"/>
      <c r="S384" s="35" t="s">
        <v>77</v>
      </c>
      <c r="T384" s="13">
        <v>2020</v>
      </c>
      <c r="U384" s="17">
        <v>8.1189999999999998</v>
      </c>
      <c r="V384" s="17">
        <v>1.1160000000000001</v>
      </c>
      <c r="W384" s="60">
        <f t="shared" si="49"/>
        <v>0.13745535164429118</v>
      </c>
      <c r="X384" s="17">
        <v>0.64300000000000002</v>
      </c>
      <c r="Y384" s="17"/>
      <c r="Z384" s="16"/>
      <c r="AA384" s="15" t="s">
        <v>99</v>
      </c>
      <c r="AB384" s="17" t="s">
        <v>1070</v>
      </c>
      <c r="AC384" s="17" t="s">
        <v>61</v>
      </c>
      <c r="AD384" s="17" t="s">
        <v>61</v>
      </c>
      <c r="AE384" s="17" t="s">
        <v>86</v>
      </c>
      <c r="AF384" s="17"/>
      <c r="AG384" s="15"/>
      <c r="AH384" s="16"/>
      <c r="AI384" s="16"/>
      <c r="AJ384" s="42">
        <f t="shared" ca="1" si="42"/>
        <v>956</v>
      </c>
      <c r="AK384" s="42">
        <f t="shared" ca="1" si="43"/>
        <v>956</v>
      </c>
      <c r="AL384" s="130" t="str">
        <f t="shared" si="44"/>
        <v>In touch - Positive</v>
      </c>
      <c r="AM384" s="37">
        <v>44708</v>
      </c>
      <c r="AN384" s="38">
        <v>44708</v>
      </c>
      <c r="AO384" s="38" t="s">
        <v>65</v>
      </c>
      <c r="AP384" s="38" t="s">
        <v>65</v>
      </c>
      <c r="AQ384" s="38" t="s">
        <v>65</v>
      </c>
      <c r="AR384" s="101" t="s">
        <v>1818</v>
      </c>
      <c r="AS384" s="38">
        <v>44708</v>
      </c>
      <c r="AT384" s="247"/>
    </row>
    <row r="385" spans="1:46" s="98" customFormat="1" x14ac:dyDescent="0.3">
      <c r="A385" s="231"/>
      <c r="B385" s="16" cm="1">
        <f t="array" ref="B385">+_xlfn.IFS(D385="In Touch - Positive",2,D385="Pending",1,D385="No Answer",4,D385="In Touch - Negative",3)</f>
        <v>2</v>
      </c>
      <c r="C385" s="16" t="s">
        <v>57</v>
      </c>
      <c r="D385" s="99" t="str">
        <f t="shared" si="47"/>
        <v>In touch - Positive</v>
      </c>
      <c r="E385" s="12" t="s">
        <v>1948</v>
      </c>
      <c r="F385" s="12"/>
      <c r="G385" s="13" t="s">
        <v>159</v>
      </c>
      <c r="H385" s="14" t="s">
        <v>186</v>
      </c>
      <c r="I385" s="13">
        <v>852000</v>
      </c>
      <c r="J385" s="13" t="s">
        <v>57</v>
      </c>
      <c r="K385" s="15" t="s">
        <v>58</v>
      </c>
      <c r="L385" s="15" t="s">
        <v>187</v>
      </c>
      <c r="M385" s="15"/>
      <c r="N385" s="15"/>
      <c r="O385" s="15"/>
      <c r="P385" s="15"/>
      <c r="Q385" s="15"/>
      <c r="R385" s="16"/>
      <c r="S385" s="35" t="s">
        <v>77</v>
      </c>
      <c r="T385" s="13">
        <v>2021</v>
      </c>
      <c r="U385" s="17">
        <v>0.84599999999999997</v>
      </c>
      <c r="V385" s="17">
        <v>8.3000000000000004E-2</v>
      </c>
      <c r="W385" s="60">
        <f t="shared" si="49"/>
        <v>9.8108747044917261E-2</v>
      </c>
      <c r="X385" s="17">
        <v>3.1E-2</v>
      </c>
      <c r="Y385" s="17">
        <v>-0.246</v>
      </c>
      <c r="Z385" s="16"/>
      <c r="AA385" s="15" t="s">
        <v>431</v>
      </c>
      <c r="AB385" s="17"/>
      <c r="AC385" s="21" t="s">
        <v>61</v>
      </c>
      <c r="AD385" s="21" t="s">
        <v>61</v>
      </c>
      <c r="AE385" s="17" t="s">
        <v>62</v>
      </c>
      <c r="AF385" s="17"/>
      <c r="AG385" s="15"/>
      <c r="AH385" s="16"/>
      <c r="AI385" s="16"/>
      <c r="AJ385" s="42">
        <f t="shared" ca="1" si="42"/>
        <v>963</v>
      </c>
      <c r="AK385" s="42">
        <f t="shared" ca="1" si="43"/>
        <v>957</v>
      </c>
      <c r="AL385" s="130" t="str">
        <f t="shared" si="44"/>
        <v>In touch - Positive</v>
      </c>
      <c r="AM385" s="37">
        <v>44701</v>
      </c>
      <c r="AN385" s="38">
        <v>44701</v>
      </c>
      <c r="AO385" s="38" t="s">
        <v>65</v>
      </c>
      <c r="AP385" s="38" t="s">
        <v>65</v>
      </c>
      <c r="AQ385" s="38">
        <v>44701</v>
      </c>
      <c r="AR385" s="101" t="s">
        <v>1818</v>
      </c>
      <c r="AS385" s="38">
        <v>44707</v>
      </c>
      <c r="AT385" s="247"/>
    </row>
    <row r="386" spans="1:46" s="98" customFormat="1" x14ac:dyDescent="0.3">
      <c r="A386" s="231"/>
      <c r="B386" s="16" cm="1">
        <f t="array" ref="B386">+_xlfn.IFS(D386="In Touch - Positive",2,D386="Pending",1,D386="No Answer",4,D386="In Touch - Negative",3)</f>
        <v>2</v>
      </c>
      <c r="C386" s="16" t="s">
        <v>1949</v>
      </c>
      <c r="D386" s="99" t="str">
        <f t="shared" si="47"/>
        <v>In touch - Positive</v>
      </c>
      <c r="E386" s="12" t="s">
        <v>1255</v>
      </c>
      <c r="F386" s="12"/>
      <c r="G386" s="13" t="s">
        <v>103</v>
      </c>
      <c r="H386" s="14" t="s">
        <v>1256</v>
      </c>
      <c r="I386" s="13">
        <v>205940</v>
      </c>
      <c r="J386" s="13" t="s">
        <v>342</v>
      </c>
      <c r="K386" s="15" t="s">
        <v>1257</v>
      </c>
      <c r="L386" s="15"/>
      <c r="M386" s="15"/>
      <c r="N386" s="15"/>
      <c r="O386" s="15"/>
      <c r="P386" s="15"/>
      <c r="Q386" s="15"/>
      <c r="R386" s="16"/>
      <c r="S386" s="35"/>
      <c r="T386" s="13">
        <v>2020</v>
      </c>
      <c r="U386" s="17">
        <v>34.363</v>
      </c>
      <c r="V386" s="17">
        <v>6.6379999999999999</v>
      </c>
      <c r="W386" s="60">
        <f t="shared" si="49"/>
        <v>0.19317288944504263</v>
      </c>
      <c r="X386" s="17">
        <v>3.8849999999999998</v>
      </c>
      <c r="Y386" s="17">
        <v>27.411000000000001</v>
      </c>
      <c r="Z386" s="16"/>
      <c r="AA386" s="15" t="s">
        <v>431</v>
      </c>
      <c r="AB386" s="17"/>
      <c r="AC386" s="21" t="s">
        <v>61</v>
      </c>
      <c r="AD386" s="21" t="s">
        <v>61</v>
      </c>
      <c r="AE386" s="61" t="s">
        <v>62</v>
      </c>
      <c r="AF386" s="17"/>
      <c r="AG386" s="15"/>
      <c r="AH386" s="16"/>
      <c r="AI386" s="16"/>
      <c r="AJ386" s="42">
        <f t="shared" ca="1" si="42"/>
        <v>768</v>
      </c>
      <c r="AK386" s="42">
        <f t="shared" ca="1" si="43"/>
        <v>1027</v>
      </c>
      <c r="AL386" s="130" t="str">
        <f t="shared" si="44"/>
        <v>In touch - Positive</v>
      </c>
      <c r="AM386" s="37">
        <v>44896</v>
      </c>
      <c r="AN386" s="38">
        <v>44626</v>
      </c>
      <c r="AO386" s="38" t="s">
        <v>65</v>
      </c>
      <c r="AP386" s="38" t="s">
        <v>65</v>
      </c>
      <c r="AQ386" s="38">
        <v>44991</v>
      </c>
      <c r="AR386" s="101" t="s">
        <v>1818</v>
      </c>
      <c r="AS386" s="38">
        <v>44637</v>
      </c>
      <c r="AT386" s="247"/>
    </row>
    <row r="387" spans="1:46" s="98" customFormat="1" x14ac:dyDescent="0.3">
      <c r="A387" s="231"/>
      <c r="B387" s="16" cm="1">
        <f t="array" ref="B387">+_xlfn.IFS(D387="In Touch - Positive",2,D387="Pending",1,D387="No Answer",4,D387="In Touch - Negative",3)</f>
        <v>2</v>
      </c>
      <c r="C387" s="16" t="s">
        <v>57</v>
      </c>
      <c r="D387" s="99" t="str">
        <f t="shared" si="47"/>
        <v>In touch - Positive</v>
      </c>
      <c r="E387" s="12" t="s">
        <v>427</v>
      </c>
      <c r="F387" s="12"/>
      <c r="G387" s="13" t="s">
        <v>428</v>
      </c>
      <c r="H387" s="14" t="s">
        <v>429</v>
      </c>
      <c r="I387" s="13">
        <v>855920</v>
      </c>
      <c r="J387" s="13" t="s">
        <v>57</v>
      </c>
      <c r="K387" s="15" t="s">
        <v>430</v>
      </c>
      <c r="L387" s="15"/>
      <c r="M387" s="15"/>
      <c r="N387" s="15"/>
      <c r="O387" s="15"/>
      <c r="P387" s="15"/>
      <c r="Q387" s="15"/>
      <c r="R387" s="16"/>
      <c r="S387" s="35" t="s">
        <v>77</v>
      </c>
      <c r="T387" s="13">
        <v>2020</v>
      </c>
      <c r="U387" s="17">
        <v>3.923</v>
      </c>
      <c r="V387" s="17">
        <v>0.54900000000000004</v>
      </c>
      <c r="W387" s="60">
        <f t="shared" si="49"/>
        <v>0.13994392046902882</v>
      </c>
      <c r="X387" s="17">
        <v>0.109</v>
      </c>
      <c r="Y387" s="17">
        <v>-0.221</v>
      </c>
      <c r="Z387" s="16"/>
      <c r="AA387" s="15" t="s">
        <v>431</v>
      </c>
      <c r="AB387" s="17"/>
      <c r="AC387" s="21" t="s">
        <v>61</v>
      </c>
      <c r="AD387" s="21" t="s">
        <v>61</v>
      </c>
      <c r="AE387" s="17" t="s">
        <v>62</v>
      </c>
      <c r="AF387" s="17"/>
      <c r="AG387" s="15"/>
      <c r="AH387" s="16"/>
      <c r="AI387" s="16"/>
      <c r="AJ387" s="42">
        <f t="shared" ca="1" si="42"/>
        <v>1027</v>
      </c>
      <c r="AK387" s="42">
        <f t="shared" ca="1" si="43"/>
        <v>1027</v>
      </c>
      <c r="AL387" s="130" t="str">
        <f t="shared" si="44"/>
        <v>In touch - Positive</v>
      </c>
      <c r="AM387" s="37">
        <v>44637</v>
      </c>
      <c r="AN387" s="38">
        <v>44637</v>
      </c>
      <c r="AO387" s="38" t="s">
        <v>65</v>
      </c>
      <c r="AP387" s="38" t="s">
        <v>65</v>
      </c>
      <c r="AQ387" s="38">
        <v>44664</v>
      </c>
      <c r="AR387" s="101" t="s">
        <v>1818</v>
      </c>
      <c r="AS387" s="38">
        <v>44637</v>
      </c>
      <c r="AT387" s="247"/>
    </row>
    <row r="388" spans="1:46" s="98" customFormat="1" x14ac:dyDescent="0.3">
      <c r="A388" s="231"/>
      <c r="B388" s="16" cm="1">
        <f t="array" ref="B388">+_xlfn.IFS(D388="In Touch - Positive",2,D388="Pending",1,D388="No Answer",4,D388="In Touch - Negative",3)</f>
        <v>2</v>
      </c>
      <c r="C388" s="16" t="s">
        <v>1949</v>
      </c>
      <c r="D388" s="99" t="str">
        <f t="shared" si="47"/>
        <v>In touch - Positive</v>
      </c>
      <c r="E388" s="12" t="s">
        <v>1950</v>
      </c>
      <c r="F388" s="12"/>
      <c r="G388" s="13" t="s">
        <v>988</v>
      </c>
      <c r="H388" s="14" t="s">
        <v>989</v>
      </c>
      <c r="I388" s="13">
        <v>172200</v>
      </c>
      <c r="J388" s="13" t="s">
        <v>990</v>
      </c>
      <c r="K388" s="15" t="s">
        <v>991</v>
      </c>
      <c r="L388" s="15"/>
      <c r="M388" s="15"/>
      <c r="N388" s="15"/>
      <c r="O388" s="15"/>
      <c r="P388" s="15"/>
      <c r="Q388" s="15"/>
      <c r="R388" s="16"/>
      <c r="S388" s="35"/>
      <c r="T388" s="13">
        <v>2020</v>
      </c>
      <c r="U388" s="17">
        <v>44.7</v>
      </c>
      <c r="V388" s="17">
        <v>4.8529999999999998</v>
      </c>
      <c r="W388" s="60">
        <f t="shared" si="49"/>
        <v>0.10856823266219238</v>
      </c>
      <c r="X388" s="17">
        <v>2.343</v>
      </c>
      <c r="Y388" s="17">
        <v>-1.252</v>
      </c>
      <c r="Z388" s="16"/>
      <c r="AA388" s="15" t="s">
        <v>431</v>
      </c>
      <c r="AB388" s="17"/>
      <c r="AC388" s="21" t="s">
        <v>61</v>
      </c>
      <c r="AD388" s="21" t="s">
        <v>61</v>
      </c>
      <c r="AE388" s="61" t="s">
        <v>562</v>
      </c>
      <c r="AF388" s="17"/>
      <c r="AG388" s="15"/>
      <c r="AH388" s="16"/>
      <c r="AI388" s="16"/>
      <c r="AJ388" s="42">
        <f t="shared" ca="1" si="42"/>
        <v>1027</v>
      </c>
      <c r="AK388" s="42">
        <f t="shared" ca="1" si="43"/>
        <v>1027</v>
      </c>
      <c r="AL388" s="130" t="str">
        <f t="shared" si="44"/>
        <v>In touch - Positive</v>
      </c>
      <c r="AM388" s="37">
        <v>44637</v>
      </c>
      <c r="AN388" s="38">
        <v>44637</v>
      </c>
      <c r="AO388" s="38" t="s">
        <v>65</v>
      </c>
      <c r="AP388" s="38"/>
      <c r="AQ388" s="38">
        <v>44638</v>
      </c>
      <c r="AR388" s="101" t="s">
        <v>1818</v>
      </c>
      <c r="AS388" s="38">
        <v>44637</v>
      </c>
      <c r="AT388" s="247"/>
    </row>
    <row r="389" spans="1:46" s="98" customFormat="1" x14ac:dyDescent="0.3">
      <c r="A389" s="231"/>
      <c r="B389" s="16" cm="1">
        <f t="array" ref="B389">+_xlfn.IFS(D389="In Touch - Positive",2,D389="Pending",1,D389="No Answer",4,D389="In Touch - Negative",3)</f>
        <v>2</v>
      </c>
      <c r="C389" s="16" t="s">
        <v>1951</v>
      </c>
      <c r="D389" s="99" t="str">
        <f t="shared" si="47"/>
        <v>In touch - Positive</v>
      </c>
      <c r="E389" s="12" t="s">
        <v>1952</v>
      </c>
      <c r="F389" s="12"/>
      <c r="G389" s="13" t="s">
        <v>838</v>
      </c>
      <c r="H389" s="14"/>
      <c r="I389" s="13"/>
      <c r="J389" s="13"/>
      <c r="K389" s="15"/>
      <c r="L389" s="15"/>
      <c r="M389" s="15"/>
      <c r="N389" s="15"/>
      <c r="O389" s="15"/>
      <c r="P389" s="15"/>
      <c r="Q389" s="15"/>
      <c r="R389" s="16"/>
      <c r="S389" s="35"/>
      <c r="T389" s="13"/>
      <c r="U389" s="17"/>
      <c r="V389" s="17"/>
      <c r="W389" s="60"/>
      <c r="X389" s="17"/>
      <c r="Y389" s="17"/>
      <c r="Z389" s="16"/>
      <c r="AA389" s="15" t="s">
        <v>431</v>
      </c>
      <c r="AB389" s="17"/>
      <c r="AC389" s="21" t="s">
        <v>61</v>
      </c>
      <c r="AD389" s="21" t="s">
        <v>61</v>
      </c>
      <c r="AE389" s="61" t="s">
        <v>79</v>
      </c>
      <c r="AF389" s="17"/>
      <c r="AG389" s="15"/>
      <c r="AH389" s="16"/>
      <c r="AI389" s="16"/>
      <c r="AJ389" s="42">
        <f t="shared" ca="1" si="42"/>
        <v>1085</v>
      </c>
      <c r="AK389" s="42">
        <f t="shared" ca="1" si="43"/>
        <v>1027</v>
      </c>
      <c r="AL389" s="130" t="str">
        <f t="shared" si="44"/>
        <v>In touch - Positive</v>
      </c>
      <c r="AM389" s="37">
        <v>44579</v>
      </c>
      <c r="AN389" s="38">
        <v>44579</v>
      </c>
      <c r="AO389" s="38"/>
      <c r="AP389" s="38" t="s">
        <v>65</v>
      </c>
      <c r="AQ389" s="38">
        <v>44580</v>
      </c>
      <c r="AR389" s="101" t="s">
        <v>1818</v>
      </c>
      <c r="AS389" s="38">
        <v>44637</v>
      </c>
      <c r="AT389" s="247"/>
    </row>
    <row r="390" spans="1:46" s="98" customFormat="1" x14ac:dyDescent="0.3">
      <c r="A390" s="231"/>
      <c r="B390" s="16" cm="1">
        <f t="array" ref="B390">+_xlfn.IFS(D390="In Touch - Positive",2,D390="Pending",1,D390="No Answer",4,D390="In Touch - Negative",3)</f>
        <v>2</v>
      </c>
      <c r="C390" s="16" t="s">
        <v>1953</v>
      </c>
      <c r="D390" s="99" t="str">
        <f t="shared" si="47"/>
        <v>In touch - Positive</v>
      </c>
      <c r="E390" s="12" t="s">
        <v>1116</v>
      </c>
      <c r="F390" s="12"/>
      <c r="G390" s="13" t="s">
        <v>271</v>
      </c>
      <c r="H390" s="14" t="s">
        <v>1117</v>
      </c>
      <c r="I390" s="13">
        <v>325011</v>
      </c>
      <c r="J390" s="13" t="s">
        <v>1010</v>
      </c>
      <c r="K390" s="15" t="s">
        <v>1118</v>
      </c>
      <c r="L390" s="15"/>
      <c r="M390" s="15"/>
      <c r="N390" s="15"/>
      <c r="O390" s="15"/>
      <c r="P390" s="15"/>
      <c r="Q390" s="15"/>
      <c r="R390" s="16"/>
      <c r="S390" s="35"/>
      <c r="T390" s="13">
        <v>2020</v>
      </c>
      <c r="U390" s="17">
        <v>22.431999999999999</v>
      </c>
      <c r="V390" s="17">
        <v>5.1219999999999999</v>
      </c>
      <c r="W390" s="60">
        <f t="shared" ref="W390:W404" si="50">+V390/U390</f>
        <v>0.22833452211126962</v>
      </c>
      <c r="X390" s="17">
        <v>3.3450000000000002</v>
      </c>
      <c r="Y390" s="17">
        <v>0.503</v>
      </c>
      <c r="Z390" s="16"/>
      <c r="AA390" s="15" t="s">
        <v>140</v>
      </c>
      <c r="AB390" s="17"/>
      <c r="AC390" s="21" t="s">
        <v>61</v>
      </c>
      <c r="AD390" s="21" t="s">
        <v>61</v>
      </c>
      <c r="AE390" s="17" t="s">
        <v>62</v>
      </c>
      <c r="AF390" s="17"/>
      <c r="AG390" s="15"/>
      <c r="AH390" s="16"/>
      <c r="AI390" s="16"/>
      <c r="AJ390" s="42">
        <f t="shared" ca="1" si="42"/>
        <v>1101</v>
      </c>
      <c r="AK390" s="42">
        <f t="shared" ca="1" si="43"/>
        <v>1051</v>
      </c>
      <c r="AL390" s="130" t="str">
        <f t="shared" si="44"/>
        <v>In touch - Positive</v>
      </c>
      <c r="AM390" s="37">
        <v>44563</v>
      </c>
      <c r="AN390" s="38">
        <v>44613</v>
      </c>
      <c r="AO390" s="38" t="s">
        <v>65</v>
      </c>
      <c r="AP390" s="38" t="s">
        <v>65</v>
      </c>
      <c r="AQ390" s="38" t="s">
        <v>65</v>
      </c>
      <c r="AR390" s="101" t="s">
        <v>1818</v>
      </c>
      <c r="AS390" s="38">
        <v>44613</v>
      </c>
      <c r="AT390" s="247"/>
    </row>
    <row r="391" spans="1:46" s="98" customFormat="1" x14ac:dyDescent="0.3">
      <c r="B391" s="16" cm="1">
        <f t="array" ref="B391">+_xlfn.IFS(D391="In Touch - Positive",2,D391="Pending",1,D391="No Answer",4,D391="In Touch - Negative",3)</f>
        <v>2</v>
      </c>
      <c r="C391" s="16" t="s">
        <v>1954</v>
      </c>
      <c r="D391" s="99" t="str">
        <f t="shared" si="47"/>
        <v>In touch - Positive</v>
      </c>
      <c r="E391" s="12" t="s">
        <v>1955</v>
      </c>
      <c r="F391" s="12"/>
      <c r="G391" s="13" t="s">
        <v>271</v>
      </c>
      <c r="H391" s="14" t="s">
        <v>1956</v>
      </c>
      <c r="I391" s="13"/>
      <c r="J391" s="13" t="s">
        <v>83</v>
      </c>
      <c r="K391" s="15" t="s">
        <v>1957</v>
      </c>
      <c r="L391" s="15"/>
      <c r="M391" s="15"/>
      <c r="N391" s="15"/>
      <c r="O391" s="15"/>
      <c r="P391" s="15"/>
      <c r="Q391" s="15"/>
      <c r="R391" s="16"/>
      <c r="S391" s="35"/>
      <c r="T391" s="13">
        <v>2020</v>
      </c>
      <c r="U391" s="17">
        <v>33.4</v>
      </c>
      <c r="V391" s="17">
        <v>3.552</v>
      </c>
      <c r="W391" s="60">
        <f t="shared" si="50"/>
        <v>0.10634730538922156</v>
      </c>
      <c r="X391" s="17">
        <v>1.3919999999999999</v>
      </c>
      <c r="Y391" s="17">
        <v>15.048999999999999</v>
      </c>
      <c r="Z391" s="16"/>
      <c r="AA391" s="15" t="s">
        <v>140</v>
      </c>
      <c r="AB391" s="17"/>
      <c r="AC391" s="21" t="s">
        <v>61</v>
      </c>
      <c r="AD391" s="21" t="s">
        <v>61</v>
      </c>
      <c r="AE391" s="17" t="s">
        <v>79</v>
      </c>
      <c r="AF391" s="17"/>
      <c r="AG391" s="15"/>
      <c r="AH391" s="16"/>
      <c r="AI391" s="16"/>
      <c r="AJ391" s="42">
        <f t="shared" ca="1" si="42"/>
        <v>1075</v>
      </c>
      <c r="AK391" s="42">
        <f t="shared" ca="1" si="43"/>
        <v>1057</v>
      </c>
      <c r="AL391" s="130" t="str">
        <f t="shared" si="44"/>
        <v>In touch - Positive</v>
      </c>
      <c r="AM391" s="37">
        <v>44589</v>
      </c>
      <c r="AN391" s="38">
        <v>44607</v>
      </c>
      <c r="AO391" s="38">
        <v>44607</v>
      </c>
      <c r="AP391" s="38" t="s">
        <v>65</v>
      </c>
      <c r="AQ391" s="38">
        <v>44625</v>
      </c>
      <c r="AR391" s="101" t="s">
        <v>1818</v>
      </c>
      <c r="AS391" s="38">
        <v>44607</v>
      </c>
      <c r="AT391" s="247"/>
    </row>
    <row r="392" spans="1:46" s="98" customFormat="1" x14ac:dyDescent="0.3">
      <c r="A392" s="16"/>
      <c r="B392" s="16" cm="1">
        <f t="array" ref="B392">+_xlfn.IFS(D392="In Touch - Positive",2,D392="Pending",1,D392="No Answer",4,D392="In Touch - Negative",3)</f>
        <v>2</v>
      </c>
      <c r="C392" s="16" t="s">
        <v>1958</v>
      </c>
      <c r="D392" s="99" t="str">
        <f t="shared" si="47"/>
        <v>In touch - Positive</v>
      </c>
      <c r="E392" s="12" t="s">
        <v>1212</v>
      </c>
      <c r="F392" s="12"/>
      <c r="G392" s="13" t="s">
        <v>326</v>
      </c>
      <c r="H392" s="14" t="s">
        <v>1213</v>
      </c>
      <c r="I392" s="13"/>
      <c r="J392" s="13" t="s">
        <v>83</v>
      </c>
      <c r="K392" s="15" t="s">
        <v>1214</v>
      </c>
      <c r="L392" s="15"/>
      <c r="M392" s="15"/>
      <c r="N392" s="15"/>
      <c r="O392" s="15"/>
      <c r="P392" s="15"/>
      <c r="Q392" s="15"/>
      <c r="R392" s="16"/>
      <c r="S392" s="35"/>
      <c r="T392" s="13">
        <v>2020</v>
      </c>
      <c r="U392" s="17">
        <v>34.075000000000003</v>
      </c>
      <c r="V392" s="17">
        <v>4.5350000000000001</v>
      </c>
      <c r="W392" s="60">
        <f t="shared" si="50"/>
        <v>0.1330887747615554</v>
      </c>
      <c r="X392" s="17">
        <v>1.9550000000000001</v>
      </c>
      <c r="Y392" s="17">
        <v>15.948</v>
      </c>
      <c r="Z392" s="16"/>
      <c r="AA392" s="15" t="s">
        <v>140</v>
      </c>
      <c r="AB392" s="17"/>
      <c r="AC392" s="21" t="s">
        <v>61</v>
      </c>
      <c r="AD392" s="21" t="s">
        <v>61</v>
      </c>
      <c r="AE392" s="17" t="s">
        <v>562</v>
      </c>
      <c r="AF392" s="17"/>
      <c r="AG392" s="15"/>
      <c r="AH392" s="16"/>
      <c r="AI392" s="16"/>
      <c r="AJ392" s="42">
        <f t="shared" ca="1" si="42"/>
        <v>1075</v>
      </c>
      <c r="AK392" s="42">
        <f t="shared" ca="1" si="43"/>
        <v>1065</v>
      </c>
      <c r="AL392" s="130" t="str">
        <f t="shared" si="44"/>
        <v>In touch - Positive</v>
      </c>
      <c r="AM392" s="37">
        <v>44589</v>
      </c>
      <c r="AN392" s="38">
        <v>44599</v>
      </c>
      <c r="AO392" s="38" t="s">
        <v>65</v>
      </c>
      <c r="AP392" s="38" t="s">
        <v>65</v>
      </c>
      <c r="AQ392" s="38">
        <v>44603</v>
      </c>
      <c r="AR392" s="101" t="s">
        <v>1818</v>
      </c>
      <c r="AS392" s="38">
        <v>44599</v>
      </c>
      <c r="AT392" s="11"/>
    </row>
    <row r="393" spans="1:46" s="98" customFormat="1" x14ac:dyDescent="0.3">
      <c r="A393" s="16"/>
      <c r="B393" s="16" cm="1">
        <f t="array" ref="B393">+_xlfn.IFS(D393="In Touch - Positive",2,D393="Pending",1,D393="No Answer",4,D393="In Touch - Negative",3)</f>
        <v>2</v>
      </c>
      <c r="C393" s="16" t="s">
        <v>1940</v>
      </c>
      <c r="D393" s="99" t="str">
        <f t="shared" ref="D393:D398" si="51">+AR393</f>
        <v>In touch - Positive</v>
      </c>
      <c r="E393" s="12" t="s">
        <v>1209</v>
      </c>
      <c r="F393" s="12"/>
      <c r="G393" s="13" t="s">
        <v>68</v>
      </c>
      <c r="H393" s="14" t="s">
        <v>1210</v>
      </c>
      <c r="I393" s="13">
        <v>259200</v>
      </c>
      <c r="J393" s="13" t="s">
        <v>202</v>
      </c>
      <c r="K393" s="15" t="s">
        <v>1211</v>
      </c>
      <c r="L393" s="15"/>
      <c r="M393" s="15"/>
      <c r="N393" s="15"/>
      <c r="O393" s="15"/>
      <c r="P393" s="15"/>
      <c r="Q393" s="15"/>
      <c r="R393" s="16"/>
      <c r="S393" s="35" t="s">
        <v>77</v>
      </c>
      <c r="T393" s="13">
        <v>2020</v>
      </c>
      <c r="U393" s="17">
        <v>41.8</v>
      </c>
      <c r="V393" s="17">
        <v>5.3</v>
      </c>
      <c r="W393" s="60">
        <f t="shared" si="50"/>
        <v>0.12679425837320574</v>
      </c>
      <c r="X393" s="17">
        <v>2.7</v>
      </c>
      <c r="Y393" s="17">
        <v>-0.83056600000000003</v>
      </c>
      <c r="Z393" s="16"/>
      <c r="AA393" s="15" t="s">
        <v>140</v>
      </c>
      <c r="AB393" s="17"/>
      <c r="AC393" s="21" t="s">
        <v>61</v>
      </c>
      <c r="AD393" s="21" t="s">
        <v>61</v>
      </c>
      <c r="AE393" s="17" t="s">
        <v>562</v>
      </c>
      <c r="AF393" s="17"/>
      <c r="AG393" s="15"/>
      <c r="AH393" s="16"/>
      <c r="AI393" s="16"/>
      <c r="AJ393" s="42">
        <f t="shared" ca="1" si="42"/>
        <v>1075</v>
      </c>
      <c r="AK393" s="42">
        <f t="shared" ca="1" si="43"/>
        <v>1065</v>
      </c>
      <c r="AL393" s="130" t="str">
        <f t="shared" si="44"/>
        <v>In touch - Positive</v>
      </c>
      <c r="AM393" s="37">
        <v>44589</v>
      </c>
      <c r="AN393" s="38">
        <v>44599</v>
      </c>
      <c r="AO393" s="38" t="s">
        <v>65</v>
      </c>
      <c r="AP393" s="38" t="s">
        <v>65</v>
      </c>
      <c r="AQ393" s="38" t="s">
        <v>65</v>
      </c>
      <c r="AR393" s="101" t="s">
        <v>1818</v>
      </c>
      <c r="AS393" s="38">
        <v>44599</v>
      </c>
      <c r="AT393" s="11"/>
    </row>
    <row r="394" spans="1:46" s="98" customFormat="1" x14ac:dyDescent="0.3">
      <c r="A394" s="16"/>
      <c r="B394" s="16" cm="1">
        <f t="array" ref="B394">+_xlfn.IFS(D394="In Touch - Positive",2,D394="Pending",1,D394="No Answer",4,D394="In Touch - Negative",3)</f>
        <v>2</v>
      </c>
      <c r="C394" s="16" t="s">
        <v>1951</v>
      </c>
      <c r="D394" s="99" t="str">
        <f t="shared" si="51"/>
        <v>In touch - Positive</v>
      </c>
      <c r="E394" s="12" t="s">
        <v>1165</v>
      </c>
      <c r="F394" s="12"/>
      <c r="G394" s="13" t="s">
        <v>174</v>
      </c>
      <c r="H394" s="41" t="s">
        <v>1166</v>
      </c>
      <c r="I394" s="14" t="s">
        <v>1167</v>
      </c>
      <c r="J394" s="13" t="s">
        <v>1168</v>
      </c>
      <c r="K394" s="15" t="s">
        <v>1169</v>
      </c>
      <c r="L394" s="15" t="s">
        <v>1170</v>
      </c>
      <c r="M394" s="15" t="s">
        <v>1170</v>
      </c>
      <c r="N394" s="15"/>
      <c r="O394" s="15"/>
      <c r="P394" s="15"/>
      <c r="Q394" s="15"/>
      <c r="R394" s="16"/>
      <c r="S394" s="35" t="s">
        <v>144</v>
      </c>
      <c r="T394" s="13">
        <v>2020</v>
      </c>
      <c r="U394" s="17">
        <v>40.799999999999997</v>
      </c>
      <c r="V394" s="17">
        <v>10.7</v>
      </c>
      <c r="W394" s="60">
        <f t="shared" si="50"/>
        <v>0.26225490196078433</v>
      </c>
      <c r="X394" s="17">
        <v>0.7</v>
      </c>
      <c r="Y394" s="17">
        <v>24.5</v>
      </c>
      <c r="Z394" s="16"/>
      <c r="AA394" s="15" t="s">
        <v>140</v>
      </c>
      <c r="AB394" s="17"/>
      <c r="AC394" s="21" t="s">
        <v>61</v>
      </c>
      <c r="AD394" s="21" t="s">
        <v>61</v>
      </c>
      <c r="AE394" s="17" t="s">
        <v>79</v>
      </c>
      <c r="AF394" s="17"/>
      <c r="AG394" s="15"/>
      <c r="AH394" s="16"/>
      <c r="AI394" s="16"/>
      <c r="AJ394" s="42">
        <f t="shared" ca="1" si="42"/>
        <v>1090</v>
      </c>
      <c r="AK394" s="42">
        <f t="shared" ca="1" si="43"/>
        <v>1086</v>
      </c>
      <c r="AL394" s="130" t="str">
        <f t="shared" si="44"/>
        <v>In touch - Positive</v>
      </c>
      <c r="AM394" s="37">
        <v>44574</v>
      </c>
      <c r="AN394" s="38">
        <v>44578</v>
      </c>
      <c r="AO394" s="38" t="s">
        <v>65</v>
      </c>
      <c r="AP394" s="38"/>
      <c r="AQ394" s="38" t="s">
        <v>65</v>
      </c>
      <c r="AR394" s="101" t="s">
        <v>1818</v>
      </c>
      <c r="AS394" s="38">
        <v>44578</v>
      </c>
      <c r="AT394" s="11"/>
    </row>
    <row r="395" spans="1:46" s="98" customFormat="1" x14ac:dyDescent="0.3">
      <c r="A395" s="16"/>
      <c r="B395" s="16" cm="1">
        <f t="array" ref="B395">+_xlfn.IFS(D395="In Touch - Positive",2,D395="Pending",1,D395="No Answer",4,D395="In Touch - Negative",3)</f>
        <v>2</v>
      </c>
      <c r="C395" s="16" t="s">
        <v>1951</v>
      </c>
      <c r="D395" s="99" t="str">
        <f t="shared" si="51"/>
        <v>In touch - Positive</v>
      </c>
      <c r="E395" s="12" t="s">
        <v>1266</v>
      </c>
      <c r="F395" s="12"/>
      <c r="G395" s="13" t="s">
        <v>272</v>
      </c>
      <c r="H395" s="41" t="s">
        <v>1267</v>
      </c>
      <c r="I395" s="14" t="s">
        <v>1167</v>
      </c>
      <c r="J395" s="13" t="s">
        <v>1168</v>
      </c>
      <c r="K395" s="15" t="s">
        <v>1268</v>
      </c>
      <c r="L395" s="15" t="s">
        <v>1269</v>
      </c>
      <c r="M395" s="15" t="s">
        <v>1269</v>
      </c>
      <c r="N395" s="15"/>
      <c r="O395" s="15"/>
      <c r="P395" s="15"/>
      <c r="Q395" s="15"/>
      <c r="R395" s="16"/>
      <c r="S395" s="35" t="s">
        <v>77</v>
      </c>
      <c r="T395" s="13">
        <v>2020</v>
      </c>
      <c r="U395" s="17">
        <v>39.561999999999998</v>
      </c>
      <c r="V395" s="17">
        <v>2.1</v>
      </c>
      <c r="W395" s="60">
        <f t="shared" si="50"/>
        <v>5.3081239573327943E-2</v>
      </c>
      <c r="X395" s="17">
        <v>0.28999999999999998</v>
      </c>
      <c r="Y395" s="17">
        <v>13.1</v>
      </c>
      <c r="Z395" s="16"/>
      <c r="AA395" s="15" t="s">
        <v>140</v>
      </c>
      <c r="AB395" s="17"/>
      <c r="AC395" s="21" t="s">
        <v>61</v>
      </c>
      <c r="AD395" s="21" t="s">
        <v>61</v>
      </c>
      <c r="AE395" s="17" t="s">
        <v>79</v>
      </c>
      <c r="AF395" s="17"/>
      <c r="AG395" s="15"/>
      <c r="AH395" s="16"/>
      <c r="AI395" s="16"/>
      <c r="AJ395" s="42">
        <f t="shared" ca="1" si="42"/>
        <v>1090</v>
      </c>
      <c r="AK395" s="42">
        <f t="shared" ca="1" si="43"/>
        <v>1086</v>
      </c>
      <c r="AL395" s="130" t="str">
        <f t="shared" si="44"/>
        <v>In touch - Positive</v>
      </c>
      <c r="AM395" s="37">
        <v>44574</v>
      </c>
      <c r="AN395" s="38">
        <v>44578</v>
      </c>
      <c r="AO395" s="38" t="s">
        <v>65</v>
      </c>
      <c r="AP395" s="38" t="s">
        <v>65</v>
      </c>
      <c r="AQ395" s="38" t="s">
        <v>65</v>
      </c>
      <c r="AR395" s="101" t="s">
        <v>1818</v>
      </c>
      <c r="AS395" s="38">
        <v>44578</v>
      </c>
      <c r="AT395" s="11"/>
    </row>
    <row r="396" spans="1:46" s="98" customFormat="1" x14ac:dyDescent="0.3">
      <c r="A396" s="16"/>
      <c r="B396" s="16" cm="1">
        <f t="array" ref="B396">+_xlfn.IFS(D396="In Touch - Positive",2,D396="Pending",1,D396="No Answer",4,D396="In Touch - Negative",3)</f>
        <v>2</v>
      </c>
      <c r="C396" s="16" t="s">
        <v>1049</v>
      </c>
      <c r="D396" s="99" t="str">
        <f t="shared" si="51"/>
        <v>In touch - Positive</v>
      </c>
      <c r="E396" s="20" t="s">
        <v>1020</v>
      </c>
      <c r="F396" s="20"/>
      <c r="G396" s="13" t="s">
        <v>856</v>
      </c>
      <c r="H396" s="14" t="s">
        <v>857</v>
      </c>
      <c r="I396" s="14" t="s">
        <v>858</v>
      </c>
      <c r="J396" s="13" t="s">
        <v>779</v>
      </c>
      <c r="K396" s="15" t="s">
        <v>780</v>
      </c>
      <c r="L396" s="15" t="s">
        <v>859</v>
      </c>
      <c r="M396" s="15" t="s">
        <v>859</v>
      </c>
      <c r="N396" s="15" t="s">
        <v>860</v>
      </c>
      <c r="O396" s="15" t="s">
        <v>859</v>
      </c>
      <c r="P396" s="15"/>
      <c r="Q396" s="15"/>
      <c r="R396" s="16"/>
      <c r="S396" s="35" t="s">
        <v>77</v>
      </c>
      <c r="T396" s="13">
        <v>2019</v>
      </c>
      <c r="U396" s="17">
        <v>14.6</v>
      </c>
      <c r="V396" s="17">
        <v>2.2000000000000002</v>
      </c>
      <c r="W396" s="60">
        <f t="shared" si="50"/>
        <v>0.15068493150684933</v>
      </c>
      <c r="X396" s="17">
        <v>1.4</v>
      </c>
      <c r="Y396" s="17">
        <v>-3</v>
      </c>
      <c r="Z396" s="16"/>
      <c r="AA396" s="15" t="s">
        <v>299</v>
      </c>
      <c r="AB396" s="17"/>
      <c r="AC396" s="17" t="s">
        <v>61</v>
      </c>
      <c r="AD396" s="17" t="s">
        <v>61</v>
      </c>
      <c r="AE396" s="17" t="s">
        <v>86</v>
      </c>
      <c r="AF396" s="17"/>
      <c r="AG396" s="15"/>
      <c r="AH396" s="16"/>
      <c r="AI396" s="16"/>
      <c r="AJ396" s="42">
        <f t="shared" ref="AJ396:AJ459" ca="1" si="52">+TODAY()-AM396</f>
        <v>1342</v>
      </c>
      <c r="AK396" s="42">
        <f t="shared" ref="AK396:AK459" ca="1" si="53">+TODAY()-AS396</f>
        <v>1338</v>
      </c>
      <c r="AL396" s="130" t="str">
        <f t="shared" ref="AL396:AL459" si="54">+IF(D396="Pending",COUNTA(AM396:AQ396)/5,D396)</f>
        <v>In touch - Positive</v>
      </c>
      <c r="AM396" s="37">
        <v>44322</v>
      </c>
      <c r="AN396" s="38">
        <v>44326</v>
      </c>
      <c r="AO396" s="38" t="s">
        <v>65</v>
      </c>
      <c r="AP396" s="1275"/>
      <c r="AQ396" s="38">
        <v>44313</v>
      </c>
      <c r="AR396" s="101" t="s">
        <v>1818</v>
      </c>
      <c r="AS396" s="38">
        <v>44326</v>
      </c>
      <c r="AT396" s="11"/>
    </row>
    <row r="397" spans="1:46" s="98" customFormat="1" x14ac:dyDescent="0.3">
      <c r="A397" s="135">
        <f>+COUNTIF(D:D, "In touch - Negative")</f>
        <v>140</v>
      </c>
      <c r="B397" s="16" cm="1">
        <f t="array" ref="B397">+_xlfn.IFS(D397="In Touch - Positive",2,D397="Pending",1,D397="No Answer",4,D397="In Touch - Negative",3)</f>
        <v>3</v>
      </c>
      <c r="C397" s="16" t="s">
        <v>5196</v>
      </c>
      <c r="D397" s="20" t="str">
        <f t="shared" si="51"/>
        <v>In touch - Negative</v>
      </c>
      <c r="E397" s="20" t="s">
        <v>5426</v>
      </c>
      <c r="F397" s="13"/>
      <c r="G397" s="13" t="s">
        <v>174</v>
      </c>
      <c r="H397" s="13" t="s">
        <v>5429</v>
      </c>
      <c r="I397" s="15"/>
      <c r="J397" s="15" t="s">
        <v>3207</v>
      </c>
      <c r="K397" s="15" t="s">
        <v>5432</v>
      </c>
      <c r="L397" s="15" t="s">
        <v>5433</v>
      </c>
      <c r="M397" s="15"/>
      <c r="N397" s="15"/>
      <c r="O397" s="15"/>
      <c r="P397" s="15"/>
      <c r="Q397" s="15"/>
      <c r="R397" s="1381"/>
      <c r="S397" s="1316" t="s">
        <v>77</v>
      </c>
      <c r="T397" s="1316">
        <v>2023</v>
      </c>
      <c r="U397" s="1265">
        <v>9.8000000000000007</v>
      </c>
      <c r="V397" s="1265">
        <v>2.1</v>
      </c>
      <c r="W397" s="1320">
        <f t="shared" si="50"/>
        <v>0.21428571428571427</v>
      </c>
      <c r="X397" s="1265">
        <v>1.1599999999999999</v>
      </c>
      <c r="Y397" s="1265">
        <v>0.05</v>
      </c>
      <c r="Z397" s="24"/>
      <c r="AA397" s="15" t="s">
        <v>140</v>
      </c>
      <c r="AB397" s="21"/>
      <c r="AC397" s="21" t="s">
        <v>273</v>
      </c>
      <c r="AD397" s="21" t="s">
        <v>273</v>
      </c>
      <c r="AE397" s="21" t="s">
        <v>273</v>
      </c>
      <c r="AF397" s="15"/>
      <c r="AG397" s="15"/>
      <c r="AH397" s="16"/>
      <c r="AI397" s="1382"/>
      <c r="AJ397" s="42">
        <f t="shared" ca="1" si="52"/>
        <v>98</v>
      </c>
      <c r="AK397" s="42">
        <f t="shared" ca="1" si="53"/>
        <v>34</v>
      </c>
      <c r="AL397" s="130" t="str">
        <f t="shared" si="54"/>
        <v>In touch - Negative</v>
      </c>
      <c r="AM397" s="37">
        <v>45566</v>
      </c>
      <c r="AN397" s="38">
        <v>45630</v>
      </c>
      <c r="AO397" s="38"/>
      <c r="AP397" s="38"/>
      <c r="AQ397" s="101"/>
      <c r="AR397" s="101" t="s">
        <v>1963</v>
      </c>
      <c r="AS397" s="37">
        <v>45630</v>
      </c>
      <c r="AT397" s="11"/>
    </row>
    <row r="398" spans="1:46" s="98" customFormat="1" x14ac:dyDescent="0.3">
      <c r="B398" s="16" cm="1">
        <f t="array" ref="B398">+_xlfn.IFS(D398="In Touch - Positive",2,D398="Pending",1,D398="No Answer",4,D398="In Touch - Negative",3)</f>
        <v>3</v>
      </c>
      <c r="C398" s="16" t="s">
        <v>5196</v>
      </c>
      <c r="D398" s="20" t="str">
        <f t="shared" si="51"/>
        <v>In touch - Negative</v>
      </c>
      <c r="E398" s="12" t="s">
        <v>5197</v>
      </c>
      <c r="F398" s="20"/>
      <c r="G398" s="13" t="s">
        <v>103</v>
      </c>
      <c r="H398" s="14" t="s">
        <v>5202</v>
      </c>
      <c r="I398" s="13"/>
      <c r="J398" s="15" t="s">
        <v>3207</v>
      </c>
      <c r="K398" s="15" t="s">
        <v>5204</v>
      </c>
      <c r="L398" s="15"/>
      <c r="M398" s="15"/>
      <c r="N398" s="15"/>
      <c r="O398" s="15"/>
      <c r="P398" s="15"/>
      <c r="Q398" s="15"/>
      <c r="R398" s="16"/>
      <c r="S398" s="35" t="s">
        <v>77</v>
      </c>
      <c r="T398" s="13">
        <v>2023</v>
      </c>
      <c r="U398" s="17">
        <v>26.8</v>
      </c>
      <c r="V398" s="17">
        <v>5.3</v>
      </c>
      <c r="W398" s="248">
        <f t="shared" si="50"/>
        <v>0.19776119402985073</v>
      </c>
      <c r="X398" s="17"/>
      <c r="Y398" s="17">
        <v>3.39</v>
      </c>
      <c r="Z398" s="16"/>
      <c r="AA398" s="15" t="s">
        <v>140</v>
      </c>
      <c r="AB398" s="17"/>
      <c r="AC398" s="21" t="s">
        <v>153</v>
      </c>
      <c r="AD398" s="21" t="s">
        <v>273</v>
      </c>
      <c r="AE398" s="21" t="s">
        <v>273</v>
      </c>
      <c r="AF398" s="17"/>
      <c r="AG398" s="15"/>
      <c r="AH398" s="16"/>
      <c r="AI398" s="16"/>
      <c r="AJ398" s="42">
        <f t="shared" ca="1" si="52"/>
        <v>62</v>
      </c>
      <c r="AK398" s="42">
        <f t="shared" ca="1" si="53"/>
        <v>62</v>
      </c>
      <c r="AL398" s="130" t="str">
        <f t="shared" si="54"/>
        <v>In touch - Negative</v>
      </c>
      <c r="AM398" s="37">
        <v>45602</v>
      </c>
      <c r="AN398" s="38">
        <v>45614</v>
      </c>
      <c r="AO398" s="38">
        <v>45622</v>
      </c>
      <c r="AP398" s="38"/>
      <c r="AQ398" s="38"/>
      <c r="AR398" s="1221" t="s">
        <v>1963</v>
      </c>
      <c r="AS398" s="37">
        <v>45602</v>
      </c>
      <c r="AT398" s="11"/>
    </row>
    <row r="399" spans="1:46" s="98" customFormat="1" x14ac:dyDescent="0.3">
      <c r="A399" s="16"/>
      <c r="B399" s="836" cm="1">
        <f t="array" ref="B399">+_xlfn.IFS(D399="In Touch - Positive",2,D399="Pending",1,D399="No Answer",4,D399="In Touch - Negative",3)</f>
        <v>3</v>
      </c>
      <c r="C399" s="836" t="s">
        <v>4370</v>
      </c>
      <c r="D399" s="1383" t="str">
        <f>AR399</f>
        <v>In touch - Negative</v>
      </c>
      <c r="E399" s="835" t="s">
        <v>4375</v>
      </c>
      <c r="F399" s="852"/>
      <c r="G399" s="839" t="s">
        <v>945</v>
      </c>
      <c r="H399" s="840" t="s">
        <v>4388</v>
      </c>
      <c r="I399" s="839"/>
      <c r="J399" s="834" t="s">
        <v>4357</v>
      </c>
      <c r="K399" s="834" t="s">
        <v>4358</v>
      </c>
      <c r="L399" s="834" t="s">
        <v>4400</v>
      </c>
      <c r="M399" s="834"/>
      <c r="N399" s="834"/>
      <c r="O399" s="834"/>
      <c r="P399" s="834"/>
      <c r="Q399" s="834"/>
      <c r="R399" s="836"/>
      <c r="S399" s="841" t="s">
        <v>77</v>
      </c>
      <c r="T399" s="839">
        <v>2023</v>
      </c>
      <c r="U399" s="842">
        <v>8.6999999999999993</v>
      </c>
      <c r="V399" s="842">
        <v>5.27</v>
      </c>
      <c r="W399" s="843">
        <f t="shared" si="50"/>
        <v>0.60574712643678164</v>
      </c>
      <c r="X399" s="842"/>
      <c r="Y399" s="842"/>
      <c r="Z399" s="836"/>
      <c r="AA399" s="834" t="s">
        <v>140</v>
      </c>
      <c r="AB399" s="842"/>
      <c r="AC399" s="844" t="s">
        <v>61</v>
      </c>
      <c r="AD399" s="844" t="s">
        <v>61</v>
      </c>
      <c r="AE399" s="844" t="s">
        <v>86</v>
      </c>
      <c r="AF399" s="842"/>
      <c r="AG399" s="834"/>
      <c r="AH399" s="836"/>
      <c r="AI399" s="836"/>
      <c r="AJ399" s="845">
        <f t="shared" ca="1" si="52"/>
        <v>152</v>
      </c>
      <c r="AK399" s="845">
        <f t="shared" ca="1" si="53"/>
        <v>124</v>
      </c>
      <c r="AL399" s="846" t="str">
        <f t="shared" si="54"/>
        <v>In touch - Negative</v>
      </c>
      <c r="AM399" s="847">
        <v>45512</v>
      </c>
      <c r="AN399" s="848">
        <v>45540</v>
      </c>
      <c r="AO399" s="848">
        <v>45551</v>
      </c>
      <c r="AP399" s="848"/>
      <c r="AQ399" s="848"/>
      <c r="AR399" s="849" t="s">
        <v>1963</v>
      </c>
      <c r="AS399" s="848">
        <v>45540</v>
      </c>
      <c r="AT399" s="11"/>
    </row>
    <row r="400" spans="1:46" s="98" customFormat="1" x14ac:dyDescent="0.3">
      <c r="A400" s="16"/>
      <c r="B400" s="1266" cm="1">
        <f t="array" ref="B400">+_xlfn.IFS(D400="In Touch - Positive",2,D400="Pending",1,D400="No Answer",4,D400="In Touch - Negative",3)</f>
        <v>3</v>
      </c>
      <c r="C400" s="1266" t="s">
        <v>5312</v>
      </c>
      <c r="D400" s="1267" t="str">
        <f>+AR400</f>
        <v>In touch - Negative</v>
      </c>
      <c r="E400" s="1268" t="s">
        <v>5315</v>
      </c>
      <c r="F400" s="1267"/>
      <c r="G400" s="1270"/>
      <c r="H400" s="1269"/>
      <c r="I400" s="1270"/>
      <c r="J400" s="1271" t="s">
        <v>132</v>
      </c>
      <c r="K400" s="1271"/>
      <c r="L400" s="1271" t="s">
        <v>5316</v>
      </c>
      <c r="M400" s="1271"/>
      <c r="N400" s="1271"/>
      <c r="O400" s="1271"/>
      <c r="P400" s="1271"/>
      <c r="Q400" s="1271"/>
      <c r="R400" s="1266"/>
      <c r="S400" s="1272"/>
      <c r="T400" s="1270"/>
      <c r="U400" s="1265"/>
      <c r="V400" s="1265"/>
      <c r="W400" s="1292" t="e">
        <f t="shared" si="50"/>
        <v>#DIV/0!</v>
      </c>
      <c r="X400" s="1265"/>
      <c r="Y400" s="1265"/>
      <c r="Z400" s="1266"/>
      <c r="AA400" s="1271" t="s">
        <v>140</v>
      </c>
      <c r="AB400" s="1265"/>
      <c r="AC400" s="1264" t="s">
        <v>62</v>
      </c>
      <c r="AD400" s="1264" t="s">
        <v>62</v>
      </c>
      <c r="AE400" s="1264" t="s">
        <v>62</v>
      </c>
      <c r="AF400" s="1265"/>
      <c r="AG400" s="1271"/>
      <c r="AH400" s="1266"/>
      <c r="AI400" s="1266"/>
      <c r="AJ400" s="1273">
        <f t="shared" ca="1" si="52"/>
        <v>50</v>
      </c>
      <c r="AK400" s="1273">
        <f t="shared" ca="1" si="53"/>
        <v>50</v>
      </c>
      <c r="AL400" s="1293" t="str">
        <f t="shared" si="54"/>
        <v>In touch - Negative</v>
      </c>
      <c r="AM400" s="1274">
        <v>45614</v>
      </c>
      <c r="AN400" s="1275">
        <v>45614</v>
      </c>
      <c r="AO400" s="1275"/>
      <c r="AP400" s="1236" t="s">
        <v>65</v>
      </c>
      <c r="AQ400" s="1275"/>
      <c r="AR400" s="1294" t="s">
        <v>1963</v>
      </c>
      <c r="AS400" s="1274">
        <v>45614</v>
      </c>
      <c r="AT400" s="11"/>
    </row>
    <row r="401" spans="1:46" s="98" customFormat="1" x14ac:dyDescent="0.3">
      <c r="A401" s="16"/>
      <c r="B401" s="16" cm="1">
        <f t="array" ref="B401">+_xlfn.IFS(D401="In Touch - Positive",2,D401="Pending",1,D401="No Answer",4,D401="In Touch - Negative",3)</f>
        <v>3</v>
      </c>
      <c r="C401" s="16" t="s">
        <v>5066</v>
      </c>
      <c r="D401" s="1132" t="str">
        <f>+AR401</f>
        <v>In touch - Negative</v>
      </c>
      <c r="E401" s="1133" t="s">
        <v>4937</v>
      </c>
      <c r="F401" s="1116"/>
      <c r="G401" s="13" t="s">
        <v>271</v>
      </c>
      <c r="H401" s="1118" t="s">
        <v>4941</v>
      </c>
      <c r="I401" s="1117"/>
      <c r="J401" s="15" t="s">
        <v>1545</v>
      </c>
      <c r="K401" s="15" t="s">
        <v>4942</v>
      </c>
      <c r="L401" s="15" t="s">
        <v>5205</v>
      </c>
      <c r="M401" s="1114" t="s">
        <v>4949</v>
      </c>
      <c r="N401" s="1114" t="s">
        <v>4950</v>
      </c>
      <c r="O401" s="1114"/>
      <c r="P401" s="1114"/>
      <c r="Q401" s="1114"/>
      <c r="R401" s="1115"/>
      <c r="S401" s="1119" t="s">
        <v>77</v>
      </c>
      <c r="T401" s="1117">
        <v>2022</v>
      </c>
      <c r="U401" s="1120">
        <v>7.5394209999999999</v>
      </c>
      <c r="V401" s="1120">
        <v>1.749668</v>
      </c>
      <c r="W401" s="1134">
        <f t="shared" si="50"/>
        <v>0.23206927959056803</v>
      </c>
      <c r="X401" s="1120">
        <v>0.59140000000000004</v>
      </c>
      <c r="Y401" s="1120">
        <v>-3.44055</v>
      </c>
      <c r="Z401" s="1115"/>
      <c r="AA401" s="1114" t="s">
        <v>140</v>
      </c>
      <c r="AB401" s="1120"/>
      <c r="AC401" s="1122" t="s">
        <v>78</v>
      </c>
      <c r="AD401" s="1122" t="s">
        <v>4423</v>
      </c>
      <c r="AE401" s="1122" t="s">
        <v>4423</v>
      </c>
      <c r="AF401" s="1120"/>
      <c r="AG401" s="1114"/>
      <c r="AH401" s="1115"/>
      <c r="AI401" s="1115"/>
      <c r="AJ401" s="1123">
        <f t="shared" ca="1" si="52"/>
        <v>78</v>
      </c>
      <c r="AK401" s="1123">
        <f t="shared" ca="1" si="53"/>
        <v>57</v>
      </c>
      <c r="AL401" s="1135" t="str">
        <f t="shared" si="54"/>
        <v>In touch - Negative</v>
      </c>
      <c r="AM401" s="1124">
        <v>45586</v>
      </c>
      <c r="AN401" s="1125">
        <v>45595</v>
      </c>
      <c r="AO401" s="1125">
        <v>45607</v>
      </c>
      <c r="AP401" s="38" t="s">
        <v>5078</v>
      </c>
      <c r="AQ401" s="1125">
        <v>45610</v>
      </c>
      <c r="AR401" s="1136" t="s">
        <v>1963</v>
      </c>
      <c r="AS401" s="1124">
        <v>45607</v>
      </c>
      <c r="AT401" s="11"/>
    </row>
    <row r="402" spans="1:46" s="98" customFormat="1" x14ac:dyDescent="0.3">
      <c r="A402" s="16"/>
      <c r="B402" s="890" cm="1">
        <f t="array" ref="B402">+_xlfn.IFS(D402="In Touch - Positive",2,D402="Pending",1,D402="No Answer",4,D402="In Touch - Negative",3)</f>
        <v>3</v>
      </c>
      <c r="C402" s="890" t="s">
        <v>4350</v>
      </c>
      <c r="D402" s="99" t="s">
        <v>1963</v>
      </c>
      <c r="E402" s="892" t="s">
        <v>4458</v>
      </c>
      <c r="F402" s="893"/>
      <c r="G402" s="1080" t="s">
        <v>856</v>
      </c>
      <c r="H402" s="1079" t="s">
        <v>4839</v>
      </c>
      <c r="I402" s="894"/>
      <c r="J402" s="915" t="s">
        <v>5079</v>
      </c>
      <c r="K402" s="896"/>
      <c r="L402" s="15" t="s">
        <v>5080</v>
      </c>
      <c r="M402" s="896"/>
      <c r="N402" s="896"/>
      <c r="O402" s="896"/>
      <c r="P402" s="896"/>
      <c r="Q402" s="896"/>
      <c r="R402" s="890"/>
      <c r="S402" s="897"/>
      <c r="T402" s="894"/>
      <c r="U402" s="887"/>
      <c r="V402" s="887"/>
      <c r="W402" s="898" t="e">
        <f t="shared" si="50"/>
        <v>#DIV/0!</v>
      </c>
      <c r="X402" s="887"/>
      <c r="Y402" s="887"/>
      <c r="Z402" s="890"/>
      <c r="AA402" s="896" t="s">
        <v>140</v>
      </c>
      <c r="AB402" s="887"/>
      <c r="AC402" s="899"/>
      <c r="AD402" s="899" t="s">
        <v>62</v>
      </c>
      <c r="AE402" s="887"/>
      <c r="AF402" s="887"/>
      <c r="AG402" s="896"/>
      <c r="AH402" s="890"/>
      <c r="AI402" s="890"/>
      <c r="AJ402" s="900">
        <f t="shared" ca="1" si="52"/>
        <v>119</v>
      </c>
      <c r="AK402" s="928">
        <f t="shared" ca="1" si="53"/>
        <v>68</v>
      </c>
      <c r="AL402" s="901" t="str">
        <f t="shared" si="54"/>
        <v>In touch - Negative</v>
      </c>
      <c r="AM402" s="902">
        <v>45545</v>
      </c>
      <c r="AN402" s="1010">
        <v>45588</v>
      </c>
      <c r="AO402" s="38" t="s">
        <v>65</v>
      </c>
      <c r="AP402" s="38"/>
      <c r="AQ402" s="888">
        <v>45596</v>
      </c>
      <c r="AR402" s="903" t="s">
        <v>1770</v>
      </c>
      <c r="AS402" s="1009">
        <v>45596</v>
      </c>
      <c r="AT402" s="11"/>
    </row>
    <row r="403" spans="1:46" s="98" customFormat="1" x14ac:dyDescent="0.3">
      <c r="B403" s="16" cm="1">
        <f t="array" ref="B403">+_xlfn.IFS(D403="In Touch - Positive",2,D403="Pending",1,D403="No Answer",4,D403="In Touch - Negative",3)</f>
        <v>3</v>
      </c>
      <c r="C403" s="16" t="s">
        <v>5067</v>
      </c>
      <c r="D403" s="99" t="str">
        <f>+AR403</f>
        <v>In touch - Negative</v>
      </c>
      <c r="E403" s="12" t="s">
        <v>4901</v>
      </c>
      <c r="F403" s="20"/>
      <c r="G403" s="13" t="s">
        <v>166</v>
      </c>
      <c r="H403" s="14" t="s">
        <v>4909</v>
      </c>
      <c r="I403" s="13"/>
      <c r="J403" s="15" t="s">
        <v>4907</v>
      </c>
      <c r="K403" s="15" t="s">
        <v>4908</v>
      </c>
      <c r="L403" s="15"/>
      <c r="M403" s="15" t="s">
        <v>4918</v>
      </c>
      <c r="N403" s="15"/>
      <c r="O403" s="15" t="s">
        <v>4933</v>
      </c>
      <c r="P403" s="15" t="s">
        <v>4918</v>
      </c>
      <c r="Q403" s="15"/>
      <c r="R403" s="16"/>
      <c r="S403" s="35" t="s">
        <v>77</v>
      </c>
      <c r="T403" s="13">
        <v>2023</v>
      </c>
      <c r="U403" s="17">
        <v>14.884036</v>
      </c>
      <c r="V403" s="17">
        <v>2.2120059999999997</v>
      </c>
      <c r="W403" s="248">
        <f t="shared" si="50"/>
        <v>0.14861600710989947</v>
      </c>
      <c r="X403" s="17">
        <v>0.93181100000000006</v>
      </c>
      <c r="Y403" s="17">
        <v>1.7261389999999999</v>
      </c>
      <c r="Z403" s="16"/>
      <c r="AA403" s="15" t="s">
        <v>140</v>
      </c>
      <c r="AB403" s="17"/>
      <c r="AC403" s="21" t="s">
        <v>61</v>
      </c>
      <c r="AD403" s="21" t="s">
        <v>4423</v>
      </c>
      <c r="AE403" s="21" t="s">
        <v>4423</v>
      </c>
      <c r="AF403" s="17"/>
      <c r="AG403" s="15"/>
      <c r="AH403" s="16"/>
      <c r="AI403" s="16"/>
      <c r="AJ403" s="42">
        <f t="shared" ca="1" si="52"/>
        <v>78</v>
      </c>
      <c r="AK403" s="42">
        <f t="shared" ca="1" si="53"/>
        <v>56</v>
      </c>
      <c r="AL403" s="130" t="str">
        <f t="shared" si="54"/>
        <v>In touch - Negative</v>
      </c>
      <c r="AM403" s="37">
        <v>45586</v>
      </c>
      <c r="AN403" s="38">
        <v>45595</v>
      </c>
      <c r="AO403" s="38">
        <v>45607</v>
      </c>
      <c r="AP403" s="38" t="s">
        <v>65</v>
      </c>
      <c r="AQ403" s="38">
        <v>45608</v>
      </c>
      <c r="AR403" s="101" t="s">
        <v>1963</v>
      </c>
      <c r="AS403" s="37">
        <v>45608</v>
      </c>
      <c r="AT403" s="11"/>
    </row>
    <row r="404" spans="1:46" s="98" customFormat="1" x14ac:dyDescent="0.3">
      <c r="A404" s="16"/>
      <c r="B404" s="16" cm="1">
        <f t="array" ref="B404">+_xlfn.IFS(D404="In Touch - Positive",2,D404="Pending",1,D404="No Answer",4,D404="In Touch - Negative",3)</f>
        <v>3</v>
      </c>
      <c r="C404" s="16" t="s">
        <v>5067</v>
      </c>
      <c r="D404" s="99" t="s">
        <v>4881</v>
      </c>
      <c r="E404" s="12" t="s">
        <v>4906</v>
      </c>
      <c r="F404" s="20"/>
      <c r="G404" s="13" t="s">
        <v>103</v>
      </c>
      <c r="H404" s="14" t="s">
        <v>4916</v>
      </c>
      <c r="I404" s="13"/>
      <c r="J404" s="15" t="s">
        <v>4907</v>
      </c>
      <c r="K404" s="15" t="s">
        <v>4908</v>
      </c>
      <c r="L404" s="15"/>
      <c r="M404" s="15" t="s">
        <v>4931</v>
      </c>
      <c r="N404" s="15" t="s">
        <v>4932</v>
      </c>
      <c r="O404" s="15"/>
      <c r="P404" s="15"/>
      <c r="Q404" s="15"/>
      <c r="R404" s="16"/>
      <c r="S404" s="35" t="s">
        <v>77</v>
      </c>
      <c r="T404" s="13">
        <v>2023</v>
      </c>
      <c r="U404" s="17">
        <v>2.2259360000000004</v>
      </c>
      <c r="V404" s="17">
        <v>0.51838699999999993</v>
      </c>
      <c r="W404" s="248">
        <f t="shared" si="50"/>
        <v>0.23288495266710266</v>
      </c>
      <c r="X404" s="17">
        <v>0.26167800000000002</v>
      </c>
      <c r="Y404" s="17" t="s">
        <v>236</v>
      </c>
      <c r="Z404" s="16"/>
      <c r="AA404" s="15" t="s">
        <v>140</v>
      </c>
      <c r="AB404" s="17"/>
      <c r="AC404" s="21" t="s">
        <v>61</v>
      </c>
      <c r="AD404" s="21" t="s">
        <v>62</v>
      </c>
      <c r="AE404" s="21" t="s">
        <v>62</v>
      </c>
      <c r="AF404" s="17"/>
      <c r="AG404" s="15"/>
      <c r="AH404" s="16"/>
      <c r="AI404" s="16"/>
      <c r="AJ404" s="42">
        <f t="shared" ca="1" si="52"/>
        <v>78</v>
      </c>
      <c r="AK404" s="42">
        <f t="shared" ca="1" si="53"/>
        <v>68</v>
      </c>
      <c r="AL404" s="130" t="str">
        <f t="shared" si="54"/>
        <v>In touch - negative</v>
      </c>
      <c r="AM404" s="37">
        <v>45586</v>
      </c>
      <c r="AN404" s="38">
        <v>45595</v>
      </c>
      <c r="AO404" s="38" t="s">
        <v>65</v>
      </c>
      <c r="AP404" s="38" t="s">
        <v>65</v>
      </c>
      <c r="AQ404" s="38">
        <v>45596</v>
      </c>
      <c r="AR404" s="101" t="s">
        <v>1963</v>
      </c>
      <c r="AS404" s="37">
        <v>45596</v>
      </c>
      <c r="AT404" s="11"/>
    </row>
    <row r="405" spans="1:46" s="98" customFormat="1" x14ac:dyDescent="0.3">
      <c r="A405" s="16"/>
      <c r="B405" s="16" cm="1">
        <f t="array" ref="B405">+_xlfn.IFS(D405="In Touch - Positive",2,D405="Pending",1,D405="No Answer",4,D405="In Touch - Negative",3)</f>
        <v>3</v>
      </c>
      <c r="C405" s="16" t="s">
        <v>4420</v>
      </c>
      <c r="D405" s="99" t="str">
        <f t="shared" ref="D405:D468" si="55">+AR405</f>
        <v>In touch - Negative</v>
      </c>
      <c r="E405" s="12" t="s">
        <v>4543</v>
      </c>
      <c r="F405" s="20"/>
      <c r="G405" s="13" t="s">
        <v>103</v>
      </c>
      <c r="H405" s="14"/>
      <c r="I405" s="13"/>
      <c r="J405" s="15" t="s">
        <v>4550</v>
      </c>
      <c r="K405" s="896" t="s">
        <v>4549</v>
      </c>
      <c r="L405" s="15"/>
      <c r="M405" s="15"/>
      <c r="N405" s="15"/>
      <c r="O405" s="15"/>
      <c r="P405" s="15"/>
      <c r="Q405" s="15"/>
      <c r="R405" s="16"/>
      <c r="S405" s="35"/>
      <c r="T405" s="13"/>
      <c r="U405" s="17"/>
      <c r="V405" s="17"/>
      <c r="W405" s="248"/>
      <c r="X405" s="17"/>
      <c r="Y405" s="17"/>
      <c r="Z405" s="16"/>
      <c r="AA405" s="15" t="s">
        <v>140</v>
      </c>
      <c r="AB405" s="17"/>
      <c r="AC405" s="21" t="s">
        <v>3598</v>
      </c>
      <c r="AD405" s="21" t="s">
        <v>128</v>
      </c>
      <c r="AE405" s="21" t="s">
        <v>128</v>
      </c>
      <c r="AF405" s="17"/>
      <c r="AG405" s="15"/>
      <c r="AH405" s="16"/>
      <c r="AI405" s="16"/>
      <c r="AJ405" s="42">
        <f t="shared" ca="1" si="52"/>
        <v>106</v>
      </c>
      <c r="AK405" s="42">
        <f t="shared" ca="1" si="53"/>
        <v>83</v>
      </c>
      <c r="AL405" s="130" t="str">
        <f t="shared" si="54"/>
        <v>In touch - Negative</v>
      </c>
      <c r="AM405" s="37">
        <v>45558</v>
      </c>
      <c r="AN405" s="38">
        <v>45575</v>
      </c>
      <c r="AO405" s="1125">
        <v>45581</v>
      </c>
      <c r="AP405" s="997"/>
      <c r="AQ405" s="38">
        <v>45581</v>
      </c>
      <c r="AR405" s="101" t="s">
        <v>1963</v>
      </c>
      <c r="AS405" s="1125">
        <v>45581</v>
      </c>
      <c r="AT405" s="11"/>
    </row>
    <row r="406" spans="1:46" s="98" customFormat="1" x14ac:dyDescent="0.3">
      <c r="B406" s="986" cm="1">
        <f t="array" ref="B406">+_xlfn.IFS(D406="In Touch - Positive",2,D406="Pending",1,D406="No Answer",4,D406="In Touch - Negative",3)</f>
        <v>3</v>
      </c>
      <c r="C406" s="986"/>
      <c r="D406" s="1003" t="str">
        <f t="shared" si="55"/>
        <v>In touch - Negative</v>
      </c>
      <c r="E406" s="1000" t="s">
        <v>4636</v>
      </c>
      <c r="F406" s="987"/>
      <c r="G406" s="13" t="s">
        <v>508</v>
      </c>
      <c r="H406" s="989" t="s">
        <v>4639</v>
      </c>
      <c r="I406" s="988"/>
      <c r="J406" s="15" t="s">
        <v>3014</v>
      </c>
      <c r="K406" s="15" t="s">
        <v>2142</v>
      </c>
      <c r="L406" s="990"/>
      <c r="M406" s="990" t="s">
        <v>4648</v>
      </c>
      <c r="N406" s="990" t="s">
        <v>4649</v>
      </c>
      <c r="O406" s="990"/>
      <c r="P406" s="990"/>
      <c r="Q406" s="990"/>
      <c r="R406" s="986"/>
      <c r="S406" s="991" t="s">
        <v>77</v>
      </c>
      <c r="T406" s="988">
        <v>2023</v>
      </c>
      <c r="U406" s="992">
        <v>34.400908000000001</v>
      </c>
      <c r="V406" s="992">
        <v>7.0687049999999996</v>
      </c>
      <c r="W406" s="1004">
        <f t="shared" ref="W406:W418" si="56">+V406/U406</f>
        <v>0.20548018674390803</v>
      </c>
      <c r="X406" s="992">
        <v>4.4363989999999998</v>
      </c>
      <c r="Y406" s="992">
        <v>-2.003622</v>
      </c>
      <c r="Z406" s="986"/>
      <c r="AA406" s="990" t="s">
        <v>140</v>
      </c>
      <c r="AB406" s="992"/>
      <c r="AC406" s="994" t="s">
        <v>78</v>
      </c>
      <c r="AD406" s="994" t="s">
        <v>4423</v>
      </c>
      <c r="AE406" s="994" t="s">
        <v>4423</v>
      </c>
      <c r="AF406" s="992"/>
      <c r="AG406" s="990"/>
      <c r="AH406" s="986"/>
      <c r="AI406" s="986"/>
      <c r="AJ406" s="995">
        <f t="shared" ca="1" si="52"/>
        <v>92</v>
      </c>
      <c r="AK406" s="995">
        <f t="shared" ca="1" si="53"/>
        <v>83</v>
      </c>
      <c r="AL406" s="1005" t="str">
        <f t="shared" si="54"/>
        <v>In touch - Negative</v>
      </c>
      <c r="AM406" s="996">
        <v>45572</v>
      </c>
      <c r="AN406" s="997">
        <v>45572</v>
      </c>
      <c r="AO406" s="997">
        <v>45579</v>
      </c>
      <c r="AP406" s="966"/>
      <c r="AQ406" s="997">
        <v>45581</v>
      </c>
      <c r="AR406" s="1006" t="s">
        <v>1963</v>
      </c>
      <c r="AS406" s="996">
        <v>45581</v>
      </c>
      <c r="AT406" s="11"/>
    </row>
    <row r="407" spans="1:46" s="98" customFormat="1" x14ac:dyDescent="0.3">
      <c r="A407" s="16"/>
      <c r="B407" s="954" cm="1">
        <f t="array" ref="B407">+_xlfn.IFS(D407="In Touch - Positive",2,D407="Pending",1,D407="No Answer",4,D407="In Touch - Negative",3)</f>
        <v>3</v>
      </c>
      <c r="C407" s="954" t="s">
        <v>4370</v>
      </c>
      <c r="D407" s="955" t="str">
        <f t="shared" si="55"/>
        <v>In touch - Negative</v>
      </c>
      <c r="E407" s="956" t="s">
        <v>4523</v>
      </c>
      <c r="F407" s="956"/>
      <c r="G407" s="957" t="s">
        <v>278</v>
      </c>
      <c r="H407" s="958" t="s">
        <v>4524</v>
      </c>
      <c r="I407" s="957"/>
      <c r="J407" s="959" t="s">
        <v>4357</v>
      </c>
      <c r="K407" s="959" t="s">
        <v>4358</v>
      </c>
      <c r="L407" s="959" t="s">
        <v>4525</v>
      </c>
      <c r="M407" s="959"/>
      <c r="N407" s="959"/>
      <c r="O407" s="959"/>
      <c r="P407" s="959"/>
      <c r="Q407" s="959"/>
      <c r="R407" s="954"/>
      <c r="S407" s="960" t="s">
        <v>77</v>
      </c>
      <c r="T407" s="957">
        <v>2023</v>
      </c>
      <c r="U407" s="961">
        <v>3.4489999999999998</v>
      </c>
      <c r="V407" s="961">
        <v>2.4060000000000001</v>
      </c>
      <c r="W407" s="962">
        <f t="shared" si="56"/>
        <v>0.69759350536387366</v>
      </c>
      <c r="X407" s="961"/>
      <c r="Y407" s="961"/>
      <c r="Z407" s="954"/>
      <c r="AA407" s="959" t="s">
        <v>140</v>
      </c>
      <c r="AB407" s="961"/>
      <c r="AC407" s="963" t="s">
        <v>61</v>
      </c>
      <c r="AD407" s="963" t="s">
        <v>61</v>
      </c>
      <c r="AE407" s="963" t="s">
        <v>86</v>
      </c>
      <c r="AF407" s="961"/>
      <c r="AG407" s="959"/>
      <c r="AH407" s="954"/>
      <c r="AI407" s="954"/>
      <c r="AJ407" s="964">
        <f t="shared" ca="1" si="52"/>
        <v>110</v>
      </c>
      <c r="AK407" s="964">
        <f t="shared" ca="1" si="53"/>
        <v>106</v>
      </c>
      <c r="AL407" s="965" t="str">
        <f t="shared" si="54"/>
        <v>In touch - Negative</v>
      </c>
      <c r="AM407" s="952">
        <v>45554</v>
      </c>
      <c r="AN407" s="966">
        <v>45558</v>
      </c>
      <c r="AO407" s="966">
        <v>45569</v>
      </c>
      <c r="AP407" s="966"/>
      <c r="AQ407" s="966"/>
      <c r="AR407" s="967" t="s">
        <v>1963</v>
      </c>
      <c r="AS407" s="966">
        <v>45558</v>
      </c>
      <c r="AT407" s="11"/>
    </row>
    <row r="408" spans="1:46" s="98" customFormat="1" x14ac:dyDescent="0.3">
      <c r="B408" s="954" cm="1">
        <f t="array" ref="B408">+_xlfn.IFS(D408="In Touch - Positive",2,D408="Pending",1,D408="No Answer",4,D408="In Touch - Negative",3)</f>
        <v>3</v>
      </c>
      <c r="C408" s="954" t="s">
        <v>4370</v>
      </c>
      <c r="D408" s="955" t="str">
        <f t="shared" si="55"/>
        <v>In touch - Negative</v>
      </c>
      <c r="E408" s="956" t="s">
        <v>4517</v>
      </c>
      <c r="F408" s="956"/>
      <c r="G408" s="957" t="s">
        <v>4187</v>
      </c>
      <c r="H408" s="958" t="s">
        <v>4518</v>
      </c>
      <c r="I408" s="957"/>
      <c r="J408" s="959" t="s">
        <v>4357</v>
      </c>
      <c r="K408" s="959" t="s">
        <v>4358</v>
      </c>
      <c r="L408" s="959" t="s">
        <v>4519</v>
      </c>
      <c r="M408" s="959"/>
      <c r="N408" s="959"/>
      <c r="O408" s="959"/>
      <c r="P408" s="959"/>
      <c r="Q408" s="959"/>
      <c r="R408" s="954"/>
      <c r="S408" s="960" t="s">
        <v>77</v>
      </c>
      <c r="T408" s="957">
        <v>2022</v>
      </c>
      <c r="U408" s="961">
        <v>4.0190000000000001</v>
      </c>
      <c r="V408" s="961">
        <v>1.913</v>
      </c>
      <c r="W408" s="962">
        <f t="shared" si="56"/>
        <v>0.4759890520029858</v>
      </c>
      <c r="X408" s="961"/>
      <c r="Y408" s="961"/>
      <c r="Z408" s="954"/>
      <c r="AA408" s="959" t="s">
        <v>140</v>
      </c>
      <c r="AB408" s="961"/>
      <c r="AC408" s="963" t="s">
        <v>61</v>
      </c>
      <c r="AD408" s="963" t="s">
        <v>61</v>
      </c>
      <c r="AE408" s="963" t="s">
        <v>86</v>
      </c>
      <c r="AF408" s="961"/>
      <c r="AG408" s="959"/>
      <c r="AH408" s="954"/>
      <c r="AI408" s="954"/>
      <c r="AJ408" s="964">
        <f t="shared" ca="1" si="52"/>
        <v>110</v>
      </c>
      <c r="AK408" s="964">
        <f t="shared" ca="1" si="53"/>
        <v>106</v>
      </c>
      <c r="AL408" s="965" t="str">
        <f t="shared" si="54"/>
        <v>In touch - Negative</v>
      </c>
      <c r="AM408" s="952">
        <v>45554</v>
      </c>
      <c r="AN408" s="966">
        <v>45558</v>
      </c>
      <c r="AO408" s="966">
        <v>45569</v>
      </c>
      <c r="AP408" s="966"/>
      <c r="AQ408" s="966"/>
      <c r="AR408" s="967" t="s">
        <v>1963</v>
      </c>
      <c r="AS408" s="966">
        <v>45558</v>
      </c>
      <c r="AT408" s="11"/>
    </row>
    <row r="409" spans="1:46" s="98" customFormat="1" x14ac:dyDescent="0.3">
      <c r="B409" s="954" cm="1">
        <f t="array" ref="B409">+_xlfn.IFS(D409="In Touch - Positive",2,D409="Pending",1,D409="No Answer",4,D409="In Touch - Negative",3)</f>
        <v>3</v>
      </c>
      <c r="C409" s="954" t="s">
        <v>4370</v>
      </c>
      <c r="D409" s="955" t="str">
        <f t="shared" si="55"/>
        <v>In touch - Negative</v>
      </c>
      <c r="E409" s="956" t="s">
        <v>4514</v>
      </c>
      <c r="F409" s="956"/>
      <c r="G409" s="957" t="s">
        <v>271</v>
      </c>
      <c r="H409" s="958" t="s">
        <v>4515</v>
      </c>
      <c r="I409" s="957"/>
      <c r="J409" s="959" t="s">
        <v>4357</v>
      </c>
      <c r="K409" s="959" t="s">
        <v>4358</v>
      </c>
      <c r="L409" s="959" t="s">
        <v>4516</v>
      </c>
      <c r="M409" s="959"/>
      <c r="N409" s="959"/>
      <c r="O409" s="959"/>
      <c r="P409" s="959"/>
      <c r="Q409" s="959"/>
      <c r="R409" s="954"/>
      <c r="S409" s="960" t="s">
        <v>77</v>
      </c>
      <c r="T409" s="957">
        <v>2023</v>
      </c>
      <c r="U409" s="961">
        <v>4.0640000000000001</v>
      </c>
      <c r="V409" s="961">
        <v>2.1179999999999999</v>
      </c>
      <c r="W409" s="962">
        <f t="shared" si="56"/>
        <v>0.52116141732283461</v>
      </c>
      <c r="X409" s="961"/>
      <c r="Y409" s="961"/>
      <c r="Z409" s="954"/>
      <c r="AA409" s="959" t="s">
        <v>140</v>
      </c>
      <c r="AB409" s="961"/>
      <c r="AC409" s="963" t="s">
        <v>61</v>
      </c>
      <c r="AD409" s="963" t="s">
        <v>61</v>
      </c>
      <c r="AE409" s="963" t="s">
        <v>86</v>
      </c>
      <c r="AF409" s="961"/>
      <c r="AG409" s="959"/>
      <c r="AH409" s="954"/>
      <c r="AI409" s="954"/>
      <c r="AJ409" s="964">
        <f t="shared" ca="1" si="52"/>
        <v>110</v>
      </c>
      <c r="AK409" s="964">
        <f t="shared" ca="1" si="53"/>
        <v>106</v>
      </c>
      <c r="AL409" s="965" t="str">
        <f t="shared" si="54"/>
        <v>In touch - Negative</v>
      </c>
      <c r="AM409" s="952">
        <v>45554</v>
      </c>
      <c r="AN409" s="966">
        <v>45558</v>
      </c>
      <c r="AO409" s="966">
        <v>45569</v>
      </c>
      <c r="AP409" s="966"/>
      <c r="AQ409" s="966"/>
      <c r="AR409" s="967" t="s">
        <v>1963</v>
      </c>
      <c r="AS409" s="966">
        <v>45558</v>
      </c>
      <c r="AT409" s="11"/>
    </row>
    <row r="410" spans="1:46" s="98" customFormat="1" x14ac:dyDescent="0.3">
      <c r="A410" s="16"/>
      <c r="B410" s="954" cm="1">
        <f t="array" ref="B410">+_xlfn.IFS(D410="In Touch - Positive",2,D410="Pending",1,D410="No Answer",4,D410="In Touch - Negative",3)</f>
        <v>3</v>
      </c>
      <c r="C410" s="954" t="s">
        <v>4370</v>
      </c>
      <c r="D410" s="955" t="str">
        <f t="shared" si="55"/>
        <v>In touch - Negative</v>
      </c>
      <c r="E410" s="956" t="s">
        <v>4505</v>
      </c>
      <c r="F410" s="956"/>
      <c r="G410" s="957" t="s">
        <v>226</v>
      </c>
      <c r="H410" s="958" t="s">
        <v>4506</v>
      </c>
      <c r="I410" s="957"/>
      <c r="J410" s="959" t="s">
        <v>4357</v>
      </c>
      <c r="K410" s="959" t="s">
        <v>4358</v>
      </c>
      <c r="L410" s="959" t="s">
        <v>4507</v>
      </c>
      <c r="M410" s="959"/>
      <c r="N410" s="959"/>
      <c r="O410" s="959"/>
      <c r="P410" s="959"/>
      <c r="Q410" s="959"/>
      <c r="R410" s="954"/>
      <c r="S410" s="960" t="s">
        <v>77</v>
      </c>
      <c r="T410" s="957">
        <v>2023</v>
      </c>
      <c r="U410" s="961">
        <v>9.6679999999999993</v>
      </c>
      <c r="V410" s="961">
        <v>2.964</v>
      </c>
      <c r="W410" s="962">
        <f t="shared" si="56"/>
        <v>0.30657840297889949</v>
      </c>
      <c r="X410" s="961"/>
      <c r="Y410" s="961"/>
      <c r="Z410" s="954"/>
      <c r="AA410" s="959" t="s">
        <v>140</v>
      </c>
      <c r="AB410" s="961"/>
      <c r="AC410" s="963" t="s">
        <v>61</v>
      </c>
      <c r="AD410" s="963" t="s">
        <v>61</v>
      </c>
      <c r="AE410" s="963" t="s">
        <v>86</v>
      </c>
      <c r="AF410" s="961"/>
      <c r="AG410" s="959"/>
      <c r="AH410" s="954"/>
      <c r="AI410" s="954"/>
      <c r="AJ410" s="964">
        <f t="shared" ca="1" si="52"/>
        <v>110</v>
      </c>
      <c r="AK410" s="964">
        <f t="shared" ca="1" si="53"/>
        <v>106</v>
      </c>
      <c r="AL410" s="965" t="str">
        <f t="shared" si="54"/>
        <v>In touch - Negative</v>
      </c>
      <c r="AM410" s="952">
        <v>45554</v>
      </c>
      <c r="AN410" s="966">
        <v>45558</v>
      </c>
      <c r="AO410" s="966">
        <v>45569</v>
      </c>
      <c r="AP410" s="848" t="s">
        <v>65</v>
      </c>
      <c r="AQ410" s="966"/>
      <c r="AR410" s="967" t="s">
        <v>1963</v>
      </c>
      <c r="AS410" s="966">
        <v>45558</v>
      </c>
      <c r="AT410" s="11"/>
    </row>
    <row r="411" spans="1:46" s="98" customFormat="1" x14ac:dyDescent="0.3">
      <c r="A411" s="16"/>
      <c r="B411" s="986" cm="1">
        <f t="array" ref="B411">+_xlfn.IFS(D411="In Touch - Positive",2,D411="Pending",1,D411="No Answer",4,D411="In Touch - Negative",3)</f>
        <v>3</v>
      </c>
      <c r="C411" s="986"/>
      <c r="D411" s="1003" t="str">
        <f t="shared" si="55"/>
        <v>In touch - Negative</v>
      </c>
      <c r="E411" s="1000" t="s">
        <v>4587</v>
      </c>
      <c r="F411" s="987"/>
      <c r="G411" s="988" t="s">
        <v>2656</v>
      </c>
      <c r="H411" s="989" t="s">
        <v>4591</v>
      </c>
      <c r="I411" s="988"/>
      <c r="J411" s="990" t="s">
        <v>1817</v>
      </c>
      <c r="K411" s="990" t="s">
        <v>4592</v>
      </c>
      <c r="L411" s="990" t="s">
        <v>4603</v>
      </c>
      <c r="M411" s="990" t="s">
        <v>4602</v>
      </c>
      <c r="N411" s="990" t="s">
        <v>4603</v>
      </c>
      <c r="O411" s="990"/>
      <c r="P411" s="990"/>
      <c r="Q411" s="990"/>
      <c r="R411" s="986"/>
      <c r="S411" s="991" t="s">
        <v>77</v>
      </c>
      <c r="T411" s="988">
        <v>2023</v>
      </c>
      <c r="U411" s="992">
        <v>22.8645</v>
      </c>
      <c r="V411" s="992">
        <v>4.0852399999999998</v>
      </c>
      <c r="W411" s="1004">
        <f t="shared" si="56"/>
        <v>0.17867174003367664</v>
      </c>
      <c r="X411" s="992">
        <v>2.6941999999999999</v>
      </c>
      <c r="Y411" s="992">
        <v>-4.53</v>
      </c>
      <c r="Z411" s="986"/>
      <c r="AA411" s="990" t="s">
        <v>140</v>
      </c>
      <c r="AB411" s="992"/>
      <c r="AC411" s="994" t="s">
        <v>78</v>
      </c>
      <c r="AD411" s="994" t="s">
        <v>4423</v>
      </c>
      <c r="AE411" s="994" t="s">
        <v>4423</v>
      </c>
      <c r="AF411" s="992"/>
      <c r="AG411" s="990"/>
      <c r="AH411" s="986"/>
      <c r="AI411" s="986"/>
      <c r="AJ411" s="995">
        <f t="shared" ca="1" si="52"/>
        <v>103</v>
      </c>
      <c r="AK411" s="995">
        <f t="shared" ca="1" si="53"/>
        <v>99</v>
      </c>
      <c r="AL411" s="1005" t="str">
        <f t="shared" si="54"/>
        <v>In touch - Negative</v>
      </c>
      <c r="AM411" s="996">
        <v>45561</v>
      </c>
      <c r="AN411" s="996">
        <v>45565</v>
      </c>
      <c r="AO411" s="848" t="s">
        <v>65</v>
      </c>
      <c r="AP411" s="38"/>
      <c r="AQ411" s="996">
        <v>45565</v>
      </c>
      <c r="AR411" s="101" t="s">
        <v>1963</v>
      </c>
      <c r="AS411" s="996">
        <v>45565</v>
      </c>
      <c r="AT411" s="11"/>
    </row>
    <row r="412" spans="1:46" s="98" customFormat="1" x14ac:dyDescent="0.3">
      <c r="A412" s="16"/>
      <c r="B412" s="836" cm="1">
        <f t="array" ref="B412">+_xlfn.IFS(D412="In Touch - Positive",2,D412="Pending",1,D412="No Answer",4,D412="In Touch - Negative",3)</f>
        <v>3</v>
      </c>
      <c r="C412" s="16" t="s">
        <v>4370</v>
      </c>
      <c r="D412" s="99" t="str">
        <f t="shared" si="55"/>
        <v>In touch - Negative</v>
      </c>
      <c r="E412" s="12" t="s">
        <v>4371</v>
      </c>
      <c r="F412" s="20"/>
      <c r="G412" s="13" t="s">
        <v>1446</v>
      </c>
      <c r="H412" s="840" t="s">
        <v>4384</v>
      </c>
      <c r="I412" s="13"/>
      <c r="J412" s="834" t="s">
        <v>4357</v>
      </c>
      <c r="K412" s="834" t="s">
        <v>4358</v>
      </c>
      <c r="L412" s="15" t="s">
        <v>4409</v>
      </c>
      <c r="M412" s="15"/>
      <c r="N412" s="15"/>
      <c r="O412" s="15"/>
      <c r="P412" s="15"/>
      <c r="Q412" s="15"/>
      <c r="R412" s="16"/>
      <c r="S412" s="35" t="s">
        <v>77</v>
      </c>
      <c r="T412" s="13">
        <v>2022</v>
      </c>
      <c r="U412" s="17">
        <v>29.6</v>
      </c>
      <c r="V412" s="17">
        <v>11.13</v>
      </c>
      <c r="W412" s="248">
        <f t="shared" si="56"/>
        <v>0.37601351351351353</v>
      </c>
      <c r="X412" s="17"/>
      <c r="Y412" s="17"/>
      <c r="Z412" s="16"/>
      <c r="AA412" s="15" t="s">
        <v>140</v>
      </c>
      <c r="AB412" s="17"/>
      <c r="AC412" s="21" t="s">
        <v>61</v>
      </c>
      <c r="AD412" s="21" t="s">
        <v>61</v>
      </c>
      <c r="AE412" s="21" t="s">
        <v>86</v>
      </c>
      <c r="AF412" s="17"/>
      <c r="AG412" s="15"/>
      <c r="AH412" s="16"/>
      <c r="AI412" s="16"/>
      <c r="AJ412" s="42">
        <f t="shared" ca="1" si="52"/>
        <v>152</v>
      </c>
      <c r="AK412" s="42">
        <f t="shared" ca="1" si="53"/>
        <v>124</v>
      </c>
      <c r="AL412" s="130" t="str">
        <f t="shared" si="54"/>
        <v>In touch - Negative</v>
      </c>
      <c r="AM412" s="37">
        <v>45512</v>
      </c>
      <c r="AN412" s="777">
        <v>45540</v>
      </c>
      <c r="AO412" s="38"/>
      <c r="AP412" s="848"/>
      <c r="AQ412" s="38"/>
      <c r="AR412" s="101" t="s">
        <v>1963</v>
      </c>
      <c r="AS412" s="38">
        <v>45540</v>
      </c>
      <c r="AT412" s="11"/>
    </row>
    <row r="413" spans="1:46" s="98" customFormat="1" x14ac:dyDescent="0.3">
      <c r="B413" s="836" cm="1">
        <f t="array" ref="B413">+_xlfn.IFS(D413="In Touch - Positive",2,D413="Pending",1,D413="No Answer",4,D413="In Touch - Negative",3)</f>
        <v>3</v>
      </c>
      <c r="C413" s="836" t="s">
        <v>4370</v>
      </c>
      <c r="D413" s="838" t="str">
        <f t="shared" si="55"/>
        <v>In touch - Negative</v>
      </c>
      <c r="E413" s="835" t="s">
        <v>4383</v>
      </c>
      <c r="F413" s="852"/>
      <c r="G413" s="839" t="s">
        <v>278</v>
      </c>
      <c r="H413" s="840" t="s">
        <v>4396</v>
      </c>
      <c r="I413" s="839"/>
      <c r="J413" s="834" t="s">
        <v>4357</v>
      </c>
      <c r="K413" s="834" t="s">
        <v>4358</v>
      </c>
      <c r="L413" s="834" t="s">
        <v>4407</v>
      </c>
      <c r="M413" s="834"/>
      <c r="N413" s="834"/>
      <c r="O413" s="834"/>
      <c r="P413" s="834"/>
      <c r="Q413" s="834"/>
      <c r="R413" s="836"/>
      <c r="S413" s="841" t="s">
        <v>77</v>
      </c>
      <c r="T413" s="839">
        <v>2023</v>
      </c>
      <c r="U413" s="842">
        <v>3</v>
      </c>
      <c r="V413" s="842">
        <v>1.58</v>
      </c>
      <c r="W413" s="843">
        <f t="shared" si="56"/>
        <v>0.52666666666666673</v>
      </c>
      <c r="X413" s="842"/>
      <c r="Y413" s="842"/>
      <c r="Z413" s="836"/>
      <c r="AA413" s="834" t="s">
        <v>140</v>
      </c>
      <c r="AB413" s="842"/>
      <c r="AC413" s="844" t="s">
        <v>61</v>
      </c>
      <c r="AD413" s="844" t="s">
        <v>61</v>
      </c>
      <c r="AE413" s="844" t="s">
        <v>86</v>
      </c>
      <c r="AF413" s="842"/>
      <c r="AG413" s="834"/>
      <c r="AH413" s="836"/>
      <c r="AI413" s="836"/>
      <c r="AJ413" s="845">
        <f t="shared" ca="1" si="52"/>
        <v>152</v>
      </c>
      <c r="AK413" s="845">
        <f t="shared" ca="1" si="53"/>
        <v>124</v>
      </c>
      <c r="AL413" s="846" t="str">
        <f t="shared" si="54"/>
        <v>In touch - Negative</v>
      </c>
      <c r="AM413" s="847">
        <v>45512</v>
      </c>
      <c r="AN413" s="848">
        <v>45540</v>
      </c>
      <c r="AO413" s="848">
        <v>45551</v>
      </c>
      <c r="AP413" s="888"/>
      <c r="AQ413" s="848"/>
      <c r="AR413" s="849" t="s">
        <v>1963</v>
      </c>
      <c r="AS413" s="848">
        <v>45540</v>
      </c>
      <c r="AT413" s="11"/>
    </row>
    <row r="414" spans="1:46" s="98" customFormat="1" x14ac:dyDescent="0.3">
      <c r="A414" s="16"/>
      <c r="B414" s="890" cm="1">
        <f t="array" ref="B414">+_xlfn.IFS(D414="In Touch - Positive",2,D414="Pending",1,D414="No Answer",4,D414="In Touch - Negative",3)</f>
        <v>3</v>
      </c>
      <c r="C414" s="890"/>
      <c r="D414" s="891" t="str">
        <f t="shared" si="55"/>
        <v>In touch - Negative</v>
      </c>
      <c r="E414" s="892" t="s">
        <v>4449</v>
      </c>
      <c r="F414" s="893"/>
      <c r="G414" s="894" t="s">
        <v>174</v>
      </c>
      <c r="H414" s="895" t="s">
        <v>4290</v>
      </c>
      <c r="I414" s="894"/>
      <c r="J414" s="896" t="s">
        <v>149</v>
      </c>
      <c r="K414" s="896" t="s">
        <v>4448</v>
      </c>
      <c r="L414" s="896"/>
      <c r="M414" s="896" t="s">
        <v>4450</v>
      </c>
      <c r="N414" s="896" t="s">
        <v>4451</v>
      </c>
      <c r="O414" s="896" t="s">
        <v>4453</v>
      </c>
      <c r="P414" s="896" t="s">
        <v>4453</v>
      </c>
      <c r="Q414" s="896" t="s">
        <v>4452</v>
      </c>
      <c r="R414" s="890"/>
      <c r="S414" s="897" t="s">
        <v>77</v>
      </c>
      <c r="T414" s="894">
        <v>2023</v>
      </c>
      <c r="U414" s="887">
        <v>67.959000000000003</v>
      </c>
      <c r="V414" s="887">
        <v>8.2560000000000002</v>
      </c>
      <c r="W414" s="898">
        <f t="shared" si="56"/>
        <v>0.12148501302255772</v>
      </c>
      <c r="X414" s="887">
        <v>4.9580000000000002</v>
      </c>
      <c r="Y414" s="887">
        <v>-12.590999999999999</v>
      </c>
      <c r="Z414" s="890"/>
      <c r="AA414" s="896" t="s">
        <v>140</v>
      </c>
      <c r="AB414" s="887"/>
      <c r="AC414" s="899" t="s">
        <v>78</v>
      </c>
      <c r="AD414" s="899" t="s">
        <v>78</v>
      </c>
      <c r="AE414" s="899" t="s">
        <v>4423</v>
      </c>
      <c r="AF414" s="887"/>
      <c r="AG414" s="896"/>
      <c r="AH414" s="890"/>
      <c r="AI414" s="890"/>
      <c r="AJ414" s="900">
        <f t="shared" ca="1" si="52"/>
        <v>113</v>
      </c>
      <c r="AK414" s="900">
        <f t="shared" ca="1" si="53"/>
        <v>110</v>
      </c>
      <c r="AL414" s="901" t="str">
        <f t="shared" si="54"/>
        <v>In touch - Negative</v>
      </c>
      <c r="AM414" s="902">
        <v>45551</v>
      </c>
      <c r="AN414" s="952">
        <v>45554</v>
      </c>
      <c r="AO414" s="888"/>
      <c r="AP414" s="803"/>
      <c r="AQ414" s="888"/>
      <c r="AR414" s="101" t="s">
        <v>1963</v>
      </c>
      <c r="AS414" s="902">
        <v>45554</v>
      </c>
      <c r="AT414" s="11"/>
    </row>
    <row r="415" spans="1:46" s="98" customFormat="1" x14ac:dyDescent="0.3">
      <c r="A415" s="16"/>
      <c r="B415" s="792" cm="1">
        <f t="array" ref="B415">+_xlfn.IFS(D415="In Touch - Positive",2,D415="Pending",1,D415="No Answer",4,D415="In Touch - Negative",3)</f>
        <v>3</v>
      </c>
      <c r="C415" s="792" t="s">
        <v>4340</v>
      </c>
      <c r="D415" s="807" t="str">
        <f t="shared" si="55"/>
        <v>In touch - Negative</v>
      </c>
      <c r="E415" s="808" t="s">
        <v>4341</v>
      </c>
      <c r="F415" s="793"/>
      <c r="G415" s="794" t="s">
        <v>103</v>
      </c>
      <c r="H415" s="795" t="s">
        <v>4342</v>
      </c>
      <c r="I415" s="794"/>
      <c r="J415" s="809" t="s">
        <v>83</v>
      </c>
      <c r="K415" s="796" t="s">
        <v>4343</v>
      </c>
      <c r="L415" s="796"/>
      <c r="M415" s="796"/>
      <c r="N415" s="796"/>
      <c r="O415" s="796"/>
      <c r="P415" s="796"/>
      <c r="Q415" s="796"/>
      <c r="R415" s="792"/>
      <c r="S415" s="797"/>
      <c r="T415" s="794"/>
      <c r="U415" s="798"/>
      <c r="V415" s="798"/>
      <c r="W415" s="810" t="e">
        <f t="shared" si="56"/>
        <v>#DIV/0!</v>
      </c>
      <c r="X415" s="798"/>
      <c r="Y415" s="798"/>
      <c r="Z415" s="792"/>
      <c r="AA415" s="796" t="s">
        <v>140</v>
      </c>
      <c r="AB415" s="798"/>
      <c r="AC415" s="799" t="s">
        <v>78</v>
      </c>
      <c r="AD415" s="799" t="s">
        <v>62</v>
      </c>
      <c r="AE415" s="799" t="s">
        <v>62</v>
      </c>
      <c r="AF415" s="798"/>
      <c r="AG415" s="796"/>
      <c r="AH415" s="792"/>
      <c r="AI415" s="792"/>
      <c r="AJ415" s="801">
        <f t="shared" ca="1" si="52"/>
        <v>182</v>
      </c>
      <c r="AK415" s="801">
        <f t="shared" ca="1" si="53"/>
        <v>182</v>
      </c>
      <c r="AL415" s="811" t="str">
        <f t="shared" si="54"/>
        <v>In touch - Negative</v>
      </c>
      <c r="AM415" s="848">
        <v>45482</v>
      </c>
      <c r="AN415" s="803">
        <v>45482</v>
      </c>
      <c r="AO415" s="803"/>
      <c r="AP415" s="848"/>
      <c r="AQ415" s="803"/>
      <c r="AR415" s="812" t="s">
        <v>1963</v>
      </c>
      <c r="AS415" s="803">
        <v>45482</v>
      </c>
      <c r="AT415" s="11" t="s">
        <v>7</v>
      </c>
    </row>
    <row r="416" spans="1:46" s="98" customFormat="1" x14ac:dyDescent="0.3">
      <c r="B416" s="836" cm="1">
        <f t="array" ref="B416">+_xlfn.IFS(D416="In Touch - Positive",2,D416="Pending",1,D416="No Answer",4,D416="In Touch - Negative",3)</f>
        <v>3</v>
      </c>
      <c r="C416" s="16" t="s">
        <v>4426</v>
      </c>
      <c r="D416" s="838" t="str">
        <f t="shared" si="55"/>
        <v>In touch - Negative</v>
      </c>
      <c r="E416" s="12" t="s">
        <v>4427</v>
      </c>
      <c r="F416" s="852"/>
      <c r="G416" s="13" t="s">
        <v>103</v>
      </c>
      <c r="H416" s="840"/>
      <c r="I416" s="839"/>
      <c r="J416" s="13" t="s">
        <v>1540</v>
      </c>
      <c r="K416" s="15" t="s">
        <v>4428</v>
      </c>
      <c r="L416" s="834"/>
      <c r="M416" s="834"/>
      <c r="N416" s="834"/>
      <c r="O416" s="834"/>
      <c r="P416" s="15" t="s">
        <v>4436</v>
      </c>
      <c r="Q416" s="834"/>
      <c r="R416" s="836"/>
      <c r="S416" s="841"/>
      <c r="T416" s="839"/>
      <c r="U416" s="842"/>
      <c r="V416" s="842"/>
      <c r="W416" s="843" t="e">
        <f t="shared" si="56"/>
        <v>#DIV/0!</v>
      </c>
      <c r="X416" s="842"/>
      <c r="Y416" s="842"/>
      <c r="Z416" s="836"/>
      <c r="AA416" s="834" t="s">
        <v>140</v>
      </c>
      <c r="AB416" s="842"/>
      <c r="AC416" s="799" t="s">
        <v>78</v>
      </c>
      <c r="AD416" s="21" t="s">
        <v>4423</v>
      </c>
      <c r="AE416" s="21" t="s">
        <v>4423</v>
      </c>
      <c r="AF416" s="842"/>
      <c r="AG416" s="834"/>
      <c r="AH416" s="836"/>
      <c r="AI416" s="836"/>
      <c r="AJ416" s="845">
        <f t="shared" ca="1" si="52"/>
        <v>251</v>
      </c>
      <c r="AK416" s="845">
        <f t="shared" ca="1" si="53"/>
        <v>120</v>
      </c>
      <c r="AL416" s="846" t="str">
        <f t="shared" si="54"/>
        <v>In touch - Negative</v>
      </c>
      <c r="AM416" s="847">
        <v>45413</v>
      </c>
      <c r="AN416" s="848">
        <v>45544</v>
      </c>
      <c r="AO416" s="848"/>
      <c r="AP416" s="848"/>
      <c r="AQ416" s="848"/>
      <c r="AR416" s="849" t="s">
        <v>1963</v>
      </c>
      <c r="AS416" s="848">
        <v>45544</v>
      </c>
      <c r="AT416" s="199" t="s">
        <v>7</v>
      </c>
    </row>
    <row r="417" spans="1:46" s="98" customFormat="1" x14ac:dyDescent="0.3">
      <c r="B417" s="836" cm="1">
        <f t="array" ref="B417">+_xlfn.IFS(D417="In Touch - Positive",2,D417="Pending",1,D417="No Answer",4,D417="In Touch - Negative",3)</f>
        <v>3</v>
      </c>
      <c r="C417" s="836" t="s">
        <v>4370</v>
      </c>
      <c r="D417" s="838" t="str">
        <f t="shared" si="55"/>
        <v>In touch - Negative</v>
      </c>
      <c r="E417" s="835" t="s">
        <v>4376</v>
      </c>
      <c r="F417" s="852"/>
      <c r="G417" s="839" t="s">
        <v>278</v>
      </c>
      <c r="H417" s="840" t="s">
        <v>4389</v>
      </c>
      <c r="I417" s="839"/>
      <c r="J417" s="839" t="s">
        <v>4357</v>
      </c>
      <c r="K417" s="834" t="s">
        <v>4358</v>
      </c>
      <c r="L417" s="834" t="s">
        <v>4401</v>
      </c>
      <c r="M417" s="834"/>
      <c r="N417" s="834"/>
      <c r="O417" s="834"/>
      <c r="P417" s="834"/>
      <c r="Q417" s="834"/>
      <c r="R417" s="836"/>
      <c r="S417" s="841" t="s">
        <v>77</v>
      </c>
      <c r="T417" s="839">
        <v>2023</v>
      </c>
      <c r="U417" s="842">
        <v>7.7</v>
      </c>
      <c r="V417" s="842">
        <v>3</v>
      </c>
      <c r="W417" s="843">
        <f t="shared" si="56"/>
        <v>0.38961038961038963</v>
      </c>
      <c r="X417" s="842"/>
      <c r="Y417" s="842"/>
      <c r="Z417" s="836"/>
      <c r="AA417" s="834" t="s">
        <v>140</v>
      </c>
      <c r="AB417" s="842"/>
      <c r="AC417" s="844" t="s">
        <v>61</v>
      </c>
      <c r="AD417" s="844" t="s">
        <v>61</v>
      </c>
      <c r="AE417" s="844" t="s">
        <v>86</v>
      </c>
      <c r="AF417" s="842"/>
      <c r="AG417" s="834"/>
      <c r="AH417" s="836"/>
      <c r="AI417" s="836"/>
      <c r="AJ417" s="845">
        <f t="shared" ca="1" si="52"/>
        <v>152</v>
      </c>
      <c r="AK417" s="845">
        <f t="shared" ca="1" si="53"/>
        <v>124</v>
      </c>
      <c r="AL417" s="846" t="str">
        <f t="shared" si="54"/>
        <v>In touch - Negative</v>
      </c>
      <c r="AM417" s="847">
        <v>45512</v>
      </c>
      <c r="AN417" s="848">
        <v>45540</v>
      </c>
      <c r="AO417" s="848"/>
      <c r="AP417" s="848"/>
      <c r="AQ417" s="848"/>
      <c r="AR417" s="849" t="s">
        <v>1963</v>
      </c>
      <c r="AS417" s="848">
        <v>45540</v>
      </c>
      <c r="AT417" s="199" t="s">
        <v>7</v>
      </c>
    </row>
    <row r="418" spans="1:46" s="98" customFormat="1" x14ac:dyDescent="0.3">
      <c r="B418" s="836" cm="1">
        <f t="array" ref="B418">+_xlfn.IFS(D418="In Touch - Positive",2,D418="Pending",1,D418="No Answer",4,D418="In Touch - Negative",3)</f>
        <v>3</v>
      </c>
      <c r="C418" s="836" t="s">
        <v>4370</v>
      </c>
      <c r="D418" s="838" t="str">
        <f t="shared" si="55"/>
        <v>In touch - Negative</v>
      </c>
      <c r="E418" s="835" t="s">
        <v>4381</v>
      </c>
      <c r="F418" s="852"/>
      <c r="G418" s="839" t="s">
        <v>278</v>
      </c>
      <c r="H418" s="840" t="s">
        <v>4394</v>
      </c>
      <c r="I418" s="839"/>
      <c r="J418" s="839" t="s">
        <v>4357</v>
      </c>
      <c r="K418" s="834" t="s">
        <v>4358</v>
      </c>
      <c r="L418" s="834" t="s">
        <v>4405</v>
      </c>
      <c r="M418" s="834"/>
      <c r="N418" s="834"/>
      <c r="O418" s="834"/>
      <c r="P418" s="834"/>
      <c r="Q418" s="834"/>
      <c r="R418" s="836"/>
      <c r="S418" s="841" t="s">
        <v>77</v>
      </c>
      <c r="T418" s="839">
        <v>2023</v>
      </c>
      <c r="U418" s="842">
        <v>3.5880000000000001</v>
      </c>
      <c r="V418" s="842">
        <v>0.74</v>
      </c>
      <c r="W418" s="843">
        <f t="shared" si="56"/>
        <v>0.20624303232998883</v>
      </c>
      <c r="X418" s="842"/>
      <c r="Y418" s="842"/>
      <c r="Z418" s="836"/>
      <c r="AA418" s="834" t="s">
        <v>140</v>
      </c>
      <c r="AB418" s="842"/>
      <c r="AC418" s="844" t="s">
        <v>61</v>
      </c>
      <c r="AD418" s="844" t="s">
        <v>61</v>
      </c>
      <c r="AE418" s="844" t="s">
        <v>86</v>
      </c>
      <c r="AF418" s="842"/>
      <c r="AG418" s="834"/>
      <c r="AH418" s="836"/>
      <c r="AI418" s="836"/>
      <c r="AJ418" s="845">
        <f t="shared" ca="1" si="52"/>
        <v>152</v>
      </c>
      <c r="AK418" s="845">
        <f t="shared" ca="1" si="53"/>
        <v>124</v>
      </c>
      <c r="AL418" s="846" t="str">
        <f t="shared" si="54"/>
        <v>In touch - Negative</v>
      </c>
      <c r="AM418" s="847">
        <v>45512</v>
      </c>
      <c r="AN418" s="848">
        <v>45540</v>
      </c>
      <c r="AO418" s="848"/>
      <c r="AP418" s="678"/>
      <c r="AQ418" s="848"/>
      <c r="AR418" s="849" t="s">
        <v>1963</v>
      </c>
      <c r="AS418" s="848">
        <v>45540</v>
      </c>
      <c r="AT418" s="199" t="s">
        <v>7</v>
      </c>
    </row>
    <row r="419" spans="1:46" s="98" customFormat="1" x14ac:dyDescent="0.3">
      <c r="B419" s="679" cm="1">
        <f t="array" ref="B419">+_xlfn.IFS(D419="In Touch - Positive",2,D419="Pending",1,D419="No Answer",4,D419="In Touch - Negative",3)</f>
        <v>3</v>
      </c>
      <c r="C419" s="679" t="s">
        <v>4188</v>
      </c>
      <c r="D419" s="706" t="str">
        <f t="shared" si="55"/>
        <v>In touch - Negative</v>
      </c>
      <c r="E419" s="705" t="s">
        <v>4196</v>
      </c>
      <c r="F419" s="680"/>
      <c r="G419" s="681" t="s">
        <v>159</v>
      </c>
      <c r="H419" s="682"/>
      <c r="I419" s="681"/>
      <c r="J419" s="709" t="s">
        <v>4197</v>
      </c>
      <c r="K419" s="683" t="s">
        <v>4198</v>
      </c>
      <c r="L419" s="683" t="s">
        <v>4199</v>
      </c>
      <c r="M419" s="683"/>
      <c r="N419" s="683"/>
      <c r="O419" s="683"/>
      <c r="P419" s="683"/>
      <c r="Q419" s="683"/>
      <c r="R419" s="679"/>
      <c r="S419" s="684" t="s">
        <v>77</v>
      </c>
      <c r="T419" s="681"/>
      <c r="U419" s="685"/>
      <c r="V419" s="685"/>
      <c r="W419" s="690"/>
      <c r="X419" s="685"/>
      <c r="Y419" s="685"/>
      <c r="Z419" s="679"/>
      <c r="AA419" s="683" t="s">
        <v>140</v>
      </c>
      <c r="AB419" s="685"/>
      <c r="AC419" s="687" t="s">
        <v>3598</v>
      </c>
      <c r="AD419" s="687" t="s">
        <v>3598</v>
      </c>
      <c r="AE419" s="687" t="s">
        <v>79</v>
      </c>
      <c r="AF419" s="685"/>
      <c r="AG419" s="683"/>
      <c r="AH419" s="679"/>
      <c r="AI419" s="679"/>
      <c r="AJ419" s="688">
        <f t="shared" ca="1" si="52"/>
        <v>204</v>
      </c>
      <c r="AK419" s="688">
        <f t="shared" ca="1" si="53"/>
        <v>239</v>
      </c>
      <c r="AL419" s="707" t="str">
        <f t="shared" si="54"/>
        <v>In touch - Negative</v>
      </c>
      <c r="AM419" s="689">
        <v>45460</v>
      </c>
      <c r="AN419" s="777">
        <v>45460</v>
      </c>
      <c r="AO419" s="678"/>
      <c r="AP419" s="615"/>
      <c r="AQ419" s="678"/>
      <c r="AR419" s="708" t="s">
        <v>1963</v>
      </c>
      <c r="AS419" s="678">
        <v>45425</v>
      </c>
      <c r="AT419" s="247" t="s">
        <v>7</v>
      </c>
    </row>
    <row r="420" spans="1:46" s="98" customFormat="1" x14ac:dyDescent="0.3">
      <c r="A420" s="16"/>
      <c r="B420" s="651" cm="1">
        <f t="array" ref="B420">+_xlfn.IFS(D420="In Touch - Positive",2,D420="Pending",1,D420="No Answer",4,D420="In Touch - Negative",3)</f>
        <v>3</v>
      </c>
      <c r="C420" s="651" t="s">
        <v>3929</v>
      </c>
      <c r="D420" s="602" t="str">
        <f t="shared" si="55"/>
        <v>In touch - Negative</v>
      </c>
      <c r="E420" s="664" t="s">
        <v>4169</v>
      </c>
      <c r="F420" s="603"/>
      <c r="G420" s="604"/>
      <c r="H420" s="605"/>
      <c r="I420" s="604"/>
      <c r="J420" s="663" t="s">
        <v>4171</v>
      </c>
      <c r="K420" s="607"/>
      <c r="L420" s="607"/>
      <c r="M420" s="607"/>
      <c r="N420" s="607"/>
      <c r="O420" s="607"/>
      <c r="P420" s="607"/>
      <c r="Q420" s="607"/>
      <c r="R420" s="601"/>
      <c r="S420" s="608"/>
      <c r="T420" s="604"/>
      <c r="U420" s="609"/>
      <c r="V420" s="609"/>
      <c r="W420" s="610"/>
      <c r="X420" s="609"/>
      <c r="Y420" s="609"/>
      <c r="Z420" s="601"/>
      <c r="AA420" s="649" t="s">
        <v>60</v>
      </c>
      <c r="AB420" s="609"/>
      <c r="AC420" s="656" t="s">
        <v>153</v>
      </c>
      <c r="AD420" s="656" t="s">
        <v>153</v>
      </c>
      <c r="AE420" s="656" t="s">
        <v>273</v>
      </c>
      <c r="AF420" s="609"/>
      <c r="AG420" s="607"/>
      <c r="AH420" s="601"/>
      <c r="AI420" s="601"/>
      <c r="AJ420" s="612">
        <f t="shared" ca="1" si="52"/>
        <v>216</v>
      </c>
      <c r="AK420" s="612">
        <f t="shared" ca="1" si="53"/>
        <v>204</v>
      </c>
      <c r="AL420" s="613" t="str">
        <f t="shared" si="54"/>
        <v>In touch - Negative</v>
      </c>
      <c r="AM420" s="614">
        <v>45448</v>
      </c>
      <c r="AN420" s="614">
        <v>45454</v>
      </c>
      <c r="AO420" s="615"/>
      <c r="AP420" s="38"/>
      <c r="AQ420" s="615"/>
      <c r="AR420" s="616" t="s">
        <v>1963</v>
      </c>
      <c r="AS420" s="615">
        <v>45460</v>
      </c>
      <c r="AT420" s="11" t="s">
        <v>7</v>
      </c>
    </row>
    <row r="421" spans="1:46" s="98" customFormat="1" x14ac:dyDescent="0.3">
      <c r="A421" s="16"/>
      <c r="B421" s="16" cm="1">
        <f t="array" ref="B421">+_xlfn.IFS(D421="In Touch - Positive",2,D421="Pending",1,D421="No Answer",4,D421="In Touch - Negative",3)</f>
        <v>3</v>
      </c>
      <c r="C421" s="651" t="s">
        <v>3661</v>
      </c>
      <c r="D421" s="99" t="str">
        <f t="shared" si="55"/>
        <v>In touch - Negative</v>
      </c>
      <c r="E421" s="12" t="s">
        <v>3662</v>
      </c>
      <c r="F421" s="12"/>
      <c r="G421" s="13" t="s">
        <v>147</v>
      </c>
      <c r="H421" s="14" t="s">
        <v>3666</v>
      </c>
      <c r="I421" s="13"/>
      <c r="J421" s="188" t="s">
        <v>2714</v>
      </c>
      <c r="K421" s="15" t="s">
        <v>3667</v>
      </c>
      <c r="L421" s="15" t="s">
        <v>3674</v>
      </c>
      <c r="M421" s="15"/>
      <c r="N421" s="15"/>
      <c r="O421" s="15"/>
      <c r="P421" s="15"/>
      <c r="Q421" s="15"/>
      <c r="R421" s="16"/>
      <c r="S421" s="35" t="s">
        <v>77</v>
      </c>
      <c r="T421" s="13">
        <v>2022</v>
      </c>
      <c r="U421" s="17">
        <v>166.8</v>
      </c>
      <c r="V421" s="17">
        <v>49.6</v>
      </c>
      <c r="W421" s="248">
        <f>+V421/U421</f>
        <v>0.29736211031175058</v>
      </c>
      <c r="X421" s="17">
        <v>27.8</v>
      </c>
      <c r="Y421" s="17">
        <v>80.099999999999994</v>
      </c>
      <c r="Z421" s="16"/>
      <c r="AA421" s="15" t="s">
        <v>140</v>
      </c>
      <c r="AB421" s="17"/>
      <c r="AC421" s="21" t="s">
        <v>153</v>
      </c>
      <c r="AD421" s="21" t="s">
        <v>153</v>
      </c>
      <c r="AE421" s="21"/>
      <c r="AF421" s="17"/>
      <c r="AG421" s="15"/>
      <c r="AH421" s="16"/>
      <c r="AI421" s="16"/>
      <c r="AJ421" s="42">
        <f t="shared" ca="1" si="52"/>
        <v>237</v>
      </c>
      <c r="AK421" s="42">
        <f t="shared" ca="1" si="53"/>
        <v>211</v>
      </c>
      <c r="AL421" s="130" t="str">
        <f t="shared" si="54"/>
        <v>In touch - Negative</v>
      </c>
      <c r="AM421" s="37">
        <v>45427</v>
      </c>
      <c r="AN421" s="37">
        <v>45439</v>
      </c>
      <c r="AO421" s="38">
        <v>45453</v>
      </c>
      <c r="AP421" s="615"/>
      <c r="AQ421" s="38"/>
      <c r="AR421" s="101" t="s">
        <v>1963</v>
      </c>
      <c r="AS421" s="38">
        <v>45453</v>
      </c>
      <c r="AT421" s="11" t="s">
        <v>7</v>
      </c>
    </row>
    <row r="422" spans="1:46" s="98" customFormat="1" x14ac:dyDescent="0.3">
      <c r="A422" s="16"/>
      <c r="B422" s="651" cm="1">
        <f t="array" ref="B422">+_xlfn.IFS(D422="In Touch - Positive",2,D422="Pending",1,D422="No Answer",4,D422="In Touch - Negative",3)</f>
        <v>3</v>
      </c>
      <c r="C422" s="651" t="s">
        <v>4159</v>
      </c>
      <c r="D422" s="602" t="str">
        <f t="shared" si="55"/>
        <v>In touch - Negative</v>
      </c>
      <c r="E422" s="603" t="s">
        <v>4163</v>
      </c>
      <c r="F422" s="603"/>
      <c r="G422" s="604"/>
      <c r="H422" s="605"/>
      <c r="I422" s="604"/>
      <c r="J422" s="663" t="s">
        <v>2714</v>
      </c>
      <c r="K422" s="607"/>
      <c r="L422" s="607"/>
      <c r="M422" s="607"/>
      <c r="N422" s="607"/>
      <c r="O422" s="607"/>
      <c r="P422" s="607"/>
      <c r="Q422" s="607"/>
      <c r="R422" s="601"/>
      <c r="S422" s="608"/>
      <c r="T422" s="604"/>
      <c r="U422" s="609"/>
      <c r="V422" s="609"/>
      <c r="W422" s="610"/>
      <c r="X422" s="609"/>
      <c r="Y422" s="609"/>
      <c r="Z422" s="601"/>
      <c r="AA422" s="649" t="s">
        <v>140</v>
      </c>
      <c r="AB422" s="609"/>
      <c r="AC422" s="656" t="s">
        <v>153</v>
      </c>
      <c r="AD422" s="656" t="s">
        <v>153</v>
      </c>
      <c r="AE422" s="656" t="s">
        <v>273</v>
      </c>
      <c r="AF422" s="609"/>
      <c r="AG422" s="607"/>
      <c r="AH422" s="601"/>
      <c r="AI422" s="601"/>
      <c r="AJ422" s="612">
        <f t="shared" ca="1" si="52"/>
        <v>217</v>
      </c>
      <c r="AK422" s="612">
        <f t="shared" ca="1" si="53"/>
        <v>45664</v>
      </c>
      <c r="AL422" s="613" t="str">
        <f t="shared" si="54"/>
        <v>In touch - Negative</v>
      </c>
      <c r="AM422" s="614">
        <v>45447</v>
      </c>
      <c r="AN422" s="614"/>
      <c r="AO422" s="615"/>
      <c r="AP422" s="615"/>
      <c r="AQ422" s="615"/>
      <c r="AR422" s="616" t="s">
        <v>1963</v>
      </c>
      <c r="AS422" s="615"/>
      <c r="AT422" s="11" t="s">
        <v>7</v>
      </c>
    </row>
    <row r="423" spans="1:46" s="98" customFormat="1" x14ac:dyDescent="0.3">
      <c r="A423" s="16"/>
      <c r="B423" s="651" cm="1">
        <f t="array" ref="B423">+_xlfn.IFS(D423="In Touch - Positive",2,D423="Pending",1,D423="No Answer",4,D423="In Touch - Negative",3)</f>
        <v>3</v>
      </c>
      <c r="C423" s="651" t="s">
        <v>4159</v>
      </c>
      <c r="D423" s="602" t="str">
        <f t="shared" si="55"/>
        <v>In touch - Negative</v>
      </c>
      <c r="E423" s="603" t="s">
        <v>4166</v>
      </c>
      <c r="F423" s="603"/>
      <c r="G423" s="604"/>
      <c r="H423" s="605"/>
      <c r="I423" s="604"/>
      <c r="J423" s="663" t="s">
        <v>2714</v>
      </c>
      <c r="K423" s="607"/>
      <c r="L423" s="607"/>
      <c r="M423" s="607"/>
      <c r="N423" s="607"/>
      <c r="O423" s="607"/>
      <c r="P423" s="607"/>
      <c r="Q423" s="607"/>
      <c r="R423" s="601"/>
      <c r="S423" s="608"/>
      <c r="T423" s="604"/>
      <c r="U423" s="609"/>
      <c r="V423" s="609"/>
      <c r="W423" s="610"/>
      <c r="X423" s="609"/>
      <c r="Y423" s="609"/>
      <c r="Z423" s="601"/>
      <c r="AA423" s="649" t="s">
        <v>60</v>
      </c>
      <c r="AB423" s="609"/>
      <c r="AC423" s="656" t="s">
        <v>153</v>
      </c>
      <c r="AD423" s="656" t="s">
        <v>153</v>
      </c>
      <c r="AE423" s="656" t="s">
        <v>273</v>
      </c>
      <c r="AF423" s="609"/>
      <c r="AG423" s="607"/>
      <c r="AH423" s="601"/>
      <c r="AI423" s="601"/>
      <c r="AJ423" s="612">
        <f t="shared" ca="1" si="52"/>
        <v>217</v>
      </c>
      <c r="AK423" s="612">
        <f t="shared" ca="1" si="53"/>
        <v>45664</v>
      </c>
      <c r="AL423" s="613" t="str">
        <f t="shared" si="54"/>
        <v>In touch - Negative</v>
      </c>
      <c r="AM423" s="614">
        <v>45447</v>
      </c>
      <c r="AN423" s="614"/>
      <c r="AO423" s="615"/>
      <c r="AP423" s="615"/>
      <c r="AQ423" s="615"/>
      <c r="AR423" s="616" t="s">
        <v>1963</v>
      </c>
      <c r="AS423" s="615"/>
      <c r="AT423" s="11" t="s">
        <v>7</v>
      </c>
    </row>
    <row r="424" spans="1:46" s="98" customFormat="1" x14ac:dyDescent="0.3">
      <c r="A424" s="16"/>
      <c r="B424" s="651" cm="1">
        <f t="array" ref="B424">+_xlfn.IFS(D424="In Touch - Positive",2,D424="Pending",1,D424="No Answer",4,D424="In Touch - Negative",3)</f>
        <v>3</v>
      </c>
      <c r="C424" s="651" t="s">
        <v>3929</v>
      </c>
      <c r="D424" s="602" t="str">
        <f t="shared" si="55"/>
        <v>In touch - Negative</v>
      </c>
      <c r="E424" s="664" t="s">
        <v>4168</v>
      </c>
      <c r="F424" s="603"/>
      <c r="G424" s="604"/>
      <c r="H424" s="605"/>
      <c r="I424" s="604"/>
      <c r="J424" s="663" t="s">
        <v>4171</v>
      </c>
      <c r="K424" s="607"/>
      <c r="L424" s="607"/>
      <c r="M424" s="607"/>
      <c r="N424" s="607"/>
      <c r="O424" s="607"/>
      <c r="P424" s="607"/>
      <c r="Q424" s="607"/>
      <c r="R424" s="601"/>
      <c r="S424" s="608"/>
      <c r="T424" s="604"/>
      <c r="U424" s="609"/>
      <c r="V424" s="609"/>
      <c r="W424" s="610"/>
      <c r="X424" s="609"/>
      <c r="Y424" s="609"/>
      <c r="Z424" s="601"/>
      <c r="AA424" s="649" t="s">
        <v>60</v>
      </c>
      <c r="AB424" s="609"/>
      <c r="AC424" s="656" t="s">
        <v>153</v>
      </c>
      <c r="AD424" s="656" t="s">
        <v>153</v>
      </c>
      <c r="AE424" s="656" t="s">
        <v>273</v>
      </c>
      <c r="AF424" s="609"/>
      <c r="AG424" s="607"/>
      <c r="AH424" s="601"/>
      <c r="AI424" s="601"/>
      <c r="AJ424" s="612">
        <f t="shared" ca="1" si="52"/>
        <v>216</v>
      </c>
      <c r="AK424" s="612">
        <f t="shared" ca="1" si="53"/>
        <v>204</v>
      </c>
      <c r="AL424" s="613" t="str">
        <f t="shared" si="54"/>
        <v>In touch - Negative</v>
      </c>
      <c r="AM424" s="614">
        <v>45448</v>
      </c>
      <c r="AN424" s="614">
        <v>45454</v>
      </c>
      <c r="AO424" s="615"/>
      <c r="AP424" s="615"/>
      <c r="AQ424" s="615"/>
      <c r="AR424" s="616" t="s">
        <v>1963</v>
      </c>
      <c r="AS424" s="615">
        <v>45460</v>
      </c>
      <c r="AT424" s="11" t="s">
        <v>7</v>
      </c>
    </row>
    <row r="425" spans="1:46" s="98" customFormat="1" x14ac:dyDescent="0.3">
      <c r="A425" s="16"/>
      <c r="B425" s="651" cm="1">
        <f t="array" ref="B425">+_xlfn.IFS(D425="In Touch - Positive",2,D425="Pending",1,D425="No Answer",4,D425="In Touch - Negative",3)</f>
        <v>3</v>
      </c>
      <c r="C425" s="651" t="s">
        <v>4159</v>
      </c>
      <c r="D425" s="602" t="str">
        <f t="shared" si="55"/>
        <v>In touch - Negative</v>
      </c>
      <c r="E425" s="603" t="s">
        <v>4164</v>
      </c>
      <c r="F425" s="603"/>
      <c r="G425" s="604"/>
      <c r="H425" s="605"/>
      <c r="I425" s="604"/>
      <c r="J425" s="663" t="s">
        <v>2714</v>
      </c>
      <c r="K425" s="607"/>
      <c r="L425" s="607"/>
      <c r="M425" s="607"/>
      <c r="N425" s="607"/>
      <c r="O425" s="607"/>
      <c r="P425" s="607"/>
      <c r="Q425" s="607"/>
      <c r="R425" s="601"/>
      <c r="S425" s="608"/>
      <c r="T425" s="604"/>
      <c r="U425" s="609"/>
      <c r="V425" s="609"/>
      <c r="W425" s="610"/>
      <c r="X425" s="609"/>
      <c r="Y425" s="609"/>
      <c r="Z425" s="601"/>
      <c r="AA425" s="649" t="s">
        <v>60</v>
      </c>
      <c r="AB425" s="609"/>
      <c r="AC425" s="656" t="s">
        <v>153</v>
      </c>
      <c r="AD425" s="656" t="s">
        <v>153</v>
      </c>
      <c r="AE425" s="656" t="s">
        <v>273</v>
      </c>
      <c r="AF425" s="609"/>
      <c r="AG425" s="607"/>
      <c r="AH425" s="601"/>
      <c r="AI425" s="601"/>
      <c r="AJ425" s="612">
        <f t="shared" ca="1" si="52"/>
        <v>217</v>
      </c>
      <c r="AK425" s="612">
        <f t="shared" ca="1" si="53"/>
        <v>215</v>
      </c>
      <c r="AL425" s="613" t="str">
        <f t="shared" si="54"/>
        <v>In touch - Negative</v>
      </c>
      <c r="AM425" s="614">
        <v>45447</v>
      </c>
      <c r="AN425" s="614">
        <v>45449</v>
      </c>
      <c r="AO425" s="615"/>
      <c r="AP425" s="38"/>
      <c r="AQ425" s="615"/>
      <c r="AR425" s="616" t="s">
        <v>1963</v>
      </c>
      <c r="AS425" s="615">
        <v>45449</v>
      </c>
      <c r="AT425" s="11" t="s">
        <v>7</v>
      </c>
    </row>
    <row r="426" spans="1:46" s="98" customFormat="1" x14ac:dyDescent="0.3">
      <c r="B426" s="16" cm="1">
        <f t="array" ref="B426">+_xlfn.IFS(D426="In Touch - Positive",2,D426="Pending",1,D426="No Answer",4,D426="In Touch - Negative",3)</f>
        <v>3</v>
      </c>
      <c r="C426" s="16" t="s">
        <v>3661</v>
      </c>
      <c r="D426" s="99" t="str">
        <f t="shared" si="55"/>
        <v>In touch - Negative</v>
      </c>
      <c r="E426" s="12" t="s">
        <v>3665</v>
      </c>
      <c r="F426" s="12"/>
      <c r="G426" s="13" t="s">
        <v>308</v>
      </c>
      <c r="H426" s="14" t="s">
        <v>3670</v>
      </c>
      <c r="I426" s="13"/>
      <c r="J426" s="188" t="s">
        <v>3012</v>
      </c>
      <c r="K426" s="15" t="s">
        <v>3673</v>
      </c>
      <c r="L426" s="15" t="s">
        <v>3676</v>
      </c>
      <c r="M426" s="15"/>
      <c r="N426" s="15"/>
      <c r="O426" s="15"/>
      <c r="P426" s="15"/>
      <c r="Q426" s="15"/>
      <c r="R426" s="16"/>
      <c r="S426" s="35" t="s">
        <v>77</v>
      </c>
      <c r="T426" s="13">
        <v>2022</v>
      </c>
      <c r="U426" s="17">
        <v>46</v>
      </c>
      <c r="V426" s="17">
        <v>8.4</v>
      </c>
      <c r="W426" s="248">
        <f>+V426/U426</f>
        <v>0.18260869565217391</v>
      </c>
      <c r="X426" s="17">
        <v>6.3</v>
      </c>
      <c r="Y426" s="17">
        <v>-3.1</v>
      </c>
      <c r="Z426" s="16"/>
      <c r="AA426" s="15" t="s">
        <v>140</v>
      </c>
      <c r="AB426" s="17"/>
      <c r="AC426" s="21" t="s">
        <v>153</v>
      </c>
      <c r="AD426" s="21" t="s">
        <v>153</v>
      </c>
      <c r="AE426" s="21"/>
      <c r="AF426" s="17"/>
      <c r="AG426" s="15"/>
      <c r="AH426" s="16"/>
      <c r="AI426" s="16"/>
      <c r="AJ426" s="42">
        <f t="shared" ca="1" si="52"/>
        <v>237</v>
      </c>
      <c r="AK426" s="42">
        <f t="shared" ca="1" si="53"/>
        <v>576</v>
      </c>
      <c r="AL426" s="130" t="str">
        <f t="shared" si="54"/>
        <v>In touch - Negative</v>
      </c>
      <c r="AM426" s="37">
        <v>45427</v>
      </c>
      <c r="AN426" s="37">
        <v>45439</v>
      </c>
      <c r="AO426" s="38">
        <v>45453</v>
      </c>
      <c r="AP426" s="38"/>
      <c r="AQ426" s="38">
        <v>45454</v>
      </c>
      <c r="AR426" s="101" t="s">
        <v>1963</v>
      </c>
      <c r="AS426" s="38">
        <v>45088</v>
      </c>
      <c r="AT426" s="11" t="s">
        <v>7</v>
      </c>
    </row>
    <row r="427" spans="1:46" s="98" customFormat="1" x14ac:dyDescent="0.3">
      <c r="A427" s="16"/>
      <c r="B427" s="16" cm="1">
        <f t="array" ref="B427">+_xlfn.IFS(D427="In Touch - Positive",2,D427="Pending",1,D427="No Answer",4,D427="In Touch - Negative",3)</f>
        <v>3</v>
      </c>
      <c r="C427" s="16" t="s">
        <v>3661</v>
      </c>
      <c r="D427" s="99" t="str">
        <f t="shared" si="55"/>
        <v>In touch - Negative</v>
      </c>
      <c r="E427" s="12" t="s">
        <v>3663</v>
      </c>
      <c r="F427" s="12"/>
      <c r="G427" s="13" t="s">
        <v>103</v>
      </c>
      <c r="H427" s="14" t="s">
        <v>3668</v>
      </c>
      <c r="I427" s="13"/>
      <c r="J427" s="188" t="s">
        <v>2714</v>
      </c>
      <c r="K427" s="15" t="s">
        <v>3671</v>
      </c>
      <c r="L427" s="630"/>
      <c r="M427" s="15"/>
      <c r="N427" s="15"/>
      <c r="O427" s="15"/>
      <c r="P427" s="15"/>
      <c r="Q427" s="15"/>
      <c r="R427" s="16"/>
      <c r="S427" s="35" t="s">
        <v>77</v>
      </c>
      <c r="T427" s="13">
        <v>2022</v>
      </c>
      <c r="U427" s="17">
        <v>153</v>
      </c>
      <c r="V427" s="17">
        <v>32.200000000000003</v>
      </c>
      <c r="W427" s="248">
        <f>+V427/U427</f>
        <v>0.21045751633986931</v>
      </c>
      <c r="X427" s="17">
        <v>11</v>
      </c>
      <c r="Y427" s="17">
        <v>-16</v>
      </c>
      <c r="Z427" s="16"/>
      <c r="AA427" s="15" t="s">
        <v>140</v>
      </c>
      <c r="AB427" s="17"/>
      <c r="AC427" s="21" t="s">
        <v>153</v>
      </c>
      <c r="AD427" s="21" t="s">
        <v>153</v>
      </c>
      <c r="AE427" s="21"/>
      <c r="AF427" s="17"/>
      <c r="AG427" s="15"/>
      <c r="AH427" s="16"/>
      <c r="AI427" s="16"/>
      <c r="AJ427" s="42">
        <f t="shared" ca="1" si="52"/>
        <v>237</v>
      </c>
      <c r="AK427" s="42">
        <f t="shared" ca="1" si="53"/>
        <v>222</v>
      </c>
      <c r="AL427" s="130" t="str">
        <f t="shared" si="54"/>
        <v>In touch - Negative</v>
      </c>
      <c r="AM427" s="37">
        <v>45427</v>
      </c>
      <c r="AN427" s="37">
        <v>45439</v>
      </c>
      <c r="AO427" s="38" t="s">
        <v>65</v>
      </c>
      <c r="AP427" s="615" t="s">
        <v>65</v>
      </c>
      <c r="AQ427" s="38">
        <v>45441</v>
      </c>
      <c r="AR427" s="101" t="s">
        <v>1963</v>
      </c>
      <c r="AS427" s="38">
        <v>45442</v>
      </c>
      <c r="AT427" s="11" t="s">
        <v>7</v>
      </c>
    </row>
    <row r="428" spans="1:46" s="98" customFormat="1" x14ac:dyDescent="0.3">
      <c r="A428" s="16"/>
      <c r="B428" s="601" cm="1">
        <f t="array" ref="B428">+_xlfn.IFS(D428="In Touch - Positive",2,D428="Pending",1,D428="No Answer",4,D428="In Touch - Negative",3)</f>
        <v>3</v>
      </c>
      <c r="C428" s="601" t="s">
        <v>3688</v>
      </c>
      <c r="D428" s="602" t="str">
        <f t="shared" si="55"/>
        <v>In touch - Negative</v>
      </c>
      <c r="E428" s="603" t="s">
        <v>3805</v>
      </c>
      <c r="F428" s="603"/>
      <c r="G428" s="604" t="s">
        <v>634</v>
      </c>
      <c r="H428" s="605"/>
      <c r="I428" s="604"/>
      <c r="J428" s="606" t="s">
        <v>57</v>
      </c>
      <c r="K428" s="607" t="s">
        <v>3798</v>
      </c>
      <c r="L428" s="607"/>
      <c r="M428" s="607"/>
      <c r="N428" s="607"/>
      <c r="O428" s="607"/>
      <c r="P428" s="607"/>
      <c r="Q428" s="607"/>
      <c r="R428" s="601"/>
      <c r="S428" s="608"/>
      <c r="T428" s="604"/>
      <c r="U428" s="609"/>
      <c r="V428" s="609"/>
      <c r="W428" s="610"/>
      <c r="X428" s="609"/>
      <c r="Y428" s="609"/>
      <c r="Z428" s="601"/>
      <c r="AA428" s="607" t="s">
        <v>140</v>
      </c>
      <c r="AB428" s="609"/>
      <c r="AC428" s="611" t="s">
        <v>61</v>
      </c>
      <c r="AD428" s="611" t="s">
        <v>61</v>
      </c>
      <c r="AE428" s="611" t="s">
        <v>62</v>
      </c>
      <c r="AF428" s="609"/>
      <c r="AG428" s="607"/>
      <c r="AH428" s="601"/>
      <c r="AI428" s="601"/>
      <c r="AJ428" s="612">
        <f t="shared" ca="1" si="52"/>
        <v>237</v>
      </c>
      <c r="AK428" s="612">
        <f t="shared" ca="1" si="53"/>
        <v>232</v>
      </c>
      <c r="AL428" s="613" t="str">
        <f t="shared" si="54"/>
        <v>In touch - Negative</v>
      </c>
      <c r="AM428" s="614">
        <v>45427</v>
      </c>
      <c r="AN428" s="614">
        <v>45429</v>
      </c>
      <c r="AO428" s="615" t="s">
        <v>65</v>
      </c>
      <c r="AP428" s="615" t="s">
        <v>65</v>
      </c>
      <c r="AQ428" s="615">
        <v>45432</v>
      </c>
      <c r="AR428" s="616" t="s">
        <v>1963</v>
      </c>
      <c r="AS428" s="615">
        <v>45432</v>
      </c>
      <c r="AT428" s="11" t="s">
        <v>7</v>
      </c>
    </row>
    <row r="429" spans="1:46" s="98" customFormat="1" x14ac:dyDescent="0.3">
      <c r="A429" s="16"/>
      <c r="B429" s="601" cm="1">
        <f t="array" ref="B429">+_xlfn.IFS(D429="In Touch - Positive",2,D429="Pending",1,D429="No Answer",4,D429="In Touch - Negative",3)</f>
        <v>3</v>
      </c>
      <c r="C429" s="601" t="s">
        <v>3688</v>
      </c>
      <c r="D429" s="602" t="str">
        <f t="shared" si="55"/>
        <v>In touch - Negative</v>
      </c>
      <c r="E429" s="603" t="s">
        <v>3801</v>
      </c>
      <c r="F429" s="603"/>
      <c r="G429" s="604" t="s">
        <v>712</v>
      </c>
      <c r="H429" s="605"/>
      <c r="I429" s="604"/>
      <c r="J429" s="606" t="s">
        <v>57</v>
      </c>
      <c r="K429" s="607" t="s">
        <v>3807</v>
      </c>
      <c r="L429" s="607" t="s">
        <v>3802</v>
      </c>
      <c r="M429" s="607"/>
      <c r="N429" s="607"/>
      <c r="O429" s="607"/>
      <c r="P429" s="607"/>
      <c r="Q429" s="607"/>
      <c r="R429" s="601"/>
      <c r="S429" s="608"/>
      <c r="T429" s="604"/>
      <c r="U429" s="609"/>
      <c r="V429" s="609"/>
      <c r="W429" s="610"/>
      <c r="X429" s="609"/>
      <c r="Y429" s="609"/>
      <c r="Z429" s="601"/>
      <c r="AA429" s="607" t="s">
        <v>140</v>
      </c>
      <c r="AB429" s="609"/>
      <c r="AC429" s="611" t="s">
        <v>61</v>
      </c>
      <c r="AD429" s="611" t="s">
        <v>61</v>
      </c>
      <c r="AE429" s="611" t="s">
        <v>62</v>
      </c>
      <c r="AF429" s="609"/>
      <c r="AG429" s="607"/>
      <c r="AH429" s="601"/>
      <c r="AI429" s="601"/>
      <c r="AJ429" s="612">
        <f t="shared" ca="1" si="52"/>
        <v>237</v>
      </c>
      <c r="AK429" s="612">
        <f t="shared" ca="1" si="53"/>
        <v>232</v>
      </c>
      <c r="AL429" s="613" t="str">
        <f t="shared" si="54"/>
        <v>In touch - Negative</v>
      </c>
      <c r="AM429" s="614">
        <v>45427</v>
      </c>
      <c r="AN429" s="614">
        <v>45429</v>
      </c>
      <c r="AO429" s="615" t="s">
        <v>65</v>
      </c>
      <c r="AP429" s="38">
        <v>45425</v>
      </c>
      <c r="AQ429" s="615">
        <v>45432</v>
      </c>
      <c r="AR429" s="616" t="s">
        <v>1963</v>
      </c>
      <c r="AS429" s="615">
        <v>45432</v>
      </c>
      <c r="AT429" s="11" t="s">
        <v>7</v>
      </c>
    </row>
    <row r="430" spans="1:46" s="98" customFormat="1" x14ac:dyDescent="0.3">
      <c r="B430" s="16" cm="1">
        <f t="array" ref="B430">+_xlfn.IFS(D430="In Touch - Positive",2,D430="Pending",1,D430="No Answer",4,D430="In Touch - Negative",3)</f>
        <v>3</v>
      </c>
      <c r="C430" s="16" t="s">
        <v>1629</v>
      </c>
      <c r="D430" s="99" t="str">
        <f t="shared" si="55"/>
        <v>In touch - Negative</v>
      </c>
      <c r="E430" s="12" t="s">
        <v>3462</v>
      </c>
      <c r="F430" s="12"/>
      <c r="G430" s="13" t="s">
        <v>326</v>
      </c>
      <c r="H430" s="14" t="s">
        <v>3469</v>
      </c>
      <c r="I430" s="14" t="s">
        <v>3472</v>
      </c>
      <c r="J430" s="100" t="s">
        <v>459</v>
      </c>
      <c r="K430" s="15" t="s">
        <v>3466</v>
      </c>
      <c r="L430" s="15" t="s">
        <v>3468</v>
      </c>
      <c r="M430" s="15"/>
      <c r="N430" s="15"/>
      <c r="O430" s="15"/>
      <c r="P430" s="15"/>
      <c r="Q430" s="15"/>
      <c r="R430" s="16"/>
      <c r="S430" s="35" t="s">
        <v>77</v>
      </c>
      <c r="T430" s="13">
        <v>2022</v>
      </c>
      <c r="U430" s="17">
        <v>12.6</v>
      </c>
      <c r="V430" s="17">
        <v>1.1000000000000001</v>
      </c>
      <c r="W430" s="248">
        <f t="shared" ref="W430:W444" si="57">+V430/U430</f>
        <v>8.7301587301587311E-2</v>
      </c>
      <c r="X430" s="17">
        <v>0.13300000000000001</v>
      </c>
      <c r="Y430" s="17">
        <v>1.3</v>
      </c>
      <c r="Z430" s="16"/>
      <c r="AA430" s="15" t="s">
        <v>140</v>
      </c>
      <c r="AB430" s="17"/>
      <c r="AC430" s="21" t="s">
        <v>61</v>
      </c>
      <c r="AD430" s="21" t="s">
        <v>61</v>
      </c>
      <c r="AE430" s="21" t="s">
        <v>86</v>
      </c>
      <c r="AF430" s="17"/>
      <c r="AG430" s="15"/>
      <c r="AH430" s="16"/>
      <c r="AI430" s="16"/>
      <c r="AJ430" s="42">
        <f t="shared" ca="1" si="52"/>
        <v>295</v>
      </c>
      <c r="AK430" s="42">
        <f t="shared" ca="1" si="53"/>
        <v>295</v>
      </c>
      <c r="AL430" s="130" t="str">
        <f t="shared" si="54"/>
        <v>In touch - Negative</v>
      </c>
      <c r="AM430" s="37">
        <v>45369</v>
      </c>
      <c r="AN430" s="38">
        <v>45369</v>
      </c>
      <c r="AO430" s="38">
        <v>45414</v>
      </c>
      <c r="AP430" s="38"/>
      <c r="AQ430" s="38"/>
      <c r="AR430" s="101" t="s">
        <v>1963</v>
      </c>
      <c r="AS430" s="38">
        <v>45369</v>
      </c>
      <c r="AT430" s="11" t="s">
        <v>7</v>
      </c>
    </row>
    <row r="431" spans="1:46" s="98" customFormat="1" x14ac:dyDescent="0.3">
      <c r="A431" s="16"/>
      <c r="B431" s="16" cm="1">
        <f t="array" ref="B431">+_xlfn.IFS(D431="In Touch - Positive",2,D431="Pending",1,D431="No Answer",4,D431="In Touch - Negative",3)</f>
        <v>3</v>
      </c>
      <c r="C431" s="16" t="s">
        <v>3609</v>
      </c>
      <c r="D431" s="99" t="str">
        <f t="shared" si="55"/>
        <v>In touch - Negative</v>
      </c>
      <c r="E431" s="12" t="s">
        <v>3612</v>
      </c>
      <c r="F431" s="20"/>
      <c r="G431" s="13" t="s">
        <v>208</v>
      </c>
      <c r="H431" s="14" t="s">
        <v>3613</v>
      </c>
      <c r="I431" s="13">
        <v>522910</v>
      </c>
      <c r="J431" s="100" t="s">
        <v>83</v>
      </c>
      <c r="K431" s="15" t="s">
        <v>3614</v>
      </c>
      <c r="L431" s="15"/>
      <c r="M431" s="15"/>
      <c r="N431" s="15"/>
      <c r="O431" s="15"/>
      <c r="P431" s="15"/>
      <c r="Q431" s="15"/>
      <c r="R431" s="16"/>
      <c r="S431" s="35" t="s">
        <v>144</v>
      </c>
      <c r="T431" s="13">
        <v>2022</v>
      </c>
      <c r="U431" s="17">
        <v>642</v>
      </c>
      <c r="V431" s="17">
        <v>-3</v>
      </c>
      <c r="W431" s="248">
        <f t="shared" si="57"/>
        <v>-4.6728971962616819E-3</v>
      </c>
      <c r="X431" s="17">
        <v>-33</v>
      </c>
      <c r="Y431" s="17">
        <v>124</v>
      </c>
      <c r="Z431" s="16"/>
      <c r="AA431" s="15" t="s">
        <v>140</v>
      </c>
      <c r="AB431" s="17"/>
      <c r="AC431" s="17" t="s">
        <v>61</v>
      </c>
      <c r="AD431" s="21" t="s">
        <v>153</v>
      </c>
      <c r="AE431" s="21" t="s">
        <v>62</v>
      </c>
      <c r="AF431" s="17"/>
      <c r="AG431" s="15"/>
      <c r="AH431" s="16"/>
      <c r="AI431" s="16"/>
      <c r="AJ431" s="42">
        <f t="shared" ca="1" si="52"/>
        <v>259</v>
      </c>
      <c r="AK431" s="42">
        <f t="shared" ca="1" si="53"/>
        <v>234</v>
      </c>
      <c r="AL431" s="130" t="str">
        <f t="shared" si="54"/>
        <v>In touch - Negative</v>
      </c>
      <c r="AM431" s="37">
        <v>45405</v>
      </c>
      <c r="AN431" s="38">
        <v>45425</v>
      </c>
      <c r="AO431" s="38">
        <v>45429</v>
      </c>
      <c r="AP431" s="38"/>
      <c r="AQ431" s="38"/>
      <c r="AR431" s="101" t="s">
        <v>1963</v>
      </c>
      <c r="AS431" s="38">
        <v>45430</v>
      </c>
      <c r="AT431" s="11" t="s">
        <v>7</v>
      </c>
    </row>
    <row r="432" spans="1:46" s="98" customFormat="1" x14ac:dyDescent="0.3">
      <c r="B432" s="16" cm="1">
        <f t="array" ref="B432">+_xlfn.IFS(D432="In Touch - Positive",2,D432="Pending",1,D432="No Answer",4,D432="In Touch - Negative",3)</f>
        <v>3</v>
      </c>
      <c r="C432" s="16" t="s">
        <v>3416</v>
      </c>
      <c r="D432" s="99" t="str">
        <f t="shared" si="55"/>
        <v>In touch - Negative</v>
      </c>
      <c r="E432" s="12" t="s">
        <v>3362</v>
      </c>
      <c r="F432" s="12"/>
      <c r="G432" s="13" t="s">
        <v>103</v>
      </c>
      <c r="H432" s="14" t="s">
        <v>3365</v>
      </c>
      <c r="I432" s="13"/>
      <c r="J432" s="100" t="s">
        <v>2772</v>
      </c>
      <c r="K432" s="15" t="s">
        <v>3425</v>
      </c>
      <c r="L432" s="15" t="s">
        <v>3392</v>
      </c>
      <c r="M432" s="15"/>
      <c r="N432" s="15"/>
      <c r="O432" s="15"/>
      <c r="P432" s="15"/>
      <c r="Q432" s="15"/>
      <c r="R432" s="16"/>
      <c r="S432" s="35" t="s">
        <v>77</v>
      </c>
      <c r="T432" s="13">
        <v>2022</v>
      </c>
      <c r="U432" s="17">
        <v>13.669</v>
      </c>
      <c r="V432" s="17">
        <v>1.4990000000000001</v>
      </c>
      <c r="W432" s="248">
        <f t="shared" si="57"/>
        <v>0.10966420367254372</v>
      </c>
      <c r="X432" s="17">
        <v>0.628</v>
      </c>
      <c r="Y432" s="17"/>
      <c r="Z432" s="16"/>
      <c r="AA432" s="15" t="s">
        <v>140</v>
      </c>
      <c r="AB432" s="17"/>
      <c r="AC432" s="21" t="s">
        <v>153</v>
      </c>
      <c r="AD432" s="21" t="s">
        <v>153</v>
      </c>
      <c r="AE432" s="21" t="s">
        <v>153</v>
      </c>
      <c r="AF432" s="17"/>
      <c r="AG432" s="15"/>
      <c r="AH432" s="16"/>
      <c r="AI432" s="16"/>
      <c r="AJ432" s="42">
        <f t="shared" ca="1" si="52"/>
        <v>302</v>
      </c>
      <c r="AK432" s="42">
        <f t="shared" ca="1" si="53"/>
        <v>301</v>
      </c>
      <c r="AL432" s="130" t="str">
        <f t="shared" si="54"/>
        <v>In touch - Negative</v>
      </c>
      <c r="AM432" s="37">
        <v>45362</v>
      </c>
      <c r="AN432" s="38">
        <v>45364</v>
      </c>
      <c r="AO432" s="38"/>
      <c r="AP432" s="38"/>
      <c r="AQ432" s="38"/>
      <c r="AR432" s="101" t="s">
        <v>1963</v>
      </c>
      <c r="AS432" s="38">
        <v>45363</v>
      </c>
      <c r="AT432" s="11" t="s">
        <v>7</v>
      </c>
    </row>
    <row r="433" spans="1:46" s="98" customFormat="1" ht="13.5" x14ac:dyDescent="0.35">
      <c r="A433"/>
      <c r="B433" s="16" cm="1">
        <f t="array" ref="B433">+_xlfn.IFS(D433="In Touch - Positive",2,D433="Pending",1,D433="No Answer",4,D433="In Touch - Negative",3)</f>
        <v>3</v>
      </c>
      <c r="C433" s="16" t="s">
        <v>3416</v>
      </c>
      <c r="D433" s="99" t="str">
        <f t="shared" si="55"/>
        <v>In touch - Negative</v>
      </c>
      <c r="E433" s="12" t="s">
        <v>3360</v>
      </c>
      <c r="F433" s="12"/>
      <c r="G433" s="13" t="s">
        <v>208</v>
      </c>
      <c r="H433" s="14" t="s">
        <v>3367</v>
      </c>
      <c r="I433" s="13"/>
      <c r="J433" s="100" t="s">
        <v>2772</v>
      </c>
      <c r="K433" s="15" t="s">
        <v>3427</v>
      </c>
      <c r="L433" s="15" t="s">
        <v>3394</v>
      </c>
      <c r="M433" s="15"/>
      <c r="N433" s="15"/>
      <c r="O433" s="15"/>
      <c r="P433" s="15"/>
      <c r="Q433" s="15"/>
      <c r="R433" s="16"/>
      <c r="S433" s="35" t="s">
        <v>77</v>
      </c>
      <c r="T433" s="13">
        <v>2022</v>
      </c>
      <c r="U433" s="17">
        <v>18.449000000000002</v>
      </c>
      <c r="V433" s="17">
        <v>1.2729999999999999</v>
      </c>
      <c r="W433" s="248">
        <f t="shared" si="57"/>
        <v>6.9001029866117392E-2</v>
      </c>
      <c r="X433" s="17">
        <v>1.018</v>
      </c>
      <c r="Y433" s="17"/>
      <c r="Z433" s="16"/>
      <c r="AA433" s="15" t="s">
        <v>140</v>
      </c>
      <c r="AB433" s="17"/>
      <c r="AC433" s="21" t="s">
        <v>153</v>
      </c>
      <c r="AD433" s="21" t="s">
        <v>153</v>
      </c>
      <c r="AE433" s="21" t="s">
        <v>153</v>
      </c>
      <c r="AF433" s="17"/>
      <c r="AG433" s="15"/>
      <c r="AH433" s="16"/>
      <c r="AI433" s="16"/>
      <c r="AJ433" s="42">
        <f t="shared" ca="1" si="52"/>
        <v>302</v>
      </c>
      <c r="AK433" s="42">
        <f t="shared" ca="1" si="53"/>
        <v>301</v>
      </c>
      <c r="AL433" s="130" t="str">
        <f t="shared" si="54"/>
        <v>In touch - Negative</v>
      </c>
      <c r="AM433" s="37">
        <v>45362</v>
      </c>
      <c r="AN433" s="38">
        <v>45364</v>
      </c>
      <c r="AO433" s="38"/>
      <c r="AP433" s="38"/>
      <c r="AQ433" s="38"/>
      <c r="AR433" s="101" t="s">
        <v>1963</v>
      </c>
      <c r="AS433" s="38">
        <v>45363</v>
      </c>
      <c r="AT433" s="11" t="s">
        <v>7</v>
      </c>
    </row>
    <row r="434" spans="1:46" s="98" customFormat="1" x14ac:dyDescent="0.3">
      <c r="A434" s="97"/>
      <c r="B434" s="16" cm="1">
        <f t="array" ref="B434">+_xlfn.IFS(D434="In Touch - Positive",2,D434="Pending",1,D434="No Answer",4,D434="In Touch - Negative",3)</f>
        <v>3</v>
      </c>
      <c r="C434" s="16" t="s">
        <v>3416</v>
      </c>
      <c r="D434" s="99" t="str">
        <f t="shared" si="55"/>
        <v>In touch - Negative</v>
      </c>
      <c r="E434" s="12" t="s">
        <v>3359</v>
      </c>
      <c r="F434" s="12"/>
      <c r="G434" s="13" t="s">
        <v>103</v>
      </c>
      <c r="H434" s="14" t="s">
        <v>3368</v>
      </c>
      <c r="I434" s="13"/>
      <c r="J434" s="100" t="s">
        <v>2772</v>
      </c>
      <c r="K434" s="15" t="s">
        <v>3427</v>
      </c>
      <c r="L434" s="15" t="s">
        <v>3395</v>
      </c>
      <c r="M434" s="15"/>
      <c r="N434" s="15"/>
      <c r="O434" s="15"/>
      <c r="P434" s="15"/>
      <c r="Q434" s="15"/>
      <c r="R434" s="16"/>
      <c r="S434" s="35" t="s">
        <v>77</v>
      </c>
      <c r="T434" s="13">
        <v>2022</v>
      </c>
      <c r="U434" s="17">
        <v>10.071</v>
      </c>
      <c r="V434" s="17">
        <v>3.4790000000000001</v>
      </c>
      <c r="W434" s="248">
        <f t="shared" si="57"/>
        <v>0.34544732399960282</v>
      </c>
      <c r="X434" s="17">
        <v>1.9890000000000001</v>
      </c>
      <c r="Y434" s="17"/>
      <c r="Z434" s="16"/>
      <c r="AA434" s="15" t="s">
        <v>140</v>
      </c>
      <c r="AB434" s="17"/>
      <c r="AC434" s="21" t="s">
        <v>153</v>
      </c>
      <c r="AD434" s="21" t="s">
        <v>153</v>
      </c>
      <c r="AE434" s="21" t="s">
        <v>153</v>
      </c>
      <c r="AF434" s="17"/>
      <c r="AG434" s="15"/>
      <c r="AH434" s="16"/>
      <c r="AI434" s="16"/>
      <c r="AJ434" s="42">
        <f t="shared" ca="1" si="52"/>
        <v>302</v>
      </c>
      <c r="AK434" s="42">
        <f t="shared" ca="1" si="53"/>
        <v>250</v>
      </c>
      <c r="AL434" s="130" t="str">
        <f t="shared" si="54"/>
        <v>In touch - Negative</v>
      </c>
      <c r="AM434" s="37">
        <v>45362</v>
      </c>
      <c r="AN434" s="38">
        <v>45364</v>
      </c>
      <c r="AO434" s="38">
        <v>45414</v>
      </c>
      <c r="AP434" s="38"/>
      <c r="AQ434" s="38"/>
      <c r="AR434" s="101" t="s">
        <v>1963</v>
      </c>
      <c r="AS434" s="38">
        <v>45414</v>
      </c>
      <c r="AT434" s="11" t="s">
        <v>7</v>
      </c>
    </row>
    <row r="435" spans="1:46" s="98" customFormat="1" ht="12" customHeight="1" x14ac:dyDescent="0.3">
      <c r="B435" s="16" cm="1">
        <f t="array" ref="B435">+_xlfn.IFS(D435="In Touch - Positive",2,D435="Pending",1,D435="No Answer",4,D435="In Touch - Negative",3)</f>
        <v>3</v>
      </c>
      <c r="C435" s="16" t="s">
        <v>3416</v>
      </c>
      <c r="D435" s="99" t="str">
        <f t="shared" si="55"/>
        <v>In touch - Negative</v>
      </c>
      <c r="E435" s="12" t="s">
        <v>3356</v>
      </c>
      <c r="F435" s="12"/>
      <c r="G435" s="13" t="s">
        <v>308</v>
      </c>
      <c r="H435" s="14" t="s">
        <v>3371</v>
      </c>
      <c r="I435" s="13"/>
      <c r="J435" s="100" t="s">
        <v>2772</v>
      </c>
      <c r="K435" s="15" t="s">
        <v>3430</v>
      </c>
      <c r="L435" s="15" t="s">
        <v>3397</v>
      </c>
      <c r="M435" s="15"/>
      <c r="N435" s="15"/>
      <c r="O435" s="15"/>
      <c r="P435" s="15"/>
      <c r="Q435" s="15"/>
      <c r="R435" s="16"/>
      <c r="S435" s="35" t="s">
        <v>77</v>
      </c>
      <c r="T435" s="13">
        <v>2022</v>
      </c>
      <c r="U435" s="17">
        <v>52.613999999999997</v>
      </c>
      <c r="V435" s="17">
        <v>5.2329999999999997</v>
      </c>
      <c r="W435" s="248">
        <f t="shared" si="57"/>
        <v>9.9460219713384271E-2</v>
      </c>
      <c r="X435" s="17">
        <v>2.0350000000000001</v>
      </c>
      <c r="Y435" s="17"/>
      <c r="Z435" s="16"/>
      <c r="AA435" s="15" t="s">
        <v>140</v>
      </c>
      <c r="AB435" s="17"/>
      <c r="AC435" s="21" t="s">
        <v>153</v>
      </c>
      <c r="AD435" s="21" t="s">
        <v>153</v>
      </c>
      <c r="AE435" s="21" t="s">
        <v>153</v>
      </c>
      <c r="AF435" s="17"/>
      <c r="AG435" s="15"/>
      <c r="AH435" s="16"/>
      <c r="AI435" s="16"/>
      <c r="AJ435" s="42">
        <f t="shared" ca="1" si="52"/>
        <v>302</v>
      </c>
      <c r="AK435" s="42">
        <f t="shared" ca="1" si="53"/>
        <v>250</v>
      </c>
      <c r="AL435" s="130" t="str">
        <f t="shared" si="54"/>
        <v>In touch - Negative</v>
      </c>
      <c r="AM435" s="37">
        <v>45362</v>
      </c>
      <c r="AN435" s="38">
        <v>45364</v>
      </c>
      <c r="AO435" s="38">
        <v>45414</v>
      </c>
      <c r="AP435" s="38"/>
      <c r="AQ435" s="38"/>
      <c r="AR435" s="101" t="s">
        <v>1963</v>
      </c>
      <c r="AS435" s="38">
        <v>45414</v>
      </c>
      <c r="AT435" s="11" t="s">
        <v>7</v>
      </c>
    </row>
    <row r="436" spans="1:46" s="98" customFormat="1" ht="12" customHeight="1" x14ac:dyDescent="0.3">
      <c r="B436" s="16" cm="1">
        <f t="array" ref="B436">+_xlfn.IFS(D436="In Touch - Positive",2,D436="Pending",1,D436="No Answer",4,D436="In Touch - Negative",3)</f>
        <v>3</v>
      </c>
      <c r="C436" s="16" t="s">
        <v>3416</v>
      </c>
      <c r="D436" s="99" t="str">
        <f t="shared" si="55"/>
        <v>In touch - Negative</v>
      </c>
      <c r="E436" s="12" t="s">
        <v>3341</v>
      </c>
      <c r="F436" s="12"/>
      <c r="G436" s="13" t="s">
        <v>308</v>
      </c>
      <c r="H436" s="14" t="s">
        <v>3386</v>
      </c>
      <c r="I436" s="13"/>
      <c r="J436" s="100" t="s">
        <v>2772</v>
      </c>
      <c r="K436" s="15" t="s">
        <v>3445</v>
      </c>
      <c r="L436" s="15" t="s">
        <v>3411</v>
      </c>
      <c r="M436" s="15"/>
      <c r="N436" s="15"/>
      <c r="O436" s="15"/>
      <c r="P436" s="15"/>
      <c r="Q436" s="15"/>
      <c r="R436" s="16"/>
      <c r="S436" s="35" t="s">
        <v>77</v>
      </c>
      <c r="T436" s="13">
        <v>2022</v>
      </c>
      <c r="U436" s="17">
        <v>7.9550000000000001</v>
      </c>
      <c r="V436" s="17">
        <v>2.1509999999999998</v>
      </c>
      <c r="W436" s="248">
        <f t="shared" si="57"/>
        <v>0.27039597737272153</v>
      </c>
      <c r="X436" s="17">
        <v>1.47</v>
      </c>
      <c r="Y436" s="17"/>
      <c r="Z436" s="16"/>
      <c r="AA436" s="15" t="s">
        <v>140</v>
      </c>
      <c r="AB436" s="17"/>
      <c r="AC436" s="21" t="s">
        <v>153</v>
      </c>
      <c r="AD436" s="21" t="s">
        <v>153</v>
      </c>
      <c r="AE436" s="21" t="s">
        <v>153</v>
      </c>
      <c r="AF436" s="17"/>
      <c r="AG436" s="15"/>
      <c r="AH436" s="16"/>
      <c r="AI436" s="16"/>
      <c r="AJ436" s="42">
        <f t="shared" ca="1" si="52"/>
        <v>302</v>
      </c>
      <c r="AK436" s="42">
        <f t="shared" ca="1" si="53"/>
        <v>250</v>
      </c>
      <c r="AL436" s="130" t="str">
        <f t="shared" si="54"/>
        <v>In touch - Negative</v>
      </c>
      <c r="AM436" s="37">
        <v>45362</v>
      </c>
      <c r="AN436" s="38">
        <v>45364</v>
      </c>
      <c r="AO436" s="38">
        <v>45414</v>
      </c>
      <c r="AP436" s="38"/>
      <c r="AQ436" s="38"/>
      <c r="AR436" s="101" t="s">
        <v>1963</v>
      </c>
      <c r="AS436" s="38">
        <v>45414</v>
      </c>
      <c r="AT436" s="11" t="s">
        <v>7</v>
      </c>
    </row>
    <row r="437" spans="1:46" s="98" customFormat="1" ht="12" customHeight="1" x14ac:dyDescent="0.3">
      <c r="A437" s="16"/>
      <c r="B437" s="16" cm="1">
        <f t="array" ref="B437">+_xlfn.IFS(D437="In Touch - Positive",2,D437="Pending",1,D437="No Answer",4,D437="In Touch - Negative",3)</f>
        <v>3</v>
      </c>
      <c r="C437" s="16" t="s">
        <v>3416</v>
      </c>
      <c r="D437" s="99" t="str">
        <f t="shared" si="55"/>
        <v>In touch - Negative</v>
      </c>
      <c r="E437" s="12" t="s">
        <v>3339</v>
      </c>
      <c r="F437" s="12"/>
      <c r="G437" s="13" t="s">
        <v>572</v>
      </c>
      <c r="H437" s="14" t="s">
        <v>3388</v>
      </c>
      <c r="I437" s="13"/>
      <c r="J437" s="100" t="s">
        <v>2772</v>
      </c>
      <c r="K437" s="15" t="s">
        <v>3447</v>
      </c>
      <c r="L437" s="15" t="s">
        <v>3413</v>
      </c>
      <c r="M437" s="15"/>
      <c r="N437" s="15"/>
      <c r="O437" s="15"/>
      <c r="P437" s="15"/>
      <c r="Q437" s="15"/>
      <c r="R437" s="16"/>
      <c r="S437" s="35" t="s">
        <v>77</v>
      </c>
      <c r="T437" s="13">
        <v>2022</v>
      </c>
      <c r="U437" s="17">
        <v>17.783999999999999</v>
      </c>
      <c r="V437" s="17">
        <v>1.7509999999999999</v>
      </c>
      <c r="W437" s="248">
        <f t="shared" si="57"/>
        <v>9.8459289248762932E-2</v>
      </c>
      <c r="X437" s="17">
        <v>0.56299999999999994</v>
      </c>
      <c r="Y437" s="17"/>
      <c r="Z437" s="16"/>
      <c r="AA437" s="15" t="s">
        <v>140</v>
      </c>
      <c r="AB437" s="17"/>
      <c r="AC437" s="21" t="s">
        <v>153</v>
      </c>
      <c r="AD437" s="21" t="s">
        <v>153</v>
      </c>
      <c r="AE437" s="21" t="s">
        <v>153</v>
      </c>
      <c r="AF437" s="17"/>
      <c r="AG437" s="15"/>
      <c r="AH437" s="16"/>
      <c r="AI437" s="16"/>
      <c r="AJ437" s="42">
        <f t="shared" ca="1" si="52"/>
        <v>302</v>
      </c>
      <c r="AK437" s="42">
        <f t="shared" ca="1" si="53"/>
        <v>301</v>
      </c>
      <c r="AL437" s="130" t="str">
        <f t="shared" si="54"/>
        <v>In touch - Negative</v>
      </c>
      <c r="AM437" s="37">
        <v>45362</v>
      </c>
      <c r="AN437" s="38">
        <v>45364</v>
      </c>
      <c r="AO437" s="38"/>
      <c r="AP437" s="38"/>
      <c r="AQ437" s="38"/>
      <c r="AR437" s="101" t="s">
        <v>1963</v>
      </c>
      <c r="AS437" s="38">
        <v>45363</v>
      </c>
      <c r="AT437" s="11" t="s">
        <v>7</v>
      </c>
    </row>
    <row r="438" spans="1:46" s="271" customFormat="1" x14ac:dyDescent="0.35">
      <c r="A438" s="837"/>
      <c r="B438" s="16" cm="1">
        <f t="array" ref="B438">+_xlfn.IFS(D438="In Touch - Positive",2,D438="Pending",1,D438="No Answer",4,D438="In Touch - Negative",3)</f>
        <v>3</v>
      </c>
      <c r="C438" s="16" t="s">
        <v>3416</v>
      </c>
      <c r="D438" s="99" t="str">
        <f t="shared" si="55"/>
        <v>In touch - Negative</v>
      </c>
      <c r="E438" s="12" t="s">
        <v>3338</v>
      </c>
      <c r="F438" s="12"/>
      <c r="G438" s="13" t="s">
        <v>103</v>
      </c>
      <c r="H438" s="14" t="s">
        <v>3389</v>
      </c>
      <c r="I438" s="13"/>
      <c r="J438" s="100" t="s">
        <v>2772</v>
      </c>
      <c r="K438" s="15" t="s">
        <v>3448</v>
      </c>
      <c r="L438" s="15" t="s">
        <v>3414</v>
      </c>
      <c r="M438" s="15"/>
      <c r="N438" s="15"/>
      <c r="O438" s="15"/>
      <c r="P438" s="15"/>
      <c r="Q438" s="15"/>
      <c r="R438" s="16"/>
      <c r="S438" s="35" t="s">
        <v>77</v>
      </c>
      <c r="T438" s="13">
        <v>2022</v>
      </c>
      <c r="U438" s="17">
        <v>98.563999999999993</v>
      </c>
      <c r="V438" s="17">
        <v>11.529</v>
      </c>
      <c r="W438" s="248">
        <f t="shared" si="57"/>
        <v>0.11696968467188833</v>
      </c>
      <c r="X438" s="17">
        <v>7.3929999999999998</v>
      </c>
      <c r="Y438" s="17"/>
      <c r="Z438" s="16"/>
      <c r="AA438" s="15" t="s">
        <v>140</v>
      </c>
      <c r="AB438" s="17"/>
      <c r="AC438" s="21" t="s">
        <v>153</v>
      </c>
      <c r="AD438" s="21" t="s">
        <v>153</v>
      </c>
      <c r="AE438" s="21" t="s">
        <v>153</v>
      </c>
      <c r="AF438" s="17"/>
      <c r="AG438" s="15"/>
      <c r="AH438" s="16"/>
      <c r="AI438" s="16"/>
      <c r="AJ438" s="42">
        <f t="shared" ca="1" si="52"/>
        <v>302</v>
      </c>
      <c r="AK438" s="42">
        <f t="shared" ca="1" si="53"/>
        <v>250</v>
      </c>
      <c r="AL438" s="130" t="str">
        <f t="shared" si="54"/>
        <v>In touch - Negative</v>
      </c>
      <c r="AM438" s="37">
        <v>45362</v>
      </c>
      <c r="AN438" s="38">
        <v>45364</v>
      </c>
      <c r="AO438" s="38">
        <v>45414</v>
      </c>
      <c r="AP438" s="38"/>
      <c r="AQ438" s="38"/>
      <c r="AR438" s="101" t="s">
        <v>1963</v>
      </c>
      <c r="AS438" s="38">
        <v>45414</v>
      </c>
      <c r="AT438" s="853"/>
    </row>
    <row r="439" spans="1:46" s="98" customFormat="1" x14ac:dyDescent="0.3">
      <c r="B439" s="16" cm="1">
        <f t="array" ref="B439">+_xlfn.IFS(D439="In Touch - Positive",2,D439="Pending",1,D439="No Answer",4,D439="In Touch - Negative",3)</f>
        <v>3</v>
      </c>
      <c r="C439" s="16" t="s">
        <v>3416</v>
      </c>
      <c r="D439" s="99" t="str">
        <f t="shared" si="55"/>
        <v>In touch - Negative</v>
      </c>
      <c r="E439" s="12" t="s">
        <v>3342</v>
      </c>
      <c r="F439" s="12"/>
      <c r="G439" s="13" t="s">
        <v>428</v>
      </c>
      <c r="H439" s="14" t="s">
        <v>3385</v>
      </c>
      <c r="I439" s="13"/>
      <c r="J439" s="100" t="s">
        <v>2772</v>
      </c>
      <c r="K439" s="15" t="s">
        <v>3444</v>
      </c>
      <c r="L439" s="15" t="s">
        <v>3410</v>
      </c>
      <c r="M439" s="15"/>
      <c r="N439" s="15"/>
      <c r="O439" s="15"/>
      <c r="P439" s="15"/>
      <c r="Q439" s="15"/>
      <c r="R439" s="16"/>
      <c r="S439" s="35" t="s">
        <v>77</v>
      </c>
      <c r="T439" s="13">
        <v>2022</v>
      </c>
      <c r="U439" s="17">
        <v>48.798000000000002</v>
      </c>
      <c r="V439" s="17">
        <v>6.1820000000000004</v>
      </c>
      <c r="W439" s="248">
        <f t="shared" si="57"/>
        <v>0.1266855198983565</v>
      </c>
      <c r="X439" s="17">
        <v>4.5970000000000004</v>
      </c>
      <c r="Y439" s="17"/>
      <c r="Z439" s="16"/>
      <c r="AA439" s="15" t="s">
        <v>140</v>
      </c>
      <c r="AB439" s="17"/>
      <c r="AC439" s="21" t="s">
        <v>153</v>
      </c>
      <c r="AD439" s="21" t="s">
        <v>153</v>
      </c>
      <c r="AE439" s="21" t="s">
        <v>153</v>
      </c>
      <c r="AF439" s="17"/>
      <c r="AG439" s="15"/>
      <c r="AH439" s="16"/>
      <c r="AI439" s="16"/>
      <c r="AJ439" s="42">
        <f t="shared" ca="1" si="52"/>
        <v>302</v>
      </c>
      <c r="AK439" s="42">
        <f t="shared" ca="1" si="53"/>
        <v>301</v>
      </c>
      <c r="AL439" s="130" t="str">
        <f t="shared" si="54"/>
        <v>In touch - Negative</v>
      </c>
      <c r="AM439" s="37">
        <v>45362</v>
      </c>
      <c r="AN439" s="38">
        <v>45364</v>
      </c>
      <c r="AO439" s="38"/>
      <c r="AP439" s="38">
        <v>45425</v>
      </c>
      <c r="AQ439" s="38"/>
      <c r="AR439" s="101" t="s">
        <v>1963</v>
      </c>
      <c r="AS439" s="38">
        <v>45363</v>
      </c>
      <c r="AT439" s="11" t="s">
        <v>7</v>
      </c>
    </row>
    <row r="440" spans="1:46" s="98" customFormat="1" x14ac:dyDescent="0.3">
      <c r="A440" s="16"/>
      <c r="B440" s="16" cm="1">
        <f t="array" ref="B440">+_xlfn.IFS(D440="In Touch - Positive",2,D440="Pending",1,D440="No Answer",4,D440="In Touch - Negative",3)</f>
        <v>3</v>
      </c>
      <c r="C440" s="16" t="s">
        <v>1629</v>
      </c>
      <c r="D440" s="99" t="str">
        <f t="shared" si="55"/>
        <v>In touch - Negative</v>
      </c>
      <c r="E440" s="12" t="s">
        <v>3461</v>
      </c>
      <c r="F440" s="12"/>
      <c r="G440" s="13" t="s">
        <v>2313</v>
      </c>
      <c r="H440" s="14" t="s">
        <v>3464</v>
      </c>
      <c r="I440" s="14" t="s">
        <v>3465</v>
      </c>
      <c r="J440" s="100" t="s">
        <v>459</v>
      </c>
      <c r="K440" s="15" t="s">
        <v>3466</v>
      </c>
      <c r="L440" s="15" t="s">
        <v>3467</v>
      </c>
      <c r="M440" s="15"/>
      <c r="N440" s="15"/>
      <c r="O440" s="15"/>
      <c r="P440" s="15"/>
      <c r="Q440" s="15"/>
      <c r="R440" s="16"/>
      <c r="S440" s="35" t="s">
        <v>77</v>
      </c>
      <c r="T440" s="13">
        <v>2022</v>
      </c>
      <c r="U440" s="17">
        <v>20.577999999999999</v>
      </c>
      <c r="V440" s="17">
        <v>3.2889910000000002</v>
      </c>
      <c r="W440" s="248">
        <f t="shared" si="57"/>
        <v>0.15983044999514046</v>
      </c>
      <c r="X440" s="17">
        <v>1.320576</v>
      </c>
      <c r="Y440" s="17">
        <v>-2.1420979999999998</v>
      </c>
      <c r="Z440" s="16"/>
      <c r="AA440" s="15" t="s">
        <v>140</v>
      </c>
      <c r="AB440" s="17"/>
      <c r="AC440" s="21" t="s">
        <v>86</v>
      </c>
      <c r="AD440" s="21" t="s">
        <v>61</v>
      </c>
      <c r="AE440" s="21" t="s">
        <v>86</v>
      </c>
      <c r="AF440" s="17"/>
      <c r="AG440" s="15"/>
      <c r="AH440" s="16"/>
      <c r="AI440" s="16"/>
      <c r="AJ440" s="42">
        <f t="shared" ca="1" si="52"/>
        <v>295</v>
      </c>
      <c r="AK440" s="42">
        <f t="shared" ca="1" si="53"/>
        <v>295</v>
      </c>
      <c r="AL440" s="130" t="str">
        <f t="shared" si="54"/>
        <v>In touch - Negative</v>
      </c>
      <c r="AM440" s="37">
        <v>45369</v>
      </c>
      <c r="AN440" s="38">
        <v>45369</v>
      </c>
      <c r="AO440" s="38">
        <v>45414</v>
      </c>
      <c r="AP440" s="38" t="s">
        <v>65</v>
      </c>
      <c r="AQ440" s="38"/>
      <c r="AR440" s="101" t="s">
        <v>1963</v>
      </c>
      <c r="AS440" s="38">
        <v>45369</v>
      </c>
      <c r="AT440" s="11" t="s">
        <v>7</v>
      </c>
    </row>
    <row r="441" spans="1:46" s="98" customFormat="1" x14ac:dyDescent="0.3">
      <c r="A441" s="16"/>
      <c r="B441" s="16" cm="1">
        <f t="array" ref="B441">+_xlfn.IFS(D441="In Touch - Positive",2,D441="Pending",1,D441="No Answer",4,D441="In Touch - Negative",3)</f>
        <v>3</v>
      </c>
      <c r="C441" s="16" t="s">
        <v>3536</v>
      </c>
      <c r="D441" s="99" t="str">
        <f t="shared" si="55"/>
        <v>In touch - Negative</v>
      </c>
      <c r="E441" s="12" t="s">
        <v>3537</v>
      </c>
      <c r="F441" s="12"/>
      <c r="G441" s="13" t="s">
        <v>166</v>
      </c>
      <c r="H441" s="14" t="s">
        <v>3538</v>
      </c>
      <c r="I441" s="14"/>
      <c r="J441" s="100" t="s">
        <v>3539</v>
      </c>
      <c r="K441" s="15" t="s">
        <v>3535</v>
      </c>
      <c r="L441" s="15"/>
      <c r="M441" s="15" t="s">
        <v>3541</v>
      </c>
      <c r="N441" s="15" t="s">
        <v>3542</v>
      </c>
      <c r="O441" s="15" t="s">
        <v>3543</v>
      </c>
      <c r="P441" s="15" t="s">
        <v>3541</v>
      </c>
      <c r="Q441" s="15"/>
      <c r="R441" s="16"/>
      <c r="S441" s="35" t="s">
        <v>77</v>
      </c>
      <c r="T441" s="13">
        <v>2022</v>
      </c>
      <c r="U441" s="17">
        <v>988.58</v>
      </c>
      <c r="V441" s="17">
        <v>74.099999999999994</v>
      </c>
      <c r="W441" s="248">
        <f t="shared" si="57"/>
        <v>7.495599749135122E-2</v>
      </c>
      <c r="X441" s="17"/>
      <c r="Y441" s="17"/>
      <c r="Z441" s="16"/>
      <c r="AA441" s="15" t="s">
        <v>140</v>
      </c>
      <c r="AB441" s="17"/>
      <c r="AC441" s="21" t="s">
        <v>78</v>
      </c>
      <c r="AD441" s="21" t="s">
        <v>78</v>
      </c>
      <c r="AE441" s="21" t="s">
        <v>128</v>
      </c>
      <c r="AF441" s="17"/>
      <c r="AG441" s="15"/>
      <c r="AH441" s="16"/>
      <c r="AI441" s="16"/>
      <c r="AJ441" s="42">
        <f t="shared" ca="1" si="52"/>
        <v>288</v>
      </c>
      <c r="AK441" s="42">
        <f t="shared" ca="1" si="53"/>
        <v>288</v>
      </c>
      <c r="AL441" s="130" t="str">
        <f t="shared" si="54"/>
        <v>In touch - Negative</v>
      </c>
      <c r="AM441" s="37">
        <v>45376</v>
      </c>
      <c r="AN441" s="38">
        <v>45387</v>
      </c>
      <c r="AO441" s="38" t="s">
        <v>65</v>
      </c>
      <c r="AP441" s="38"/>
      <c r="AQ441" s="38">
        <v>45392</v>
      </c>
      <c r="AR441" s="101" t="s">
        <v>1963</v>
      </c>
      <c r="AS441" s="38">
        <v>45376</v>
      </c>
      <c r="AT441" s="11" t="s">
        <v>7</v>
      </c>
    </row>
    <row r="442" spans="1:46" s="98" customFormat="1" x14ac:dyDescent="0.3">
      <c r="A442" s="16"/>
      <c r="B442" s="16" cm="1">
        <f t="array" ref="B442">+_xlfn.IFS(D442="In Touch - Positive",2,D442="Pending",1,D442="No Answer",4,D442="In Touch - Negative",3)</f>
        <v>3</v>
      </c>
      <c r="C442" s="16" t="s">
        <v>3416</v>
      </c>
      <c r="D442" s="99" t="str">
        <f t="shared" si="55"/>
        <v>In touch - Negative</v>
      </c>
      <c r="E442" s="12" t="s">
        <v>3348</v>
      </c>
      <c r="F442" s="12"/>
      <c r="G442" s="13" t="s">
        <v>308</v>
      </c>
      <c r="H442" s="14" t="s">
        <v>3379</v>
      </c>
      <c r="I442" s="13"/>
      <c r="J442" s="100" t="s">
        <v>2772</v>
      </c>
      <c r="K442" s="15" t="s">
        <v>3438</v>
      </c>
      <c r="L442" s="15" t="s">
        <v>3404</v>
      </c>
      <c r="M442" s="15"/>
      <c r="N442" s="15"/>
      <c r="O442" s="15"/>
      <c r="P442" s="15"/>
      <c r="Q442" s="15"/>
      <c r="R442" s="16"/>
      <c r="S442" s="35" t="s">
        <v>77</v>
      </c>
      <c r="T442" s="13">
        <v>2022</v>
      </c>
      <c r="U442" s="17">
        <v>11.724</v>
      </c>
      <c r="V442" s="17">
        <v>4.8959999999999999</v>
      </c>
      <c r="W442" s="248">
        <f t="shared" si="57"/>
        <v>0.41760491299897645</v>
      </c>
      <c r="X442" s="17">
        <v>3.0659999999999998</v>
      </c>
      <c r="Y442" s="17"/>
      <c r="Z442" s="16"/>
      <c r="AA442" s="15" t="s">
        <v>140</v>
      </c>
      <c r="AB442" s="17"/>
      <c r="AC442" s="21" t="s">
        <v>153</v>
      </c>
      <c r="AD442" s="21" t="s">
        <v>153</v>
      </c>
      <c r="AE442" s="21" t="s">
        <v>273</v>
      </c>
      <c r="AF442" s="17"/>
      <c r="AG442" s="15"/>
      <c r="AH442" s="16"/>
      <c r="AI442" s="16"/>
      <c r="AJ442" s="42">
        <f t="shared" ca="1" si="52"/>
        <v>302</v>
      </c>
      <c r="AK442" s="42">
        <f t="shared" ca="1" si="53"/>
        <v>301</v>
      </c>
      <c r="AL442" s="130" t="str">
        <f t="shared" si="54"/>
        <v>In touch - Negative</v>
      </c>
      <c r="AM442" s="37">
        <v>45362</v>
      </c>
      <c r="AN442" s="38">
        <v>45364</v>
      </c>
      <c r="AO442" s="38"/>
      <c r="AP442" s="245"/>
      <c r="AQ442" s="38"/>
      <c r="AR442" s="101" t="s">
        <v>1963</v>
      </c>
      <c r="AS442" s="38">
        <v>45363</v>
      </c>
      <c r="AT442" s="11" t="s">
        <v>7</v>
      </c>
    </row>
    <row r="443" spans="1:46" s="98" customFormat="1" x14ac:dyDescent="0.3">
      <c r="B443" s="231" cm="1">
        <f t="array" ref="B443">+_xlfn.IFS(D443="In Touch - Positive",2,D443="Pending",1,D443="No Answer",4,D443="In Touch - Negative",3)</f>
        <v>3</v>
      </c>
      <c r="C443" s="231" t="s">
        <v>2800</v>
      </c>
      <c r="D443" s="232" t="str">
        <f t="shared" si="55"/>
        <v>In touch - Negative</v>
      </c>
      <c r="E443" s="233" t="s">
        <v>2995</v>
      </c>
      <c r="F443" s="233"/>
      <c r="G443" s="234" t="s">
        <v>1080</v>
      </c>
      <c r="H443" s="235" t="s">
        <v>3006</v>
      </c>
      <c r="I443" s="234"/>
      <c r="J443" s="236"/>
      <c r="K443" s="237"/>
      <c r="L443" s="237" t="s">
        <v>3025</v>
      </c>
      <c r="M443" s="237"/>
      <c r="N443" s="237"/>
      <c r="O443" s="237"/>
      <c r="P443" s="237"/>
      <c r="Q443" s="237"/>
      <c r="R443" s="231"/>
      <c r="S443" s="238"/>
      <c r="T443" s="234">
        <v>2022</v>
      </c>
      <c r="U443" s="239">
        <v>18.559999999999999</v>
      </c>
      <c r="V443" s="239">
        <v>8.3070000000000004</v>
      </c>
      <c r="W443" s="248">
        <f t="shared" si="57"/>
        <v>0.44757543103448283</v>
      </c>
      <c r="X443" s="239"/>
      <c r="Y443" s="239"/>
      <c r="Z443" s="231"/>
      <c r="AA443" s="237" t="s">
        <v>140</v>
      </c>
      <c r="AB443" s="239"/>
      <c r="AC443" s="241" t="s">
        <v>153</v>
      </c>
      <c r="AD443" s="241" t="s">
        <v>153</v>
      </c>
      <c r="AE443" s="241" t="s">
        <v>273</v>
      </c>
      <c r="AF443" s="239"/>
      <c r="AG443" s="237"/>
      <c r="AH443" s="231"/>
      <c r="AI443" s="231"/>
      <c r="AJ443" s="242">
        <f t="shared" ca="1" si="52"/>
        <v>341</v>
      </c>
      <c r="AK443" s="242">
        <f t="shared" ca="1" si="53"/>
        <v>335</v>
      </c>
      <c r="AL443" s="243" t="str">
        <f t="shared" si="54"/>
        <v>In touch - Negative</v>
      </c>
      <c r="AM443" s="244">
        <v>45323</v>
      </c>
      <c r="AN443" s="245">
        <v>45329</v>
      </c>
      <c r="AO443" s="245"/>
      <c r="AP443" s="38" t="s">
        <v>65</v>
      </c>
      <c r="AQ443" s="245"/>
      <c r="AR443" s="246" t="s">
        <v>1963</v>
      </c>
      <c r="AS443" s="245">
        <v>45329</v>
      </c>
      <c r="AT443" s="11" t="s">
        <v>7</v>
      </c>
    </row>
    <row r="444" spans="1:46" s="98" customFormat="1" x14ac:dyDescent="0.3">
      <c r="B444" s="140" cm="1">
        <f t="array" ref="B444">+_xlfn.IFS(D444="In Touch - Positive",2,D444="Pending",1,D444="No Answer",4,D444="In Touch - Negative",3)</f>
        <v>3</v>
      </c>
      <c r="C444" s="140" t="s">
        <v>2539</v>
      </c>
      <c r="D444" s="99" t="str">
        <f t="shared" si="55"/>
        <v>In touch - Negative</v>
      </c>
      <c r="E444" s="141" t="s">
        <v>2535</v>
      </c>
      <c r="F444" s="141"/>
      <c r="G444" s="13" t="s">
        <v>538</v>
      </c>
      <c r="H444" s="14" t="s">
        <v>2569</v>
      </c>
      <c r="I444" s="13">
        <v>282999</v>
      </c>
      <c r="J444" s="100" t="s">
        <v>779</v>
      </c>
      <c r="K444" s="15" t="s">
        <v>2552</v>
      </c>
      <c r="L444" s="15" t="s">
        <v>2599</v>
      </c>
      <c r="M444" s="15"/>
      <c r="N444" s="15"/>
      <c r="O444" s="15"/>
      <c r="P444" s="15"/>
      <c r="Q444" s="15"/>
      <c r="R444" s="16"/>
      <c r="S444" s="35"/>
      <c r="T444" s="13">
        <v>2022</v>
      </c>
      <c r="U444" s="17">
        <v>1.768</v>
      </c>
      <c r="V444" s="17">
        <v>-3.6749999999999998</v>
      </c>
      <c r="W444" s="60">
        <f t="shared" si="57"/>
        <v>-2.0786199095022622</v>
      </c>
      <c r="X444" s="17">
        <v>-3.7679999999999998</v>
      </c>
      <c r="Y444" s="17">
        <v>-0.76600000000000001</v>
      </c>
      <c r="Z444" s="16"/>
      <c r="AA444" s="15" t="s">
        <v>140</v>
      </c>
      <c r="AB444" s="17"/>
      <c r="AC444" s="21" t="s">
        <v>153</v>
      </c>
      <c r="AD444" s="21" t="s">
        <v>153</v>
      </c>
      <c r="AE444" s="142" t="s">
        <v>154</v>
      </c>
      <c r="AF444" s="17"/>
      <c r="AG444" s="15"/>
      <c r="AH444" s="16"/>
      <c r="AI444" s="16"/>
      <c r="AJ444" s="42">
        <f t="shared" ca="1" si="52"/>
        <v>425</v>
      </c>
      <c r="AK444" s="42">
        <f t="shared" ca="1" si="53"/>
        <v>425</v>
      </c>
      <c r="AL444" s="130" t="str">
        <f t="shared" si="54"/>
        <v>In touch - Negative</v>
      </c>
      <c r="AM444" s="37">
        <v>45239</v>
      </c>
      <c r="AN444" s="38">
        <v>45259</v>
      </c>
      <c r="AO444" s="38">
        <v>45309</v>
      </c>
      <c r="AP444" s="245"/>
      <c r="AQ444" s="38">
        <v>45259</v>
      </c>
      <c r="AR444" s="101" t="s">
        <v>1963</v>
      </c>
      <c r="AS444" s="38">
        <v>45239</v>
      </c>
      <c r="AT444" s="11" t="s">
        <v>7</v>
      </c>
    </row>
    <row r="445" spans="1:46" s="98" customFormat="1" x14ac:dyDescent="0.3">
      <c r="B445" s="231" cm="1">
        <f t="array" ref="B445">+_xlfn.IFS(D445="In Touch - Positive",2,D445="Pending",1,D445="No Answer",4,D445="In Touch - Negative",3)</f>
        <v>3</v>
      </c>
      <c r="C445" s="231" t="s">
        <v>2800</v>
      </c>
      <c r="D445" s="232" t="str">
        <f t="shared" si="55"/>
        <v>In touch - Negative</v>
      </c>
      <c r="E445" s="233" t="s">
        <v>2821</v>
      </c>
      <c r="F445" s="233"/>
      <c r="G445" s="234"/>
      <c r="H445" s="235" t="s">
        <v>2836</v>
      </c>
      <c r="I445" s="234"/>
      <c r="J445" s="236" t="s">
        <v>2839</v>
      </c>
      <c r="K445" s="237" t="s">
        <v>2856</v>
      </c>
      <c r="L445" s="237" t="s">
        <v>2868</v>
      </c>
      <c r="M445" s="237"/>
      <c r="N445" s="237"/>
      <c r="O445" s="237"/>
      <c r="P445" s="237"/>
      <c r="Q445" s="237"/>
      <c r="R445" s="231"/>
      <c r="S445" s="238"/>
      <c r="T445" s="234">
        <v>2022</v>
      </c>
      <c r="U445" s="239"/>
      <c r="V445" s="239"/>
      <c r="W445" s="248"/>
      <c r="X445" s="239"/>
      <c r="Y445" s="239"/>
      <c r="Z445" s="231"/>
      <c r="AA445" s="237" t="s">
        <v>140</v>
      </c>
      <c r="AB445" s="239"/>
      <c r="AC445" s="241" t="s">
        <v>153</v>
      </c>
      <c r="AD445" s="241" t="s">
        <v>153</v>
      </c>
      <c r="AE445" s="241" t="s">
        <v>273</v>
      </c>
      <c r="AF445" s="239"/>
      <c r="AG445" s="237"/>
      <c r="AH445" s="231"/>
      <c r="AI445" s="231"/>
      <c r="AJ445" s="242">
        <f t="shared" ca="1" si="52"/>
        <v>351</v>
      </c>
      <c r="AK445" s="242">
        <f t="shared" ca="1" si="53"/>
        <v>337</v>
      </c>
      <c r="AL445" s="243" t="str">
        <f t="shared" si="54"/>
        <v>In touch - Negative</v>
      </c>
      <c r="AM445" s="244">
        <v>45313</v>
      </c>
      <c r="AN445" s="245">
        <v>45314</v>
      </c>
      <c r="AO445" s="245">
        <v>45327</v>
      </c>
      <c r="AP445" s="245"/>
      <c r="AQ445" s="245"/>
      <c r="AR445" s="246" t="s">
        <v>1963</v>
      </c>
      <c r="AS445" s="245">
        <v>45327</v>
      </c>
      <c r="AT445" s="11" t="s">
        <v>7</v>
      </c>
    </row>
    <row r="446" spans="1:46" s="98" customFormat="1" x14ac:dyDescent="0.3">
      <c r="A446" s="16"/>
      <c r="B446" s="231" cm="1">
        <f t="array" ref="B446">+_xlfn.IFS(D446="In Touch - Positive",2,D446="Pending",1,D446="No Answer",4,D446="In Touch - Negative",3)</f>
        <v>3</v>
      </c>
      <c r="C446" s="231" t="s">
        <v>2800</v>
      </c>
      <c r="D446" s="232" t="str">
        <f t="shared" si="55"/>
        <v>In touch - Negative</v>
      </c>
      <c r="E446" s="233" t="s">
        <v>2997</v>
      </c>
      <c r="F446" s="233"/>
      <c r="G446" s="234" t="s">
        <v>2129</v>
      </c>
      <c r="H446" s="235" t="s">
        <v>3008</v>
      </c>
      <c r="I446" s="234"/>
      <c r="J446" s="236" t="s">
        <v>3015</v>
      </c>
      <c r="K446" s="237"/>
      <c r="L446" s="237" t="s">
        <v>3027</v>
      </c>
      <c r="M446" s="237"/>
      <c r="N446" s="237"/>
      <c r="O446" s="237"/>
      <c r="P446" s="237"/>
      <c r="Q446" s="237"/>
      <c r="R446" s="231"/>
      <c r="S446" s="238"/>
      <c r="T446" s="234">
        <v>2022</v>
      </c>
      <c r="U446" s="239">
        <v>109.26</v>
      </c>
      <c r="V446" s="239">
        <v>7.226</v>
      </c>
      <c r="W446" s="248">
        <f>+V446/U446</f>
        <v>6.6135822807980957E-2</v>
      </c>
      <c r="X446" s="239"/>
      <c r="Y446" s="239"/>
      <c r="Z446" s="231"/>
      <c r="AA446" s="237" t="s">
        <v>140</v>
      </c>
      <c r="AB446" s="239"/>
      <c r="AC446" s="241" t="s">
        <v>153</v>
      </c>
      <c r="AD446" s="241" t="s">
        <v>153</v>
      </c>
      <c r="AE446" s="241" t="s">
        <v>273</v>
      </c>
      <c r="AF446" s="239"/>
      <c r="AG446" s="237"/>
      <c r="AH446" s="231"/>
      <c r="AI446" s="231"/>
      <c r="AJ446" s="242">
        <f t="shared" ca="1" si="52"/>
        <v>341</v>
      </c>
      <c r="AK446" s="242">
        <f t="shared" ca="1" si="53"/>
        <v>335</v>
      </c>
      <c r="AL446" s="243" t="str">
        <f t="shared" si="54"/>
        <v>In touch - Negative</v>
      </c>
      <c r="AM446" s="244">
        <v>45323</v>
      </c>
      <c r="AN446" s="245">
        <v>45329</v>
      </c>
      <c r="AO446" s="245"/>
      <c r="AP446" s="245"/>
      <c r="AQ446" s="245"/>
      <c r="AR446" s="246" t="s">
        <v>1963</v>
      </c>
      <c r="AS446" s="245">
        <v>45329</v>
      </c>
      <c r="AT446" s="11" t="s">
        <v>7</v>
      </c>
    </row>
    <row r="447" spans="1:46" s="98" customFormat="1" x14ac:dyDescent="0.3">
      <c r="A447" s="16"/>
      <c r="B447" s="231" cm="1">
        <f t="array" ref="B447">+_xlfn.IFS(D447="In Touch - Positive",2,D447="Pending",1,D447="No Answer",4,D447="In Touch - Negative",3)</f>
        <v>3</v>
      </c>
      <c r="C447" s="231" t="s">
        <v>2800</v>
      </c>
      <c r="D447" s="232" t="str">
        <f t="shared" si="55"/>
        <v>In touch - Negative</v>
      </c>
      <c r="E447" s="233" t="s">
        <v>2809</v>
      </c>
      <c r="F447" s="233"/>
      <c r="G447" s="234" t="s">
        <v>159</v>
      </c>
      <c r="H447" s="235" t="s">
        <v>2824</v>
      </c>
      <c r="I447" s="234"/>
      <c r="J447" s="236" t="s">
        <v>274</v>
      </c>
      <c r="K447" s="237" t="s">
        <v>2843</v>
      </c>
      <c r="L447" s="237" t="s">
        <v>2860</v>
      </c>
      <c r="M447" s="237" t="s">
        <v>2887</v>
      </c>
      <c r="N447" s="237"/>
      <c r="O447" s="237"/>
      <c r="P447" s="237"/>
      <c r="Q447" s="237"/>
      <c r="R447" s="231"/>
      <c r="S447" s="238"/>
      <c r="T447" s="234">
        <v>2022</v>
      </c>
      <c r="U447" s="239">
        <v>43.7</v>
      </c>
      <c r="V447" s="239">
        <v>5.0999999999999996</v>
      </c>
      <c r="W447" s="248">
        <f>+V447/U447</f>
        <v>0.11670480549199083</v>
      </c>
      <c r="X447" s="239"/>
      <c r="Y447" s="239"/>
      <c r="Z447" s="231"/>
      <c r="AA447" s="237" t="s">
        <v>140</v>
      </c>
      <c r="AB447" s="239"/>
      <c r="AC447" s="241" t="s">
        <v>153</v>
      </c>
      <c r="AD447" s="241" t="s">
        <v>153</v>
      </c>
      <c r="AE447" s="241" t="s">
        <v>273</v>
      </c>
      <c r="AF447" s="239"/>
      <c r="AG447" s="237"/>
      <c r="AH447" s="231"/>
      <c r="AI447" s="231"/>
      <c r="AJ447" s="242">
        <f t="shared" ca="1" si="52"/>
        <v>351</v>
      </c>
      <c r="AK447" s="242">
        <f t="shared" ca="1" si="53"/>
        <v>337</v>
      </c>
      <c r="AL447" s="243" t="str">
        <f t="shared" si="54"/>
        <v>In touch - Negative</v>
      </c>
      <c r="AM447" s="244">
        <v>45313</v>
      </c>
      <c r="AN447" s="245">
        <v>45314</v>
      </c>
      <c r="AO447" s="245">
        <v>45327</v>
      </c>
      <c r="AP447" s="38">
        <v>45299</v>
      </c>
      <c r="AQ447" s="245"/>
      <c r="AR447" s="246" t="s">
        <v>1963</v>
      </c>
      <c r="AS447" s="245">
        <v>45327</v>
      </c>
      <c r="AT447" s="11" t="s">
        <v>7</v>
      </c>
    </row>
    <row r="448" spans="1:46" s="98" customFormat="1" x14ac:dyDescent="0.3">
      <c r="B448" s="140" cm="1">
        <f t="array" ref="B448">+_xlfn.IFS(D448="In Touch - Positive",2,D448="Pending",1,D448="No Answer",4,D448="In Touch - Negative",3)</f>
        <v>3</v>
      </c>
      <c r="C448" s="16" t="s">
        <v>2613</v>
      </c>
      <c r="D448" s="99" t="str">
        <f t="shared" si="55"/>
        <v>In touch - Negative</v>
      </c>
      <c r="E448" s="12" t="s">
        <v>2727</v>
      </c>
      <c r="F448" s="141"/>
      <c r="G448" s="13" t="s">
        <v>2656</v>
      </c>
      <c r="H448" s="14"/>
      <c r="I448" s="13"/>
      <c r="J448" s="100" t="s">
        <v>2623</v>
      </c>
      <c r="K448" s="15" t="s">
        <v>2622</v>
      </c>
      <c r="L448" s="15"/>
      <c r="M448" s="15"/>
      <c r="N448" s="15"/>
      <c r="O448" s="15"/>
      <c r="P448" s="15"/>
      <c r="Q448" s="15"/>
      <c r="R448" s="16"/>
      <c r="S448" s="35"/>
      <c r="T448" s="13"/>
      <c r="U448" s="17"/>
      <c r="V448" s="17"/>
      <c r="W448" s="60"/>
      <c r="X448" s="17"/>
      <c r="Y448" s="17"/>
      <c r="Z448" s="16"/>
      <c r="AA448" s="15" t="s">
        <v>140</v>
      </c>
      <c r="AB448" s="17"/>
      <c r="AC448" s="21" t="s">
        <v>61</v>
      </c>
      <c r="AD448" s="21" t="s">
        <v>61</v>
      </c>
      <c r="AE448" s="21" t="s">
        <v>128</v>
      </c>
      <c r="AF448" s="17"/>
      <c r="AG448" s="15"/>
      <c r="AH448" s="16"/>
      <c r="AI448" s="16"/>
      <c r="AJ448" s="42">
        <f t="shared" ca="1" si="52"/>
        <v>400</v>
      </c>
      <c r="AK448" s="42">
        <f t="shared" ca="1" si="53"/>
        <v>365</v>
      </c>
      <c r="AL448" s="130" t="str">
        <f t="shared" si="54"/>
        <v>In touch - Negative</v>
      </c>
      <c r="AM448" s="37">
        <v>45264</v>
      </c>
      <c r="AN448" s="38">
        <v>45265</v>
      </c>
      <c r="AO448" s="38">
        <v>45271</v>
      </c>
      <c r="AP448" s="38" t="s">
        <v>65</v>
      </c>
      <c r="AQ448" s="38">
        <v>45306</v>
      </c>
      <c r="AR448" s="101" t="s">
        <v>1963</v>
      </c>
      <c r="AS448" s="38">
        <v>45299</v>
      </c>
      <c r="AT448" s="11" t="s">
        <v>7</v>
      </c>
    </row>
    <row r="449" spans="1:46" s="98" customFormat="1" ht="12" customHeight="1" x14ac:dyDescent="0.3">
      <c r="B449" s="140" cm="1">
        <f t="array" ref="B449">+_xlfn.IFS(D449="In Touch - Positive",2,D449="Pending",1,D449="No Answer",4,D449="In Touch - Negative",3)</f>
        <v>3</v>
      </c>
      <c r="C449" s="16" t="s">
        <v>2613</v>
      </c>
      <c r="D449" s="99" t="str">
        <f t="shared" si="55"/>
        <v>In touch - Negative</v>
      </c>
      <c r="E449" s="144" t="s">
        <v>2644</v>
      </c>
      <c r="F449" s="144"/>
      <c r="G449" s="13" t="s">
        <v>2615</v>
      </c>
      <c r="H449" s="145"/>
      <c r="I449" s="13"/>
      <c r="J449" s="100" t="s">
        <v>2623</v>
      </c>
      <c r="K449" s="15" t="s">
        <v>2622</v>
      </c>
      <c r="L449" s="15"/>
      <c r="M449" s="15"/>
      <c r="N449" s="15"/>
      <c r="O449" s="15"/>
      <c r="P449" s="15"/>
      <c r="Q449" s="15"/>
      <c r="R449" s="16"/>
      <c r="S449" s="35"/>
      <c r="T449" s="13"/>
      <c r="U449" s="17"/>
      <c r="V449" s="17"/>
      <c r="W449" s="60"/>
      <c r="X449" s="17"/>
      <c r="Y449" s="17"/>
      <c r="Z449" s="16"/>
      <c r="AA449" s="15" t="s">
        <v>140</v>
      </c>
      <c r="AB449" s="17"/>
      <c r="AC449" s="21" t="s">
        <v>61</v>
      </c>
      <c r="AD449" s="21" t="s">
        <v>61</v>
      </c>
      <c r="AE449" s="21" t="s">
        <v>128</v>
      </c>
      <c r="AF449" s="17"/>
      <c r="AG449" s="15"/>
      <c r="AH449" s="16"/>
      <c r="AI449" s="16"/>
      <c r="AJ449" s="42">
        <f t="shared" ca="1" si="52"/>
        <v>400</v>
      </c>
      <c r="AK449" s="42">
        <f t="shared" ca="1" si="53"/>
        <v>393</v>
      </c>
      <c r="AL449" s="130" t="str">
        <f t="shared" si="54"/>
        <v>In touch - Negative</v>
      </c>
      <c r="AM449" s="37">
        <v>45264</v>
      </c>
      <c r="AN449" s="38">
        <v>45265</v>
      </c>
      <c r="AO449" s="38" t="s">
        <v>65</v>
      </c>
      <c r="AP449" s="38">
        <v>45299</v>
      </c>
      <c r="AQ449" s="38">
        <v>45267</v>
      </c>
      <c r="AR449" s="101" t="s">
        <v>1963</v>
      </c>
      <c r="AS449" s="38">
        <v>45271</v>
      </c>
      <c r="AT449" s="11" t="s">
        <v>7</v>
      </c>
    </row>
    <row r="450" spans="1:46" s="98" customFormat="1" x14ac:dyDescent="0.3">
      <c r="A450" s="16"/>
      <c r="B450" s="140" cm="1">
        <f t="array" ref="B450">+_xlfn.IFS(D450="In Touch - Positive",2,D450="Pending",1,D450="No Answer",4,D450="In Touch - Negative",3)</f>
        <v>3</v>
      </c>
      <c r="C450" s="16" t="s">
        <v>2613</v>
      </c>
      <c r="D450" s="99" t="str">
        <f t="shared" si="55"/>
        <v>In touch - Negative</v>
      </c>
      <c r="E450" s="141" t="s">
        <v>2649</v>
      </c>
      <c r="F450" s="141"/>
      <c r="G450" s="13" t="s">
        <v>2656</v>
      </c>
      <c r="H450" s="14"/>
      <c r="I450" s="13"/>
      <c r="J450" s="100" t="s">
        <v>2623</v>
      </c>
      <c r="K450" s="15" t="s">
        <v>2622</v>
      </c>
      <c r="L450" s="15"/>
      <c r="M450" s="15"/>
      <c r="N450" s="15"/>
      <c r="O450" s="15"/>
      <c r="P450" s="15"/>
      <c r="Q450" s="15"/>
      <c r="R450" s="16"/>
      <c r="S450" s="35"/>
      <c r="T450" s="13"/>
      <c r="U450" s="17"/>
      <c r="V450" s="17"/>
      <c r="W450" s="60"/>
      <c r="X450" s="17"/>
      <c r="Y450" s="17"/>
      <c r="Z450" s="16"/>
      <c r="AA450" s="15" t="s">
        <v>140</v>
      </c>
      <c r="AB450" s="17"/>
      <c r="AC450" s="21" t="s">
        <v>61</v>
      </c>
      <c r="AD450" s="21" t="s">
        <v>61</v>
      </c>
      <c r="AE450" s="21" t="s">
        <v>128</v>
      </c>
      <c r="AF450" s="17"/>
      <c r="AG450" s="15"/>
      <c r="AH450" s="16"/>
      <c r="AI450" s="16"/>
      <c r="AJ450" s="42">
        <f t="shared" ca="1" si="52"/>
        <v>400</v>
      </c>
      <c r="AK450" s="42">
        <f t="shared" ca="1" si="53"/>
        <v>365</v>
      </c>
      <c r="AL450" s="130" t="str">
        <f t="shared" si="54"/>
        <v>In touch - Negative</v>
      </c>
      <c r="AM450" s="37">
        <v>45264</v>
      </c>
      <c r="AN450" s="38">
        <v>45265</v>
      </c>
      <c r="AO450" s="38">
        <v>45271</v>
      </c>
      <c r="AP450" s="38" t="s">
        <v>65</v>
      </c>
      <c r="AQ450" s="38">
        <v>45308</v>
      </c>
      <c r="AR450" s="101" t="s">
        <v>1963</v>
      </c>
      <c r="AS450" s="38">
        <v>45299</v>
      </c>
      <c r="AT450" s="11" t="s">
        <v>7</v>
      </c>
    </row>
    <row r="451" spans="1:46" s="98" customFormat="1" x14ac:dyDescent="0.3">
      <c r="B451" s="140" cm="1">
        <f t="array" ref="B451">+_xlfn.IFS(D451="In Touch - Positive",2,D451="Pending",1,D451="No Answer",4,D451="In Touch - Negative",3)</f>
        <v>3</v>
      </c>
      <c r="C451" s="16" t="s">
        <v>2613</v>
      </c>
      <c r="D451" s="99" t="str">
        <f t="shared" si="55"/>
        <v>In touch - Negative</v>
      </c>
      <c r="E451" s="141" t="s">
        <v>2641</v>
      </c>
      <c r="F451" s="141"/>
      <c r="G451" s="13" t="s">
        <v>890</v>
      </c>
      <c r="H451" s="14"/>
      <c r="I451" s="13"/>
      <c r="J451" s="100" t="s">
        <v>2623</v>
      </c>
      <c r="K451" s="15" t="s">
        <v>2622</v>
      </c>
      <c r="L451" s="15"/>
      <c r="M451" s="15"/>
      <c r="N451" s="15"/>
      <c r="O451" s="15"/>
      <c r="P451" s="15"/>
      <c r="Q451" s="15"/>
      <c r="R451" s="16"/>
      <c r="S451" s="35"/>
      <c r="T451" s="13"/>
      <c r="U451" s="17"/>
      <c r="V451" s="17"/>
      <c r="W451" s="39"/>
      <c r="X451" s="17"/>
      <c r="Y451" s="17"/>
      <c r="Z451" s="16"/>
      <c r="AA451" s="15" t="s">
        <v>140</v>
      </c>
      <c r="AB451" s="17"/>
      <c r="AC451" s="21" t="s">
        <v>61</v>
      </c>
      <c r="AD451" s="21" t="s">
        <v>61</v>
      </c>
      <c r="AE451" s="21" t="s">
        <v>128</v>
      </c>
      <c r="AF451" s="17"/>
      <c r="AG451" s="15"/>
      <c r="AH451" s="16"/>
      <c r="AI451" s="16"/>
      <c r="AJ451" s="42">
        <f t="shared" ca="1" si="52"/>
        <v>400</v>
      </c>
      <c r="AK451" s="42">
        <f t="shared" ca="1" si="53"/>
        <v>393</v>
      </c>
      <c r="AL451" s="130" t="str">
        <f t="shared" si="54"/>
        <v>In touch - Negative</v>
      </c>
      <c r="AM451" s="37">
        <v>45264</v>
      </c>
      <c r="AN451" s="38">
        <v>45265</v>
      </c>
      <c r="AO451" s="38">
        <v>45271</v>
      </c>
      <c r="AP451" s="38" t="s">
        <v>65</v>
      </c>
      <c r="AQ451" s="38">
        <v>45271</v>
      </c>
      <c r="AR451" s="101" t="s">
        <v>1963</v>
      </c>
      <c r="AS451" s="38">
        <v>45271</v>
      </c>
      <c r="AT451" s="11" t="s">
        <v>7</v>
      </c>
    </row>
    <row r="452" spans="1:46" s="98" customFormat="1" ht="13.5" x14ac:dyDescent="0.35">
      <c r="A452"/>
      <c r="B452" s="140" cm="1">
        <f t="array" ref="B452">+_xlfn.IFS(D452="In Touch - Positive",2,D452="Pending",1,D452="No Answer",4,D452="In Touch - Negative",3)</f>
        <v>3</v>
      </c>
      <c r="C452" s="16" t="s">
        <v>2613</v>
      </c>
      <c r="D452" s="99" t="str">
        <f t="shared" si="55"/>
        <v>In touch - Negative</v>
      </c>
      <c r="E452" s="12" t="s">
        <v>2646</v>
      </c>
      <c r="F452" s="12"/>
      <c r="G452" s="13" t="s">
        <v>2620</v>
      </c>
      <c r="H452" s="14"/>
      <c r="I452" s="13"/>
      <c r="J452" s="100" t="s">
        <v>2623</v>
      </c>
      <c r="K452" s="15" t="s">
        <v>2622</v>
      </c>
      <c r="L452" s="15"/>
      <c r="M452" s="15"/>
      <c r="N452" s="15"/>
      <c r="O452" s="15"/>
      <c r="P452" s="15"/>
      <c r="Q452" s="15"/>
      <c r="R452" s="16"/>
      <c r="S452" s="35"/>
      <c r="T452" s="13"/>
      <c r="U452" s="17"/>
      <c r="V452" s="17"/>
      <c r="W452" s="60"/>
      <c r="X452" s="17"/>
      <c r="Y452" s="17"/>
      <c r="Z452" s="16"/>
      <c r="AA452" s="15" t="s">
        <v>140</v>
      </c>
      <c r="AB452" s="17"/>
      <c r="AC452" s="21" t="s">
        <v>61</v>
      </c>
      <c r="AD452" s="21" t="s">
        <v>61</v>
      </c>
      <c r="AE452" s="21" t="s">
        <v>128</v>
      </c>
      <c r="AF452" s="17"/>
      <c r="AG452" s="15"/>
      <c r="AH452" s="16"/>
      <c r="AI452" s="16"/>
      <c r="AJ452" s="42">
        <f t="shared" ca="1" si="52"/>
        <v>400</v>
      </c>
      <c r="AK452" s="42">
        <f t="shared" ca="1" si="53"/>
        <v>393</v>
      </c>
      <c r="AL452" s="130" t="str">
        <f t="shared" si="54"/>
        <v>In touch - Negative</v>
      </c>
      <c r="AM452" s="37">
        <v>45264</v>
      </c>
      <c r="AN452" s="38">
        <v>45265</v>
      </c>
      <c r="AO452" s="38">
        <v>45265</v>
      </c>
      <c r="AP452" s="38" t="s">
        <v>65</v>
      </c>
      <c r="AQ452" s="38">
        <v>45265</v>
      </c>
      <c r="AR452" s="101" t="s">
        <v>1963</v>
      </c>
      <c r="AS452" s="38">
        <v>45271</v>
      </c>
      <c r="AT452" s="11" t="s">
        <v>7</v>
      </c>
    </row>
    <row r="453" spans="1:46" s="98" customFormat="1" ht="12" customHeight="1" x14ac:dyDescent="0.3">
      <c r="B453" s="140" cm="1">
        <f t="array" ref="B453">+_xlfn.IFS(D453="In Touch - Positive",2,D453="Pending",1,D453="No Answer",4,D453="In Touch - Negative",3)</f>
        <v>3</v>
      </c>
      <c r="C453" s="16" t="s">
        <v>2613</v>
      </c>
      <c r="D453" s="99" t="str">
        <f t="shared" si="55"/>
        <v>In touch - Negative</v>
      </c>
      <c r="E453" s="141" t="s">
        <v>2655</v>
      </c>
      <c r="F453" s="141"/>
      <c r="G453" s="13" t="s">
        <v>2615</v>
      </c>
      <c r="H453" s="14"/>
      <c r="I453" s="13"/>
      <c r="J453" s="100" t="s">
        <v>2623</v>
      </c>
      <c r="K453" s="15" t="s">
        <v>2622</v>
      </c>
      <c r="L453" s="15"/>
      <c r="M453" s="15"/>
      <c r="N453" s="15"/>
      <c r="O453" s="15"/>
      <c r="P453" s="15"/>
      <c r="Q453" s="15"/>
      <c r="R453" s="16"/>
      <c r="S453" s="35"/>
      <c r="T453" s="13"/>
      <c r="U453" s="17"/>
      <c r="V453" s="17"/>
      <c r="W453" s="39"/>
      <c r="X453" s="17"/>
      <c r="Y453" s="17"/>
      <c r="Z453" s="16"/>
      <c r="AA453" s="15" t="s">
        <v>140</v>
      </c>
      <c r="AB453" s="17"/>
      <c r="AC453" s="21" t="s">
        <v>61</v>
      </c>
      <c r="AD453" s="21" t="s">
        <v>61</v>
      </c>
      <c r="AE453" s="21" t="s">
        <v>128</v>
      </c>
      <c r="AF453" s="17"/>
      <c r="AG453" s="15"/>
      <c r="AH453" s="16"/>
      <c r="AI453" s="16"/>
      <c r="AJ453" s="42">
        <f t="shared" ca="1" si="52"/>
        <v>400</v>
      </c>
      <c r="AK453" s="42">
        <f t="shared" ca="1" si="53"/>
        <v>393</v>
      </c>
      <c r="AL453" s="130" t="str">
        <f t="shared" si="54"/>
        <v>In touch - Negative</v>
      </c>
      <c r="AM453" s="37">
        <v>45264</v>
      </c>
      <c r="AN453" s="38">
        <v>45264</v>
      </c>
      <c r="AO453" s="38">
        <v>45271</v>
      </c>
      <c r="AP453" s="38"/>
      <c r="AQ453" s="38">
        <v>45271</v>
      </c>
      <c r="AR453" s="101" t="s">
        <v>1963</v>
      </c>
      <c r="AS453" s="38">
        <v>45271</v>
      </c>
      <c r="AT453" s="11" t="s">
        <v>7</v>
      </c>
    </row>
    <row r="454" spans="1:46" s="98" customFormat="1" x14ac:dyDescent="0.3">
      <c r="B454" s="16" cm="1">
        <f t="array" ref="B454">+_xlfn.IFS(D454="In Touch - Positive",2,D454="Pending",1,D454="No Answer",4,D454="In Touch - Negative",3)</f>
        <v>3</v>
      </c>
      <c r="C454" s="16" t="s">
        <v>1010</v>
      </c>
      <c r="D454" s="99" t="str">
        <f t="shared" si="55"/>
        <v>In touch - Negative</v>
      </c>
      <c r="E454" s="12" t="s">
        <v>1969</v>
      </c>
      <c r="F454" s="12"/>
      <c r="G454" s="13" t="s">
        <v>508</v>
      </c>
      <c r="H454" s="14"/>
      <c r="I454" s="13"/>
      <c r="J454" s="100" t="s">
        <v>377</v>
      </c>
      <c r="K454" s="15"/>
      <c r="L454" s="15"/>
      <c r="M454" s="15"/>
      <c r="N454" s="15"/>
      <c r="O454" s="15"/>
      <c r="P454" s="15"/>
      <c r="Q454" s="15"/>
      <c r="R454" s="16"/>
      <c r="S454" s="35"/>
      <c r="T454" s="13"/>
      <c r="U454" s="17"/>
      <c r="V454" s="17"/>
      <c r="W454" s="39"/>
      <c r="X454" s="17"/>
      <c r="Y454" s="17"/>
      <c r="Z454" s="16"/>
      <c r="AA454" s="15" t="s">
        <v>140</v>
      </c>
      <c r="AB454" s="17"/>
      <c r="AC454" s="21" t="s">
        <v>153</v>
      </c>
      <c r="AD454" s="21" t="s">
        <v>153</v>
      </c>
      <c r="AE454" s="61" t="s">
        <v>1792</v>
      </c>
      <c r="AF454" s="17"/>
      <c r="AG454" s="15"/>
      <c r="AH454" s="16"/>
      <c r="AI454" s="16"/>
      <c r="AJ454" s="42">
        <f t="shared" ca="1" si="52"/>
        <v>589</v>
      </c>
      <c r="AK454" s="42">
        <f t="shared" ca="1" si="53"/>
        <v>477</v>
      </c>
      <c r="AL454" s="130" t="str">
        <f t="shared" si="54"/>
        <v>In touch - Negative</v>
      </c>
      <c r="AM454" s="37">
        <v>45075</v>
      </c>
      <c r="AN454" s="38">
        <v>45187</v>
      </c>
      <c r="AO454" s="38"/>
      <c r="AP454" s="38"/>
      <c r="AQ454" s="38"/>
      <c r="AR454" s="101" t="s">
        <v>1963</v>
      </c>
      <c r="AS454" s="38">
        <v>45187</v>
      </c>
      <c r="AT454" s="11" t="s">
        <v>7</v>
      </c>
    </row>
    <row r="455" spans="1:46" s="98" customFormat="1" x14ac:dyDescent="0.3">
      <c r="A455" s="16"/>
      <c r="B455" s="16" cm="1">
        <f t="array" ref="B455">+_xlfn.IFS(D455="In Touch - Positive",2,D455="Pending",1,D455="No Answer",4,D455="In Touch - Negative",3)</f>
        <v>3</v>
      </c>
      <c r="C455" s="16" t="s">
        <v>1790</v>
      </c>
      <c r="D455" s="122" t="str">
        <f t="shared" si="55"/>
        <v>In touch - Negative</v>
      </c>
      <c r="E455" s="12" t="s">
        <v>1970</v>
      </c>
      <c r="F455" s="12"/>
      <c r="G455" s="13" t="s">
        <v>572</v>
      </c>
      <c r="H455" s="14"/>
      <c r="I455" s="13"/>
      <c r="J455" s="100" t="s">
        <v>111</v>
      </c>
      <c r="K455" s="15"/>
      <c r="L455" s="15"/>
      <c r="M455" s="15"/>
      <c r="N455" s="15"/>
      <c r="O455" s="15"/>
      <c r="P455" s="15"/>
      <c r="Q455" s="15"/>
      <c r="R455" s="16"/>
      <c r="S455" s="35"/>
      <c r="T455" s="13"/>
      <c r="U455" s="17"/>
      <c r="V455" s="17"/>
      <c r="W455" s="39"/>
      <c r="X455" s="17"/>
      <c r="Y455" s="17"/>
      <c r="Z455" s="16"/>
      <c r="AA455" s="15" t="s">
        <v>140</v>
      </c>
      <c r="AB455" s="17"/>
      <c r="AC455" s="21" t="s">
        <v>153</v>
      </c>
      <c r="AD455" s="21" t="s">
        <v>153</v>
      </c>
      <c r="AE455" s="61" t="s">
        <v>1792</v>
      </c>
      <c r="AF455" s="17"/>
      <c r="AG455" s="15"/>
      <c r="AH455" s="16"/>
      <c r="AI455" s="16"/>
      <c r="AJ455" s="42">
        <f t="shared" ca="1" si="52"/>
        <v>589</v>
      </c>
      <c r="AK455" s="42">
        <f t="shared" ca="1" si="53"/>
        <v>477</v>
      </c>
      <c r="AL455" s="130" t="str">
        <f t="shared" si="54"/>
        <v>In touch - Negative</v>
      </c>
      <c r="AM455" s="37">
        <v>45075</v>
      </c>
      <c r="AN455" s="123">
        <v>45078</v>
      </c>
      <c r="AO455" s="38">
        <v>45187</v>
      </c>
      <c r="AP455" s="38"/>
      <c r="AQ455" s="38"/>
      <c r="AR455" s="101" t="s">
        <v>1963</v>
      </c>
      <c r="AS455" s="38">
        <v>45187</v>
      </c>
      <c r="AT455" s="11" t="s">
        <v>7</v>
      </c>
    </row>
    <row r="456" spans="1:46" s="98" customFormat="1" x14ac:dyDescent="0.3">
      <c r="B456" s="16" cm="1">
        <f t="array" ref="B456">+_xlfn.IFS(D456="In Touch - Positive",2,D456="Pending",1,D456="No Answer",4,D456="In Touch - Negative",3)</f>
        <v>3</v>
      </c>
      <c r="C456" s="16" t="s">
        <v>153</v>
      </c>
      <c r="D456" s="99" t="str">
        <f t="shared" si="55"/>
        <v>In touch - Negative</v>
      </c>
      <c r="E456" s="12" t="s">
        <v>1814</v>
      </c>
      <c r="F456" s="12"/>
      <c r="G456" s="13" t="s">
        <v>572</v>
      </c>
      <c r="H456" s="14"/>
      <c r="I456" s="13"/>
      <c r="J456" s="100" t="s">
        <v>267</v>
      </c>
      <c r="K456" s="15" t="s">
        <v>1815</v>
      </c>
      <c r="L456" s="15" t="s">
        <v>1816</v>
      </c>
      <c r="M456" s="15"/>
      <c r="N456" s="15"/>
      <c r="O456" s="15"/>
      <c r="P456" s="15"/>
      <c r="Q456" s="15"/>
      <c r="R456" s="16"/>
      <c r="S456" s="35"/>
      <c r="T456" s="13"/>
      <c r="U456" s="17"/>
      <c r="V456" s="17"/>
      <c r="W456" s="60"/>
      <c r="X456" s="17"/>
      <c r="Y456" s="17"/>
      <c r="Z456" s="16"/>
      <c r="AA456" s="15" t="s">
        <v>140</v>
      </c>
      <c r="AB456" s="17"/>
      <c r="AC456" s="21" t="s">
        <v>153</v>
      </c>
      <c r="AD456" s="21" t="s">
        <v>153</v>
      </c>
      <c r="AE456" s="21" t="s">
        <v>86</v>
      </c>
      <c r="AF456" s="17"/>
      <c r="AG456" s="15"/>
      <c r="AH456" s="16"/>
      <c r="AI456" s="16"/>
      <c r="AJ456" s="42">
        <f t="shared" ca="1" si="52"/>
        <v>659</v>
      </c>
      <c r="AK456" s="42">
        <f t="shared" ca="1" si="53"/>
        <v>656</v>
      </c>
      <c r="AL456" s="130" t="str">
        <f t="shared" si="54"/>
        <v>In touch - Negative</v>
      </c>
      <c r="AM456" s="37">
        <v>45005</v>
      </c>
      <c r="AN456" s="38"/>
      <c r="AO456" s="38"/>
      <c r="AP456" s="38"/>
      <c r="AQ456" s="38"/>
      <c r="AR456" s="101" t="s">
        <v>1963</v>
      </c>
      <c r="AS456" s="38">
        <v>45008</v>
      </c>
      <c r="AT456" s="11" t="s">
        <v>7</v>
      </c>
    </row>
    <row r="457" spans="1:46" s="98" customFormat="1" x14ac:dyDescent="0.3">
      <c r="A457" s="16"/>
      <c r="B457" s="16" cm="1">
        <f t="array" ref="B457">+_xlfn.IFS(D457="In Touch - Positive",2,D457="Pending",1,D457="No Answer",4,D457="In Touch - Negative",3)</f>
        <v>3</v>
      </c>
      <c r="C457" s="16" t="s">
        <v>1010</v>
      </c>
      <c r="D457" s="99" t="str">
        <f t="shared" si="55"/>
        <v>In touch - Negative</v>
      </c>
      <c r="E457" s="12" t="s">
        <v>1967</v>
      </c>
      <c r="F457" s="12"/>
      <c r="G457" s="13" t="s">
        <v>174</v>
      </c>
      <c r="H457" s="14"/>
      <c r="I457" s="13"/>
      <c r="J457" s="100" t="s">
        <v>377</v>
      </c>
      <c r="K457" s="15"/>
      <c r="L457" s="15"/>
      <c r="M457" s="15"/>
      <c r="N457" s="15"/>
      <c r="O457" s="15"/>
      <c r="P457" s="15"/>
      <c r="Q457" s="15"/>
      <c r="R457" s="16"/>
      <c r="S457" s="35"/>
      <c r="T457" s="13"/>
      <c r="U457" s="17"/>
      <c r="V457" s="17"/>
      <c r="W457" s="39"/>
      <c r="X457" s="17"/>
      <c r="Y457" s="17"/>
      <c r="Z457" s="16"/>
      <c r="AA457" s="15" t="s">
        <v>140</v>
      </c>
      <c r="AB457" s="17"/>
      <c r="AC457" s="21" t="s">
        <v>153</v>
      </c>
      <c r="AD457" s="21" t="s">
        <v>153</v>
      </c>
      <c r="AE457" s="61" t="s">
        <v>1792</v>
      </c>
      <c r="AF457" s="17"/>
      <c r="AG457" s="15"/>
      <c r="AH457" s="16"/>
      <c r="AI457" s="16"/>
      <c r="AJ457" s="42">
        <f t="shared" ca="1" si="52"/>
        <v>589</v>
      </c>
      <c r="AK457" s="42">
        <f t="shared" ca="1" si="53"/>
        <v>477</v>
      </c>
      <c r="AL457" s="130" t="str">
        <f t="shared" si="54"/>
        <v>In touch - Negative</v>
      </c>
      <c r="AM457" s="37">
        <v>45075</v>
      </c>
      <c r="AN457" s="38">
        <v>45187</v>
      </c>
      <c r="AO457" s="38"/>
      <c r="AP457" s="38"/>
      <c r="AQ457" s="38"/>
      <c r="AR457" s="101" t="s">
        <v>1963</v>
      </c>
      <c r="AS457" s="38">
        <v>45187</v>
      </c>
      <c r="AT457" s="11" t="s">
        <v>7</v>
      </c>
    </row>
    <row r="458" spans="1:46" s="98" customFormat="1" x14ac:dyDescent="0.3">
      <c r="B458" s="16" cm="1">
        <f t="array" ref="B458">+_xlfn.IFS(D458="In Touch - Positive",2,D458="Pending",1,D458="No Answer",4,D458="In Touch - Negative",3)</f>
        <v>3</v>
      </c>
      <c r="C458" s="16" t="s">
        <v>1010</v>
      </c>
      <c r="D458" s="99" t="str">
        <f t="shared" si="55"/>
        <v>In touch - Negative</v>
      </c>
      <c r="E458" s="12" t="s">
        <v>1968</v>
      </c>
      <c r="F458" s="12"/>
      <c r="G458" s="13" t="s">
        <v>103</v>
      </c>
      <c r="H458" s="14"/>
      <c r="I458" s="13"/>
      <c r="J458" s="100" t="s">
        <v>1835</v>
      </c>
      <c r="K458" s="15"/>
      <c r="L458" s="15"/>
      <c r="M458" s="15"/>
      <c r="N458" s="15"/>
      <c r="O458" s="15"/>
      <c r="P458" s="15"/>
      <c r="Q458" s="15"/>
      <c r="R458" s="16"/>
      <c r="S458" s="35"/>
      <c r="T458" s="13"/>
      <c r="U458" s="17"/>
      <c r="V458" s="17"/>
      <c r="W458" s="39"/>
      <c r="X458" s="17"/>
      <c r="Y458" s="17"/>
      <c r="Z458" s="16"/>
      <c r="AA458" s="15" t="s">
        <v>140</v>
      </c>
      <c r="AB458" s="17"/>
      <c r="AC458" s="21" t="s">
        <v>153</v>
      </c>
      <c r="AD458" s="21" t="s">
        <v>153</v>
      </c>
      <c r="AE458" s="61" t="s">
        <v>1792</v>
      </c>
      <c r="AF458" s="17"/>
      <c r="AG458" s="15"/>
      <c r="AH458" s="16"/>
      <c r="AI458" s="16"/>
      <c r="AJ458" s="42">
        <f t="shared" ca="1" si="52"/>
        <v>589</v>
      </c>
      <c r="AK458" s="42">
        <f t="shared" ca="1" si="53"/>
        <v>477</v>
      </c>
      <c r="AL458" s="130" t="str">
        <f t="shared" si="54"/>
        <v>In touch - Negative</v>
      </c>
      <c r="AM458" s="37">
        <v>45075</v>
      </c>
      <c r="AN458" s="38">
        <v>45187</v>
      </c>
      <c r="AO458" s="38"/>
      <c r="AP458" s="38"/>
      <c r="AQ458" s="38"/>
      <c r="AR458" s="101" t="s">
        <v>1963</v>
      </c>
      <c r="AS458" s="38">
        <v>45187</v>
      </c>
      <c r="AT458" s="11" t="s">
        <v>7</v>
      </c>
    </row>
    <row r="459" spans="1:46" s="98" customFormat="1" x14ac:dyDescent="0.3">
      <c r="B459" s="16" cm="1">
        <f t="array" ref="B459">+_xlfn.IFS(D459="In Touch - Positive",2,D459="Pending",1,D459="No Answer",4,D459="In Touch - Negative",3)</f>
        <v>3</v>
      </c>
      <c r="C459" s="16" t="s">
        <v>153</v>
      </c>
      <c r="D459" s="99" t="str">
        <f t="shared" si="55"/>
        <v>In touch - Negative</v>
      </c>
      <c r="E459" s="12" t="s">
        <v>1811</v>
      </c>
      <c r="F459" s="12"/>
      <c r="G459" s="13" t="s">
        <v>208</v>
      </c>
      <c r="H459" s="14"/>
      <c r="I459" s="13"/>
      <c r="J459" s="100" t="s">
        <v>267</v>
      </c>
      <c r="K459" s="15" t="s">
        <v>1812</v>
      </c>
      <c r="L459" s="15" t="s">
        <v>1813</v>
      </c>
      <c r="M459" s="15"/>
      <c r="N459" s="15"/>
      <c r="O459" s="15"/>
      <c r="P459" s="15"/>
      <c r="Q459" s="15"/>
      <c r="R459" s="16"/>
      <c r="S459" s="35"/>
      <c r="T459" s="13"/>
      <c r="U459" s="17"/>
      <c r="V459" s="17"/>
      <c r="W459" s="60"/>
      <c r="X459" s="17"/>
      <c r="Y459" s="17"/>
      <c r="Z459" s="16"/>
      <c r="AA459" s="15" t="s">
        <v>140</v>
      </c>
      <c r="AB459" s="17"/>
      <c r="AC459" s="21" t="s">
        <v>153</v>
      </c>
      <c r="AD459" s="21" t="s">
        <v>153</v>
      </c>
      <c r="AE459" s="21" t="s">
        <v>86</v>
      </c>
      <c r="AF459" s="17"/>
      <c r="AG459" s="15"/>
      <c r="AH459" s="16"/>
      <c r="AI459" s="16"/>
      <c r="AJ459" s="42">
        <f t="shared" ca="1" si="52"/>
        <v>659</v>
      </c>
      <c r="AK459" s="42">
        <f t="shared" ca="1" si="53"/>
        <v>656</v>
      </c>
      <c r="AL459" s="130" t="str">
        <f t="shared" si="54"/>
        <v>In touch - Negative</v>
      </c>
      <c r="AM459" s="37">
        <v>45005</v>
      </c>
      <c r="AN459" s="38"/>
      <c r="AO459" s="38"/>
      <c r="AP459" s="38" t="s">
        <v>65</v>
      </c>
      <c r="AQ459" s="38"/>
      <c r="AR459" s="101" t="s">
        <v>1963</v>
      </c>
      <c r="AS459" s="38">
        <v>45008</v>
      </c>
      <c r="AT459" s="11" t="s">
        <v>7</v>
      </c>
    </row>
    <row r="460" spans="1:46" s="271" customFormat="1" x14ac:dyDescent="0.35">
      <c r="A460" s="97"/>
      <c r="B460" s="16" cm="1">
        <f t="array" ref="B460">+_xlfn.IFS(D460="In Touch - Positive",2,D460="Pending",1,D460="No Answer",4,D460="In Touch - Negative",3)</f>
        <v>3</v>
      </c>
      <c r="C460" s="16" t="s">
        <v>1959</v>
      </c>
      <c r="D460" s="99" t="str">
        <f t="shared" si="55"/>
        <v>In touch - Negative</v>
      </c>
      <c r="E460" s="12" t="s">
        <v>1960</v>
      </c>
      <c r="F460" s="12"/>
      <c r="G460" s="13" t="s">
        <v>1961</v>
      </c>
      <c r="H460" s="15"/>
      <c r="I460" s="13"/>
      <c r="J460" s="100" t="s">
        <v>111</v>
      </c>
      <c r="K460" s="15" t="s">
        <v>1962</v>
      </c>
      <c r="L460" s="15"/>
      <c r="M460" s="15"/>
      <c r="N460" s="15"/>
      <c r="O460" s="15"/>
      <c r="P460" s="15"/>
      <c r="Q460" s="15"/>
      <c r="R460" s="16"/>
      <c r="S460" s="35" t="s">
        <v>554</v>
      </c>
      <c r="T460" s="13">
        <v>2021</v>
      </c>
      <c r="U460" s="17">
        <v>22.072106999999999</v>
      </c>
      <c r="V460" s="17">
        <v>4.1175319999999997</v>
      </c>
      <c r="W460" s="60">
        <f>+V460/U460</f>
        <v>0.18654911377513711</v>
      </c>
      <c r="X460" s="17"/>
      <c r="Y460" s="17"/>
      <c r="Z460" s="16"/>
      <c r="AA460" s="15" t="s">
        <v>140</v>
      </c>
      <c r="AB460" s="17"/>
      <c r="AC460" s="21" t="s">
        <v>61</v>
      </c>
      <c r="AD460" s="21" t="s">
        <v>61</v>
      </c>
      <c r="AE460" s="21" t="s">
        <v>79</v>
      </c>
      <c r="AF460" s="17"/>
      <c r="AG460" s="15"/>
      <c r="AH460" s="16"/>
      <c r="AI460" s="16"/>
      <c r="AJ460" s="42">
        <f t="shared" ref="AJ460:AJ523" ca="1" si="58">+TODAY()-AM460</f>
        <v>461</v>
      </c>
      <c r="AK460" s="42">
        <f t="shared" ref="AK460:AK523" ca="1" si="59">+TODAY()-AS460</f>
        <v>438</v>
      </c>
      <c r="AL460" s="130" t="str">
        <f t="shared" ref="AL460:AL523" si="60">+IF(D460="Pending",COUNTA(AM460:AQ460)/5,D460)</f>
        <v>In touch - Negative</v>
      </c>
      <c r="AM460" s="37">
        <v>45203</v>
      </c>
      <c r="AN460" s="38" t="s">
        <v>65</v>
      </c>
      <c r="AO460" s="38" t="s">
        <v>65</v>
      </c>
      <c r="AP460" s="38" t="s">
        <v>65</v>
      </c>
      <c r="AQ460" s="38">
        <v>45215</v>
      </c>
      <c r="AR460" s="101" t="s">
        <v>1963</v>
      </c>
      <c r="AS460" s="38">
        <v>45226</v>
      </c>
      <c r="AT460" s="11"/>
    </row>
    <row r="461" spans="1:46" s="98" customFormat="1" x14ac:dyDescent="0.3">
      <c r="A461" s="16"/>
      <c r="B461" s="16" cm="1">
        <f t="array" ref="B461">+_xlfn.IFS(D461="In Touch - Positive",2,D461="Pending",1,D461="No Answer",4,D461="In Touch - Negative",3)</f>
        <v>3</v>
      </c>
      <c r="C461" s="16" t="s">
        <v>1964</v>
      </c>
      <c r="D461" s="99" t="str">
        <f t="shared" si="55"/>
        <v>In touch - Negative</v>
      </c>
      <c r="E461" s="12" t="s">
        <v>1965</v>
      </c>
      <c r="F461" s="12"/>
      <c r="G461" s="13" t="s">
        <v>271</v>
      </c>
      <c r="H461" s="15"/>
      <c r="I461" s="13"/>
      <c r="J461" s="100" t="s">
        <v>420</v>
      </c>
      <c r="K461" s="15" t="s">
        <v>1966</v>
      </c>
      <c r="L461" s="15"/>
      <c r="M461" s="15"/>
      <c r="N461" s="15"/>
      <c r="O461" s="15"/>
      <c r="P461" s="15"/>
      <c r="Q461" s="15"/>
      <c r="R461" s="16"/>
      <c r="S461" s="35"/>
      <c r="T461" s="13"/>
      <c r="U461" s="17"/>
      <c r="V461" s="17"/>
      <c r="W461" s="60"/>
      <c r="X461" s="17"/>
      <c r="Y461" s="17"/>
      <c r="Z461" s="16"/>
      <c r="AA461" s="15" t="s">
        <v>140</v>
      </c>
      <c r="AB461" s="17"/>
      <c r="AC461" s="21" t="s">
        <v>61</v>
      </c>
      <c r="AD461" s="21" t="s">
        <v>61</v>
      </c>
      <c r="AE461" s="21" t="s">
        <v>62</v>
      </c>
      <c r="AF461" s="17"/>
      <c r="AG461" s="15"/>
      <c r="AH461" s="16"/>
      <c r="AI461" s="16"/>
      <c r="AJ461" s="42">
        <f t="shared" ca="1" si="58"/>
        <v>461</v>
      </c>
      <c r="AK461" s="42">
        <f t="shared" ca="1" si="59"/>
        <v>459</v>
      </c>
      <c r="AL461" s="130" t="str">
        <f t="shared" si="60"/>
        <v>In touch - Negative</v>
      </c>
      <c r="AM461" s="37">
        <v>45203</v>
      </c>
      <c r="AN461" s="38">
        <v>45211</v>
      </c>
      <c r="AO461" s="38">
        <v>45250</v>
      </c>
      <c r="AP461" s="38" t="s">
        <v>65</v>
      </c>
      <c r="AQ461" s="38">
        <v>45215</v>
      </c>
      <c r="AR461" s="101" t="s">
        <v>1963</v>
      </c>
      <c r="AS461" s="38">
        <v>45205</v>
      </c>
      <c r="AT461" s="11" t="s">
        <v>7</v>
      </c>
    </row>
    <row r="462" spans="1:46" s="98" customFormat="1" x14ac:dyDescent="0.3">
      <c r="A462" s="16"/>
      <c r="B462" s="16" cm="1">
        <f t="array" ref="B462">+_xlfn.IFS(D462="In Touch - Positive",2,D462="Pending",1,D462="No Answer",4,D462="In Touch - Negative",3)</f>
        <v>3</v>
      </c>
      <c r="C462" s="16" t="s">
        <v>1849</v>
      </c>
      <c r="D462" s="122" t="str">
        <f t="shared" si="55"/>
        <v>In touch - Negative</v>
      </c>
      <c r="E462" s="12" t="s">
        <v>1971</v>
      </c>
      <c r="F462" s="12"/>
      <c r="G462" s="13" t="s">
        <v>166</v>
      </c>
      <c r="H462" s="13"/>
      <c r="I462" s="13"/>
      <c r="J462" s="100" t="s">
        <v>111</v>
      </c>
      <c r="K462" s="15"/>
      <c r="L462" s="15"/>
      <c r="M462" s="15"/>
      <c r="N462" s="15"/>
      <c r="O462" s="15"/>
      <c r="P462" s="15"/>
      <c r="Q462" s="15"/>
      <c r="R462" s="16"/>
      <c r="S462" s="35"/>
      <c r="T462" s="13"/>
      <c r="U462" s="17"/>
      <c r="V462" s="17"/>
      <c r="W462" s="39"/>
      <c r="X462" s="17"/>
      <c r="Y462" s="17"/>
      <c r="Z462" s="16"/>
      <c r="AA462" s="15" t="s">
        <v>140</v>
      </c>
      <c r="AB462" s="17"/>
      <c r="AC462" s="21" t="s">
        <v>78</v>
      </c>
      <c r="AD462" s="21" t="s">
        <v>78</v>
      </c>
      <c r="AE462" s="61" t="s">
        <v>62</v>
      </c>
      <c r="AF462" s="17"/>
      <c r="AG462" s="15"/>
      <c r="AH462" s="16"/>
      <c r="AI462" s="16"/>
      <c r="AJ462" s="42">
        <f t="shared" ca="1" si="58"/>
        <v>495</v>
      </c>
      <c r="AK462" s="42">
        <f t="shared" ca="1" si="59"/>
        <v>494</v>
      </c>
      <c r="AL462" s="130" t="str">
        <f t="shared" si="60"/>
        <v>In touch - Negative</v>
      </c>
      <c r="AM462" s="37">
        <v>45169</v>
      </c>
      <c r="AN462" s="38">
        <v>45170</v>
      </c>
      <c r="AO462" s="38" t="s">
        <v>65</v>
      </c>
      <c r="AP462" s="38" t="s">
        <v>65</v>
      </c>
      <c r="AQ462" s="38">
        <v>45170</v>
      </c>
      <c r="AR462" s="101" t="s">
        <v>1963</v>
      </c>
      <c r="AS462" s="38">
        <v>45170</v>
      </c>
      <c r="AT462" s="11" t="s">
        <v>7</v>
      </c>
    </row>
    <row r="463" spans="1:46" s="98" customFormat="1" x14ac:dyDescent="0.3">
      <c r="A463" s="16"/>
      <c r="B463" s="16" cm="1">
        <f t="array" ref="B463">+_xlfn.IFS(D463="In Touch - Positive",2,D463="Pending",1,D463="No Answer",4,D463="In Touch - Negative",3)</f>
        <v>3</v>
      </c>
      <c r="C463" s="16" t="s">
        <v>1849</v>
      </c>
      <c r="D463" s="122" t="str">
        <f t="shared" si="55"/>
        <v>In touch - Negative</v>
      </c>
      <c r="E463" s="12" t="s">
        <v>1972</v>
      </c>
      <c r="F463" s="12"/>
      <c r="G463" s="13" t="s">
        <v>166</v>
      </c>
      <c r="H463" s="13"/>
      <c r="I463" s="13"/>
      <c r="J463" s="100" t="s">
        <v>111</v>
      </c>
      <c r="K463" s="15"/>
      <c r="L463" s="15"/>
      <c r="M463" s="15"/>
      <c r="N463" s="15"/>
      <c r="O463" s="15"/>
      <c r="P463" s="15"/>
      <c r="Q463" s="15"/>
      <c r="R463" s="16"/>
      <c r="S463" s="35"/>
      <c r="T463" s="13"/>
      <c r="U463" s="17"/>
      <c r="V463" s="17"/>
      <c r="W463" s="39"/>
      <c r="X463" s="17"/>
      <c r="Y463" s="17"/>
      <c r="Z463" s="16"/>
      <c r="AA463" s="15" t="s">
        <v>140</v>
      </c>
      <c r="AB463" s="17"/>
      <c r="AC463" s="21" t="s">
        <v>78</v>
      </c>
      <c r="AD463" s="21" t="s">
        <v>78</v>
      </c>
      <c r="AE463" s="61" t="s">
        <v>62</v>
      </c>
      <c r="AF463" s="17"/>
      <c r="AG463" s="15"/>
      <c r="AH463" s="16"/>
      <c r="AI463" s="16"/>
      <c r="AJ463" s="42">
        <f t="shared" ca="1" si="58"/>
        <v>495</v>
      </c>
      <c r="AK463" s="42">
        <f t="shared" ca="1" si="59"/>
        <v>494</v>
      </c>
      <c r="AL463" s="130" t="str">
        <f t="shared" si="60"/>
        <v>In touch - Negative</v>
      </c>
      <c r="AM463" s="37">
        <v>45169</v>
      </c>
      <c r="AN463" s="38">
        <v>45170</v>
      </c>
      <c r="AO463" s="38" t="s">
        <v>65</v>
      </c>
      <c r="AP463" s="38"/>
      <c r="AQ463" s="38">
        <v>45170</v>
      </c>
      <c r="AR463" s="101" t="s">
        <v>1963</v>
      </c>
      <c r="AS463" s="38">
        <v>45170</v>
      </c>
      <c r="AT463" s="11" t="s">
        <v>7</v>
      </c>
    </row>
    <row r="464" spans="1:46" s="98" customFormat="1" x14ac:dyDescent="0.3">
      <c r="A464" s="16"/>
      <c r="B464" s="16" cm="1">
        <f t="array" ref="B464">+_xlfn.IFS(D464="In Touch - Positive",2,D464="Pending",1,D464="No Answer",4,D464="In Touch - Negative",3)</f>
        <v>3</v>
      </c>
      <c r="C464" s="16" t="s">
        <v>1973</v>
      </c>
      <c r="D464" s="122" t="str">
        <f t="shared" si="55"/>
        <v>In touch - Negative</v>
      </c>
      <c r="E464" s="12" t="s">
        <v>1974</v>
      </c>
      <c r="F464" s="12"/>
      <c r="G464" s="13" t="s">
        <v>232</v>
      </c>
      <c r="H464" s="14" t="s">
        <v>1975</v>
      </c>
      <c r="I464" s="13"/>
      <c r="J464" s="100" t="s">
        <v>111</v>
      </c>
      <c r="K464" s="15" t="s">
        <v>1976</v>
      </c>
      <c r="L464" s="15" t="s">
        <v>1977</v>
      </c>
      <c r="M464" s="15"/>
      <c r="N464" s="15"/>
      <c r="O464" s="15"/>
      <c r="P464" s="15"/>
      <c r="Q464" s="15"/>
      <c r="R464" s="16"/>
      <c r="S464" s="35" t="s">
        <v>183</v>
      </c>
      <c r="T464" s="13">
        <v>2021</v>
      </c>
      <c r="U464" s="17">
        <v>189.8</v>
      </c>
      <c r="V464" s="17">
        <v>22.4</v>
      </c>
      <c r="W464" s="39">
        <f>+V464/U464</f>
        <v>0.11801896733403582</v>
      </c>
      <c r="X464" s="17"/>
      <c r="Y464" s="17">
        <v>48.9</v>
      </c>
      <c r="Z464" s="16"/>
      <c r="AA464" s="15" t="s">
        <v>140</v>
      </c>
      <c r="AB464" s="17"/>
      <c r="AC464" s="21" t="s">
        <v>78</v>
      </c>
      <c r="AD464" s="21" t="s">
        <v>78</v>
      </c>
      <c r="AE464" s="61" t="s">
        <v>313</v>
      </c>
      <c r="AF464" s="17"/>
      <c r="AG464" s="15"/>
      <c r="AH464" s="16"/>
      <c r="AI464" s="16"/>
      <c r="AJ464" s="42">
        <f t="shared" ca="1" si="58"/>
        <v>574</v>
      </c>
      <c r="AK464" s="42">
        <f t="shared" ca="1" si="59"/>
        <v>572</v>
      </c>
      <c r="AL464" s="130" t="str">
        <f t="shared" si="60"/>
        <v>In touch - Negative</v>
      </c>
      <c r="AM464" s="37">
        <v>45090</v>
      </c>
      <c r="AN464" s="38">
        <v>45092</v>
      </c>
      <c r="AO464" s="38"/>
      <c r="AP464" s="38"/>
      <c r="AQ464" s="38"/>
      <c r="AR464" s="101" t="s">
        <v>1963</v>
      </c>
      <c r="AS464" s="38">
        <v>45092</v>
      </c>
      <c r="AT464" s="11" t="s">
        <v>7</v>
      </c>
    </row>
    <row r="465" spans="1:46" s="98" customFormat="1" x14ac:dyDescent="0.3">
      <c r="A465" s="16"/>
      <c r="B465" s="16" cm="1">
        <f t="array" ref="B465">+_xlfn.IFS(D465="In Touch - Positive",2,D465="Pending",1,D465="No Answer",4,D465="In Touch - Negative",3)</f>
        <v>3</v>
      </c>
      <c r="C465" s="16" t="s">
        <v>1973</v>
      </c>
      <c r="D465" s="122" t="str">
        <f t="shared" si="55"/>
        <v>In touch - Negative</v>
      </c>
      <c r="E465" s="12" t="s">
        <v>1978</v>
      </c>
      <c r="F465" s="12"/>
      <c r="G465" s="13" t="s">
        <v>1961</v>
      </c>
      <c r="H465" s="14" t="s">
        <v>1979</v>
      </c>
      <c r="I465" s="13"/>
      <c r="J465" s="100" t="s">
        <v>111</v>
      </c>
      <c r="K465" s="15" t="s">
        <v>1980</v>
      </c>
      <c r="L465" s="15" t="s">
        <v>1981</v>
      </c>
      <c r="M465" s="15"/>
      <c r="N465" s="15"/>
      <c r="O465" s="15"/>
      <c r="P465" s="15"/>
      <c r="Q465" s="15"/>
      <c r="R465" s="16"/>
      <c r="S465" s="35" t="s">
        <v>183</v>
      </c>
      <c r="T465" s="13">
        <v>2022</v>
      </c>
      <c r="U465" s="17">
        <v>573.5</v>
      </c>
      <c r="V465" s="17">
        <v>27.7</v>
      </c>
      <c r="W465" s="39">
        <f>+V465/U465</f>
        <v>4.8299912816041846E-2</v>
      </c>
      <c r="X465" s="17"/>
      <c r="Y465" s="17">
        <v>-70.8</v>
      </c>
      <c r="Z465" s="16"/>
      <c r="AA465" s="15" t="s">
        <v>140</v>
      </c>
      <c r="AB465" s="17"/>
      <c r="AC465" s="21" t="s">
        <v>78</v>
      </c>
      <c r="AD465" s="21" t="s">
        <v>78</v>
      </c>
      <c r="AE465" s="61" t="s">
        <v>313</v>
      </c>
      <c r="AF465" s="17"/>
      <c r="AG465" s="15"/>
      <c r="AH465" s="16"/>
      <c r="AI465" s="16"/>
      <c r="AJ465" s="42">
        <f t="shared" ca="1" si="58"/>
        <v>574</v>
      </c>
      <c r="AK465" s="42">
        <f t="shared" ca="1" si="59"/>
        <v>572</v>
      </c>
      <c r="AL465" s="130" t="str">
        <f t="shared" si="60"/>
        <v>In touch - Negative</v>
      </c>
      <c r="AM465" s="37">
        <v>45090</v>
      </c>
      <c r="AN465" s="38">
        <v>45092</v>
      </c>
      <c r="AO465" s="38"/>
      <c r="AP465" s="38"/>
      <c r="AQ465" s="38"/>
      <c r="AR465" s="101" t="s">
        <v>1963</v>
      </c>
      <c r="AS465" s="38">
        <v>45092</v>
      </c>
      <c r="AT465" s="11" t="s">
        <v>7</v>
      </c>
    </row>
    <row r="466" spans="1:46" s="98" customFormat="1" x14ac:dyDescent="0.3">
      <c r="A466" s="16"/>
      <c r="B466" s="16" cm="1">
        <f t="array" ref="B466">+_xlfn.IFS(D466="In Touch - Positive",2,D466="Pending",1,D466="No Answer",4,D466="In Touch - Negative",3)</f>
        <v>3</v>
      </c>
      <c r="C466" s="16" t="s">
        <v>78</v>
      </c>
      <c r="D466" s="99" t="str">
        <f t="shared" si="55"/>
        <v>In touch - Negative</v>
      </c>
      <c r="E466" s="12" t="s">
        <v>2705</v>
      </c>
      <c r="F466" s="12"/>
      <c r="G466" s="13" t="s">
        <v>845</v>
      </c>
      <c r="H466" s="14"/>
      <c r="I466" s="13"/>
      <c r="J466" s="100" t="s">
        <v>1010</v>
      </c>
      <c r="K466" s="15" t="s">
        <v>2706</v>
      </c>
      <c r="L466" s="15"/>
      <c r="M466" s="15"/>
      <c r="N466" s="15"/>
      <c r="O466" s="15"/>
      <c r="P466" s="15"/>
      <c r="Q466" s="15"/>
      <c r="R466" s="16"/>
      <c r="S466" s="35"/>
      <c r="T466" s="13"/>
      <c r="U466" s="17"/>
      <c r="V466" s="17"/>
      <c r="W466" s="60"/>
      <c r="X466" s="17"/>
      <c r="Y466" s="17"/>
      <c r="Z466" s="16"/>
      <c r="AA466" s="15" t="s">
        <v>140</v>
      </c>
      <c r="AB466" s="17"/>
      <c r="AC466" s="21" t="s">
        <v>78</v>
      </c>
      <c r="AD466" s="21" t="s">
        <v>78</v>
      </c>
      <c r="AE466" s="230"/>
      <c r="AF466" s="17"/>
      <c r="AG466" s="15"/>
      <c r="AH466" s="16"/>
      <c r="AI466" s="16"/>
      <c r="AJ466" s="42">
        <f t="shared" ca="1" si="58"/>
        <v>358</v>
      </c>
      <c r="AK466" s="42">
        <f t="shared" ca="1" si="59"/>
        <v>363</v>
      </c>
      <c r="AL466" s="130" t="str">
        <f t="shared" si="60"/>
        <v>In touch - Negative</v>
      </c>
      <c r="AM466" s="37">
        <v>45306</v>
      </c>
      <c r="AN466" s="38"/>
      <c r="AO466" s="38"/>
      <c r="AP466" s="198"/>
      <c r="AQ466" s="38"/>
      <c r="AR466" s="101" t="s">
        <v>1963</v>
      </c>
      <c r="AS466" s="38">
        <v>45301</v>
      </c>
      <c r="AT466" s="11" t="s">
        <v>7</v>
      </c>
    </row>
    <row r="467" spans="1:46" s="98" customFormat="1" x14ac:dyDescent="0.3">
      <c r="A467" s="16"/>
      <c r="B467" s="183" cm="1">
        <f t="array" ref="B467">+_xlfn.IFS(D467="In Touch - Positive",2,D467="Pending",1,D467="No Answer",4,D467="In Touch - Negative",3)</f>
        <v>3</v>
      </c>
      <c r="C467" s="16" t="s">
        <v>78</v>
      </c>
      <c r="D467" s="184" t="str">
        <f t="shared" si="55"/>
        <v>In touch - Negative</v>
      </c>
      <c r="E467" s="12" t="s">
        <v>2707</v>
      </c>
      <c r="F467" s="185"/>
      <c r="G467" s="186" t="s">
        <v>103</v>
      </c>
      <c r="H467" s="187" t="s">
        <v>2708</v>
      </c>
      <c r="I467" s="186" t="s">
        <v>2709</v>
      </c>
      <c r="J467" s="188" t="s">
        <v>377</v>
      </c>
      <c r="K467" s="189" t="s">
        <v>2710</v>
      </c>
      <c r="L467" s="189" t="s">
        <v>2711</v>
      </c>
      <c r="M467" s="189"/>
      <c r="N467" s="189"/>
      <c r="O467" s="189"/>
      <c r="P467" s="189"/>
      <c r="Q467" s="189"/>
      <c r="R467" s="183"/>
      <c r="S467" s="190"/>
      <c r="T467" s="186"/>
      <c r="U467" s="191"/>
      <c r="V467" s="191"/>
      <c r="W467" s="192"/>
      <c r="X467" s="191"/>
      <c r="Y467" s="191"/>
      <c r="Z467" s="183"/>
      <c r="AA467" s="189" t="s">
        <v>140</v>
      </c>
      <c r="AB467" s="191"/>
      <c r="AC467" s="193" t="s">
        <v>78</v>
      </c>
      <c r="AD467" s="193" t="s">
        <v>78</v>
      </c>
      <c r="AE467" s="194"/>
      <c r="AF467" s="191"/>
      <c r="AG467" s="189"/>
      <c r="AH467" s="183"/>
      <c r="AI467" s="183"/>
      <c r="AJ467" s="42">
        <f t="shared" ca="1" si="58"/>
        <v>358</v>
      </c>
      <c r="AK467" s="42">
        <f t="shared" ca="1" si="59"/>
        <v>363</v>
      </c>
      <c r="AL467" s="196" t="str">
        <f t="shared" si="60"/>
        <v>In touch - Negative</v>
      </c>
      <c r="AM467" s="197">
        <v>45306</v>
      </c>
      <c r="AN467" s="198">
        <v>45348</v>
      </c>
      <c r="AO467" s="198"/>
      <c r="AP467" s="198"/>
      <c r="AQ467" s="198"/>
      <c r="AR467" s="762" t="s">
        <v>1963</v>
      </c>
      <c r="AS467" s="198">
        <v>45301</v>
      </c>
      <c r="AT467" s="11" t="s">
        <v>7</v>
      </c>
    </row>
    <row r="468" spans="1:46" s="98" customFormat="1" x14ac:dyDescent="0.3">
      <c r="A468" s="16"/>
      <c r="B468" s="183" cm="1">
        <f t="array" ref="B468">+_xlfn.IFS(D468="In Touch - Positive",2,D468="Pending",1,D468="No Answer",4,D468="In Touch - Negative",3)</f>
        <v>3</v>
      </c>
      <c r="C468" s="16" t="s">
        <v>78</v>
      </c>
      <c r="D468" s="184" t="str">
        <f t="shared" si="55"/>
        <v>In touch - Negative</v>
      </c>
      <c r="E468" s="12" t="s">
        <v>2712</v>
      </c>
      <c r="F468" s="185"/>
      <c r="G468" s="186" t="s">
        <v>166</v>
      </c>
      <c r="H468" s="187" t="s">
        <v>2713</v>
      </c>
      <c r="I468" s="186">
        <v>265129</v>
      </c>
      <c r="J468" s="188" t="s">
        <v>2714</v>
      </c>
      <c r="K468" s="189" t="s">
        <v>2715</v>
      </c>
      <c r="L468" s="189" t="s">
        <v>2716</v>
      </c>
      <c r="M468" s="189" t="s">
        <v>2717</v>
      </c>
      <c r="N468" s="189"/>
      <c r="O468" s="189"/>
      <c r="P468" s="189"/>
      <c r="Q468" s="189"/>
      <c r="R468" s="183"/>
      <c r="S468" s="190"/>
      <c r="T468" s="186"/>
      <c r="U468" s="191"/>
      <c r="V468" s="191"/>
      <c r="W468" s="192"/>
      <c r="X468" s="191"/>
      <c r="Y468" s="191"/>
      <c r="Z468" s="183"/>
      <c r="AA468" s="189" t="s">
        <v>140</v>
      </c>
      <c r="AB468" s="191"/>
      <c r="AC468" s="193" t="s">
        <v>78</v>
      </c>
      <c r="AD468" s="193" t="s">
        <v>78</v>
      </c>
      <c r="AE468" s="194"/>
      <c r="AF468" s="191"/>
      <c r="AG468" s="189"/>
      <c r="AH468" s="183"/>
      <c r="AI468" s="183"/>
      <c r="AJ468" s="42">
        <f t="shared" ca="1" si="58"/>
        <v>358</v>
      </c>
      <c r="AK468" s="42">
        <f t="shared" ca="1" si="59"/>
        <v>363</v>
      </c>
      <c r="AL468" s="196" t="str">
        <f t="shared" si="60"/>
        <v>In touch - Negative</v>
      </c>
      <c r="AM468" s="197">
        <v>45306</v>
      </c>
      <c r="AN468" s="198">
        <v>45348</v>
      </c>
      <c r="AO468" s="198"/>
      <c r="AP468" s="198"/>
      <c r="AQ468" s="198"/>
      <c r="AR468" s="762" t="s">
        <v>1963</v>
      </c>
      <c r="AS468" s="198">
        <v>45301</v>
      </c>
      <c r="AT468" s="11" t="s">
        <v>7</v>
      </c>
    </row>
    <row r="469" spans="1:46" s="98" customFormat="1" x14ac:dyDescent="0.3">
      <c r="A469" s="16"/>
      <c r="B469" s="183" cm="1">
        <f t="array" ref="B469">+_xlfn.IFS(D469="In Touch - Positive",2,D469="Pending",1,D469="No Answer",4,D469="In Touch - Negative",3)</f>
        <v>3</v>
      </c>
      <c r="C469" s="16" t="s">
        <v>78</v>
      </c>
      <c r="D469" s="184" t="str">
        <f t="shared" ref="D469:D532" si="61">+AR469</f>
        <v>In touch - Negative</v>
      </c>
      <c r="E469" s="12" t="s">
        <v>2718</v>
      </c>
      <c r="F469" s="185"/>
      <c r="G469" s="186" t="s">
        <v>838</v>
      </c>
      <c r="H469" s="187" t="s">
        <v>2719</v>
      </c>
      <c r="I469" s="186"/>
      <c r="J469" s="188" t="s">
        <v>111</v>
      </c>
      <c r="K469" s="189"/>
      <c r="L469" s="189" t="s">
        <v>2720</v>
      </c>
      <c r="M469" s="189"/>
      <c r="N469" s="189"/>
      <c r="O469" s="189"/>
      <c r="P469" s="189"/>
      <c r="Q469" s="189"/>
      <c r="R469" s="183"/>
      <c r="S469" s="190"/>
      <c r="T469" s="186"/>
      <c r="U469" s="191"/>
      <c r="V469" s="191"/>
      <c r="W469" s="192"/>
      <c r="X469" s="191"/>
      <c r="Y469" s="191"/>
      <c r="Z469" s="183"/>
      <c r="AA469" s="189" t="s">
        <v>140</v>
      </c>
      <c r="AB469" s="191"/>
      <c r="AC469" s="193" t="s">
        <v>78</v>
      </c>
      <c r="AD469" s="193" t="s">
        <v>78</v>
      </c>
      <c r="AE469" s="194"/>
      <c r="AF469" s="191"/>
      <c r="AG469" s="189"/>
      <c r="AH469" s="183"/>
      <c r="AI469" s="183"/>
      <c r="AJ469" s="42">
        <f t="shared" ca="1" si="58"/>
        <v>358</v>
      </c>
      <c r="AK469" s="42">
        <f t="shared" ca="1" si="59"/>
        <v>363</v>
      </c>
      <c r="AL469" s="196" t="str">
        <f t="shared" si="60"/>
        <v>In touch - Negative</v>
      </c>
      <c r="AM469" s="197">
        <v>45306</v>
      </c>
      <c r="AN469" s="198">
        <v>45348</v>
      </c>
      <c r="AO469" s="198"/>
      <c r="AP469" s="245"/>
      <c r="AQ469" s="198"/>
      <c r="AR469" s="762" t="s">
        <v>1963</v>
      </c>
      <c r="AS469" s="198">
        <v>45301</v>
      </c>
      <c r="AT469" s="11" t="s">
        <v>7</v>
      </c>
    </row>
    <row r="470" spans="1:46" s="98" customFormat="1" x14ac:dyDescent="0.3">
      <c r="B470" s="231" cm="1">
        <f t="array" ref="B470">+_xlfn.IFS(D470="In Touch - Positive",2,D470="Pending",1,D470="No Answer",4,D470="In Touch - Negative",3)</f>
        <v>3</v>
      </c>
      <c r="C470" s="231" t="s">
        <v>78</v>
      </c>
      <c r="D470" s="232" t="str">
        <f t="shared" si="61"/>
        <v>In touch - Negative</v>
      </c>
      <c r="E470" s="12" t="s">
        <v>2798</v>
      </c>
      <c r="F470" s="233"/>
      <c r="G470" s="234" t="s">
        <v>822</v>
      </c>
      <c r="H470" s="235" t="s">
        <v>2799</v>
      </c>
      <c r="I470" s="234"/>
      <c r="J470" s="236" t="s">
        <v>377</v>
      </c>
      <c r="K470" s="237"/>
      <c r="L470" s="237" t="s">
        <v>2720</v>
      </c>
      <c r="M470" s="237"/>
      <c r="N470" s="237"/>
      <c r="O470" s="237"/>
      <c r="P470" s="237"/>
      <c r="Q470" s="237"/>
      <c r="R470" s="231"/>
      <c r="S470" s="238"/>
      <c r="T470" s="234"/>
      <c r="U470" s="239"/>
      <c r="V470" s="239"/>
      <c r="W470" s="240"/>
      <c r="X470" s="239"/>
      <c r="Y470" s="239"/>
      <c r="Z470" s="231"/>
      <c r="AA470" s="237" t="s">
        <v>99</v>
      </c>
      <c r="AB470" s="239"/>
      <c r="AC470" s="241" t="s">
        <v>78</v>
      </c>
      <c r="AD470" s="241" t="s">
        <v>78</v>
      </c>
      <c r="AE470" s="250"/>
      <c r="AF470" s="239"/>
      <c r="AG470" s="237"/>
      <c r="AH470" s="231"/>
      <c r="AI470" s="231"/>
      <c r="AJ470" s="242">
        <f t="shared" ca="1" si="58"/>
        <v>354</v>
      </c>
      <c r="AK470" s="242">
        <f t="shared" ca="1" si="59"/>
        <v>363</v>
      </c>
      <c r="AL470" s="243" t="str">
        <f t="shared" si="60"/>
        <v>In touch - Negative</v>
      </c>
      <c r="AM470" s="244">
        <v>45310</v>
      </c>
      <c r="AN470" s="38">
        <v>45348</v>
      </c>
      <c r="AO470" s="245"/>
      <c r="AP470" s="38"/>
      <c r="AQ470" s="245"/>
      <c r="AR470" s="762" t="s">
        <v>1963</v>
      </c>
      <c r="AS470" s="245">
        <v>45301</v>
      </c>
      <c r="AT470" s="11" t="s">
        <v>7</v>
      </c>
    </row>
    <row r="471" spans="1:46" s="98" customFormat="1" x14ac:dyDescent="0.3">
      <c r="A471" s="16"/>
      <c r="B471" s="16" cm="1">
        <f t="array" ref="B471">+_xlfn.IFS(D471="In Touch - Positive",2,D471="Pending",1,D471="No Answer",4,D471="In Touch - Negative",3)</f>
        <v>3</v>
      </c>
      <c r="C471" s="16" t="s">
        <v>78</v>
      </c>
      <c r="D471" s="99" t="str">
        <f t="shared" si="61"/>
        <v>In touch - Negative</v>
      </c>
      <c r="E471" s="12" t="s">
        <v>4289</v>
      </c>
      <c r="F471" s="20"/>
      <c r="G471" s="13" t="s">
        <v>174</v>
      </c>
      <c r="H471" s="14" t="s">
        <v>4290</v>
      </c>
      <c r="I471" s="13"/>
      <c r="J471" s="100" t="s">
        <v>74</v>
      </c>
      <c r="K471" s="15" t="s">
        <v>4291</v>
      </c>
      <c r="L471" s="15"/>
      <c r="M471" s="15" t="s">
        <v>4292</v>
      </c>
      <c r="N471" s="15"/>
      <c r="O471" s="15"/>
      <c r="P471" s="15"/>
      <c r="Q471" s="15"/>
      <c r="R471" s="16"/>
      <c r="S471" s="35"/>
      <c r="T471" s="13"/>
      <c r="U471" s="17"/>
      <c r="V471" s="17"/>
      <c r="W471" s="60"/>
      <c r="X471" s="17"/>
      <c r="Y471" s="17"/>
      <c r="Z471" s="16"/>
      <c r="AA471" s="15" t="s">
        <v>140</v>
      </c>
      <c r="AB471" s="17"/>
      <c r="AC471" s="21" t="s">
        <v>78</v>
      </c>
      <c r="AD471" s="21" t="s">
        <v>78</v>
      </c>
      <c r="AE471" s="230"/>
      <c r="AF471" s="17"/>
      <c r="AG471" s="15"/>
      <c r="AH471" s="16"/>
      <c r="AI471" s="16"/>
      <c r="AJ471" s="42">
        <f t="shared" ca="1" si="58"/>
        <v>179</v>
      </c>
      <c r="AK471" s="42">
        <f t="shared" ca="1" si="59"/>
        <v>363</v>
      </c>
      <c r="AL471" s="130" t="str">
        <f t="shared" si="60"/>
        <v>In touch - Negative</v>
      </c>
      <c r="AM471" s="37">
        <v>45485</v>
      </c>
      <c r="AN471" s="37">
        <v>45488</v>
      </c>
      <c r="AO471" s="38"/>
      <c r="AP471" s="38"/>
      <c r="AQ471" s="38"/>
      <c r="AR471" s="101" t="s">
        <v>1963</v>
      </c>
      <c r="AS471" s="38">
        <v>45301</v>
      </c>
      <c r="AT471" s="11" t="s">
        <v>7</v>
      </c>
    </row>
    <row r="472" spans="1:46" s="98" customFormat="1" x14ac:dyDescent="0.3">
      <c r="A472" s="97"/>
      <c r="B472" s="16" cm="1">
        <f t="array" ref="B472">+_xlfn.IFS(D472="In Touch - Positive",2,D472="Pending",1,D472="No Answer",4,D472="In Touch - Negative",3)</f>
        <v>3</v>
      </c>
      <c r="C472" s="16" t="s">
        <v>1982</v>
      </c>
      <c r="D472" s="99" t="str">
        <f t="shared" si="61"/>
        <v>In touch - Negative</v>
      </c>
      <c r="E472" s="12" t="s">
        <v>1983</v>
      </c>
      <c r="F472" s="12"/>
      <c r="G472" s="13" t="s">
        <v>838</v>
      </c>
      <c r="H472" s="14"/>
      <c r="I472" s="13"/>
      <c r="J472" s="100" t="s">
        <v>111</v>
      </c>
      <c r="K472" s="15" t="s">
        <v>1984</v>
      </c>
      <c r="L472" s="15"/>
      <c r="M472" s="15"/>
      <c r="N472" s="15"/>
      <c r="O472" s="15"/>
      <c r="P472" s="15"/>
      <c r="Q472" s="15"/>
      <c r="R472" s="16"/>
      <c r="S472" s="35"/>
      <c r="T472" s="13"/>
      <c r="U472" s="17"/>
      <c r="V472" s="17"/>
      <c r="W472" s="39"/>
      <c r="X472" s="17"/>
      <c r="Y472" s="17"/>
      <c r="Z472" s="16"/>
      <c r="AA472" s="15" t="s">
        <v>140</v>
      </c>
      <c r="AB472" s="17"/>
      <c r="AC472" s="21" t="s">
        <v>61</v>
      </c>
      <c r="AD472" s="21" t="s">
        <v>61</v>
      </c>
      <c r="AE472" s="61" t="s">
        <v>86</v>
      </c>
      <c r="AF472" s="17"/>
      <c r="AG472" s="15"/>
      <c r="AH472" s="16"/>
      <c r="AI472" s="16"/>
      <c r="AJ472" s="42">
        <f t="shared" ca="1" si="58"/>
        <v>631</v>
      </c>
      <c r="AK472" s="42">
        <f t="shared" ca="1" si="59"/>
        <v>609</v>
      </c>
      <c r="AL472" s="130" t="str">
        <f t="shared" si="60"/>
        <v>In touch - Negative</v>
      </c>
      <c r="AM472" s="37">
        <v>45033</v>
      </c>
      <c r="AN472" s="38">
        <v>45040</v>
      </c>
      <c r="AO472" s="38">
        <v>45055</v>
      </c>
      <c r="AP472" s="38"/>
      <c r="AQ472" s="38"/>
      <c r="AR472" s="101" t="s">
        <v>1963</v>
      </c>
      <c r="AS472" s="38">
        <v>45055</v>
      </c>
      <c r="AT472" s="11" t="s">
        <v>7</v>
      </c>
    </row>
    <row r="473" spans="1:46" s="98" customFormat="1" x14ac:dyDescent="0.3">
      <c r="A473" s="16"/>
      <c r="B473" s="16" cm="1">
        <f t="array" ref="B473">+_xlfn.IFS(D473="In Touch - Positive",2,D473="Pending",1,D473="No Answer",4,D473="In Touch - Negative",3)</f>
        <v>3</v>
      </c>
      <c r="C473" s="16" t="s">
        <v>1982</v>
      </c>
      <c r="D473" s="99" t="str">
        <f t="shared" si="61"/>
        <v>In touch - Negative</v>
      </c>
      <c r="E473" s="12" t="s">
        <v>1985</v>
      </c>
      <c r="F473" s="12"/>
      <c r="G473" s="13" t="s">
        <v>259</v>
      </c>
      <c r="H473" s="14"/>
      <c r="I473" s="13"/>
      <c r="J473" s="100" t="s">
        <v>111</v>
      </c>
      <c r="K473" s="15" t="s">
        <v>1986</v>
      </c>
      <c r="L473" s="15"/>
      <c r="M473" s="15"/>
      <c r="N473" s="15"/>
      <c r="O473" s="15"/>
      <c r="P473" s="15"/>
      <c r="Q473" s="15"/>
      <c r="R473" s="16"/>
      <c r="S473" s="35"/>
      <c r="T473" s="13"/>
      <c r="U473" s="17"/>
      <c r="V473" s="17"/>
      <c r="W473" s="39"/>
      <c r="X473" s="17"/>
      <c r="Y473" s="17"/>
      <c r="Z473" s="16"/>
      <c r="AA473" s="15" t="s">
        <v>140</v>
      </c>
      <c r="AB473" s="17"/>
      <c r="AC473" s="21" t="s">
        <v>61</v>
      </c>
      <c r="AD473" s="21" t="s">
        <v>61</v>
      </c>
      <c r="AE473" s="61" t="s">
        <v>86</v>
      </c>
      <c r="AF473" s="17"/>
      <c r="AG473" s="15"/>
      <c r="AH473" s="16"/>
      <c r="AI473" s="16"/>
      <c r="AJ473" s="42">
        <f t="shared" ca="1" si="58"/>
        <v>631</v>
      </c>
      <c r="AK473" s="42">
        <f t="shared" ca="1" si="59"/>
        <v>609</v>
      </c>
      <c r="AL473" s="130" t="str">
        <f t="shared" si="60"/>
        <v>In touch - Negative</v>
      </c>
      <c r="AM473" s="37">
        <v>45033</v>
      </c>
      <c r="AN473" s="38">
        <v>45040</v>
      </c>
      <c r="AO473" s="38">
        <v>45055</v>
      </c>
      <c r="AP473" s="38"/>
      <c r="AQ473" s="38"/>
      <c r="AR473" s="101" t="s">
        <v>1963</v>
      </c>
      <c r="AS473" s="38">
        <v>45055</v>
      </c>
      <c r="AT473" s="11" t="s">
        <v>7</v>
      </c>
    </row>
    <row r="474" spans="1:46" s="98" customFormat="1" x14ac:dyDescent="0.3">
      <c r="A474" s="16"/>
      <c r="B474" s="16" cm="1">
        <f t="array" ref="B474">+_xlfn.IFS(D474="In Touch - Positive",2,D474="Pending",1,D474="No Answer",4,D474="In Touch - Negative",3)</f>
        <v>3</v>
      </c>
      <c r="C474" s="16"/>
      <c r="D474" s="99" t="str">
        <f t="shared" si="61"/>
        <v>In touch - Negative</v>
      </c>
      <c r="E474" s="12" t="s">
        <v>1987</v>
      </c>
      <c r="F474" s="12"/>
      <c r="G474" s="13" t="s">
        <v>174</v>
      </c>
      <c r="H474" s="14"/>
      <c r="I474" s="13"/>
      <c r="J474" s="100" t="s">
        <v>111</v>
      </c>
      <c r="K474" s="15" t="s">
        <v>1988</v>
      </c>
      <c r="L474" s="15" t="s">
        <v>1989</v>
      </c>
      <c r="M474" s="15"/>
      <c r="N474" s="15"/>
      <c r="O474" s="15"/>
      <c r="P474" s="15"/>
      <c r="Q474" s="15"/>
      <c r="R474" s="16"/>
      <c r="S474" s="35"/>
      <c r="T474" s="13"/>
      <c r="U474" s="17"/>
      <c r="V474" s="17"/>
      <c r="W474" s="60"/>
      <c r="X474" s="17"/>
      <c r="Y474" s="17"/>
      <c r="Z474" s="16"/>
      <c r="AA474" s="15" t="s">
        <v>140</v>
      </c>
      <c r="AB474" s="17"/>
      <c r="AC474" s="21" t="s">
        <v>86</v>
      </c>
      <c r="AD474" s="21" t="s">
        <v>78</v>
      </c>
      <c r="AE474" s="21" t="s">
        <v>86</v>
      </c>
      <c r="AF474" s="17"/>
      <c r="AG474" s="15"/>
      <c r="AH474" s="16"/>
      <c r="AI474" s="16"/>
      <c r="AJ474" s="42">
        <f t="shared" ca="1" si="58"/>
        <v>659</v>
      </c>
      <c r="AK474" s="42">
        <f t="shared" ca="1" si="59"/>
        <v>655</v>
      </c>
      <c r="AL474" s="130" t="str">
        <f t="shared" si="60"/>
        <v>In touch - Negative</v>
      </c>
      <c r="AM474" s="37">
        <v>45005</v>
      </c>
      <c r="AN474" s="38">
        <v>45008</v>
      </c>
      <c r="AO474" s="38"/>
      <c r="AP474" s="38" t="s">
        <v>65</v>
      </c>
      <c r="AQ474" s="38"/>
      <c r="AR474" s="101" t="s">
        <v>1963</v>
      </c>
      <c r="AS474" s="38">
        <v>45009</v>
      </c>
      <c r="AT474" s="11" t="s">
        <v>7</v>
      </c>
    </row>
    <row r="475" spans="1:46" s="98" customFormat="1" x14ac:dyDescent="0.3">
      <c r="A475" s="16"/>
      <c r="B475" s="16" cm="1">
        <f t="array" ref="B475">+_xlfn.IFS(D475="In Touch - Positive",2,D475="Pending",1,D475="No Answer",4,D475="In Touch - Negative",3)</f>
        <v>3</v>
      </c>
      <c r="C475" s="16" t="s">
        <v>1959</v>
      </c>
      <c r="D475" s="99" t="str">
        <f t="shared" si="61"/>
        <v>In touch - Negative</v>
      </c>
      <c r="E475" s="12" t="s">
        <v>1990</v>
      </c>
      <c r="F475" s="12"/>
      <c r="G475" s="13" t="s">
        <v>174</v>
      </c>
      <c r="H475" s="15"/>
      <c r="I475" s="13"/>
      <c r="J475" s="100" t="s">
        <v>111</v>
      </c>
      <c r="K475" s="15" t="s">
        <v>1991</v>
      </c>
      <c r="L475" s="15"/>
      <c r="M475" s="15"/>
      <c r="N475" s="15"/>
      <c r="O475" s="15"/>
      <c r="P475" s="15"/>
      <c r="Q475" s="15"/>
      <c r="R475" s="16"/>
      <c r="S475" s="35" t="s">
        <v>554</v>
      </c>
      <c r="T475" s="13">
        <v>2021</v>
      </c>
      <c r="U475" s="17">
        <v>60.690572999999993</v>
      </c>
      <c r="V475" s="17">
        <v>10.133244000000001</v>
      </c>
      <c r="W475" s="60">
        <f t="shared" ref="W475:W486" si="62">+V475/U475</f>
        <v>0.16696569992838925</v>
      </c>
      <c r="X475" s="17"/>
      <c r="Y475" s="17"/>
      <c r="Z475" s="16"/>
      <c r="AA475" s="15" t="s">
        <v>140</v>
      </c>
      <c r="AB475" s="17"/>
      <c r="AC475" s="21" t="s">
        <v>61</v>
      </c>
      <c r="AD475" s="21" t="s">
        <v>61</v>
      </c>
      <c r="AE475" s="21" t="s">
        <v>79</v>
      </c>
      <c r="AF475" s="17"/>
      <c r="AG475" s="15"/>
      <c r="AH475" s="16"/>
      <c r="AI475" s="16"/>
      <c r="AJ475" s="42">
        <f t="shared" ca="1" si="58"/>
        <v>461</v>
      </c>
      <c r="AK475" s="42">
        <f t="shared" ca="1" si="59"/>
        <v>449</v>
      </c>
      <c r="AL475" s="130" t="str">
        <f t="shared" si="60"/>
        <v>In touch - Negative</v>
      </c>
      <c r="AM475" s="37">
        <v>45203</v>
      </c>
      <c r="AN475" s="38" t="s">
        <v>65</v>
      </c>
      <c r="AO475" s="38" t="s">
        <v>65</v>
      </c>
      <c r="AP475" s="38" t="s">
        <v>65</v>
      </c>
      <c r="AQ475" s="38">
        <v>45215</v>
      </c>
      <c r="AR475" s="101" t="s">
        <v>1963</v>
      </c>
      <c r="AS475" s="38">
        <v>45215</v>
      </c>
      <c r="AT475" s="11" t="s">
        <v>7</v>
      </c>
    </row>
    <row r="476" spans="1:46" s="98" customFormat="1" x14ac:dyDescent="0.3">
      <c r="A476" s="16"/>
      <c r="B476" s="16" cm="1">
        <f t="array" ref="B476">+_xlfn.IFS(D476="In Touch - Positive",2,D476="Pending",1,D476="No Answer",4,D476="In Touch - Negative",3)</f>
        <v>3</v>
      </c>
      <c r="C476" s="16" t="s">
        <v>1959</v>
      </c>
      <c r="D476" s="99" t="str">
        <f t="shared" si="61"/>
        <v>In touch - Negative</v>
      </c>
      <c r="E476" s="12" t="s">
        <v>1992</v>
      </c>
      <c r="F476" s="12"/>
      <c r="G476" s="13" t="s">
        <v>103</v>
      </c>
      <c r="H476" s="15"/>
      <c r="I476" s="13"/>
      <c r="J476" s="100" t="s">
        <v>111</v>
      </c>
      <c r="K476" s="15" t="s">
        <v>1993</v>
      </c>
      <c r="L476" s="15"/>
      <c r="M476" s="15"/>
      <c r="N476" s="15"/>
      <c r="O476" s="15"/>
      <c r="P476" s="15"/>
      <c r="Q476" s="15"/>
      <c r="R476" s="16"/>
      <c r="S476" s="35" t="s">
        <v>554</v>
      </c>
      <c r="T476" s="13">
        <v>2022</v>
      </c>
      <c r="U476" s="17">
        <v>35.02814</v>
      </c>
      <c r="V476" s="17">
        <v>8.5089860000000002</v>
      </c>
      <c r="W476" s="60">
        <f t="shared" si="62"/>
        <v>0.24291857917662771</v>
      </c>
      <c r="X476" s="17"/>
      <c r="Y476" s="17"/>
      <c r="Z476" s="16"/>
      <c r="AA476" s="15" t="s">
        <v>140</v>
      </c>
      <c r="AB476" s="17"/>
      <c r="AC476" s="21" t="s">
        <v>61</v>
      </c>
      <c r="AD476" s="21" t="s">
        <v>61</v>
      </c>
      <c r="AE476" s="21" t="s">
        <v>79</v>
      </c>
      <c r="AF476" s="17"/>
      <c r="AG476" s="15"/>
      <c r="AH476" s="16"/>
      <c r="AI476" s="16"/>
      <c r="AJ476" s="42">
        <f t="shared" ca="1" si="58"/>
        <v>461</v>
      </c>
      <c r="AK476" s="42">
        <f t="shared" ca="1" si="59"/>
        <v>449</v>
      </c>
      <c r="AL476" s="130" t="str">
        <f t="shared" si="60"/>
        <v>In touch - Negative</v>
      </c>
      <c r="AM476" s="37">
        <v>45203</v>
      </c>
      <c r="AN476" s="38" t="s">
        <v>65</v>
      </c>
      <c r="AO476" s="38" t="s">
        <v>65</v>
      </c>
      <c r="AP476" s="38" t="s">
        <v>65</v>
      </c>
      <c r="AQ476" s="38">
        <v>45215</v>
      </c>
      <c r="AR476" s="101" t="s">
        <v>1963</v>
      </c>
      <c r="AS476" s="38">
        <v>45215</v>
      </c>
      <c r="AT476" s="11" t="s">
        <v>7</v>
      </c>
    </row>
    <row r="477" spans="1:46" s="98" customFormat="1" x14ac:dyDescent="0.3">
      <c r="B477" s="16" cm="1">
        <f t="array" ref="B477">+_xlfn.IFS(D477="In Touch - Positive",2,D477="Pending",1,D477="No Answer",4,D477="In Touch - Negative",3)</f>
        <v>3</v>
      </c>
      <c r="C477" s="16" t="s">
        <v>1959</v>
      </c>
      <c r="D477" s="99" t="str">
        <f t="shared" si="61"/>
        <v>In touch - Negative</v>
      </c>
      <c r="E477" s="12" t="s">
        <v>1994</v>
      </c>
      <c r="F477" s="12"/>
      <c r="G477" s="13" t="s">
        <v>278</v>
      </c>
      <c r="H477" s="15"/>
      <c r="I477" s="13"/>
      <c r="J477" s="100" t="s">
        <v>111</v>
      </c>
      <c r="K477" s="15" t="s">
        <v>1995</v>
      </c>
      <c r="L477" s="15"/>
      <c r="M477" s="15"/>
      <c r="N477" s="15"/>
      <c r="O477" s="15"/>
      <c r="P477" s="15"/>
      <c r="Q477" s="15"/>
      <c r="R477" s="16"/>
      <c r="S477" s="35" t="s">
        <v>554</v>
      </c>
      <c r="T477" s="13">
        <v>2022</v>
      </c>
      <c r="U477" s="17">
        <v>71.919156000000001</v>
      </c>
      <c r="V477" s="17">
        <v>7.4721899999999994</v>
      </c>
      <c r="W477" s="60">
        <f t="shared" si="62"/>
        <v>0.10389707576657323</v>
      </c>
      <c r="X477" s="17"/>
      <c r="Y477" s="17"/>
      <c r="Z477" s="16"/>
      <c r="AA477" s="15" t="s">
        <v>140</v>
      </c>
      <c r="AB477" s="17"/>
      <c r="AC477" s="21" t="s">
        <v>61</v>
      </c>
      <c r="AD477" s="21" t="s">
        <v>61</v>
      </c>
      <c r="AE477" s="21" t="s">
        <v>79</v>
      </c>
      <c r="AF477" s="17"/>
      <c r="AG477" s="15"/>
      <c r="AH477" s="16"/>
      <c r="AI477" s="16"/>
      <c r="AJ477" s="42">
        <f t="shared" ca="1" si="58"/>
        <v>461</v>
      </c>
      <c r="AK477" s="42">
        <f t="shared" ca="1" si="59"/>
        <v>449</v>
      </c>
      <c r="AL477" s="130" t="str">
        <f t="shared" si="60"/>
        <v>In touch - Negative</v>
      </c>
      <c r="AM477" s="37">
        <v>45203</v>
      </c>
      <c r="AN477" s="38" t="s">
        <v>65</v>
      </c>
      <c r="AO477" s="38" t="s">
        <v>65</v>
      </c>
      <c r="AP477" s="38" t="s">
        <v>65</v>
      </c>
      <c r="AQ477" s="38">
        <v>45215</v>
      </c>
      <c r="AR477" s="101" t="s">
        <v>1963</v>
      </c>
      <c r="AS477" s="38">
        <v>45215</v>
      </c>
      <c r="AT477" s="11" t="s">
        <v>7</v>
      </c>
    </row>
    <row r="478" spans="1:46" s="98" customFormat="1" x14ac:dyDescent="0.3">
      <c r="A478" s="16"/>
      <c r="B478" s="16" cm="1">
        <f t="array" ref="B478">+_xlfn.IFS(D478="In Touch - Positive",2,D478="Pending",1,D478="No Answer",4,D478="In Touch - Negative",3)</f>
        <v>3</v>
      </c>
      <c r="C478" s="16" t="s">
        <v>1959</v>
      </c>
      <c r="D478" s="99" t="str">
        <f t="shared" si="61"/>
        <v>In touch - Negative</v>
      </c>
      <c r="E478" s="12" t="s">
        <v>1996</v>
      </c>
      <c r="F478" s="12"/>
      <c r="G478" s="13" t="s">
        <v>137</v>
      </c>
      <c r="H478" s="15"/>
      <c r="I478" s="13"/>
      <c r="J478" s="100" t="s">
        <v>111</v>
      </c>
      <c r="K478" s="15" t="s">
        <v>1997</v>
      </c>
      <c r="L478" s="15"/>
      <c r="M478" s="15"/>
      <c r="N478" s="15"/>
      <c r="O478" s="15"/>
      <c r="P478" s="15"/>
      <c r="Q478" s="15"/>
      <c r="R478" s="16"/>
      <c r="S478" s="35" t="s">
        <v>554</v>
      </c>
      <c r="T478" s="13">
        <v>2022</v>
      </c>
      <c r="U478" s="17">
        <v>31.842890000000001</v>
      </c>
      <c r="V478" s="17">
        <v>7.024241</v>
      </c>
      <c r="W478" s="60">
        <f t="shared" si="62"/>
        <v>0.22059056197474539</v>
      </c>
      <c r="X478" s="17"/>
      <c r="Y478" s="17"/>
      <c r="Z478" s="16"/>
      <c r="AA478" s="15" t="s">
        <v>140</v>
      </c>
      <c r="AB478" s="17"/>
      <c r="AC478" s="21" t="s">
        <v>61</v>
      </c>
      <c r="AD478" s="21" t="s">
        <v>61</v>
      </c>
      <c r="AE478" s="21" t="s">
        <v>79</v>
      </c>
      <c r="AF478" s="17"/>
      <c r="AG478" s="15"/>
      <c r="AH478" s="16"/>
      <c r="AI478" s="16"/>
      <c r="AJ478" s="42">
        <f t="shared" ca="1" si="58"/>
        <v>461</v>
      </c>
      <c r="AK478" s="42">
        <f t="shared" ca="1" si="59"/>
        <v>449</v>
      </c>
      <c r="AL478" s="130" t="str">
        <f t="shared" si="60"/>
        <v>In touch - Negative</v>
      </c>
      <c r="AM478" s="37">
        <v>45203</v>
      </c>
      <c r="AN478" s="38" t="s">
        <v>65</v>
      </c>
      <c r="AO478" s="38" t="s">
        <v>65</v>
      </c>
      <c r="AP478" s="38" t="s">
        <v>65</v>
      </c>
      <c r="AQ478" s="38">
        <v>45215</v>
      </c>
      <c r="AR478" s="101" t="s">
        <v>1963</v>
      </c>
      <c r="AS478" s="38">
        <v>45215</v>
      </c>
      <c r="AT478" s="11" t="s">
        <v>7</v>
      </c>
    </row>
    <row r="479" spans="1:46" s="98" customFormat="1" ht="9.75" customHeight="1" x14ac:dyDescent="0.3">
      <c r="A479" s="16"/>
      <c r="B479" s="16" cm="1">
        <f t="array" ref="B479">+_xlfn.IFS(D479="In Touch - Positive",2,D479="Pending",1,D479="No Answer",4,D479="In Touch - Negative",3)</f>
        <v>3</v>
      </c>
      <c r="C479" s="16" t="s">
        <v>1959</v>
      </c>
      <c r="D479" s="99" t="str">
        <f t="shared" si="61"/>
        <v>In touch - Negative</v>
      </c>
      <c r="E479" s="12" t="s">
        <v>1998</v>
      </c>
      <c r="F479" s="12"/>
      <c r="G479" s="13" t="s">
        <v>166</v>
      </c>
      <c r="H479" s="15"/>
      <c r="I479" s="13"/>
      <c r="J479" s="100" t="s">
        <v>111</v>
      </c>
      <c r="K479" s="15" t="s">
        <v>1999</v>
      </c>
      <c r="L479" s="15"/>
      <c r="M479" s="15"/>
      <c r="N479" s="15"/>
      <c r="O479" s="15"/>
      <c r="P479" s="15"/>
      <c r="Q479" s="15"/>
      <c r="R479" s="16"/>
      <c r="S479" s="35" t="s">
        <v>554</v>
      </c>
      <c r="T479" s="13">
        <v>2022</v>
      </c>
      <c r="U479" s="17">
        <v>35.358750999999998</v>
      </c>
      <c r="V479" s="17">
        <v>6.8400080000000001</v>
      </c>
      <c r="W479" s="60">
        <f t="shared" si="62"/>
        <v>0.19344597324718851</v>
      </c>
      <c r="X479" s="17"/>
      <c r="Y479" s="17"/>
      <c r="Z479" s="16"/>
      <c r="AA479" s="15" t="s">
        <v>140</v>
      </c>
      <c r="AB479" s="17"/>
      <c r="AC479" s="21" t="s">
        <v>61</v>
      </c>
      <c r="AD479" s="21" t="s">
        <v>61</v>
      </c>
      <c r="AE479" s="21" t="s">
        <v>79</v>
      </c>
      <c r="AF479" s="17"/>
      <c r="AG479" s="15"/>
      <c r="AH479" s="16"/>
      <c r="AI479" s="16"/>
      <c r="AJ479" s="42">
        <f t="shared" ca="1" si="58"/>
        <v>461</v>
      </c>
      <c r="AK479" s="42">
        <f t="shared" ca="1" si="59"/>
        <v>449</v>
      </c>
      <c r="AL479" s="130" t="str">
        <f t="shared" si="60"/>
        <v>In touch - Negative</v>
      </c>
      <c r="AM479" s="37">
        <v>45203</v>
      </c>
      <c r="AN479" s="38" t="s">
        <v>65</v>
      </c>
      <c r="AO479" s="38" t="s">
        <v>65</v>
      </c>
      <c r="AP479" s="38" t="s">
        <v>65</v>
      </c>
      <c r="AQ479" s="38">
        <v>45215</v>
      </c>
      <c r="AR479" s="101" t="s">
        <v>1963</v>
      </c>
      <c r="AS479" s="38">
        <v>45215</v>
      </c>
      <c r="AT479" s="11" t="s">
        <v>7</v>
      </c>
    </row>
    <row r="480" spans="1:46" s="98" customFormat="1" x14ac:dyDescent="0.3">
      <c r="B480" s="16" cm="1">
        <f t="array" ref="B480">+_xlfn.IFS(D480="In Touch - Positive",2,D480="Pending",1,D480="No Answer",4,D480="In Touch - Negative",3)</f>
        <v>3</v>
      </c>
      <c r="C480" s="16" t="s">
        <v>1959</v>
      </c>
      <c r="D480" s="99" t="str">
        <f t="shared" si="61"/>
        <v>In touch - Negative</v>
      </c>
      <c r="E480" s="12" t="s">
        <v>2000</v>
      </c>
      <c r="F480" s="12"/>
      <c r="G480" s="13" t="s">
        <v>856</v>
      </c>
      <c r="H480" s="15"/>
      <c r="I480" s="13"/>
      <c r="J480" s="100" t="s">
        <v>111</v>
      </c>
      <c r="K480" s="15" t="s">
        <v>2001</v>
      </c>
      <c r="L480" s="15"/>
      <c r="M480" s="15"/>
      <c r="N480" s="15"/>
      <c r="O480" s="15"/>
      <c r="P480" s="15"/>
      <c r="Q480" s="15"/>
      <c r="R480" s="16"/>
      <c r="S480" s="35" t="s">
        <v>554</v>
      </c>
      <c r="T480" s="13">
        <v>2022</v>
      </c>
      <c r="U480" s="17">
        <v>27.779477999999997</v>
      </c>
      <c r="V480" s="17">
        <v>4.8098380000000001</v>
      </c>
      <c r="W480" s="60">
        <f t="shared" si="62"/>
        <v>0.17314357022835347</v>
      </c>
      <c r="X480" s="17"/>
      <c r="Y480" s="17"/>
      <c r="Z480" s="16"/>
      <c r="AA480" s="15" t="s">
        <v>140</v>
      </c>
      <c r="AB480" s="17"/>
      <c r="AC480" s="21" t="s">
        <v>61</v>
      </c>
      <c r="AD480" s="21" t="s">
        <v>61</v>
      </c>
      <c r="AE480" s="21" t="s">
        <v>79</v>
      </c>
      <c r="AF480" s="17"/>
      <c r="AG480" s="15"/>
      <c r="AH480" s="16"/>
      <c r="AI480" s="16"/>
      <c r="AJ480" s="42">
        <f t="shared" ca="1" si="58"/>
        <v>461</v>
      </c>
      <c r="AK480" s="42">
        <f t="shared" ca="1" si="59"/>
        <v>449</v>
      </c>
      <c r="AL480" s="130" t="str">
        <f t="shared" si="60"/>
        <v>In touch - Negative</v>
      </c>
      <c r="AM480" s="37">
        <v>45203</v>
      </c>
      <c r="AN480" s="38" t="s">
        <v>65</v>
      </c>
      <c r="AO480" s="38" t="s">
        <v>65</v>
      </c>
      <c r="AP480" s="38" t="s">
        <v>65</v>
      </c>
      <c r="AQ480" s="38">
        <v>45215</v>
      </c>
      <c r="AR480" s="101" t="s">
        <v>1963</v>
      </c>
      <c r="AS480" s="38">
        <v>45215</v>
      </c>
      <c r="AT480" s="11" t="s">
        <v>7</v>
      </c>
    </row>
    <row r="481" spans="1:46" s="98" customFormat="1" x14ac:dyDescent="0.3">
      <c r="A481" s="97"/>
      <c r="B481" s="16" cm="1">
        <f t="array" ref="B481">+_xlfn.IFS(D481="In Touch - Positive",2,D481="Pending",1,D481="No Answer",4,D481="In Touch - Negative",3)</f>
        <v>3</v>
      </c>
      <c r="C481" s="16" t="s">
        <v>1959</v>
      </c>
      <c r="D481" s="99" t="str">
        <f t="shared" si="61"/>
        <v>In touch - Negative</v>
      </c>
      <c r="E481" s="12" t="s">
        <v>2002</v>
      </c>
      <c r="F481" s="12"/>
      <c r="G481" s="13" t="s">
        <v>68</v>
      </c>
      <c r="H481" s="15"/>
      <c r="I481" s="13"/>
      <c r="J481" s="100" t="s">
        <v>111</v>
      </c>
      <c r="K481" s="15" t="s">
        <v>2003</v>
      </c>
      <c r="L481" s="15"/>
      <c r="M481" s="15"/>
      <c r="N481" s="15"/>
      <c r="O481" s="15"/>
      <c r="P481" s="15"/>
      <c r="Q481" s="15"/>
      <c r="R481" s="16"/>
      <c r="S481" s="35" t="s">
        <v>554</v>
      </c>
      <c r="T481" s="13">
        <v>2022</v>
      </c>
      <c r="U481" s="17">
        <v>23.378331999999997</v>
      </c>
      <c r="V481" s="17">
        <v>3.1170999999999998</v>
      </c>
      <c r="W481" s="60">
        <f t="shared" si="62"/>
        <v>0.13333286566381211</v>
      </c>
      <c r="X481" s="17"/>
      <c r="Y481" s="17"/>
      <c r="Z481" s="16"/>
      <c r="AA481" s="15" t="s">
        <v>140</v>
      </c>
      <c r="AB481" s="17"/>
      <c r="AC481" s="21" t="s">
        <v>61</v>
      </c>
      <c r="AD481" s="21" t="s">
        <v>61</v>
      </c>
      <c r="AE481" s="21" t="s">
        <v>79</v>
      </c>
      <c r="AF481" s="17"/>
      <c r="AG481" s="15"/>
      <c r="AH481" s="16"/>
      <c r="AI481" s="16"/>
      <c r="AJ481" s="42">
        <f t="shared" ca="1" si="58"/>
        <v>461</v>
      </c>
      <c r="AK481" s="42">
        <f t="shared" ca="1" si="59"/>
        <v>449</v>
      </c>
      <c r="AL481" s="130" t="str">
        <f t="shared" si="60"/>
        <v>In touch - Negative</v>
      </c>
      <c r="AM481" s="37">
        <v>45203</v>
      </c>
      <c r="AN481" s="38" t="s">
        <v>65</v>
      </c>
      <c r="AO481" s="38" t="s">
        <v>65</v>
      </c>
      <c r="AP481" s="38" t="s">
        <v>65</v>
      </c>
      <c r="AQ481" s="38">
        <v>45215</v>
      </c>
      <c r="AR481" s="101" t="s">
        <v>1963</v>
      </c>
      <c r="AS481" s="38">
        <v>45215</v>
      </c>
      <c r="AT481" s="11" t="s">
        <v>7</v>
      </c>
    </row>
    <row r="482" spans="1:46" s="98" customFormat="1" x14ac:dyDescent="0.3">
      <c r="B482" s="16" cm="1">
        <f t="array" ref="B482">+_xlfn.IFS(D482="In Touch - Positive",2,D482="Pending",1,D482="No Answer",4,D482="In Touch - Negative",3)</f>
        <v>3</v>
      </c>
      <c r="C482" s="16" t="s">
        <v>1959</v>
      </c>
      <c r="D482" s="99" t="str">
        <f t="shared" si="61"/>
        <v>In touch - Negative</v>
      </c>
      <c r="E482" s="12" t="s">
        <v>2004</v>
      </c>
      <c r="F482" s="12"/>
      <c r="G482" s="13" t="s">
        <v>1195</v>
      </c>
      <c r="H482" s="15"/>
      <c r="I482" s="13"/>
      <c r="J482" s="100" t="s">
        <v>111</v>
      </c>
      <c r="K482" s="15" t="s">
        <v>2005</v>
      </c>
      <c r="L482" s="15"/>
      <c r="M482" s="15"/>
      <c r="N482" s="15"/>
      <c r="O482" s="15"/>
      <c r="P482" s="15"/>
      <c r="Q482" s="15"/>
      <c r="R482" s="16"/>
      <c r="S482" s="35" t="s">
        <v>554</v>
      </c>
      <c r="T482" s="13">
        <v>2022</v>
      </c>
      <c r="U482" s="17">
        <v>19.385274000000003</v>
      </c>
      <c r="V482" s="17">
        <v>2.7478210000000001</v>
      </c>
      <c r="W482" s="60">
        <f t="shared" si="62"/>
        <v>0.14174785458281372</v>
      </c>
      <c r="X482" s="17"/>
      <c r="Y482" s="17"/>
      <c r="Z482" s="16"/>
      <c r="AA482" s="15" t="s">
        <v>140</v>
      </c>
      <c r="AB482" s="17"/>
      <c r="AC482" s="21" t="s">
        <v>61</v>
      </c>
      <c r="AD482" s="21" t="s">
        <v>61</v>
      </c>
      <c r="AE482" s="21" t="s">
        <v>79</v>
      </c>
      <c r="AF482" s="17"/>
      <c r="AG482" s="15"/>
      <c r="AH482" s="16"/>
      <c r="AI482" s="16"/>
      <c r="AJ482" s="42">
        <f t="shared" ca="1" si="58"/>
        <v>461</v>
      </c>
      <c r="AK482" s="42">
        <f t="shared" ca="1" si="59"/>
        <v>449</v>
      </c>
      <c r="AL482" s="130" t="str">
        <f t="shared" si="60"/>
        <v>In touch - Negative</v>
      </c>
      <c r="AM482" s="37">
        <v>45203</v>
      </c>
      <c r="AN482" s="38" t="s">
        <v>65</v>
      </c>
      <c r="AO482" s="38" t="s">
        <v>65</v>
      </c>
      <c r="AP482" s="38" t="s">
        <v>65</v>
      </c>
      <c r="AQ482" s="38">
        <v>45215</v>
      </c>
      <c r="AR482" s="101" t="s">
        <v>1963</v>
      </c>
      <c r="AS482" s="38">
        <v>45215</v>
      </c>
      <c r="AT482" s="11" t="s">
        <v>7</v>
      </c>
    </row>
    <row r="483" spans="1:46" s="98" customFormat="1" x14ac:dyDescent="0.3">
      <c r="A483" s="97"/>
      <c r="B483" s="16" cm="1">
        <f t="array" ref="B483">+_xlfn.IFS(D483="In Touch - Positive",2,D483="Pending",1,D483="No Answer",4,D483="In Touch - Negative",3)</f>
        <v>3</v>
      </c>
      <c r="C483" s="16" t="s">
        <v>1959</v>
      </c>
      <c r="D483" s="99" t="str">
        <f t="shared" si="61"/>
        <v>In touch - Negative</v>
      </c>
      <c r="E483" s="12" t="s">
        <v>2006</v>
      </c>
      <c r="F483" s="12"/>
      <c r="G483" s="13" t="s">
        <v>259</v>
      </c>
      <c r="H483" s="15"/>
      <c r="I483" s="13"/>
      <c r="J483" s="100" t="s">
        <v>111</v>
      </c>
      <c r="K483" s="15" t="s">
        <v>2007</v>
      </c>
      <c r="L483" s="15"/>
      <c r="M483" s="15"/>
      <c r="N483" s="15"/>
      <c r="O483" s="15"/>
      <c r="P483" s="15"/>
      <c r="Q483" s="15"/>
      <c r="R483" s="16"/>
      <c r="S483" s="35" t="s">
        <v>554</v>
      </c>
      <c r="T483" s="13">
        <v>2022</v>
      </c>
      <c r="U483" s="17">
        <v>25.380517999999999</v>
      </c>
      <c r="V483" s="17">
        <v>2.6298719999999998</v>
      </c>
      <c r="W483" s="60">
        <f t="shared" si="62"/>
        <v>0.10361774334156615</v>
      </c>
      <c r="X483" s="17"/>
      <c r="Y483" s="17"/>
      <c r="Z483" s="16"/>
      <c r="AA483" s="15" t="s">
        <v>140</v>
      </c>
      <c r="AB483" s="17"/>
      <c r="AC483" s="21" t="s">
        <v>61</v>
      </c>
      <c r="AD483" s="21" t="s">
        <v>61</v>
      </c>
      <c r="AE483" s="21" t="s">
        <v>79</v>
      </c>
      <c r="AF483" s="17"/>
      <c r="AG483" s="15"/>
      <c r="AH483" s="16"/>
      <c r="AI483" s="16"/>
      <c r="AJ483" s="42">
        <f t="shared" ca="1" si="58"/>
        <v>461</v>
      </c>
      <c r="AK483" s="42">
        <f t="shared" ca="1" si="59"/>
        <v>449</v>
      </c>
      <c r="AL483" s="130" t="str">
        <f t="shared" si="60"/>
        <v>In touch - Negative</v>
      </c>
      <c r="AM483" s="37">
        <v>45203</v>
      </c>
      <c r="AN483" s="38" t="s">
        <v>65</v>
      </c>
      <c r="AO483" s="38" t="s">
        <v>65</v>
      </c>
      <c r="AP483" s="38" t="s">
        <v>65</v>
      </c>
      <c r="AQ483" s="38">
        <v>45215</v>
      </c>
      <c r="AR483" s="101" t="s">
        <v>1963</v>
      </c>
      <c r="AS483" s="38">
        <v>45215</v>
      </c>
      <c r="AT483" s="11" t="s">
        <v>7</v>
      </c>
    </row>
    <row r="484" spans="1:46" s="98" customFormat="1" x14ac:dyDescent="0.3">
      <c r="B484" s="16" cm="1">
        <f t="array" ref="B484">+_xlfn.IFS(D484="In Touch - Positive",2,D484="Pending",1,D484="No Answer",4,D484="In Touch - Negative",3)</f>
        <v>3</v>
      </c>
      <c r="C484" s="16" t="s">
        <v>1959</v>
      </c>
      <c r="D484" s="99" t="str">
        <f t="shared" si="61"/>
        <v>In touch - Negative</v>
      </c>
      <c r="E484" s="12" t="s">
        <v>2008</v>
      </c>
      <c r="F484" s="12"/>
      <c r="G484" s="13" t="s">
        <v>166</v>
      </c>
      <c r="H484" s="15"/>
      <c r="I484" s="13"/>
      <c r="J484" s="100" t="s">
        <v>111</v>
      </c>
      <c r="K484" s="15" t="s">
        <v>2009</v>
      </c>
      <c r="L484" s="15"/>
      <c r="M484" s="15"/>
      <c r="N484" s="15"/>
      <c r="O484" s="15"/>
      <c r="P484" s="15"/>
      <c r="Q484" s="15"/>
      <c r="R484" s="16"/>
      <c r="S484" s="35" t="s">
        <v>554</v>
      </c>
      <c r="T484" s="13">
        <v>2022</v>
      </c>
      <c r="U484" s="17">
        <v>19.171099999999999</v>
      </c>
      <c r="V484" s="17">
        <v>2.448248</v>
      </c>
      <c r="W484" s="60">
        <f t="shared" si="62"/>
        <v>0.12770513950686191</v>
      </c>
      <c r="X484" s="17"/>
      <c r="Y484" s="17"/>
      <c r="Z484" s="16"/>
      <c r="AA484" s="15" t="s">
        <v>140</v>
      </c>
      <c r="AB484" s="17"/>
      <c r="AC484" s="21" t="s">
        <v>61</v>
      </c>
      <c r="AD484" s="21" t="s">
        <v>61</v>
      </c>
      <c r="AE484" s="21" t="s">
        <v>79</v>
      </c>
      <c r="AF484" s="17"/>
      <c r="AG484" s="15"/>
      <c r="AH484" s="16"/>
      <c r="AI484" s="16"/>
      <c r="AJ484" s="42">
        <f t="shared" ca="1" si="58"/>
        <v>461</v>
      </c>
      <c r="AK484" s="42">
        <f t="shared" ca="1" si="59"/>
        <v>449</v>
      </c>
      <c r="AL484" s="130" t="str">
        <f t="shared" si="60"/>
        <v>In touch - Negative</v>
      </c>
      <c r="AM484" s="37">
        <v>45203</v>
      </c>
      <c r="AN484" s="38" t="s">
        <v>65</v>
      </c>
      <c r="AO484" s="38" t="s">
        <v>65</v>
      </c>
      <c r="AP484" s="38" t="s">
        <v>65</v>
      </c>
      <c r="AQ484" s="38">
        <v>45215</v>
      </c>
      <c r="AR484" s="101" t="s">
        <v>1963</v>
      </c>
      <c r="AS484" s="38">
        <v>45215</v>
      </c>
      <c r="AT484" s="11" t="s">
        <v>7</v>
      </c>
    </row>
    <row r="485" spans="1:46" s="271" customFormat="1" x14ac:dyDescent="0.35">
      <c r="A485" s="16"/>
      <c r="B485" s="16" cm="1">
        <f t="array" ref="B485">+_xlfn.IFS(D485="In Touch - Positive",2,D485="Pending",1,D485="No Answer",4,D485="In Touch - Negative",3)</f>
        <v>3</v>
      </c>
      <c r="C485" s="16" t="s">
        <v>1959</v>
      </c>
      <c r="D485" s="99" t="str">
        <f t="shared" si="61"/>
        <v>In touch - Negative</v>
      </c>
      <c r="E485" s="12" t="s">
        <v>2010</v>
      </c>
      <c r="F485" s="12"/>
      <c r="G485" s="13" t="s">
        <v>166</v>
      </c>
      <c r="H485" s="15"/>
      <c r="I485" s="13"/>
      <c r="J485" s="100" t="s">
        <v>111</v>
      </c>
      <c r="K485" s="15" t="s">
        <v>2011</v>
      </c>
      <c r="L485" s="15"/>
      <c r="M485" s="15"/>
      <c r="N485" s="15"/>
      <c r="O485" s="15"/>
      <c r="P485" s="15"/>
      <c r="Q485" s="15"/>
      <c r="R485" s="16"/>
      <c r="S485" s="35" t="s">
        <v>554</v>
      </c>
      <c r="T485" s="13">
        <v>2021</v>
      </c>
      <c r="U485" s="17">
        <v>48.988455000000002</v>
      </c>
      <c r="V485" s="17">
        <v>7.1682870000000003</v>
      </c>
      <c r="W485" s="60">
        <f t="shared" si="62"/>
        <v>0.14632604763714227</v>
      </c>
      <c r="X485" s="17"/>
      <c r="Y485" s="17"/>
      <c r="Z485" s="16"/>
      <c r="AA485" s="15" t="s">
        <v>140</v>
      </c>
      <c r="AB485" s="17"/>
      <c r="AC485" s="21" t="s">
        <v>61</v>
      </c>
      <c r="AD485" s="21" t="s">
        <v>61</v>
      </c>
      <c r="AE485" s="21" t="s">
        <v>79</v>
      </c>
      <c r="AF485" s="17"/>
      <c r="AG485" s="15"/>
      <c r="AH485" s="16"/>
      <c r="AI485" s="16"/>
      <c r="AJ485" s="42">
        <f t="shared" ca="1" si="58"/>
        <v>461</v>
      </c>
      <c r="AK485" s="42">
        <f t="shared" ca="1" si="59"/>
        <v>449</v>
      </c>
      <c r="AL485" s="130" t="str">
        <f t="shared" si="60"/>
        <v>In touch - Negative</v>
      </c>
      <c r="AM485" s="37">
        <v>45203</v>
      </c>
      <c r="AN485" s="38" t="s">
        <v>65</v>
      </c>
      <c r="AO485" s="38" t="s">
        <v>65</v>
      </c>
      <c r="AP485" s="38" t="s">
        <v>65</v>
      </c>
      <c r="AQ485" s="38">
        <v>45215</v>
      </c>
      <c r="AR485" s="101" t="s">
        <v>1963</v>
      </c>
      <c r="AS485" s="38">
        <v>45215</v>
      </c>
      <c r="AT485" s="11"/>
    </row>
    <row r="486" spans="1:46" s="98" customFormat="1" x14ac:dyDescent="0.3">
      <c r="A486" s="97"/>
      <c r="B486" s="16" cm="1">
        <f t="array" ref="B486">+_xlfn.IFS(D486="In Touch - Positive",2,D486="Pending",1,D486="No Answer",4,D486="In Touch - Negative",3)</f>
        <v>3</v>
      </c>
      <c r="C486" s="16" t="s">
        <v>1959</v>
      </c>
      <c r="D486" s="99" t="str">
        <f t="shared" si="61"/>
        <v>In touch - Negative</v>
      </c>
      <c r="E486" s="12" t="s">
        <v>2012</v>
      </c>
      <c r="F486" s="12"/>
      <c r="G486" s="13" t="s">
        <v>174</v>
      </c>
      <c r="H486" s="15"/>
      <c r="I486" s="13"/>
      <c r="J486" s="100" t="s">
        <v>111</v>
      </c>
      <c r="K486" s="15" t="s">
        <v>2013</v>
      </c>
      <c r="L486" s="15"/>
      <c r="M486" s="15"/>
      <c r="N486" s="15"/>
      <c r="O486" s="15"/>
      <c r="P486" s="15"/>
      <c r="Q486" s="15"/>
      <c r="R486" s="16"/>
      <c r="S486" s="35" t="s">
        <v>554</v>
      </c>
      <c r="T486" s="13">
        <v>2022</v>
      </c>
      <c r="U486" s="17">
        <v>25.188543000000003</v>
      </c>
      <c r="V486" s="17">
        <v>3.8480720000000002</v>
      </c>
      <c r="W486" s="60">
        <f t="shared" si="62"/>
        <v>0.15277072596060834</v>
      </c>
      <c r="X486" s="17"/>
      <c r="Y486" s="17"/>
      <c r="Z486" s="16"/>
      <c r="AA486" s="15" t="s">
        <v>140</v>
      </c>
      <c r="AB486" s="17"/>
      <c r="AC486" s="21" t="s">
        <v>61</v>
      </c>
      <c r="AD486" s="21" t="s">
        <v>61</v>
      </c>
      <c r="AE486" s="21" t="s">
        <v>79</v>
      </c>
      <c r="AF486" s="17"/>
      <c r="AG486" s="15"/>
      <c r="AH486" s="16"/>
      <c r="AI486" s="16"/>
      <c r="AJ486" s="42">
        <f t="shared" ca="1" si="58"/>
        <v>461</v>
      </c>
      <c r="AK486" s="42">
        <f t="shared" ca="1" si="59"/>
        <v>449</v>
      </c>
      <c r="AL486" s="130" t="str">
        <f t="shared" si="60"/>
        <v>In touch - Negative</v>
      </c>
      <c r="AM486" s="37">
        <v>45203</v>
      </c>
      <c r="AN486" s="38" t="s">
        <v>65</v>
      </c>
      <c r="AO486" s="38" t="s">
        <v>65</v>
      </c>
      <c r="AP486" s="38"/>
      <c r="AQ486" s="38">
        <v>45215</v>
      </c>
      <c r="AR486" s="101" t="s">
        <v>1963</v>
      </c>
      <c r="AS486" s="38">
        <v>45215</v>
      </c>
      <c r="AT486" s="11" t="s">
        <v>7</v>
      </c>
    </row>
    <row r="487" spans="1:46" s="98" customFormat="1" x14ac:dyDescent="0.3">
      <c r="A487" s="97"/>
      <c r="B487" s="16" cm="1">
        <f t="array" ref="B487">+_xlfn.IFS(D487="In Touch - Positive",2,D487="Pending",1,D487="No Answer",4,D487="In Touch - Negative",3)</f>
        <v>3</v>
      </c>
      <c r="C487" s="16"/>
      <c r="D487" s="99" t="str">
        <f t="shared" si="61"/>
        <v>In touch - Negative</v>
      </c>
      <c r="E487" s="12" t="s">
        <v>767</v>
      </c>
      <c r="F487" s="12"/>
      <c r="G487" s="13" t="s">
        <v>259</v>
      </c>
      <c r="H487" s="14"/>
      <c r="I487" s="13"/>
      <c r="J487" s="100" t="s">
        <v>267</v>
      </c>
      <c r="K487" s="15" t="s">
        <v>2014</v>
      </c>
      <c r="L487" s="15" t="s">
        <v>2015</v>
      </c>
      <c r="M487" s="15"/>
      <c r="N487" s="15"/>
      <c r="O487" s="15"/>
      <c r="P487" s="15"/>
      <c r="Q487" s="15"/>
      <c r="R487" s="16"/>
      <c r="S487" s="35"/>
      <c r="T487" s="13"/>
      <c r="U487" s="17"/>
      <c r="V487" s="17"/>
      <c r="W487" s="60"/>
      <c r="X487" s="17"/>
      <c r="Y487" s="17"/>
      <c r="Z487" s="16"/>
      <c r="AA487" s="15" t="s">
        <v>140</v>
      </c>
      <c r="AB487" s="17"/>
      <c r="AC487" s="21" t="s">
        <v>61</v>
      </c>
      <c r="AD487" s="21" t="s">
        <v>61</v>
      </c>
      <c r="AE487" s="61" t="s">
        <v>79</v>
      </c>
      <c r="AF487" s="17"/>
      <c r="AG487" s="15"/>
      <c r="AH487" s="16"/>
      <c r="AI487" s="16"/>
      <c r="AJ487" s="42">
        <f t="shared" ca="1" si="58"/>
        <v>621</v>
      </c>
      <c r="AK487" s="42">
        <f t="shared" ca="1" si="59"/>
        <v>656</v>
      </c>
      <c r="AL487" s="130" t="str">
        <f t="shared" si="60"/>
        <v>In touch - Negative</v>
      </c>
      <c r="AM487" s="37">
        <v>45043</v>
      </c>
      <c r="AN487" s="38">
        <v>45043</v>
      </c>
      <c r="AO487" s="38"/>
      <c r="AP487" s="38"/>
      <c r="AQ487" s="38"/>
      <c r="AR487" s="101" t="s">
        <v>1963</v>
      </c>
      <c r="AS487" s="38">
        <v>45008</v>
      </c>
      <c r="AT487" s="11" t="s">
        <v>7</v>
      </c>
    </row>
    <row r="488" spans="1:46" s="98" customFormat="1" x14ac:dyDescent="0.3">
      <c r="A488" s="97"/>
      <c r="B488" s="16" cm="1">
        <f t="array" ref="B488">+_xlfn.IFS(D488="In Touch - Positive",2,D488="Pending",1,D488="No Answer",4,D488="In Touch - Negative",3)</f>
        <v>3</v>
      </c>
      <c r="C488" s="16" t="s">
        <v>1864</v>
      </c>
      <c r="D488" s="99" t="str">
        <f t="shared" si="61"/>
        <v>In touch - Negative</v>
      </c>
      <c r="E488" s="12" t="s">
        <v>2016</v>
      </c>
      <c r="F488" s="12"/>
      <c r="G488" s="13" t="s">
        <v>271</v>
      </c>
      <c r="H488" s="14" t="s">
        <v>2017</v>
      </c>
      <c r="I488" s="13"/>
      <c r="J488" s="100" t="s">
        <v>57</v>
      </c>
      <c r="K488" s="15" t="s">
        <v>2018</v>
      </c>
      <c r="L488" s="15"/>
      <c r="M488" s="15"/>
      <c r="N488" s="15"/>
      <c r="O488" s="15"/>
      <c r="P488" s="15"/>
      <c r="Q488" s="15"/>
      <c r="R488" s="16"/>
      <c r="S488" s="35"/>
      <c r="T488" s="13">
        <v>2021</v>
      </c>
      <c r="U488" s="17">
        <v>1.5566059999999999</v>
      </c>
      <c r="V488" s="17">
        <v>0.69858600000000004</v>
      </c>
      <c r="W488" s="39">
        <f>V488/U488</f>
        <v>0.44878793991543142</v>
      </c>
      <c r="X488" s="17">
        <v>0.495757</v>
      </c>
      <c r="Y488" s="17">
        <v>-0.55688499999999996</v>
      </c>
      <c r="Z488" s="16"/>
      <c r="AA488" s="15" t="s">
        <v>140</v>
      </c>
      <c r="AB488" s="17"/>
      <c r="AC488" s="21" t="s">
        <v>61</v>
      </c>
      <c r="AD488" s="21" t="s">
        <v>61</v>
      </c>
      <c r="AE488" s="61" t="s">
        <v>128</v>
      </c>
      <c r="AF488" s="17"/>
      <c r="AG488" s="15"/>
      <c r="AH488" s="16"/>
      <c r="AI488" s="16"/>
      <c r="AJ488" s="42">
        <f t="shared" ca="1" si="58"/>
        <v>749</v>
      </c>
      <c r="AK488" s="42">
        <f t="shared" ca="1" si="59"/>
        <v>659</v>
      </c>
      <c r="AL488" s="130" t="str">
        <f t="shared" si="60"/>
        <v>In touch - Negative</v>
      </c>
      <c r="AM488" s="37">
        <v>44915</v>
      </c>
      <c r="AN488" s="38">
        <v>44992</v>
      </c>
      <c r="AO488" s="38">
        <v>45005</v>
      </c>
      <c r="AP488" s="38"/>
      <c r="AQ488" s="38">
        <v>45005</v>
      </c>
      <c r="AR488" s="101" t="s">
        <v>1963</v>
      </c>
      <c r="AS488" s="38">
        <v>45005</v>
      </c>
      <c r="AT488" s="11" t="s">
        <v>7</v>
      </c>
    </row>
    <row r="489" spans="1:46" s="98" customFormat="1" x14ac:dyDescent="0.3">
      <c r="B489" s="16" cm="1">
        <f t="array" ref="B489">+_xlfn.IFS(D489="In Touch - Positive",2,D489="Pending",1,D489="No Answer",4,D489="In Touch - Negative",3)</f>
        <v>3</v>
      </c>
      <c r="C489" s="16" t="s">
        <v>1940</v>
      </c>
      <c r="D489" s="99" t="str">
        <f t="shared" si="61"/>
        <v>In touch - Negative</v>
      </c>
      <c r="E489" s="12" t="s">
        <v>2019</v>
      </c>
      <c r="F489" s="12"/>
      <c r="G489" s="13" t="s">
        <v>68</v>
      </c>
      <c r="H489" s="14" t="s">
        <v>2020</v>
      </c>
      <c r="I489" s="13"/>
      <c r="J489" s="13"/>
      <c r="K489" s="15"/>
      <c r="L489" s="15"/>
      <c r="M489" s="15"/>
      <c r="N489" s="15"/>
      <c r="O489" s="15"/>
      <c r="P489" s="15"/>
      <c r="Q489" s="15"/>
      <c r="R489" s="16"/>
      <c r="S489" s="35"/>
      <c r="T489" s="13"/>
      <c r="U489" s="17"/>
      <c r="V489" s="17"/>
      <c r="W489" s="60"/>
      <c r="X489" s="17"/>
      <c r="Y489" s="17"/>
      <c r="Z489" s="16"/>
      <c r="AA489" s="15" t="s">
        <v>140</v>
      </c>
      <c r="AB489" s="17"/>
      <c r="AC489" s="21" t="s">
        <v>86</v>
      </c>
      <c r="AD489" s="21" t="s">
        <v>61</v>
      </c>
      <c r="AE489" s="61" t="s">
        <v>86</v>
      </c>
      <c r="AF489" s="17"/>
      <c r="AG489" s="15"/>
      <c r="AH489" s="16"/>
      <c r="AI489" s="16"/>
      <c r="AJ489" s="42">
        <f t="shared" ca="1" si="58"/>
        <v>673</v>
      </c>
      <c r="AK489" s="42">
        <f t="shared" ca="1" si="59"/>
        <v>673</v>
      </c>
      <c r="AL489" s="130" t="str">
        <f t="shared" si="60"/>
        <v>In touch - Negative</v>
      </c>
      <c r="AM489" s="37">
        <v>44991</v>
      </c>
      <c r="AN489" s="38">
        <v>45002</v>
      </c>
      <c r="AO489" s="38"/>
      <c r="AP489" s="38"/>
      <c r="AQ489" s="38"/>
      <c r="AR489" s="101" t="s">
        <v>1963</v>
      </c>
      <c r="AS489" s="38">
        <v>44991</v>
      </c>
      <c r="AT489" s="11" t="s">
        <v>7</v>
      </c>
    </row>
    <row r="490" spans="1:46" s="98" customFormat="1" x14ac:dyDescent="0.3">
      <c r="A490" s="97"/>
      <c r="B490" s="16" cm="1">
        <f t="array" ref="B490">+_xlfn.IFS(D490="In Touch - Positive",2,D490="Pending",1,D490="No Answer",4,D490="In Touch - Negative",3)</f>
        <v>3</v>
      </c>
      <c r="C490" s="16" t="s">
        <v>1940</v>
      </c>
      <c r="D490" s="99" t="str">
        <f t="shared" si="61"/>
        <v>In touch - Negative</v>
      </c>
      <c r="E490" s="12" t="s">
        <v>2021</v>
      </c>
      <c r="F490" s="12"/>
      <c r="G490" s="13" t="s">
        <v>68</v>
      </c>
      <c r="H490" s="14" t="s">
        <v>2022</v>
      </c>
      <c r="I490" s="13"/>
      <c r="J490" s="13"/>
      <c r="K490" s="15"/>
      <c r="L490" s="15"/>
      <c r="M490" s="15"/>
      <c r="N490" s="15"/>
      <c r="O490" s="15"/>
      <c r="P490" s="15"/>
      <c r="Q490" s="15"/>
      <c r="R490" s="16"/>
      <c r="S490" s="35"/>
      <c r="T490" s="13"/>
      <c r="U490" s="17"/>
      <c r="V490" s="17"/>
      <c r="W490" s="60"/>
      <c r="X490" s="17"/>
      <c r="Y490" s="17"/>
      <c r="Z490" s="16"/>
      <c r="AA490" s="15" t="s">
        <v>140</v>
      </c>
      <c r="AB490" s="17"/>
      <c r="AC490" s="21" t="s">
        <v>86</v>
      </c>
      <c r="AD490" s="21" t="s">
        <v>61</v>
      </c>
      <c r="AE490" s="61" t="s">
        <v>86</v>
      </c>
      <c r="AF490" s="17"/>
      <c r="AG490" s="15"/>
      <c r="AH490" s="16"/>
      <c r="AI490" s="16"/>
      <c r="AJ490" s="42">
        <f t="shared" ca="1" si="58"/>
        <v>673</v>
      </c>
      <c r="AK490" s="42">
        <f t="shared" ca="1" si="59"/>
        <v>673</v>
      </c>
      <c r="AL490" s="130" t="str">
        <f t="shared" si="60"/>
        <v>In touch - Negative</v>
      </c>
      <c r="AM490" s="37">
        <v>44991</v>
      </c>
      <c r="AN490" s="38">
        <v>45002</v>
      </c>
      <c r="AO490" s="38">
        <v>45002</v>
      </c>
      <c r="AP490" s="38"/>
      <c r="AQ490" s="38"/>
      <c r="AR490" s="101" t="s">
        <v>1963</v>
      </c>
      <c r="AS490" s="38">
        <v>44991</v>
      </c>
      <c r="AT490" s="11" t="s">
        <v>7</v>
      </c>
    </row>
    <row r="491" spans="1:46" s="98" customFormat="1" x14ac:dyDescent="0.3">
      <c r="A491" s="97"/>
      <c r="B491" s="16" cm="1">
        <f t="array" ref="B491">+_xlfn.IFS(D491="In Touch - Positive",2,D491="Pending",1,D491="No Answer",4,D491="In Touch - Negative",3)</f>
        <v>3</v>
      </c>
      <c r="C491" s="16" t="s">
        <v>78</v>
      </c>
      <c r="D491" s="99" t="str">
        <f t="shared" si="61"/>
        <v>In touch - Negative</v>
      </c>
      <c r="E491" s="12" t="s">
        <v>2023</v>
      </c>
      <c r="F491" s="12"/>
      <c r="G491" s="13" t="s">
        <v>259</v>
      </c>
      <c r="H491" s="14"/>
      <c r="I491" s="13"/>
      <c r="J491" s="100" t="s">
        <v>111</v>
      </c>
      <c r="K491" s="15" t="s">
        <v>2024</v>
      </c>
      <c r="L491" s="15" t="s">
        <v>2025</v>
      </c>
      <c r="M491" s="15"/>
      <c r="N491" s="15"/>
      <c r="O491" s="15"/>
      <c r="P491" s="15"/>
      <c r="Q491" s="15"/>
      <c r="R491" s="16"/>
      <c r="S491" s="35"/>
      <c r="T491" s="13"/>
      <c r="U491" s="17"/>
      <c r="V491" s="17"/>
      <c r="W491" s="60"/>
      <c r="X491" s="17"/>
      <c r="Y491" s="17"/>
      <c r="Z491" s="16"/>
      <c r="AA491" s="15" t="s">
        <v>60</v>
      </c>
      <c r="AB491" s="17"/>
      <c r="AC491" s="21" t="s">
        <v>78</v>
      </c>
      <c r="AD491" s="21" t="s">
        <v>78</v>
      </c>
      <c r="AE491" s="61"/>
      <c r="AF491" s="17"/>
      <c r="AG491" s="15"/>
      <c r="AH491" s="16"/>
      <c r="AI491" s="16"/>
      <c r="AJ491" s="42">
        <f t="shared" ca="1" si="58"/>
        <v>683</v>
      </c>
      <c r="AK491" s="42">
        <f t="shared" ca="1" si="59"/>
        <v>683</v>
      </c>
      <c r="AL491" s="130" t="str">
        <f t="shared" si="60"/>
        <v>In touch - Negative</v>
      </c>
      <c r="AM491" s="37">
        <v>44981</v>
      </c>
      <c r="AN491" s="38">
        <v>45005</v>
      </c>
      <c r="AO491" s="38">
        <v>45027</v>
      </c>
      <c r="AP491" s="38"/>
      <c r="AQ491" s="38"/>
      <c r="AR491" s="101" t="s">
        <v>1963</v>
      </c>
      <c r="AS491" s="38">
        <v>44981</v>
      </c>
      <c r="AT491" s="11" t="s">
        <v>7</v>
      </c>
    </row>
    <row r="492" spans="1:46" s="98" customFormat="1" x14ac:dyDescent="0.3">
      <c r="B492" s="16" cm="1">
        <f t="array" ref="B492">+_xlfn.IFS(D492="In Touch - Positive",2,D492="Pending",1,D492="No Answer",4,D492="In Touch - Negative",3)</f>
        <v>3</v>
      </c>
      <c r="C492" s="16" t="s">
        <v>1897</v>
      </c>
      <c r="D492" s="99" t="str">
        <f t="shared" si="61"/>
        <v>In touch - Negative</v>
      </c>
      <c r="E492" s="12" t="s">
        <v>958</v>
      </c>
      <c r="F492" s="12"/>
      <c r="G492" s="13" t="s">
        <v>278</v>
      </c>
      <c r="H492" s="14"/>
      <c r="I492" s="13"/>
      <c r="J492" s="100"/>
      <c r="K492" s="15"/>
      <c r="L492" s="15" t="s">
        <v>959</v>
      </c>
      <c r="M492" s="15"/>
      <c r="N492" s="15"/>
      <c r="O492" s="15"/>
      <c r="P492" s="15"/>
      <c r="Q492" s="15"/>
      <c r="R492" s="16"/>
      <c r="S492" s="35"/>
      <c r="T492" s="13"/>
      <c r="U492" s="17"/>
      <c r="V492" s="17"/>
      <c r="W492" s="60" t="e">
        <f>V492/U492</f>
        <v>#DIV/0!</v>
      </c>
      <c r="X492" s="17"/>
      <c r="Y492" s="17"/>
      <c r="Z492" s="16"/>
      <c r="AA492" s="15" t="s">
        <v>140</v>
      </c>
      <c r="AB492" s="17"/>
      <c r="AC492" s="21" t="s">
        <v>78</v>
      </c>
      <c r="AD492" s="21" t="s">
        <v>78</v>
      </c>
      <c r="AE492" s="61" t="s">
        <v>79</v>
      </c>
      <c r="AF492" s="17"/>
      <c r="AG492" s="15"/>
      <c r="AH492" s="16"/>
      <c r="AI492" s="16"/>
      <c r="AJ492" s="42">
        <f t="shared" ca="1" si="58"/>
        <v>697</v>
      </c>
      <c r="AK492" s="42">
        <f t="shared" ca="1" si="59"/>
        <v>694</v>
      </c>
      <c r="AL492" s="130" t="str">
        <f t="shared" si="60"/>
        <v>In touch - Negative</v>
      </c>
      <c r="AM492" s="37">
        <v>44967</v>
      </c>
      <c r="AN492" s="38">
        <v>44936</v>
      </c>
      <c r="AO492" s="38"/>
      <c r="AP492" s="38"/>
      <c r="AQ492" s="38">
        <v>44970</v>
      </c>
      <c r="AR492" s="101" t="s">
        <v>1963</v>
      </c>
      <c r="AS492" s="38">
        <v>44970</v>
      </c>
      <c r="AT492" s="11" t="s">
        <v>7</v>
      </c>
    </row>
    <row r="493" spans="1:46" s="98" customFormat="1" x14ac:dyDescent="0.3">
      <c r="A493" s="97"/>
      <c r="B493" s="16" cm="1">
        <f t="array" ref="B493">+_xlfn.IFS(D493="In Touch - Positive",2,D493="Pending",1,D493="No Answer",4,D493="In Touch - Negative",3)</f>
        <v>3</v>
      </c>
      <c r="C493" s="16" t="s">
        <v>1897</v>
      </c>
      <c r="D493" s="99" t="str">
        <f t="shared" si="61"/>
        <v>In touch - Negative</v>
      </c>
      <c r="E493" s="12" t="s">
        <v>2026</v>
      </c>
      <c r="F493" s="12"/>
      <c r="G493" s="13" t="s">
        <v>2027</v>
      </c>
      <c r="H493" s="14"/>
      <c r="I493" s="13"/>
      <c r="J493" s="100"/>
      <c r="K493" s="15"/>
      <c r="L493" s="15" t="s">
        <v>2028</v>
      </c>
      <c r="M493" s="15"/>
      <c r="N493" s="15"/>
      <c r="O493" s="15"/>
      <c r="P493" s="15"/>
      <c r="Q493" s="15"/>
      <c r="R493" s="16"/>
      <c r="S493" s="35"/>
      <c r="T493" s="13"/>
      <c r="U493" s="17"/>
      <c r="V493" s="17"/>
      <c r="W493" s="60" t="e">
        <f>V493/U493</f>
        <v>#DIV/0!</v>
      </c>
      <c r="X493" s="17"/>
      <c r="Y493" s="17"/>
      <c r="Z493" s="16"/>
      <c r="AA493" s="15" t="s">
        <v>140</v>
      </c>
      <c r="AB493" s="17"/>
      <c r="AC493" s="21" t="s">
        <v>78</v>
      </c>
      <c r="AD493" s="21" t="s">
        <v>78</v>
      </c>
      <c r="AE493" s="61" t="s">
        <v>79</v>
      </c>
      <c r="AF493" s="17"/>
      <c r="AG493" s="15"/>
      <c r="AH493" s="16"/>
      <c r="AI493" s="16"/>
      <c r="AJ493" s="42">
        <f t="shared" ca="1" si="58"/>
        <v>697</v>
      </c>
      <c r="AK493" s="42">
        <f t="shared" ca="1" si="59"/>
        <v>697</v>
      </c>
      <c r="AL493" s="130" t="str">
        <f t="shared" si="60"/>
        <v>In touch - Negative</v>
      </c>
      <c r="AM493" s="37">
        <v>44967</v>
      </c>
      <c r="AN493" s="38">
        <v>44936</v>
      </c>
      <c r="AO493" s="38"/>
      <c r="AP493" s="38"/>
      <c r="AQ493" s="38"/>
      <c r="AR493" s="101" t="s">
        <v>1963</v>
      </c>
      <c r="AS493" s="38">
        <v>44967</v>
      </c>
      <c r="AT493" s="11" t="s">
        <v>7</v>
      </c>
    </row>
    <row r="494" spans="1:46" s="98" customFormat="1" ht="12" customHeight="1" x14ac:dyDescent="0.3">
      <c r="B494" s="16" cm="1">
        <f t="array" ref="B494">+_xlfn.IFS(D494="In Touch - Positive",2,D494="Pending",1,D494="No Answer",4,D494="In Touch - Negative",3)</f>
        <v>3</v>
      </c>
      <c r="C494" s="16" t="s">
        <v>612</v>
      </c>
      <c r="D494" s="99" t="str">
        <f t="shared" si="61"/>
        <v>In touch - Negative</v>
      </c>
      <c r="E494" s="12" t="s">
        <v>2029</v>
      </c>
      <c r="F494" s="12"/>
      <c r="G494" s="13" t="s">
        <v>2030</v>
      </c>
      <c r="H494" s="13"/>
      <c r="I494" s="13"/>
      <c r="J494" s="13"/>
      <c r="K494" s="15"/>
      <c r="L494" s="15" t="s">
        <v>2031</v>
      </c>
      <c r="M494" s="15"/>
      <c r="N494" s="15"/>
      <c r="O494" s="15"/>
      <c r="P494" s="15"/>
      <c r="Q494" s="15"/>
      <c r="R494" s="16"/>
      <c r="S494" s="35"/>
      <c r="T494" s="13"/>
      <c r="U494" s="17"/>
      <c r="V494" s="17"/>
      <c r="W494" s="60" t="e">
        <f t="shared" ref="W494:W499" si="63">+V494/U494</f>
        <v>#DIV/0!</v>
      </c>
      <c r="X494" s="17"/>
      <c r="Y494" s="17"/>
      <c r="Z494" s="16"/>
      <c r="AA494" s="15" t="s">
        <v>140</v>
      </c>
      <c r="AB494" s="17"/>
      <c r="AC494" s="21" t="s">
        <v>61</v>
      </c>
      <c r="AD494" s="21" t="s">
        <v>61</v>
      </c>
      <c r="AE494" s="17" t="s">
        <v>79</v>
      </c>
      <c r="AF494" s="17"/>
      <c r="AG494" s="15"/>
      <c r="AH494" s="16"/>
      <c r="AI494" s="16"/>
      <c r="AJ494" s="42">
        <f t="shared" ca="1" si="58"/>
        <v>733</v>
      </c>
      <c r="AK494" s="42">
        <f t="shared" ca="1" si="59"/>
        <v>733</v>
      </c>
      <c r="AL494" s="130" t="str">
        <f t="shared" si="60"/>
        <v>In touch - Negative</v>
      </c>
      <c r="AM494" s="37">
        <v>44931</v>
      </c>
      <c r="AN494" s="38">
        <v>44931</v>
      </c>
      <c r="AO494" s="38"/>
      <c r="AP494" s="38"/>
      <c r="AQ494" s="38"/>
      <c r="AR494" s="101" t="s">
        <v>1963</v>
      </c>
      <c r="AS494" s="38">
        <v>44931</v>
      </c>
      <c r="AT494" s="11" t="s">
        <v>7</v>
      </c>
    </row>
    <row r="495" spans="1:46" s="271" customFormat="1" x14ac:dyDescent="0.35">
      <c r="A495" s="600"/>
      <c r="B495" s="16" cm="1">
        <f t="array" ref="B495">+_xlfn.IFS(D495="In Touch - Positive",2,D495="Pending",1,D495="No Answer",4,D495="In Touch - Negative",3)</f>
        <v>3</v>
      </c>
      <c r="C495" s="16" t="s">
        <v>612</v>
      </c>
      <c r="D495" s="99" t="str">
        <f t="shared" si="61"/>
        <v>In touch - Negative</v>
      </c>
      <c r="E495" s="12" t="s">
        <v>2032</v>
      </c>
      <c r="F495" s="12"/>
      <c r="G495" s="13" t="s">
        <v>2033</v>
      </c>
      <c r="H495" s="13"/>
      <c r="I495" s="13"/>
      <c r="J495" s="13"/>
      <c r="K495" s="15"/>
      <c r="L495" s="15" t="s">
        <v>2034</v>
      </c>
      <c r="M495" s="15"/>
      <c r="N495" s="15"/>
      <c r="O495" s="15"/>
      <c r="P495" s="15"/>
      <c r="Q495" s="15"/>
      <c r="R495" s="16"/>
      <c r="S495" s="35"/>
      <c r="T495" s="13"/>
      <c r="U495" s="17"/>
      <c r="V495" s="17"/>
      <c r="W495" s="60" t="e">
        <f t="shared" si="63"/>
        <v>#DIV/0!</v>
      </c>
      <c r="X495" s="17"/>
      <c r="Y495" s="17"/>
      <c r="Z495" s="16"/>
      <c r="AA495" s="15" t="s">
        <v>140</v>
      </c>
      <c r="AB495" s="17"/>
      <c r="AC495" s="21" t="s">
        <v>61</v>
      </c>
      <c r="AD495" s="21" t="s">
        <v>61</v>
      </c>
      <c r="AE495" s="17" t="s">
        <v>79</v>
      </c>
      <c r="AF495" s="17"/>
      <c r="AG495" s="15"/>
      <c r="AH495" s="16"/>
      <c r="AI495" s="16"/>
      <c r="AJ495" s="42">
        <f t="shared" ca="1" si="58"/>
        <v>733</v>
      </c>
      <c r="AK495" s="42">
        <f t="shared" ca="1" si="59"/>
        <v>733</v>
      </c>
      <c r="AL495" s="130" t="str">
        <f t="shared" si="60"/>
        <v>In touch - Negative</v>
      </c>
      <c r="AM495" s="37">
        <v>44931</v>
      </c>
      <c r="AN495" s="38">
        <v>44931</v>
      </c>
      <c r="AO495" s="38"/>
      <c r="AP495" s="38"/>
      <c r="AQ495" s="38"/>
      <c r="AR495" s="101" t="s">
        <v>1963</v>
      </c>
      <c r="AS495" s="38">
        <v>44931</v>
      </c>
      <c r="AT495" s="617"/>
    </row>
    <row r="496" spans="1:46" s="98" customFormat="1" x14ac:dyDescent="0.3">
      <c r="A496" s="16"/>
      <c r="B496" s="16" cm="1">
        <f t="array" ref="B496">+_xlfn.IFS(D496="In Touch - Positive",2,D496="Pending",1,D496="No Answer",4,D496="In Touch - Negative",3)</f>
        <v>3</v>
      </c>
      <c r="C496" s="16" t="s">
        <v>612</v>
      </c>
      <c r="D496" s="99" t="str">
        <f t="shared" si="61"/>
        <v>In touch - Negative</v>
      </c>
      <c r="E496" s="12" t="s">
        <v>2035</v>
      </c>
      <c r="F496" s="12"/>
      <c r="G496" s="13" t="s">
        <v>1911</v>
      </c>
      <c r="H496" s="13"/>
      <c r="I496" s="13"/>
      <c r="J496" s="13"/>
      <c r="K496" s="15"/>
      <c r="L496" s="15" t="s">
        <v>2036</v>
      </c>
      <c r="M496" s="15"/>
      <c r="N496" s="15"/>
      <c r="O496" s="15"/>
      <c r="P496" s="15"/>
      <c r="Q496" s="15"/>
      <c r="R496" s="16"/>
      <c r="S496" s="35"/>
      <c r="T496" s="13"/>
      <c r="U496" s="17"/>
      <c r="V496" s="17"/>
      <c r="W496" s="60" t="e">
        <f t="shared" si="63"/>
        <v>#DIV/0!</v>
      </c>
      <c r="X496" s="17"/>
      <c r="Y496" s="17"/>
      <c r="Z496" s="16"/>
      <c r="AA496" s="15" t="s">
        <v>140</v>
      </c>
      <c r="AB496" s="17"/>
      <c r="AC496" s="21" t="s">
        <v>61</v>
      </c>
      <c r="AD496" s="21" t="s">
        <v>61</v>
      </c>
      <c r="AE496" s="17" t="s">
        <v>79</v>
      </c>
      <c r="AF496" s="17"/>
      <c r="AG496" s="15"/>
      <c r="AH496" s="16"/>
      <c r="AI496" s="16"/>
      <c r="AJ496" s="42">
        <f t="shared" ca="1" si="58"/>
        <v>734</v>
      </c>
      <c r="AK496" s="42">
        <f t="shared" ca="1" si="59"/>
        <v>734</v>
      </c>
      <c r="AL496" s="130" t="str">
        <f t="shared" si="60"/>
        <v>In touch - Negative</v>
      </c>
      <c r="AM496" s="37">
        <v>44930</v>
      </c>
      <c r="AN496" s="38">
        <v>44930</v>
      </c>
      <c r="AO496" s="38"/>
      <c r="AP496" s="38"/>
      <c r="AQ496" s="38"/>
      <c r="AR496" s="101" t="s">
        <v>1963</v>
      </c>
      <c r="AS496" s="38">
        <v>44930</v>
      </c>
      <c r="AT496" s="11" t="s">
        <v>7</v>
      </c>
    </row>
    <row r="497" spans="1:46" s="271" customFormat="1" x14ac:dyDescent="0.35">
      <c r="A497" s="600"/>
      <c r="B497" s="16" cm="1">
        <f t="array" ref="B497">+_xlfn.IFS(D497="In Touch - Positive",2,D497="Pending",1,D497="No Answer",4,D497="In Touch - Negative",3)</f>
        <v>3</v>
      </c>
      <c r="C497" s="16" t="s">
        <v>612</v>
      </c>
      <c r="D497" s="99" t="str">
        <f t="shared" si="61"/>
        <v>In touch - Negative</v>
      </c>
      <c r="E497" s="12" t="s">
        <v>2037</v>
      </c>
      <c r="F497" s="12"/>
      <c r="G497" s="13" t="s">
        <v>1911</v>
      </c>
      <c r="H497" s="13"/>
      <c r="I497" s="13"/>
      <c r="J497" s="13"/>
      <c r="K497" s="15"/>
      <c r="L497" s="15" t="s">
        <v>2038</v>
      </c>
      <c r="M497" s="15"/>
      <c r="N497" s="15"/>
      <c r="O497" s="15"/>
      <c r="P497" s="15"/>
      <c r="Q497" s="15"/>
      <c r="R497" s="16"/>
      <c r="S497" s="35"/>
      <c r="T497" s="13"/>
      <c r="U497" s="17"/>
      <c r="V497" s="17"/>
      <c r="W497" s="60" t="e">
        <f t="shared" si="63"/>
        <v>#DIV/0!</v>
      </c>
      <c r="X497" s="17"/>
      <c r="Y497" s="17"/>
      <c r="Z497" s="16"/>
      <c r="AA497" s="15" t="s">
        <v>140</v>
      </c>
      <c r="AB497" s="17"/>
      <c r="AC497" s="21" t="s">
        <v>61</v>
      </c>
      <c r="AD497" s="21" t="s">
        <v>61</v>
      </c>
      <c r="AE497" s="17" t="s">
        <v>79</v>
      </c>
      <c r="AF497" s="17"/>
      <c r="AG497" s="15"/>
      <c r="AH497" s="16"/>
      <c r="AI497" s="16"/>
      <c r="AJ497" s="42">
        <f t="shared" ca="1" si="58"/>
        <v>734</v>
      </c>
      <c r="AK497" s="42">
        <f t="shared" ca="1" si="59"/>
        <v>734</v>
      </c>
      <c r="AL497" s="130" t="str">
        <f t="shared" si="60"/>
        <v>In touch - Negative</v>
      </c>
      <c r="AM497" s="37">
        <v>44930</v>
      </c>
      <c r="AN497" s="38">
        <v>44930</v>
      </c>
      <c r="AO497" s="38"/>
      <c r="AP497" s="38"/>
      <c r="AQ497" s="38"/>
      <c r="AR497" s="101" t="s">
        <v>1963</v>
      </c>
      <c r="AS497" s="38">
        <v>44930</v>
      </c>
      <c r="AT497" s="617"/>
    </row>
    <row r="498" spans="1:46" s="271" customFormat="1" x14ac:dyDescent="0.35">
      <c r="A498" s="600"/>
      <c r="B498" s="16" cm="1">
        <f t="array" ref="B498">+_xlfn.IFS(D498="In Touch - Positive",2,D498="Pending",1,D498="No Answer",4,D498="In Touch - Negative",3)</f>
        <v>3</v>
      </c>
      <c r="C498" s="16" t="s">
        <v>612</v>
      </c>
      <c r="D498" s="99" t="str">
        <f t="shared" si="61"/>
        <v>In touch - Negative</v>
      </c>
      <c r="E498" s="12" t="s">
        <v>2039</v>
      </c>
      <c r="F498" s="12"/>
      <c r="G498" s="13" t="s">
        <v>1911</v>
      </c>
      <c r="H498" s="13"/>
      <c r="I498" s="13"/>
      <c r="J498" s="13"/>
      <c r="K498" s="15"/>
      <c r="L498" s="15" t="s">
        <v>2040</v>
      </c>
      <c r="M498" s="15"/>
      <c r="N498" s="15"/>
      <c r="O498" s="15"/>
      <c r="P498" s="15"/>
      <c r="Q498" s="15"/>
      <c r="R498" s="16"/>
      <c r="S498" s="35"/>
      <c r="T498" s="13"/>
      <c r="U498" s="17"/>
      <c r="V498" s="17"/>
      <c r="W498" s="60" t="e">
        <f t="shared" si="63"/>
        <v>#DIV/0!</v>
      </c>
      <c r="X498" s="17"/>
      <c r="Y498" s="17"/>
      <c r="Z498" s="16"/>
      <c r="AA498" s="15" t="s">
        <v>140</v>
      </c>
      <c r="AB498" s="17"/>
      <c r="AC498" s="21" t="s">
        <v>61</v>
      </c>
      <c r="AD498" s="21" t="s">
        <v>61</v>
      </c>
      <c r="AE498" s="17" t="s">
        <v>79</v>
      </c>
      <c r="AF498" s="17"/>
      <c r="AG498" s="15"/>
      <c r="AH498" s="16"/>
      <c r="AI498" s="16"/>
      <c r="AJ498" s="42">
        <f t="shared" ca="1" si="58"/>
        <v>734</v>
      </c>
      <c r="AK498" s="42">
        <f t="shared" ca="1" si="59"/>
        <v>734</v>
      </c>
      <c r="AL498" s="130" t="str">
        <f t="shared" si="60"/>
        <v>In touch - Negative</v>
      </c>
      <c r="AM498" s="37">
        <v>44930</v>
      </c>
      <c r="AN498" s="38">
        <v>44930</v>
      </c>
      <c r="AO498" s="38"/>
      <c r="AP498" s="38"/>
      <c r="AQ498" s="38"/>
      <c r="AR498" s="101" t="s">
        <v>1963</v>
      </c>
      <c r="AS498" s="38">
        <v>44930</v>
      </c>
      <c r="AT498" s="617"/>
    </row>
    <row r="499" spans="1:46" s="271" customFormat="1" x14ac:dyDescent="0.35">
      <c r="A499" s="600"/>
      <c r="B499" s="16" cm="1">
        <f t="array" ref="B499">+_xlfn.IFS(D499="In Touch - Positive",2,D499="Pending",1,D499="No Answer",4,D499="In Touch - Negative",3)</f>
        <v>3</v>
      </c>
      <c r="C499" s="16" t="s">
        <v>1918</v>
      </c>
      <c r="D499" s="99" t="str">
        <f t="shared" si="61"/>
        <v>In touch - Negative</v>
      </c>
      <c r="E499" s="12" t="s">
        <v>1042</v>
      </c>
      <c r="F499" s="12"/>
      <c r="G499" s="13"/>
      <c r="H499" s="14"/>
      <c r="I499" s="13"/>
      <c r="J499" s="13"/>
      <c r="K499" s="15"/>
      <c r="L499" s="15" t="s">
        <v>1043</v>
      </c>
      <c r="M499" s="15"/>
      <c r="N499" s="15"/>
      <c r="O499" s="15"/>
      <c r="P499" s="15"/>
      <c r="Q499" s="15"/>
      <c r="R499" s="16"/>
      <c r="S499" s="35"/>
      <c r="T499" s="13"/>
      <c r="U499" s="17"/>
      <c r="V499" s="17"/>
      <c r="W499" s="60" t="e">
        <f t="shared" si="63"/>
        <v>#DIV/0!</v>
      </c>
      <c r="X499" s="17"/>
      <c r="Y499" s="17"/>
      <c r="Z499" s="16"/>
      <c r="AA499" s="15" t="s">
        <v>140</v>
      </c>
      <c r="AB499" s="17"/>
      <c r="AC499" s="21" t="s">
        <v>78</v>
      </c>
      <c r="AD499" s="21" t="s">
        <v>78</v>
      </c>
      <c r="AE499" s="61" t="s">
        <v>62</v>
      </c>
      <c r="AF499" s="17"/>
      <c r="AG499" s="15"/>
      <c r="AH499" s="16"/>
      <c r="AI499" s="16"/>
      <c r="AJ499" s="42">
        <f t="shared" ca="1" si="58"/>
        <v>803</v>
      </c>
      <c r="AK499" s="42">
        <f t="shared" ca="1" si="59"/>
        <v>799</v>
      </c>
      <c r="AL499" s="130" t="str">
        <f t="shared" si="60"/>
        <v>In touch - Negative</v>
      </c>
      <c r="AM499" s="37">
        <v>44861</v>
      </c>
      <c r="AN499" s="38">
        <v>44861</v>
      </c>
      <c r="AO499" s="38"/>
      <c r="AP499" s="38"/>
      <c r="AQ499" s="38">
        <v>44861</v>
      </c>
      <c r="AR499" s="101" t="s">
        <v>1963</v>
      </c>
      <c r="AS499" s="38">
        <v>44865</v>
      </c>
      <c r="AT499" s="617"/>
    </row>
    <row r="500" spans="1:46" s="271" customFormat="1" x14ac:dyDescent="0.35">
      <c r="A500" s="97"/>
      <c r="B500" s="16" cm="1">
        <f t="array" ref="B500">+_xlfn.IFS(D500="In Touch - Positive",2,D500="Pending",1,D500="No Answer",4,D500="In Touch - Negative",3)</f>
        <v>3</v>
      </c>
      <c r="C500" s="16" t="s">
        <v>1918</v>
      </c>
      <c r="D500" s="99" t="str">
        <f t="shared" si="61"/>
        <v>In touch - Negative</v>
      </c>
      <c r="E500" s="12" t="s">
        <v>2041</v>
      </c>
      <c r="F500" s="12"/>
      <c r="G500" s="13"/>
      <c r="H500" s="14"/>
      <c r="I500" s="13"/>
      <c r="J500" s="13"/>
      <c r="K500" s="15"/>
      <c r="L500" s="15" t="s">
        <v>2042</v>
      </c>
      <c r="M500" s="15"/>
      <c r="N500" s="15"/>
      <c r="O500" s="15"/>
      <c r="P500" s="15"/>
      <c r="Q500" s="15"/>
      <c r="R500" s="16"/>
      <c r="S500" s="35"/>
      <c r="T500" s="13"/>
      <c r="U500" s="17"/>
      <c r="V500" s="17"/>
      <c r="W500" s="60"/>
      <c r="X500" s="17"/>
      <c r="Y500" s="17"/>
      <c r="Z500" s="16"/>
      <c r="AA500" s="15" t="s">
        <v>140</v>
      </c>
      <c r="AB500" s="17"/>
      <c r="AC500" s="21" t="s">
        <v>78</v>
      </c>
      <c r="AD500" s="21" t="s">
        <v>78</v>
      </c>
      <c r="AE500" s="61" t="s">
        <v>62</v>
      </c>
      <c r="AF500" s="17"/>
      <c r="AG500" s="15"/>
      <c r="AH500" s="16"/>
      <c r="AI500" s="16"/>
      <c r="AJ500" s="42">
        <f t="shared" ca="1" si="58"/>
        <v>803</v>
      </c>
      <c r="AK500" s="42">
        <f t="shared" ca="1" si="59"/>
        <v>803</v>
      </c>
      <c r="AL500" s="130" t="str">
        <f t="shared" si="60"/>
        <v>In touch - Negative</v>
      </c>
      <c r="AM500" s="37">
        <v>44861</v>
      </c>
      <c r="AN500" s="38">
        <v>44861</v>
      </c>
      <c r="AO500" s="38"/>
      <c r="AP500" s="38"/>
      <c r="AQ500" s="38">
        <v>44861</v>
      </c>
      <c r="AR500" s="101" t="s">
        <v>1963</v>
      </c>
      <c r="AS500" s="38">
        <v>44861</v>
      </c>
      <c r="AT500" s="11"/>
    </row>
    <row r="501" spans="1:46" s="98" customFormat="1" ht="12" customHeight="1" x14ac:dyDescent="0.3">
      <c r="A501" s="97"/>
      <c r="B501" s="16" cm="1">
        <f t="array" ref="B501">+_xlfn.IFS(D501="In Touch - Positive",2,D501="Pending",1,D501="No Answer",4,D501="In Touch - Negative",3)</f>
        <v>3</v>
      </c>
      <c r="C501" s="16" t="s">
        <v>1918</v>
      </c>
      <c r="D501" s="99" t="str">
        <f t="shared" si="61"/>
        <v>In touch - Negative</v>
      </c>
      <c r="E501" s="12" t="s">
        <v>2043</v>
      </c>
      <c r="F501" s="12"/>
      <c r="G501" s="13"/>
      <c r="H501" s="14"/>
      <c r="I501" s="13"/>
      <c r="J501" s="13"/>
      <c r="K501" s="15"/>
      <c r="L501" s="15" t="s">
        <v>2044</v>
      </c>
      <c r="M501" s="15"/>
      <c r="N501" s="15"/>
      <c r="O501" s="15"/>
      <c r="P501" s="15"/>
      <c r="Q501" s="15"/>
      <c r="R501" s="16"/>
      <c r="S501" s="35"/>
      <c r="T501" s="13"/>
      <c r="U501" s="17"/>
      <c r="V501" s="17"/>
      <c r="W501" s="60"/>
      <c r="X501" s="17"/>
      <c r="Y501" s="17"/>
      <c r="Z501" s="16"/>
      <c r="AA501" s="15" t="s">
        <v>140</v>
      </c>
      <c r="AB501" s="17"/>
      <c r="AC501" s="21" t="s">
        <v>78</v>
      </c>
      <c r="AD501" s="21" t="s">
        <v>78</v>
      </c>
      <c r="AE501" s="61" t="s">
        <v>62</v>
      </c>
      <c r="AF501" s="17"/>
      <c r="AG501" s="15"/>
      <c r="AH501" s="16"/>
      <c r="AI501" s="16"/>
      <c r="AJ501" s="42">
        <f t="shared" ca="1" si="58"/>
        <v>803</v>
      </c>
      <c r="AK501" s="42">
        <f t="shared" ca="1" si="59"/>
        <v>803</v>
      </c>
      <c r="AL501" s="130" t="str">
        <f t="shared" si="60"/>
        <v>In touch - Negative</v>
      </c>
      <c r="AM501" s="37">
        <v>44861</v>
      </c>
      <c r="AN501" s="38">
        <v>44861</v>
      </c>
      <c r="AO501" s="38"/>
      <c r="AP501" s="38"/>
      <c r="AQ501" s="38">
        <v>44861</v>
      </c>
      <c r="AR501" s="101" t="s">
        <v>1963</v>
      </c>
      <c r="AS501" s="38">
        <v>44861</v>
      </c>
      <c r="AT501" s="11" t="s">
        <v>7</v>
      </c>
    </row>
    <row r="502" spans="1:46" s="98" customFormat="1" ht="12" customHeight="1" x14ac:dyDescent="0.3">
      <c r="A502" s="97"/>
      <c r="B502" s="16" cm="1">
        <f t="array" ref="B502">+_xlfn.IFS(D502="In Touch - Positive",2,D502="Pending",1,D502="No Answer",4,D502="In Touch - Negative",3)</f>
        <v>3</v>
      </c>
      <c r="C502" s="16" t="s">
        <v>2045</v>
      </c>
      <c r="D502" s="99" t="str">
        <f t="shared" si="61"/>
        <v>In touch - Negative</v>
      </c>
      <c r="E502" s="12" t="s">
        <v>2046</v>
      </c>
      <c r="F502" s="12"/>
      <c r="G502" s="13" t="s">
        <v>508</v>
      </c>
      <c r="H502" s="14" t="s">
        <v>568</v>
      </c>
      <c r="I502" s="13"/>
      <c r="J502" s="13" t="s">
        <v>569</v>
      </c>
      <c r="K502" s="15" t="s">
        <v>570</v>
      </c>
      <c r="L502" s="15"/>
      <c r="M502" s="15"/>
      <c r="N502" s="15"/>
      <c r="O502" s="15"/>
      <c r="P502" s="15"/>
      <c r="Q502" s="15"/>
      <c r="R502" s="16"/>
      <c r="S502" s="35" t="s">
        <v>77</v>
      </c>
      <c r="T502" s="13">
        <v>2021</v>
      </c>
      <c r="U502" s="17">
        <v>43.94</v>
      </c>
      <c r="V502" s="17">
        <v>17.004999999999999</v>
      </c>
      <c r="W502" s="60">
        <f t="shared" ref="W502:W507" si="64">+V502/U502</f>
        <v>0.38700500682749206</v>
      </c>
      <c r="X502" s="17">
        <v>12.451000000000001</v>
      </c>
      <c r="Y502" s="17">
        <v>-22.353000000000002</v>
      </c>
      <c r="Z502" s="16"/>
      <c r="AA502" s="15" t="s">
        <v>140</v>
      </c>
      <c r="AB502" s="17"/>
      <c r="AC502" s="21" t="s">
        <v>78</v>
      </c>
      <c r="AD502" s="21" t="s">
        <v>78</v>
      </c>
      <c r="AE502" s="61" t="s">
        <v>128</v>
      </c>
      <c r="AF502" s="17"/>
      <c r="AG502" s="15"/>
      <c r="AH502" s="16"/>
      <c r="AI502" s="16"/>
      <c r="AJ502" s="42">
        <f t="shared" ca="1" si="58"/>
        <v>841</v>
      </c>
      <c r="AK502" s="42">
        <f t="shared" ca="1" si="59"/>
        <v>818</v>
      </c>
      <c r="AL502" s="130" t="str">
        <f t="shared" si="60"/>
        <v>In touch - Negative</v>
      </c>
      <c r="AM502" s="37">
        <v>44823</v>
      </c>
      <c r="AN502" s="38">
        <v>44845</v>
      </c>
      <c r="AO502" s="38"/>
      <c r="AP502" s="38"/>
      <c r="AQ502" s="38">
        <v>44846</v>
      </c>
      <c r="AR502" s="101" t="s">
        <v>1963</v>
      </c>
      <c r="AS502" s="38">
        <v>44846</v>
      </c>
      <c r="AT502" s="11" t="s">
        <v>7</v>
      </c>
    </row>
    <row r="503" spans="1:46" s="98" customFormat="1" ht="12" customHeight="1" x14ac:dyDescent="0.3">
      <c r="B503" s="16" cm="1">
        <f t="array" ref="B503">+_xlfn.IFS(D503="In Touch - Positive",2,D503="Pending",1,D503="No Answer",4,D503="In Touch - Negative",3)</f>
        <v>3</v>
      </c>
      <c r="C503" s="16" t="s">
        <v>1049</v>
      </c>
      <c r="D503" s="99" t="str">
        <f t="shared" si="61"/>
        <v>In touch - Negative</v>
      </c>
      <c r="E503" s="12" t="s">
        <v>2047</v>
      </c>
      <c r="F503" s="12"/>
      <c r="G503" s="13" t="s">
        <v>1446</v>
      </c>
      <c r="H503" s="14" t="s">
        <v>2048</v>
      </c>
      <c r="I503" s="13"/>
      <c r="J503" s="13" t="s">
        <v>1049</v>
      </c>
      <c r="K503" s="15" t="s">
        <v>2049</v>
      </c>
      <c r="L503" s="15"/>
      <c r="M503" s="15"/>
      <c r="N503" s="15"/>
      <c r="O503" s="15"/>
      <c r="P503" s="15"/>
      <c r="Q503" s="15"/>
      <c r="R503" s="16"/>
      <c r="S503" s="35" t="s">
        <v>77</v>
      </c>
      <c r="T503" s="13">
        <v>2021</v>
      </c>
      <c r="U503" s="17">
        <v>8.4979999999999993</v>
      </c>
      <c r="V503" s="17">
        <v>3.056</v>
      </c>
      <c r="W503" s="60">
        <f t="shared" si="64"/>
        <v>0.35961402682984234</v>
      </c>
      <c r="X503" s="17">
        <v>2.0419999999999998</v>
      </c>
      <c r="Y503" s="17" t="s">
        <v>236</v>
      </c>
      <c r="Z503" s="16"/>
      <c r="AA503" s="15" t="s">
        <v>140</v>
      </c>
      <c r="AB503" s="17"/>
      <c r="AC503" s="21" t="s">
        <v>61</v>
      </c>
      <c r="AD503" s="21" t="s">
        <v>61</v>
      </c>
      <c r="AE503" s="61" t="s">
        <v>86</v>
      </c>
      <c r="AF503" s="17"/>
      <c r="AG503" s="15"/>
      <c r="AH503" s="16"/>
      <c r="AI503" s="16"/>
      <c r="AJ503" s="42">
        <f t="shared" ca="1" si="58"/>
        <v>834</v>
      </c>
      <c r="AK503" s="42">
        <f t="shared" ca="1" si="59"/>
        <v>834</v>
      </c>
      <c r="AL503" s="130" t="str">
        <f t="shared" si="60"/>
        <v>In touch - Negative</v>
      </c>
      <c r="AM503" s="37">
        <v>44830</v>
      </c>
      <c r="AN503" s="38">
        <v>44830</v>
      </c>
      <c r="AO503" s="38"/>
      <c r="AP503" s="38"/>
      <c r="AQ503" s="38"/>
      <c r="AR503" s="101" t="s">
        <v>1963</v>
      </c>
      <c r="AS503" s="38">
        <v>44830</v>
      </c>
      <c r="AT503" s="11" t="s">
        <v>7</v>
      </c>
    </row>
    <row r="504" spans="1:46" s="98" customFormat="1" ht="12" customHeight="1" x14ac:dyDescent="0.3">
      <c r="A504" s="97"/>
      <c r="B504" s="16" cm="1">
        <f t="array" ref="B504">+_xlfn.IFS(D504="In Touch - Positive",2,D504="Pending",1,D504="No Answer",4,D504="In Touch - Negative",3)</f>
        <v>3</v>
      </c>
      <c r="C504" s="16" t="s">
        <v>1921</v>
      </c>
      <c r="D504" s="99" t="str">
        <f t="shared" si="61"/>
        <v>In touch - Negative</v>
      </c>
      <c r="E504" s="12" t="s">
        <v>2050</v>
      </c>
      <c r="F504" s="12"/>
      <c r="G504" s="13" t="s">
        <v>68</v>
      </c>
      <c r="H504" s="14" t="s">
        <v>2051</v>
      </c>
      <c r="I504" s="13"/>
      <c r="J504" s="13" t="s">
        <v>1930</v>
      </c>
      <c r="K504" s="15"/>
      <c r="L504" s="15"/>
      <c r="M504" s="15"/>
      <c r="N504" s="15"/>
      <c r="O504" s="15"/>
      <c r="P504" s="15"/>
      <c r="Q504" s="15"/>
      <c r="R504" s="16"/>
      <c r="S504" s="35"/>
      <c r="T504" s="13">
        <v>2020</v>
      </c>
      <c r="U504" s="17">
        <v>34.499378999999998</v>
      </c>
      <c r="V504" s="17">
        <v>4.994313</v>
      </c>
      <c r="W504" s="60">
        <f t="shared" si="64"/>
        <v>0.14476530142759961</v>
      </c>
      <c r="X504" s="17"/>
      <c r="Y504" s="17">
        <v>-7.1971160000000003</v>
      </c>
      <c r="Z504" s="16"/>
      <c r="AA504" s="15" t="s">
        <v>140</v>
      </c>
      <c r="AB504" s="17"/>
      <c r="AC504" s="21" t="s">
        <v>61</v>
      </c>
      <c r="AD504" s="21" t="s">
        <v>61</v>
      </c>
      <c r="AE504" s="61" t="s">
        <v>986</v>
      </c>
      <c r="AF504" s="17"/>
      <c r="AG504" s="15"/>
      <c r="AH504" s="16"/>
      <c r="AI504" s="16"/>
      <c r="AJ504" s="42">
        <f t="shared" ca="1" si="58"/>
        <v>968</v>
      </c>
      <c r="AK504" s="42">
        <f t="shared" ca="1" si="59"/>
        <v>867</v>
      </c>
      <c r="AL504" s="130" t="str">
        <f t="shared" si="60"/>
        <v>In touch - Negative</v>
      </c>
      <c r="AM504" s="37">
        <v>44696</v>
      </c>
      <c r="AN504" s="38">
        <v>44732</v>
      </c>
      <c r="AO504" s="38"/>
      <c r="AP504" s="38"/>
      <c r="AQ504" s="38"/>
      <c r="AR504" s="101" t="s">
        <v>1963</v>
      </c>
      <c r="AS504" s="38">
        <v>44797</v>
      </c>
      <c r="AT504" s="11" t="s">
        <v>7</v>
      </c>
    </row>
    <row r="505" spans="1:46" s="98" customFormat="1" ht="12" customHeight="1" x14ac:dyDescent="0.3">
      <c r="B505" s="16" cm="1">
        <f t="array" ref="B505">+_xlfn.IFS(D505="In Touch - Positive",2,D505="Pending",1,D505="No Answer",4,D505="In Touch - Negative",3)</f>
        <v>3</v>
      </c>
      <c r="C505" s="16" t="s">
        <v>1933</v>
      </c>
      <c r="D505" s="99" t="str">
        <f t="shared" si="61"/>
        <v>In touch - Negative</v>
      </c>
      <c r="E505" s="12" t="s">
        <v>2052</v>
      </c>
      <c r="F505" s="12"/>
      <c r="G505" s="13" t="s">
        <v>246</v>
      </c>
      <c r="H505" s="14" t="s">
        <v>2053</v>
      </c>
      <c r="I505" s="13">
        <v>108600</v>
      </c>
      <c r="J505" s="13" t="s">
        <v>83</v>
      </c>
      <c r="K505" s="15" t="s">
        <v>2054</v>
      </c>
      <c r="L505" s="15"/>
      <c r="M505" s="15"/>
      <c r="N505" s="15"/>
      <c r="O505" s="15"/>
      <c r="P505" s="15"/>
      <c r="Q505" s="15"/>
      <c r="R505" s="16"/>
      <c r="S505" s="35" t="s">
        <v>77</v>
      </c>
      <c r="T505" s="13">
        <v>2020</v>
      </c>
      <c r="U505" s="17">
        <v>19.663</v>
      </c>
      <c r="V505" s="17">
        <v>2.988</v>
      </c>
      <c r="W505" s="60">
        <f t="shared" si="64"/>
        <v>0.15196053501500278</v>
      </c>
      <c r="X505" s="17">
        <v>0.92800000000000005</v>
      </c>
      <c r="Y505" s="17">
        <v>12.367000000000001</v>
      </c>
      <c r="Z505" s="16"/>
      <c r="AA505" s="15" t="s">
        <v>140</v>
      </c>
      <c r="AB505" s="17"/>
      <c r="AC505" s="21" t="s">
        <v>61</v>
      </c>
      <c r="AD505" s="21" t="s">
        <v>61</v>
      </c>
      <c r="AE505" s="61" t="s">
        <v>986</v>
      </c>
      <c r="AF505" s="17"/>
      <c r="AG505" s="15"/>
      <c r="AH505" s="16"/>
      <c r="AI505" s="16"/>
      <c r="AJ505" s="42">
        <f t="shared" ca="1" si="58"/>
        <v>968</v>
      </c>
      <c r="AK505" s="42">
        <f t="shared" ca="1" si="59"/>
        <v>909</v>
      </c>
      <c r="AL505" s="130" t="str">
        <f t="shared" si="60"/>
        <v>In touch - Negative</v>
      </c>
      <c r="AM505" s="37">
        <v>44696</v>
      </c>
      <c r="AN505" s="38">
        <v>44755</v>
      </c>
      <c r="AO505" s="38"/>
      <c r="AP505" s="38"/>
      <c r="AQ505" s="38"/>
      <c r="AR505" s="101" t="s">
        <v>1963</v>
      </c>
      <c r="AS505" s="38">
        <v>44755</v>
      </c>
      <c r="AT505" s="11" t="s">
        <v>7</v>
      </c>
    </row>
    <row r="506" spans="1:46" s="126" customFormat="1" ht="12" customHeight="1" x14ac:dyDescent="0.3">
      <c r="A506" s="97"/>
      <c r="B506" s="16" cm="1">
        <f t="array" ref="B506">+_xlfn.IFS(D506="In Touch - Positive",2,D506="Pending",1,D506="No Answer",4,D506="In Touch - Negative",3)</f>
        <v>3</v>
      </c>
      <c r="C506" s="16" t="s">
        <v>1933</v>
      </c>
      <c r="D506" s="99" t="str">
        <f t="shared" si="61"/>
        <v>In touch - Negative</v>
      </c>
      <c r="E506" s="12" t="s">
        <v>2055</v>
      </c>
      <c r="F506" s="12"/>
      <c r="G506" s="13" t="s">
        <v>103</v>
      </c>
      <c r="H506" s="14" t="s">
        <v>2056</v>
      </c>
      <c r="I506" s="13">
        <v>108600</v>
      </c>
      <c r="J506" s="13" t="s">
        <v>83</v>
      </c>
      <c r="K506" s="15" t="s">
        <v>2057</v>
      </c>
      <c r="L506" s="15"/>
      <c r="M506" s="15"/>
      <c r="N506" s="15"/>
      <c r="O506" s="15"/>
      <c r="P506" s="15"/>
      <c r="Q506" s="15"/>
      <c r="R506" s="16"/>
      <c r="S506" s="35" t="s">
        <v>77</v>
      </c>
      <c r="T506" s="13">
        <v>2020</v>
      </c>
      <c r="U506" s="17">
        <v>13.489000000000001</v>
      </c>
      <c r="V506" s="17">
        <v>3.069</v>
      </c>
      <c r="W506" s="60">
        <f t="shared" si="64"/>
        <v>0.2275187189561865</v>
      </c>
      <c r="X506" s="17">
        <v>2.2400000000000002</v>
      </c>
      <c r="Y506" s="17">
        <v>-6.0759999999999996</v>
      </c>
      <c r="Z506" s="16"/>
      <c r="AA506" s="15" t="s">
        <v>140</v>
      </c>
      <c r="AB506" s="17"/>
      <c r="AC506" s="21" t="s">
        <v>61</v>
      </c>
      <c r="AD506" s="21" t="s">
        <v>61</v>
      </c>
      <c r="AE506" s="61" t="s">
        <v>986</v>
      </c>
      <c r="AF506" s="17"/>
      <c r="AG506" s="15"/>
      <c r="AH506" s="16"/>
      <c r="AI506" s="16"/>
      <c r="AJ506" s="42">
        <f t="shared" ca="1" si="58"/>
        <v>968</v>
      </c>
      <c r="AK506" s="42">
        <f t="shared" ca="1" si="59"/>
        <v>909</v>
      </c>
      <c r="AL506" s="130" t="str">
        <f t="shared" si="60"/>
        <v>In touch - Negative</v>
      </c>
      <c r="AM506" s="37">
        <v>44696</v>
      </c>
      <c r="AN506" s="38"/>
      <c r="AO506" s="38"/>
      <c r="AP506" s="38"/>
      <c r="AQ506" s="38"/>
      <c r="AR506" s="101" t="s">
        <v>1963</v>
      </c>
      <c r="AS506" s="38">
        <v>44755</v>
      </c>
      <c r="AT506" s="11" t="s">
        <v>7</v>
      </c>
    </row>
    <row r="507" spans="1:46" s="98" customFormat="1" x14ac:dyDescent="0.3">
      <c r="A507" s="97"/>
      <c r="B507" s="16" cm="1">
        <f t="array" ref="B507">+_xlfn.IFS(D507="In Touch - Positive",2,D507="Pending",1,D507="No Answer",4,D507="In Touch - Negative",3)</f>
        <v>3</v>
      </c>
      <c r="C507" s="16" t="s">
        <v>1949</v>
      </c>
      <c r="D507" s="99" t="str">
        <f t="shared" si="61"/>
        <v>In touch - Negative</v>
      </c>
      <c r="E507" s="12" t="s">
        <v>2058</v>
      </c>
      <c r="F507" s="12"/>
      <c r="G507" s="13" t="s">
        <v>546</v>
      </c>
      <c r="H507" s="14" t="s">
        <v>2059</v>
      </c>
      <c r="I507" s="13">
        <v>289600</v>
      </c>
      <c r="J507" s="13" t="s">
        <v>342</v>
      </c>
      <c r="K507" s="15" t="s">
        <v>2060</v>
      </c>
      <c r="L507" s="15"/>
      <c r="M507" s="15"/>
      <c r="N507" s="15"/>
      <c r="O507" s="15"/>
      <c r="P507" s="15"/>
      <c r="Q507" s="15"/>
      <c r="R507" s="16"/>
      <c r="S507" s="35"/>
      <c r="T507" s="13">
        <v>2020</v>
      </c>
      <c r="U507" s="17">
        <v>30.672999999999998</v>
      </c>
      <c r="V507" s="17">
        <v>4.6180000000000003</v>
      </c>
      <c r="W507" s="60">
        <f t="shared" si="64"/>
        <v>0.1505558634629805</v>
      </c>
      <c r="X507" s="17">
        <v>1.708</v>
      </c>
      <c r="Y507" s="17">
        <v>6.4889999999999999</v>
      </c>
      <c r="Z507" s="16"/>
      <c r="AA507" s="15" t="s">
        <v>431</v>
      </c>
      <c r="AB507" s="17"/>
      <c r="AC507" s="21" t="s">
        <v>61</v>
      </c>
      <c r="AD507" s="21" t="s">
        <v>61</v>
      </c>
      <c r="AE507" s="61" t="s">
        <v>79</v>
      </c>
      <c r="AF507" s="17"/>
      <c r="AG507" s="15"/>
      <c r="AH507" s="16"/>
      <c r="AI507" s="16"/>
      <c r="AJ507" s="42">
        <f t="shared" ca="1" si="58"/>
        <v>1027</v>
      </c>
      <c r="AK507" s="42">
        <f t="shared" ca="1" si="59"/>
        <v>1027</v>
      </c>
      <c r="AL507" s="130" t="str">
        <f t="shared" si="60"/>
        <v>In touch - Negative</v>
      </c>
      <c r="AM507" s="37">
        <v>44637</v>
      </c>
      <c r="AN507" s="38">
        <v>44637</v>
      </c>
      <c r="AO507" s="38">
        <v>44649</v>
      </c>
      <c r="AP507" s="38" t="s">
        <v>65</v>
      </c>
      <c r="AQ507" s="38">
        <v>44649</v>
      </c>
      <c r="AR507" s="101" t="s">
        <v>1963</v>
      </c>
      <c r="AS507" s="38">
        <v>44637</v>
      </c>
      <c r="AT507" s="11" t="s">
        <v>7</v>
      </c>
    </row>
    <row r="508" spans="1:46" s="98" customFormat="1" x14ac:dyDescent="0.3">
      <c r="B508" s="16" cm="1">
        <f t="array" ref="B508">+_xlfn.IFS(D508="In Touch - Positive",2,D508="Pending",1,D508="No Answer",4,D508="In Touch - Negative",3)</f>
        <v>3</v>
      </c>
      <c r="C508" s="16" t="s">
        <v>1940</v>
      </c>
      <c r="D508" s="99" t="str">
        <f t="shared" si="61"/>
        <v>In touch - Negative</v>
      </c>
      <c r="E508" s="12" t="s">
        <v>2061</v>
      </c>
      <c r="F508" s="12"/>
      <c r="G508" s="13" t="s">
        <v>68</v>
      </c>
      <c r="H508" s="14"/>
      <c r="I508" s="13"/>
      <c r="J508" s="13"/>
      <c r="K508" s="15"/>
      <c r="L508" s="15"/>
      <c r="M508" s="15"/>
      <c r="N508" s="15"/>
      <c r="O508" s="15"/>
      <c r="P508" s="15"/>
      <c r="Q508" s="15"/>
      <c r="R508" s="16"/>
      <c r="S508" s="35"/>
      <c r="T508" s="13"/>
      <c r="U508" s="17"/>
      <c r="V508" s="17"/>
      <c r="W508" s="60"/>
      <c r="X508" s="17"/>
      <c r="Y508" s="17"/>
      <c r="Z508" s="16"/>
      <c r="AA508" s="15"/>
      <c r="AB508" s="17"/>
      <c r="AC508" s="21" t="s">
        <v>61</v>
      </c>
      <c r="AD508" s="21" t="s">
        <v>61</v>
      </c>
      <c r="AE508" s="17" t="s">
        <v>562</v>
      </c>
      <c r="AF508" s="17" t="s">
        <v>79</v>
      </c>
      <c r="AG508" s="15"/>
      <c r="AH508" s="16"/>
      <c r="AI508" s="16"/>
      <c r="AJ508" s="42">
        <f t="shared" ca="1" si="58"/>
        <v>1085</v>
      </c>
      <c r="AK508" s="42">
        <f t="shared" ca="1" si="59"/>
        <v>1065</v>
      </c>
      <c r="AL508" s="130" t="str">
        <f t="shared" si="60"/>
        <v>In touch - Negative</v>
      </c>
      <c r="AM508" s="37">
        <v>44579</v>
      </c>
      <c r="AN508" s="38">
        <v>44579</v>
      </c>
      <c r="AO508" s="38">
        <v>44599</v>
      </c>
      <c r="AP508" s="38"/>
      <c r="AQ508" s="38">
        <v>44599</v>
      </c>
      <c r="AR508" s="101" t="s">
        <v>1963</v>
      </c>
      <c r="AS508" s="38">
        <v>44599</v>
      </c>
      <c r="AT508" s="11" t="s">
        <v>7</v>
      </c>
    </row>
    <row r="509" spans="1:46" s="98" customFormat="1" x14ac:dyDescent="0.3">
      <c r="A509" s="97"/>
      <c r="B509" s="16" cm="1">
        <f t="array" ref="B509">+_xlfn.IFS(D509="In Touch - Positive",2,D509="Pending",1,D509="No Answer",4,D509="In Touch - Negative",3)</f>
        <v>3</v>
      </c>
      <c r="C509" s="16" t="s">
        <v>1940</v>
      </c>
      <c r="D509" s="99" t="str">
        <f t="shared" si="61"/>
        <v>In touch - Negative</v>
      </c>
      <c r="E509" s="12" t="s">
        <v>1302</v>
      </c>
      <c r="F509" s="12"/>
      <c r="G509" s="13" t="s">
        <v>68</v>
      </c>
      <c r="H509" s="14" t="s">
        <v>1303</v>
      </c>
      <c r="I509" s="13"/>
      <c r="J509" s="13" t="s">
        <v>1018</v>
      </c>
      <c r="K509" s="15" t="s">
        <v>1304</v>
      </c>
      <c r="L509" s="15"/>
      <c r="M509" s="15"/>
      <c r="N509" s="15"/>
      <c r="O509" s="15"/>
      <c r="P509" s="15"/>
      <c r="Q509" s="15"/>
      <c r="R509" s="16"/>
      <c r="S509" s="35"/>
      <c r="T509" s="13"/>
      <c r="U509" s="17"/>
      <c r="V509" s="17"/>
      <c r="W509" s="60" t="e">
        <f>+V509/U509</f>
        <v>#DIV/0!</v>
      </c>
      <c r="X509" s="17"/>
      <c r="Y509" s="17"/>
      <c r="Z509" s="16"/>
      <c r="AA509" s="15" t="s">
        <v>140</v>
      </c>
      <c r="AB509" s="17"/>
      <c r="AC509" s="21" t="s">
        <v>61</v>
      </c>
      <c r="AD509" s="21" t="s">
        <v>61</v>
      </c>
      <c r="AE509" s="17" t="s">
        <v>562</v>
      </c>
      <c r="AF509" s="17"/>
      <c r="AG509" s="15"/>
      <c r="AH509" s="16"/>
      <c r="AI509" s="16"/>
      <c r="AJ509" s="42">
        <f t="shared" ca="1" si="58"/>
        <v>1075</v>
      </c>
      <c r="AK509" s="42">
        <f t="shared" ca="1" si="59"/>
        <v>1075</v>
      </c>
      <c r="AL509" s="130" t="str">
        <f t="shared" si="60"/>
        <v>In touch - Negative</v>
      </c>
      <c r="AM509" s="37">
        <v>44589</v>
      </c>
      <c r="AN509" s="38">
        <v>44589</v>
      </c>
      <c r="AO509" s="38">
        <v>44599</v>
      </c>
      <c r="AP509" s="38"/>
      <c r="AQ509" s="38"/>
      <c r="AR509" s="101" t="s">
        <v>1963</v>
      </c>
      <c r="AS509" s="38">
        <v>44589</v>
      </c>
      <c r="AT509" s="11" t="s">
        <v>7</v>
      </c>
    </row>
    <row r="510" spans="1:46" s="98" customFormat="1" x14ac:dyDescent="0.3">
      <c r="B510" s="16" cm="1">
        <f t="array" ref="B510">+_xlfn.IFS(D510="In Touch - Positive",2,D510="Pending",1,D510="No Answer",4,D510="In Touch - Negative",3)</f>
        <v>3</v>
      </c>
      <c r="C510" s="16" t="s">
        <v>1951</v>
      </c>
      <c r="D510" s="99" t="str">
        <f t="shared" si="61"/>
        <v>In touch - Negative</v>
      </c>
      <c r="E510" s="12" t="s">
        <v>2062</v>
      </c>
      <c r="F510" s="12"/>
      <c r="G510" s="13" t="s">
        <v>271</v>
      </c>
      <c r="H510" s="14" t="s">
        <v>2063</v>
      </c>
      <c r="I510" s="13">
        <v>143900</v>
      </c>
      <c r="J510" s="13" t="s">
        <v>819</v>
      </c>
      <c r="K510" s="15" t="s">
        <v>1288</v>
      </c>
      <c r="L510" s="15" t="s">
        <v>2064</v>
      </c>
      <c r="M510" s="15"/>
      <c r="N510" s="15"/>
      <c r="O510" s="15"/>
      <c r="P510" s="15"/>
      <c r="Q510" s="15"/>
      <c r="R510" s="16"/>
      <c r="S510" s="35" t="s">
        <v>77</v>
      </c>
      <c r="T510" s="13">
        <v>2020</v>
      </c>
      <c r="U510" s="17">
        <v>17.757999999999999</v>
      </c>
      <c r="V510" s="17">
        <v>0.19900000000000001</v>
      </c>
      <c r="W510" s="60">
        <v>1.1206216916319407E-2</v>
      </c>
      <c r="X510" s="17">
        <v>-0.85299999999999998</v>
      </c>
      <c r="Y510" s="17">
        <v>10.208</v>
      </c>
      <c r="Z510" s="16"/>
      <c r="AA510" s="15" t="s">
        <v>140</v>
      </c>
      <c r="AB510" s="17"/>
      <c r="AC510" s="21" t="s">
        <v>78</v>
      </c>
      <c r="AD510" s="21" t="s">
        <v>78</v>
      </c>
      <c r="AE510" s="17" t="s">
        <v>62</v>
      </c>
      <c r="AF510" s="17"/>
      <c r="AG510" s="15"/>
      <c r="AH510" s="16"/>
      <c r="AI510" s="16"/>
      <c r="AJ510" s="42">
        <f t="shared" ca="1" si="58"/>
        <v>1141</v>
      </c>
      <c r="AK510" s="42">
        <f t="shared" ca="1" si="59"/>
        <v>1138</v>
      </c>
      <c r="AL510" s="130" t="str">
        <f t="shared" si="60"/>
        <v>In touch - Negative</v>
      </c>
      <c r="AM510" s="37">
        <v>44523</v>
      </c>
      <c r="AN510" s="38">
        <v>44523</v>
      </c>
      <c r="AO510" s="38" t="s">
        <v>65</v>
      </c>
      <c r="AP510" s="38"/>
      <c r="AQ510" s="38">
        <v>44526</v>
      </c>
      <c r="AR510" s="101" t="s">
        <v>1963</v>
      </c>
      <c r="AS510" s="38">
        <v>44526</v>
      </c>
      <c r="AT510" s="11" t="s">
        <v>7</v>
      </c>
    </row>
    <row r="511" spans="1:46" s="98" customFormat="1" x14ac:dyDescent="0.3">
      <c r="A511" s="16"/>
      <c r="B511" s="16" cm="1">
        <f t="array" ref="B511">+_xlfn.IFS(D511="In Touch - Positive",2,D511="Pending",1,D511="No Answer",4,D511="In Touch - Negative",3)</f>
        <v>3</v>
      </c>
      <c r="C511" s="16" t="s">
        <v>1951</v>
      </c>
      <c r="D511" s="99" t="str">
        <f t="shared" si="61"/>
        <v>In touch - Negative</v>
      </c>
      <c r="E511" s="12" t="s">
        <v>2065</v>
      </c>
      <c r="F511" s="12"/>
      <c r="G511" s="13" t="s">
        <v>271</v>
      </c>
      <c r="H511" s="14" t="s">
        <v>2066</v>
      </c>
      <c r="I511" s="13">
        <v>143900</v>
      </c>
      <c r="J511" s="13" t="s">
        <v>819</v>
      </c>
      <c r="K511" s="15" t="s">
        <v>2067</v>
      </c>
      <c r="L511" s="15" t="s">
        <v>2068</v>
      </c>
      <c r="M511" s="15"/>
      <c r="N511" s="15"/>
      <c r="O511" s="15"/>
      <c r="P511" s="15"/>
      <c r="Q511" s="15"/>
      <c r="R511" s="16"/>
      <c r="S511" s="35" t="s">
        <v>144</v>
      </c>
      <c r="T511" s="13">
        <v>2020</v>
      </c>
      <c r="U511" s="17">
        <v>544.01300000000003</v>
      </c>
      <c r="V511" s="17">
        <v>122.33499999999999</v>
      </c>
      <c r="W511" s="60">
        <v>0.22487514085141344</v>
      </c>
      <c r="X511" s="17">
        <v>53.082999999999998</v>
      </c>
      <c r="Y511" s="17">
        <v>605.47299999999996</v>
      </c>
      <c r="Z511" s="16"/>
      <c r="AA511" s="15"/>
      <c r="AB511" s="17"/>
      <c r="AC511" s="21" t="s">
        <v>78</v>
      </c>
      <c r="AD511" s="21" t="s">
        <v>78</v>
      </c>
      <c r="AE511" s="17" t="s">
        <v>62</v>
      </c>
      <c r="AF511" s="17"/>
      <c r="AG511" s="15"/>
      <c r="AH511" s="16"/>
      <c r="AI511" s="16"/>
      <c r="AJ511" s="42">
        <f t="shared" ca="1" si="58"/>
        <v>1141</v>
      </c>
      <c r="AK511" s="42">
        <f t="shared" ca="1" si="59"/>
        <v>1138</v>
      </c>
      <c r="AL511" s="130" t="str">
        <f t="shared" si="60"/>
        <v>In touch - Negative</v>
      </c>
      <c r="AM511" s="37">
        <v>44523</v>
      </c>
      <c r="AN511" s="38">
        <v>44523</v>
      </c>
      <c r="AO511" s="38" t="s">
        <v>65</v>
      </c>
      <c r="AP511" s="38"/>
      <c r="AQ511" s="38">
        <v>44526</v>
      </c>
      <c r="AR511" s="101" t="s">
        <v>1963</v>
      </c>
      <c r="AS511" s="38">
        <v>44526</v>
      </c>
      <c r="AT511" s="11" t="s">
        <v>7</v>
      </c>
    </row>
    <row r="512" spans="1:46" s="98" customFormat="1" ht="12" customHeight="1" x14ac:dyDescent="0.3">
      <c r="A512" s="97"/>
      <c r="B512" s="16" cm="1">
        <f t="array" ref="B512">+_xlfn.IFS(D512="In Touch - Positive",2,D512="Pending",1,D512="No Answer",4,D512="In Touch - Negative",3)</f>
        <v>3</v>
      </c>
      <c r="C512" s="16" t="s">
        <v>1951</v>
      </c>
      <c r="D512" s="99" t="str">
        <f t="shared" si="61"/>
        <v>In touch - Negative</v>
      </c>
      <c r="E512" s="12" t="s">
        <v>1285</v>
      </c>
      <c r="F512" s="12"/>
      <c r="G512" s="13" t="s">
        <v>1286</v>
      </c>
      <c r="H512" s="41" t="s">
        <v>1287</v>
      </c>
      <c r="I512" s="13">
        <v>141000</v>
      </c>
      <c r="J512" s="13" t="s">
        <v>819</v>
      </c>
      <c r="K512" s="15" t="s">
        <v>1288</v>
      </c>
      <c r="L512" s="15" t="s">
        <v>1289</v>
      </c>
      <c r="M512" s="15"/>
      <c r="N512" s="15"/>
      <c r="O512" s="15"/>
      <c r="P512" s="15"/>
      <c r="Q512" s="15"/>
      <c r="R512" s="16"/>
      <c r="S512" s="35" t="s">
        <v>77</v>
      </c>
      <c r="T512" s="13">
        <v>2020</v>
      </c>
      <c r="U512" s="17">
        <v>510.2</v>
      </c>
      <c r="V512" s="17">
        <v>34.529000000000003</v>
      </c>
      <c r="W512" s="60">
        <f>+V512/U512</f>
        <v>6.7677381419051358E-2</v>
      </c>
      <c r="X512" s="17">
        <v>12.507999999999999</v>
      </c>
      <c r="Y512" s="17">
        <v>-7.9000000000000001E-2</v>
      </c>
      <c r="Z512" s="16"/>
      <c r="AA512" s="15" t="s">
        <v>140</v>
      </c>
      <c r="AB512" s="17"/>
      <c r="AC512" s="21" t="s">
        <v>78</v>
      </c>
      <c r="AD512" s="21" t="s">
        <v>78</v>
      </c>
      <c r="AE512" s="17" t="s">
        <v>62</v>
      </c>
      <c r="AF512" s="17"/>
      <c r="AG512" s="15"/>
      <c r="AH512" s="16"/>
      <c r="AI512" s="16"/>
      <c r="AJ512" s="42">
        <f t="shared" ca="1" si="58"/>
        <v>1141</v>
      </c>
      <c r="AK512" s="42">
        <f t="shared" ca="1" si="59"/>
        <v>1141</v>
      </c>
      <c r="AL512" s="130" t="str">
        <f t="shared" si="60"/>
        <v>In touch - Negative</v>
      </c>
      <c r="AM512" s="37">
        <v>44523</v>
      </c>
      <c r="AN512" s="38">
        <v>44523</v>
      </c>
      <c r="AO512" s="38" t="s">
        <v>65</v>
      </c>
      <c r="AP512" s="38"/>
      <c r="AQ512" s="38">
        <v>44526</v>
      </c>
      <c r="AR512" s="101" t="s">
        <v>1963</v>
      </c>
      <c r="AS512" s="38">
        <v>44523</v>
      </c>
      <c r="AT512" s="11" t="s">
        <v>7</v>
      </c>
    </row>
    <row r="513" spans="1:46" s="98" customFormat="1" ht="12" customHeight="1" x14ac:dyDescent="0.3">
      <c r="A513" s="97"/>
      <c r="B513" s="16" cm="1">
        <f t="array" ref="B513">+_xlfn.IFS(D513="In Touch - Positive",2,D513="Pending",1,D513="No Answer",4,D513="In Touch - Negative",3)</f>
        <v>3</v>
      </c>
      <c r="C513" s="16" t="s">
        <v>78</v>
      </c>
      <c r="D513" s="99" t="str">
        <f t="shared" si="61"/>
        <v>In touch - Negative</v>
      </c>
      <c r="E513" s="12" t="s">
        <v>2069</v>
      </c>
      <c r="F513" s="12"/>
      <c r="G513" s="13" t="s">
        <v>246</v>
      </c>
      <c r="H513" s="14"/>
      <c r="I513" s="13"/>
      <c r="J513" s="100" t="s">
        <v>111</v>
      </c>
      <c r="K513" s="15" t="s">
        <v>2070</v>
      </c>
      <c r="L513" s="15" t="s">
        <v>2071</v>
      </c>
      <c r="M513" s="15"/>
      <c r="N513" s="15"/>
      <c r="O513" s="15"/>
      <c r="P513" s="15"/>
      <c r="Q513" s="15"/>
      <c r="R513" s="16"/>
      <c r="S513" s="35"/>
      <c r="T513" s="13"/>
      <c r="U513" s="17"/>
      <c r="V513" s="17"/>
      <c r="W513" s="60"/>
      <c r="X513" s="25"/>
      <c r="Y513" s="17"/>
      <c r="Z513" s="16"/>
      <c r="AA513" s="15" t="s">
        <v>140</v>
      </c>
      <c r="AB513" s="17"/>
      <c r="AC513" s="21" t="s">
        <v>78</v>
      </c>
      <c r="AD513" s="21" t="s">
        <v>78</v>
      </c>
      <c r="AE513" s="21" t="s">
        <v>86</v>
      </c>
      <c r="AF513" s="17"/>
      <c r="AG513" s="15"/>
      <c r="AH513" s="16"/>
      <c r="AI513" s="16"/>
      <c r="AJ513" s="42">
        <f t="shared" ca="1" si="58"/>
        <v>659</v>
      </c>
      <c r="AK513" s="42">
        <f t="shared" ca="1" si="59"/>
        <v>442</v>
      </c>
      <c r="AL513" s="130" t="str">
        <f t="shared" si="60"/>
        <v>In touch - Negative</v>
      </c>
      <c r="AM513" s="37">
        <v>45005</v>
      </c>
      <c r="AN513" s="38">
        <v>45205</v>
      </c>
      <c r="AO513" s="38">
        <v>45224</v>
      </c>
      <c r="AP513" s="38" t="s">
        <v>65</v>
      </c>
      <c r="AQ513" s="38"/>
      <c r="AR513" s="101" t="s">
        <v>1963</v>
      </c>
      <c r="AS513" s="38">
        <v>45222</v>
      </c>
      <c r="AT513" s="11" t="s">
        <v>7</v>
      </c>
    </row>
    <row r="514" spans="1:46" s="98" customFormat="1" ht="12" customHeight="1" x14ac:dyDescent="0.3">
      <c r="A514" s="97"/>
      <c r="B514" s="16" cm="1">
        <f t="array" ref="B514">+_xlfn.IFS(D514="In Touch - Positive",2,D514="Pending",1,D514="No Answer",4,D514="In Touch - Negative",3)</f>
        <v>3</v>
      </c>
      <c r="C514" s="16" t="s">
        <v>1964</v>
      </c>
      <c r="D514" s="99" t="str">
        <f t="shared" si="61"/>
        <v>In touch - Negative</v>
      </c>
      <c r="E514" s="12" t="s">
        <v>2072</v>
      </c>
      <c r="F514" s="12"/>
      <c r="G514" s="13" t="s">
        <v>308</v>
      </c>
      <c r="H514" s="15"/>
      <c r="I514" s="13"/>
      <c r="J514" s="100" t="s">
        <v>111</v>
      </c>
      <c r="K514" s="15" t="s">
        <v>2073</v>
      </c>
      <c r="L514" s="15"/>
      <c r="M514" s="15"/>
      <c r="N514" s="15"/>
      <c r="O514" s="15"/>
      <c r="P514" s="15"/>
      <c r="Q514" s="15"/>
      <c r="R514" s="16"/>
      <c r="S514" s="35"/>
      <c r="T514" s="13"/>
      <c r="U514" s="17"/>
      <c r="V514" s="17"/>
      <c r="W514" s="60"/>
      <c r="X514" s="17"/>
      <c r="Y514" s="17"/>
      <c r="Z514" s="16"/>
      <c r="AA514" s="15" t="s">
        <v>140</v>
      </c>
      <c r="AB514" s="17"/>
      <c r="AC514" s="21" t="s">
        <v>61</v>
      </c>
      <c r="AD514" s="21" t="s">
        <v>61</v>
      </c>
      <c r="AE514" s="21" t="s">
        <v>62</v>
      </c>
      <c r="AF514" s="17"/>
      <c r="AG514" s="15"/>
      <c r="AH514" s="16"/>
      <c r="AI514" s="16"/>
      <c r="AJ514" s="42">
        <f t="shared" ca="1" si="58"/>
        <v>461</v>
      </c>
      <c r="AK514" s="42">
        <f t="shared" ca="1" si="59"/>
        <v>459</v>
      </c>
      <c r="AL514" s="130" t="str">
        <f t="shared" si="60"/>
        <v>In touch - Negative</v>
      </c>
      <c r="AM514" s="37">
        <v>45203</v>
      </c>
      <c r="AN514" s="38">
        <v>45211</v>
      </c>
      <c r="AO514" s="38">
        <v>45250</v>
      </c>
      <c r="AP514" s="38">
        <v>45621</v>
      </c>
      <c r="AQ514" s="38" t="s">
        <v>65</v>
      </c>
      <c r="AR514" s="101" t="s">
        <v>1963</v>
      </c>
      <c r="AS514" s="38">
        <v>45205</v>
      </c>
      <c r="AT514" s="11" t="s">
        <v>7</v>
      </c>
    </row>
    <row r="515" spans="1:46" s="98" customFormat="1" x14ac:dyDescent="0.3">
      <c r="A515" s="102">
        <f>+COUNTIF(D:D, "No Answer")</f>
        <v>405</v>
      </c>
      <c r="B515" s="1266" cm="1">
        <f t="array" ref="B515">+_xlfn.IFS(D515="In Touch - Positive",2,D515="Pending",1,D515="No Answer",4,D515="In Touch - Negative",3)</f>
        <v>4</v>
      </c>
      <c r="C515" s="1266" t="s">
        <v>1835</v>
      </c>
      <c r="D515" s="1267" t="str">
        <f t="shared" si="61"/>
        <v>No Answer</v>
      </c>
      <c r="E515" s="1268" t="s">
        <v>5317</v>
      </c>
      <c r="F515" s="1267"/>
      <c r="G515" s="1270" t="s">
        <v>845</v>
      </c>
      <c r="H515" s="1269" t="s">
        <v>5318</v>
      </c>
      <c r="I515" s="1270"/>
      <c r="J515" s="1271" t="s">
        <v>1835</v>
      </c>
      <c r="K515" s="15" t="s">
        <v>5319</v>
      </c>
      <c r="L515" s="1271"/>
      <c r="M515" s="1271" t="s">
        <v>5320</v>
      </c>
      <c r="N515" s="1271" t="s">
        <v>5321</v>
      </c>
      <c r="O515" s="1271"/>
      <c r="P515" s="1271"/>
      <c r="Q515" s="1271"/>
      <c r="R515" s="1266"/>
      <c r="S515" s="1272" t="s">
        <v>77</v>
      </c>
      <c r="T515" s="1270">
        <v>2023</v>
      </c>
      <c r="U515" s="1265">
        <v>12.6</v>
      </c>
      <c r="V515" s="1265">
        <v>4.6959999999999997</v>
      </c>
      <c r="W515" s="1292">
        <f t="shared" ref="W515:W533" si="65">+V515/U515</f>
        <v>0.3726984126984127</v>
      </c>
      <c r="X515" s="1265">
        <v>3.29</v>
      </c>
      <c r="Y515" s="1265">
        <v>-1.8720000000000001</v>
      </c>
      <c r="Z515" s="1266"/>
      <c r="AA515" s="1271" t="s">
        <v>140</v>
      </c>
      <c r="AB515" s="1265"/>
      <c r="AC515" s="21" t="s">
        <v>78</v>
      </c>
      <c r="AD515" s="1264" t="s">
        <v>79</v>
      </c>
      <c r="AE515" s="1264" t="s">
        <v>128</v>
      </c>
      <c r="AF515" s="1265"/>
      <c r="AG515" s="1271"/>
      <c r="AH515" s="1266"/>
      <c r="AI515" s="1266"/>
      <c r="AJ515" s="1273">
        <f t="shared" ca="1" si="58"/>
        <v>48</v>
      </c>
      <c r="AK515" s="1273">
        <f t="shared" ca="1" si="59"/>
        <v>32</v>
      </c>
      <c r="AL515" s="1293" t="str">
        <f t="shared" si="60"/>
        <v>No Answer</v>
      </c>
      <c r="AM515" s="1274">
        <v>45616</v>
      </c>
      <c r="AN515" s="1275">
        <v>45625</v>
      </c>
      <c r="AO515" s="1275">
        <v>45632</v>
      </c>
      <c r="AP515" s="1275">
        <v>45628</v>
      </c>
      <c r="AQ515" s="1275"/>
      <c r="AR515" s="1294" t="s">
        <v>1763</v>
      </c>
      <c r="AS515" s="1274">
        <v>45632</v>
      </c>
      <c r="AT515" s="11" t="s">
        <v>7</v>
      </c>
    </row>
    <row r="516" spans="1:46" s="98" customFormat="1" ht="12" customHeight="1" x14ac:dyDescent="0.3">
      <c r="B516" s="1266" cm="1">
        <f t="array" ref="B516">+_xlfn.IFS(D516="In Touch - Positive",2,D516="Pending",1,D516="No Answer",4,D516="In Touch - Negative",3)</f>
        <v>4</v>
      </c>
      <c r="C516" s="1266" t="s">
        <v>5311</v>
      </c>
      <c r="D516" s="1267" t="str">
        <f t="shared" si="61"/>
        <v>No Answer</v>
      </c>
      <c r="E516" s="1268" t="s">
        <v>5303</v>
      </c>
      <c r="F516" s="1267"/>
      <c r="G516" s="1270" t="s">
        <v>226</v>
      </c>
      <c r="H516" s="1269" t="s">
        <v>5307</v>
      </c>
      <c r="I516" s="1270"/>
      <c r="J516" s="1271" t="s">
        <v>2769</v>
      </c>
      <c r="K516" s="1271" t="s">
        <v>5304</v>
      </c>
      <c r="L516" s="1271"/>
      <c r="M516" s="1271" t="s">
        <v>5305</v>
      </c>
      <c r="N516" s="1271" t="s">
        <v>5306</v>
      </c>
      <c r="O516" s="1271" t="s">
        <v>5306</v>
      </c>
      <c r="P516" s="1271" t="s">
        <v>5306</v>
      </c>
      <c r="Q516" s="1271"/>
      <c r="R516" s="1266"/>
      <c r="S516" s="1272" t="s">
        <v>77</v>
      </c>
      <c r="T516" s="1270">
        <v>2023</v>
      </c>
      <c r="U516" s="1265">
        <v>19.100000000000001</v>
      </c>
      <c r="V516" s="1265">
        <v>1.94</v>
      </c>
      <c r="W516" s="1292">
        <f t="shared" si="65"/>
        <v>0.10157068062827224</v>
      </c>
      <c r="X516" s="1265"/>
      <c r="Y516" s="1265">
        <v>4.2</v>
      </c>
      <c r="Z516" s="1266"/>
      <c r="AA516" s="1271" t="s">
        <v>140</v>
      </c>
      <c r="AB516" s="1265"/>
      <c r="AC516" s="1264" t="s">
        <v>61</v>
      </c>
      <c r="AD516" s="1264" t="s">
        <v>79</v>
      </c>
      <c r="AE516" s="1264" t="s">
        <v>4423</v>
      </c>
      <c r="AF516" s="1265"/>
      <c r="AG516" s="1271"/>
      <c r="AH516" s="1266"/>
      <c r="AI516" s="1266"/>
      <c r="AJ516" s="1273">
        <f t="shared" ca="1" si="58"/>
        <v>50</v>
      </c>
      <c r="AK516" s="1273">
        <f t="shared" ca="1" si="59"/>
        <v>43</v>
      </c>
      <c r="AL516" s="1293" t="str">
        <f t="shared" si="60"/>
        <v>No Answer</v>
      </c>
      <c r="AM516" s="1274">
        <v>45614</v>
      </c>
      <c r="AN516" s="1275">
        <v>45614</v>
      </c>
      <c r="AO516" s="38">
        <v>45621</v>
      </c>
      <c r="AP516" s="38" t="s">
        <v>65</v>
      </c>
      <c r="AQ516" s="38" t="s">
        <v>65</v>
      </c>
      <c r="AR516" s="101" t="s">
        <v>1763</v>
      </c>
      <c r="AS516" s="37">
        <v>45621</v>
      </c>
      <c r="AT516" s="11" t="s">
        <v>7</v>
      </c>
    </row>
    <row r="517" spans="1:46" s="98" customFormat="1" ht="12" customHeight="1" x14ac:dyDescent="0.3">
      <c r="A517" s="97"/>
      <c r="B517" s="16" cm="1">
        <f t="array" ref="B517">+_xlfn.IFS(D517="In Touch - Positive",2,D517="Pending",1,D517="No Answer",4,D517="In Touch - Negative",3)</f>
        <v>4</v>
      </c>
      <c r="C517" s="16" t="s">
        <v>2045</v>
      </c>
      <c r="D517" s="1132" t="str">
        <f t="shared" si="61"/>
        <v>No Answer</v>
      </c>
      <c r="E517" s="1133" t="s">
        <v>5177</v>
      </c>
      <c r="F517" s="1116"/>
      <c r="G517" s="13" t="s">
        <v>333</v>
      </c>
      <c r="H517" s="1118" t="s">
        <v>5182</v>
      </c>
      <c r="I517" s="1117"/>
      <c r="J517" s="15" t="s">
        <v>2769</v>
      </c>
      <c r="K517" s="15" t="s">
        <v>5179</v>
      </c>
      <c r="L517" s="1162"/>
      <c r="M517" s="1114" t="s">
        <v>5184</v>
      </c>
      <c r="N517" s="1114" t="s">
        <v>5185</v>
      </c>
      <c r="O517" s="1114"/>
      <c r="P517" s="1114"/>
      <c r="Q517" s="1114"/>
      <c r="R517" s="1115"/>
      <c r="S517" s="1119" t="s">
        <v>77</v>
      </c>
      <c r="T517" s="1117">
        <v>2023</v>
      </c>
      <c r="U517" s="1120">
        <v>31.538727999999999</v>
      </c>
      <c r="V517" s="1120">
        <v>5.9609379999999996</v>
      </c>
      <c r="W517" s="1134">
        <f t="shared" si="65"/>
        <v>0.18900375436828015</v>
      </c>
      <c r="X517" s="1120">
        <v>3.6862309999999998</v>
      </c>
      <c r="Y517" s="1120">
        <v>-15.470477000000001</v>
      </c>
      <c r="Z517" s="1115"/>
      <c r="AA517" s="1114" t="s">
        <v>140</v>
      </c>
      <c r="AB517" s="1120"/>
      <c r="AC517" s="1122" t="s">
        <v>78</v>
      </c>
      <c r="AD517" s="1122" t="s">
        <v>4423</v>
      </c>
      <c r="AE517" s="1122" t="s">
        <v>4423</v>
      </c>
      <c r="AF517" s="1120"/>
      <c r="AG517" s="1114"/>
      <c r="AH517" s="1115"/>
      <c r="AI517" s="1115"/>
      <c r="AJ517" s="1123">
        <f t="shared" ca="1" si="58"/>
        <v>64</v>
      </c>
      <c r="AK517" s="1123">
        <f t="shared" ca="1" si="59"/>
        <v>50</v>
      </c>
      <c r="AL517" s="1135" t="str">
        <f t="shared" si="60"/>
        <v>No Answer</v>
      </c>
      <c r="AM517" s="1124">
        <v>45600</v>
      </c>
      <c r="AN517" s="1125">
        <v>45603</v>
      </c>
      <c r="AO517" s="1125">
        <v>45614</v>
      </c>
      <c r="AP517" s="38" t="s">
        <v>65</v>
      </c>
      <c r="AQ517" s="38" t="s">
        <v>65</v>
      </c>
      <c r="AR517" s="1136" t="s">
        <v>1763</v>
      </c>
      <c r="AS517" s="1124">
        <v>45614</v>
      </c>
      <c r="AT517" s="11" t="s">
        <v>7</v>
      </c>
    </row>
    <row r="518" spans="1:46" s="98" customFormat="1" ht="12" customHeight="1" x14ac:dyDescent="0.3">
      <c r="A518" s="97"/>
      <c r="B518" s="16" cm="1">
        <f t="array" ref="B518">+_xlfn.IFS(D518="In Touch - Positive",2,D518="Pending",1,D518="No Answer",4,D518="In Touch - Negative",3)</f>
        <v>4</v>
      </c>
      <c r="C518" s="16" t="s">
        <v>2045</v>
      </c>
      <c r="D518" s="1132" t="str">
        <f t="shared" si="61"/>
        <v>No Answer</v>
      </c>
      <c r="E518" s="1133" t="s">
        <v>5178</v>
      </c>
      <c r="F518" s="1116"/>
      <c r="G518" s="13" t="s">
        <v>333</v>
      </c>
      <c r="H518" s="1118" t="s">
        <v>5183</v>
      </c>
      <c r="I518" s="1117"/>
      <c r="J518" s="15" t="s">
        <v>5181</v>
      </c>
      <c r="K518" s="15" t="s">
        <v>5180</v>
      </c>
      <c r="L518" s="1162"/>
      <c r="M518" s="1114" t="s">
        <v>5186</v>
      </c>
      <c r="N518" s="1114" t="s">
        <v>5187</v>
      </c>
      <c r="O518" s="1114"/>
      <c r="P518" s="1114"/>
      <c r="Q518" s="1114"/>
      <c r="R518" s="1115"/>
      <c r="S518" s="1119" t="s">
        <v>77</v>
      </c>
      <c r="T518" s="1117">
        <v>2023</v>
      </c>
      <c r="U518" s="1120">
        <v>30.5564</v>
      </c>
      <c r="V518" s="1120">
        <v>3.1511</v>
      </c>
      <c r="W518" s="1134">
        <f t="shared" si="65"/>
        <v>0.10312405911691168</v>
      </c>
      <c r="X518" s="1120">
        <v>1.996</v>
      </c>
      <c r="Y518" s="1120">
        <v>1.1519999999999999</v>
      </c>
      <c r="Z518" s="1115"/>
      <c r="AA518" s="1114" t="s">
        <v>140</v>
      </c>
      <c r="AB518" s="1120"/>
      <c r="AC518" s="1122" t="s">
        <v>78</v>
      </c>
      <c r="AD518" s="1122" t="s">
        <v>4423</v>
      </c>
      <c r="AE518" s="1122" t="s">
        <v>4423</v>
      </c>
      <c r="AF518" s="1120"/>
      <c r="AG518" s="1114"/>
      <c r="AH518" s="1115"/>
      <c r="AI518" s="1115"/>
      <c r="AJ518" s="1123">
        <f t="shared" ca="1" si="58"/>
        <v>64</v>
      </c>
      <c r="AK518" s="1123">
        <f t="shared" ca="1" si="59"/>
        <v>50</v>
      </c>
      <c r="AL518" s="1135" t="str">
        <f t="shared" si="60"/>
        <v>No Answer</v>
      </c>
      <c r="AM518" s="1124">
        <v>45600</v>
      </c>
      <c r="AN518" s="1125">
        <v>45603</v>
      </c>
      <c r="AO518" s="1125">
        <v>45614</v>
      </c>
      <c r="AP518" s="38" t="s">
        <v>65</v>
      </c>
      <c r="AQ518" s="38" t="s">
        <v>65</v>
      </c>
      <c r="AR518" s="1136" t="s">
        <v>1763</v>
      </c>
      <c r="AS518" s="1124">
        <v>45614</v>
      </c>
      <c r="AT518" s="11" t="s">
        <v>7</v>
      </c>
    </row>
    <row r="519" spans="1:46" s="98" customFormat="1" ht="12" customHeight="1" x14ac:dyDescent="0.3">
      <c r="A519" s="97"/>
      <c r="B519" s="16" cm="1">
        <f t="array" ref="B519">+_xlfn.IFS(D519="In Touch - Positive",2,D519="Pending",1,D519="No Answer",4,D519="In Touch - Negative",3)</f>
        <v>4</v>
      </c>
      <c r="C519" s="16" t="s">
        <v>5066</v>
      </c>
      <c r="D519" s="1132" t="str">
        <f t="shared" si="61"/>
        <v>No Answer</v>
      </c>
      <c r="E519" s="1133" t="s">
        <v>4935</v>
      </c>
      <c r="F519" s="1116"/>
      <c r="G519" s="13" t="s">
        <v>94</v>
      </c>
      <c r="H519" s="1118" t="s">
        <v>4939</v>
      </c>
      <c r="I519" s="1117"/>
      <c r="J519" s="15" t="s">
        <v>1545</v>
      </c>
      <c r="K519" s="15" t="s">
        <v>4942</v>
      </c>
      <c r="L519" s="1114"/>
      <c r="M519" s="1114" t="s">
        <v>4945</v>
      </c>
      <c r="N519" s="1114" t="s">
        <v>4946</v>
      </c>
      <c r="O519" s="1114"/>
      <c r="P519" s="1114"/>
      <c r="Q519" s="1114"/>
      <c r="R519" s="1115"/>
      <c r="S519" s="1119" t="s">
        <v>77</v>
      </c>
      <c r="T519" s="1117">
        <v>2023</v>
      </c>
      <c r="U519" s="1120">
        <v>18.548999999999999</v>
      </c>
      <c r="V519" s="1120">
        <v>2.3738000000000001</v>
      </c>
      <c r="W519" s="1134">
        <f t="shared" si="65"/>
        <v>0.12797455388430645</v>
      </c>
      <c r="X519" s="1120">
        <v>0.108</v>
      </c>
      <c r="Y519" s="1120">
        <v>11.871700000000001</v>
      </c>
      <c r="Z519" s="1115"/>
      <c r="AA519" s="1114" t="s">
        <v>140</v>
      </c>
      <c r="AB519" s="1120"/>
      <c r="AC519" s="1122" t="s">
        <v>78</v>
      </c>
      <c r="AD519" s="1122" t="s">
        <v>4423</v>
      </c>
      <c r="AE519" s="1122" t="s">
        <v>4423</v>
      </c>
      <c r="AF519" s="1120"/>
      <c r="AG519" s="1114"/>
      <c r="AH519" s="1115"/>
      <c r="AI519" s="1115"/>
      <c r="AJ519" s="1123">
        <f t="shared" ca="1" si="58"/>
        <v>78</v>
      </c>
      <c r="AK519" s="1123">
        <f t="shared" ca="1" si="59"/>
        <v>71</v>
      </c>
      <c r="AL519" s="1135" t="str">
        <f t="shared" si="60"/>
        <v>No Answer</v>
      </c>
      <c r="AM519" s="1124">
        <v>45586</v>
      </c>
      <c r="AN519" s="1125"/>
      <c r="AO519" s="1125"/>
      <c r="AP519" s="1125"/>
      <c r="AQ519" s="1125"/>
      <c r="AR519" s="1136" t="s">
        <v>1763</v>
      </c>
      <c r="AS519" s="1124">
        <v>45593</v>
      </c>
      <c r="AT519" s="11" t="s">
        <v>7</v>
      </c>
    </row>
    <row r="520" spans="1:46" s="98" customFormat="1" ht="12" customHeight="1" x14ac:dyDescent="0.3">
      <c r="A520" s="97"/>
      <c r="B520" s="16" cm="1">
        <f t="array" ref="B520">+_xlfn.IFS(D520="In Touch - Positive",2,D520="Pending",1,D520="No Answer",4,D520="In Touch - Negative",3)</f>
        <v>4</v>
      </c>
      <c r="C520" s="16" t="s">
        <v>5066</v>
      </c>
      <c r="D520" s="1132" t="str">
        <f t="shared" si="61"/>
        <v>No Answer</v>
      </c>
      <c r="E520" s="1133" t="s">
        <v>4936</v>
      </c>
      <c r="F520" s="1116"/>
      <c r="G520" s="13" t="s">
        <v>1159</v>
      </c>
      <c r="H520" s="1118" t="s">
        <v>4940</v>
      </c>
      <c r="I520" s="1117"/>
      <c r="J520" s="15" t="s">
        <v>1545</v>
      </c>
      <c r="K520" s="15" t="s">
        <v>4942</v>
      </c>
      <c r="L520" s="1114"/>
      <c r="M520" s="1114" t="s">
        <v>4947</v>
      </c>
      <c r="N520" s="1114" t="s">
        <v>4948</v>
      </c>
      <c r="O520" s="1114"/>
      <c r="P520" s="1114"/>
      <c r="Q520" s="1114"/>
      <c r="R520" s="1115"/>
      <c r="S520" s="1119" t="s">
        <v>77</v>
      </c>
      <c r="T520" s="1117">
        <v>2023</v>
      </c>
      <c r="U520" s="1120">
        <v>12.0989</v>
      </c>
      <c r="V520" s="1120">
        <v>2.1044999999999998</v>
      </c>
      <c r="W520" s="1134">
        <f t="shared" si="65"/>
        <v>0.1739414326922282</v>
      </c>
      <c r="X520" s="1120">
        <v>0.73255499999999996</v>
      </c>
      <c r="Y520" s="1120">
        <v>2.411969</v>
      </c>
      <c r="Z520" s="1115"/>
      <c r="AA520" s="1114" t="s">
        <v>140</v>
      </c>
      <c r="AB520" s="1120"/>
      <c r="AC520" s="1122" t="s">
        <v>78</v>
      </c>
      <c r="AD520" s="1122" t="s">
        <v>4423</v>
      </c>
      <c r="AE520" s="1122" t="s">
        <v>4423</v>
      </c>
      <c r="AF520" s="1120"/>
      <c r="AG520" s="1114"/>
      <c r="AH520" s="1115"/>
      <c r="AI520" s="1115"/>
      <c r="AJ520" s="1123">
        <f t="shared" ca="1" si="58"/>
        <v>78</v>
      </c>
      <c r="AK520" s="1123">
        <f t="shared" ca="1" si="59"/>
        <v>71</v>
      </c>
      <c r="AL520" s="1135" t="str">
        <f t="shared" si="60"/>
        <v>No Answer</v>
      </c>
      <c r="AM520" s="1124">
        <v>45586</v>
      </c>
      <c r="AN520" s="1125"/>
      <c r="AO520" s="1125"/>
      <c r="AP520" s="38"/>
      <c r="AQ520" s="1125"/>
      <c r="AR520" s="1136" t="s">
        <v>1763</v>
      </c>
      <c r="AS520" s="1124">
        <v>45593</v>
      </c>
      <c r="AT520" s="11" t="s">
        <v>7</v>
      </c>
    </row>
    <row r="521" spans="1:46" s="98" customFormat="1" ht="12" customHeight="1" x14ac:dyDescent="0.3">
      <c r="B521" s="16" cm="1">
        <f t="array" ref="B521">+_xlfn.IFS(D521="In Touch - Positive",2,D521="Pending",1,D521="No Answer",4,D521="In Touch - Negative",3)</f>
        <v>4</v>
      </c>
      <c r="C521" s="16" t="s">
        <v>2045</v>
      </c>
      <c r="D521" s="20" t="str">
        <f t="shared" si="61"/>
        <v>No Answer</v>
      </c>
      <c r="E521" s="12" t="s">
        <v>5259</v>
      </c>
      <c r="F521" s="20"/>
      <c r="G521" s="13" t="s">
        <v>333</v>
      </c>
      <c r="H521" s="14" t="s">
        <v>5260</v>
      </c>
      <c r="I521" s="13"/>
      <c r="J521" s="15" t="s">
        <v>2769</v>
      </c>
      <c r="K521" s="15" t="s">
        <v>5258</v>
      </c>
      <c r="L521" s="15"/>
      <c r="M521" s="15" t="s">
        <v>5261</v>
      </c>
      <c r="N521" s="15"/>
      <c r="O521" s="15"/>
      <c r="P521" s="15" t="s">
        <v>5261</v>
      </c>
      <c r="Q521" s="15"/>
      <c r="R521" s="16"/>
      <c r="S521" s="35" t="s">
        <v>77</v>
      </c>
      <c r="T521" s="13">
        <v>2023</v>
      </c>
      <c r="U521" s="17">
        <v>18.777638</v>
      </c>
      <c r="V521" s="17">
        <v>6.7937310000000002</v>
      </c>
      <c r="W521" s="248">
        <f t="shared" si="65"/>
        <v>0.36179901859861185</v>
      </c>
      <c r="X521" s="17">
        <v>4.5080669999999996</v>
      </c>
      <c r="Y521" s="17">
        <v>-2.9437150000000001</v>
      </c>
      <c r="Z521" s="16"/>
      <c r="AA521" s="15" t="s">
        <v>140</v>
      </c>
      <c r="AB521" s="17"/>
      <c r="AC521" s="21" t="s">
        <v>78</v>
      </c>
      <c r="AD521" s="21" t="s">
        <v>4423</v>
      </c>
      <c r="AE521" s="21" t="s">
        <v>4423</v>
      </c>
      <c r="AF521" s="17"/>
      <c r="AG521" s="15"/>
      <c r="AH521" s="16"/>
      <c r="AI521" s="16"/>
      <c r="AJ521" s="42">
        <f t="shared" ca="1" si="58"/>
        <v>57</v>
      </c>
      <c r="AK521" s="42">
        <f t="shared" ca="1" si="59"/>
        <v>43</v>
      </c>
      <c r="AL521" s="130" t="str">
        <f t="shared" si="60"/>
        <v>No Answer</v>
      </c>
      <c r="AM521" s="37">
        <v>45607</v>
      </c>
      <c r="AN521" s="38">
        <v>45608</v>
      </c>
      <c r="AO521" s="1125">
        <v>45614</v>
      </c>
      <c r="AP521" s="38">
        <v>45621</v>
      </c>
      <c r="AQ521" s="38" t="s">
        <v>65</v>
      </c>
      <c r="AR521" s="1221" t="s">
        <v>1763</v>
      </c>
      <c r="AS521" s="37">
        <v>45621</v>
      </c>
      <c r="AT521" s="11" t="s">
        <v>7</v>
      </c>
    </row>
    <row r="522" spans="1:46" s="98" customFormat="1" ht="12" customHeight="1" x14ac:dyDescent="0.3">
      <c r="A522" s="97"/>
      <c r="B522" s="16" cm="1">
        <f t="array" ref="B522">+_xlfn.IFS(D522="In Touch - Positive",2,D522="Pending",1,D522="No Answer",4,D522="In Touch - Negative",3)</f>
        <v>4</v>
      </c>
      <c r="C522" s="16" t="s">
        <v>2045</v>
      </c>
      <c r="D522" s="20" t="str">
        <f t="shared" si="61"/>
        <v>No Answer</v>
      </c>
      <c r="E522" s="12" t="s">
        <v>5266</v>
      </c>
      <c r="F522" s="20"/>
      <c r="G522" s="13" t="s">
        <v>333</v>
      </c>
      <c r="H522" s="13" t="s">
        <v>5263</v>
      </c>
      <c r="I522" s="13"/>
      <c r="J522" s="15" t="s">
        <v>251</v>
      </c>
      <c r="K522" s="15" t="s">
        <v>5262</v>
      </c>
      <c r="L522" s="15"/>
      <c r="M522" s="15" t="s">
        <v>5264</v>
      </c>
      <c r="N522" s="15" t="s">
        <v>5265</v>
      </c>
      <c r="O522" s="15"/>
      <c r="P522" s="15"/>
      <c r="Q522" s="15"/>
      <c r="R522" s="16"/>
      <c r="S522" s="35" t="s">
        <v>77</v>
      </c>
      <c r="T522" s="13">
        <v>2023</v>
      </c>
      <c r="U522" s="17">
        <v>15.592000000000001</v>
      </c>
      <c r="V522" s="17">
        <v>2.8106</v>
      </c>
      <c r="W522" s="248">
        <f t="shared" si="65"/>
        <v>0.18025910723447922</v>
      </c>
      <c r="X522" s="17">
        <v>1.83667</v>
      </c>
      <c r="Y522" s="17">
        <v>-6.9005000000000001</v>
      </c>
      <c r="Z522" s="16"/>
      <c r="AA522" s="15" t="s">
        <v>140</v>
      </c>
      <c r="AB522" s="17"/>
      <c r="AC522" s="21" t="s">
        <v>78</v>
      </c>
      <c r="AD522" s="21" t="s">
        <v>4423</v>
      </c>
      <c r="AE522" s="21" t="s">
        <v>4423</v>
      </c>
      <c r="AF522" s="17"/>
      <c r="AG522" s="15"/>
      <c r="AH522" s="16"/>
      <c r="AI522" s="16"/>
      <c r="AJ522" s="42">
        <f t="shared" ca="1" si="58"/>
        <v>57</v>
      </c>
      <c r="AK522" s="42">
        <f t="shared" ca="1" si="59"/>
        <v>43</v>
      </c>
      <c r="AL522" s="130" t="str">
        <f t="shared" si="60"/>
        <v>No Answer</v>
      </c>
      <c r="AM522" s="37">
        <v>45607</v>
      </c>
      <c r="AN522" s="38">
        <v>45608</v>
      </c>
      <c r="AO522" s="1125">
        <v>45614</v>
      </c>
      <c r="AP522" s="1236" t="s">
        <v>65</v>
      </c>
      <c r="AQ522" s="38" t="s">
        <v>65</v>
      </c>
      <c r="AR522" s="1221" t="s">
        <v>1763</v>
      </c>
      <c r="AS522" s="37">
        <v>45621</v>
      </c>
      <c r="AT522" s="11" t="s">
        <v>7</v>
      </c>
    </row>
    <row r="523" spans="1:46" s="98" customFormat="1" ht="12" customHeight="1" x14ac:dyDescent="0.3">
      <c r="B523" s="16" cm="1">
        <f t="array" ref="B523">+_xlfn.IFS(D523="In Touch - Positive",2,D523="Pending",1,D523="No Answer",4,D523="In Touch - Negative",3)</f>
        <v>4</v>
      </c>
      <c r="C523" s="16" t="s">
        <v>5066</v>
      </c>
      <c r="D523" s="1132" t="str">
        <f t="shared" si="61"/>
        <v>No Answer</v>
      </c>
      <c r="E523" s="1133" t="s">
        <v>4934</v>
      </c>
      <c r="F523" s="1116"/>
      <c r="G523" s="13" t="s">
        <v>109</v>
      </c>
      <c r="H523" s="1118" t="s">
        <v>4938</v>
      </c>
      <c r="I523" s="1117"/>
      <c r="J523" s="15" t="s">
        <v>1545</v>
      </c>
      <c r="K523" s="15" t="s">
        <v>4942</v>
      </c>
      <c r="L523" s="1162" t="s">
        <v>5077</v>
      </c>
      <c r="M523" s="1114" t="s">
        <v>4943</v>
      </c>
      <c r="N523" s="1114" t="s">
        <v>4944</v>
      </c>
      <c r="O523" s="1114"/>
      <c r="P523" s="1114"/>
      <c r="Q523" s="1114"/>
      <c r="R523" s="1115"/>
      <c r="S523" s="1119" t="s">
        <v>77</v>
      </c>
      <c r="T523" s="1117">
        <v>2023</v>
      </c>
      <c r="U523" s="1120">
        <v>18.173999999999999</v>
      </c>
      <c r="V523" s="1120">
        <v>3.956</v>
      </c>
      <c r="W523" s="1134">
        <f t="shared" si="65"/>
        <v>0.21767359964784858</v>
      </c>
      <c r="X523" s="1120">
        <v>2.1619000000000002</v>
      </c>
      <c r="Y523" s="1120">
        <v>0.78525</v>
      </c>
      <c r="Z523" s="1115"/>
      <c r="AA523" s="1114" t="s">
        <v>140</v>
      </c>
      <c r="AB523" s="1120"/>
      <c r="AC523" s="1122" t="s">
        <v>78</v>
      </c>
      <c r="AD523" s="1122" t="s">
        <v>4423</v>
      </c>
      <c r="AE523" s="1122" t="s">
        <v>4423</v>
      </c>
      <c r="AF523" s="1120"/>
      <c r="AG523" s="1114"/>
      <c r="AH523" s="1115"/>
      <c r="AI523" s="1115"/>
      <c r="AJ523" s="1123">
        <f t="shared" ca="1" si="58"/>
        <v>78</v>
      </c>
      <c r="AK523" s="1123">
        <f t="shared" ca="1" si="59"/>
        <v>57</v>
      </c>
      <c r="AL523" s="1135" t="str">
        <f t="shared" si="60"/>
        <v>No Answer</v>
      </c>
      <c r="AM523" s="1124">
        <v>45586</v>
      </c>
      <c r="AN523" s="1125">
        <v>45595</v>
      </c>
      <c r="AO523" s="1125">
        <v>45607</v>
      </c>
      <c r="AP523" s="1236" t="s">
        <v>65</v>
      </c>
      <c r="AQ523" s="1236" t="s">
        <v>65</v>
      </c>
      <c r="AR523" s="1136" t="s">
        <v>1763</v>
      </c>
      <c r="AS523" s="1124">
        <v>45607</v>
      </c>
      <c r="AT523" s="11" t="s">
        <v>7</v>
      </c>
    </row>
    <row r="524" spans="1:46" s="98" customFormat="1" ht="12" customHeight="1" x14ac:dyDescent="0.3">
      <c r="A524" s="97"/>
      <c r="B524" s="16" cm="1">
        <f t="array" ref="B524">+_xlfn.IFS(D524="In Touch - Positive",2,D524="Pending",1,D524="No Answer",4,D524="In Touch - Negative",3)</f>
        <v>4</v>
      </c>
      <c r="C524" s="16" t="s">
        <v>5067</v>
      </c>
      <c r="D524" s="99" t="str">
        <f t="shared" si="61"/>
        <v>No Answer</v>
      </c>
      <c r="E524" s="12" t="s">
        <v>4902</v>
      </c>
      <c r="F524" s="20"/>
      <c r="G524" s="13" t="s">
        <v>413</v>
      </c>
      <c r="H524" s="14" t="s">
        <v>4912</v>
      </c>
      <c r="I524" s="13"/>
      <c r="J524" s="15" t="s">
        <v>4907</v>
      </c>
      <c r="K524" s="15" t="s">
        <v>4908</v>
      </c>
      <c r="L524" s="15"/>
      <c r="M524" s="15" t="s">
        <v>4923</v>
      </c>
      <c r="N524" s="15" t="s">
        <v>4924</v>
      </c>
      <c r="O524" s="15"/>
      <c r="P524" s="15"/>
      <c r="Q524" s="15"/>
      <c r="R524" s="16"/>
      <c r="S524" s="35" t="s">
        <v>77</v>
      </c>
      <c r="T524" s="13">
        <v>2023</v>
      </c>
      <c r="U524" s="17">
        <v>3.449808</v>
      </c>
      <c r="V524" s="17">
        <v>0.82231600000000005</v>
      </c>
      <c r="W524" s="248">
        <f t="shared" si="65"/>
        <v>0.23836572933914005</v>
      </c>
      <c r="X524" s="17">
        <v>0.462752</v>
      </c>
      <c r="Y524" s="17">
        <v>0.99087900000000007</v>
      </c>
      <c r="Z524" s="16"/>
      <c r="AA524" s="15" t="s">
        <v>140</v>
      </c>
      <c r="AB524" s="17"/>
      <c r="AC524" s="21" t="s">
        <v>61</v>
      </c>
      <c r="AD524" s="21" t="s">
        <v>4423</v>
      </c>
      <c r="AE524" s="21" t="s">
        <v>4423</v>
      </c>
      <c r="AF524" s="17"/>
      <c r="AG524" s="15"/>
      <c r="AH524" s="16"/>
      <c r="AI524" s="16"/>
      <c r="AJ524" s="42">
        <f t="shared" ref="AJ524:AJ587" ca="1" si="66">+TODAY()-AM524</f>
        <v>78</v>
      </c>
      <c r="AK524" s="42">
        <f t="shared" ref="AK524:AK587" ca="1" si="67">+TODAY()-AS524</f>
        <v>57</v>
      </c>
      <c r="AL524" s="130" t="str">
        <f t="shared" ref="AL524:AL587" si="68">+IF(D524="Pending",COUNTA(AM524:AQ524)/5,D524)</f>
        <v>No Answer</v>
      </c>
      <c r="AM524" s="37">
        <v>45586</v>
      </c>
      <c r="AN524" s="38">
        <v>45595</v>
      </c>
      <c r="AO524" s="38">
        <v>45607</v>
      </c>
      <c r="AP524" s="1125">
        <v>45600</v>
      </c>
      <c r="AQ524" s="1236" t="s">
        <v>65</v>
      </c>
      <c r="AR524" s="101" t="s">
        <v>1763</v>
      </c>
      <c r="AS524" s="37">
        <v>45607</v>
      </c>
      <c r="AT524" s="11" t="s">
        <v>7</v>
      </c>
    </row>
    <row r="525" spans="1:46" s="98" customFormat="1" ht="12" customHeight="1" x14ac:dyDescent="0.3">
      <c r="B525" s="1115" cm="1">
        <f t="array" ref="B525">+_xlfn.IFS(D525="In Touch - Positive",2,D525="Pending",1,D525="No Answer",4,D525="In Touch - Negative",3)</f>
        <v>4</v>
      </c>
      <c r="C525" s="16" t="s">
        <v>2045</v>
      </c>
      <c r="D525" s="1132" t="str">
        <f t="shared" si="61"/>
        <v>No Answer</v>
      </c>
      <c r="E525" s="1133" t="s">
        <v>4859</v>
      </c>
      <c r="F525" s="1116"/>
      <c r="G525" s="1117" t="s">
        <v>195</v>
      </c>
      <c r="H525" s="1118" t="s">
        <v>4869</v>
      </c>
      <c r="I525" s="1117"/>
      <c r="J525" s="1114" t="s">
        <v>452</v>
      </c>
      <c r="K525" s="1114" t="s">
        <v>4868</v>
      </c>
      <c r="L525" s="1114" t="s">
        <v>4865</v>
      </c>
      <c r="M525" s="1114" t="s">
        <v>4862</v>
      </c>
      <c r="N525" s="1114"/>
      <c r="O525" s="1114"/>
      <c r="P525" s="1114"/>
      <c r="Q525" s="1114"/>
      <c r="R525" s="1115"/>
      <c r="S525" s="1119" t="s">
        <v>77</v>
      </c>
      <c r="T525" s="1117">
        <v>2023</v>
      </c>
      <c r="U525" s="1120">
        <v>25.52</v>
      </c>
      <c r="V525" s="1120">
        <v>2.5811999999999999</v>
      </c>
      <c r="W525" s="1134">
        <f t="shared" si="65"/>
        <v>0.10114420062695925</v>
      </c>
      <c r="X525" s="1120">
        <v>0.65</v>
      </c>
      <c r="Y525" s="1120">
        <v>12.613</v>
      </c>
      <c r="Z525" s="1115"/>
      <c r="AA525" s="1114" t="s">
        <v>140</v>
      </c>
      <c r="AB525" s="1120"/>
      <c r="AC525" s="1122" t="s">
        <v>78</v>
      </c>
      <c r="AD525" s="1122" t="s">
        <v>4423</v>
      </c>
      <c r="AE525" s="1122" t="s">
        <v>4423</v>
      </c>
      <c r="AF525" s="1120"/>
      <c r="AG525" s="1114"/>
      <c r="AH525" s="1115"/>
      <c r="AI525" s="1115"/>
      <c r="AJ525" s="1123">
        <f t="shared" ca="1" si="66"/>
        <v>78</v>
      </c>
      <c r="AK525" s="1123">
        <f t="shared" ca="1" si="67"/>
        <v>64</v>
      </c>
      <c r="AL525" s="1135" t="str">
        <f t="shared" si="68"/>
        <v>No Answer</v>
      </c>
      <c r="AM525" s="1124">
        <v>45586</v>
      </c>
      <c r="AN525" s="1125">
        <v>45586</v>
      </c>
      <c r="AO525" s="1125">
        <v>45593</v>
      </c>
      <c r="AP525" s="1125">
        <v>45600</v>
      </c>
      <c r="AQ525" s="38" t="s">
        <v>65</v>
      </c>
      <c r="AR525" s="1136" t="s">
        <v>1763</v>
      </c>
      <c r="AS525" s="1124">
        <v>45600</v>
      </c>
      <c r="AT525" s="11" t="s">
        <v>7</v>
      </c>
    </row>
    <row r="526" spans="1:46" s="98" customFormat="1" ht="12" customHeight="1" x14ac:dyDescent="0.3">
      <c r="B526" s="1115" cm="1">
        <f t="array" ref="B526">+_xlfn.IFS(D526="In Touch - Positive",2,D526="Pending",1,D526="No Answer",4,D526="In Touch - Negative",3)</f>
        <v>4</v>
      </c>
      <c r="C526" s="16" t="s">
        <v>2045</v>
      </c>
      <c r="D526" s="1132" t="str">
        <f t="shared" si="61"/>
        <v>No Answer</v>
      </c>
      <c r="E526" s="1133" t="s">
        <v>4861</v>
      </c>
      <c r="F526" s="1116"/>
      <c r="G526" s="1117" t="s">
        <v>376</v>
      </c>
      <c r="H526" s="1118" t="s">
        <v>4871</v>
      </c>
      <c r="I526" s="1117"/>
      <c r="J526" s="1114" t="s">
        <v>202</v>
      </c>
      <c r="K526" s="1114" t="s">
        <v>4866</v>
      </c>
      <c r="L526" s="1114" t="s">
        <v>4864</v>
      </c>
      <c r="M526" s="1114" t="s">
        <v>4864</v>
      </c>
      <c r="N526" s="1114"/>
      <c r="O526" s="1114"/>
      <c r="P526" s="1114"/>
      <c r="Q526" s="1114"/>
      <c r="R526" s="1115"/>
      <c r="S526" s="1119" t="s">
        <v>77</v>
      </c>
      <c r="T526" s="1117">
        <v>2023</v>
      </c>
      <c r="U526" s="1120">
        <v>22.975999999999999</v>
      </c>
      <c r="V526" s="1120">
        <v>3.0583</v>
      </c>
      <c r="W526" s="1134">
        <f t="shared" si="65"/>
        <v>0.13310846100278553</v>
      </c>
      <c r="X526" s="1120">
        <v>1.9187000000000001</v>
      </c>
      <c r="Y526" s="1120">
        <v>0.34369499999999997</v>
      </c>
      <c r="Z526" s="1115"/>
      <c r="AA526" s="1114" t="s">
        <v>140</v>
      </c>
      <c r="AB526" s="1120"/>
      <c r="AC526" s="1122" t="s">
        <v>78</v>
      </c>
      <c r="AD526" s="1122" t="s">
        <v>4423</v>
      </c>
      <c r="AE526" s="1122" t="s">
        <v>4423</v>
      </c>
      <c r="AF526" s="1120"/>
      <c r="AG526" s="1114"/>
      <c r="AH526" s="1115"/>
      <c r="AI526" s="1115"/>
      <c r="AJ526" s="1123">
        <f t="shared" ca="1" si="66"/>
        <v>78</v>
      </c>
      <c r="AK526" s="1123">
        <f t="shared" ca="1" si="67"/>
        <v>64</v>
      </c>
      <c r="AL526" s="1135" t="str">
        <f t="shared" si="68"/>
        <v>No Answer</v>
      </c>
      <c r="AM526" s="1124">
        <v>45586</v>
      </c>
      <c r="AN526" s="1125">
        <v>45586</v>
      </c>
      <c r="AO526" s="1125">
        <v>45593</v>
      </c>
      <c r="AP526" s="888" t="s">
        <v>65</v>
      </c>
      <c r="AQ526" s="38" t="s">
        <v>65</v>
      </c>
      <c r="AR526" s="1136" t="s">
        <v>1763</v>
      </c>
      <c r="AS526" s="1124">
        <v>45600</v>
      </c>
      <c r="AT526" s="11" t="s">
        <v>7</v>
      </c>
    </row>
    <row r="527" spans="1:46" s="98" customFormat="1" ht="12" customHeight="1" x14ac:dyDescent="0.3">
      <c r="B527" s="1115" cm="1">
        <f t="array" ref="B527">+_xlfn.IFS(D527="In Touch - Positive",2,D527="Pending",1,D527="No Answer",4,D527="In Touch - Negative",3)</f>
        <v>4</v>
      </c>
      <c r="C527" s="1115"/>
      <c r="D527" s="1132" t="str">
        <f t="shared" si="61"/>
        <v>No Answer</v>
      </c>
      <c r="E527" s="1133" t="s">
        <v>4860</v>
      </c>
      <c r="F527" s="1116"/>
      <c r="G527" s="1117" t="s">
        <v>333</v>
      </c>
      <c r="H527" s="1118" t="s">
        <v>4870</v>
      </c>
      <c r="I527" s="1117"/>
      <c r="J527" s="1114" t="s">
        <v>750</v>
      </c>
      <c r="K527" s="1114" t="s">
        <v>4867</v>
      </c>
      <c r="L527" s="1114" t="s">
        <v>4863</v>
      </c>
      <c r="M527" s="1114" t="s">
        <v>4863</v>
      </c>
      <c r="N527" s="1114"/>
      <c r="O527" s="1114"/>
      <c r="P527" s="1114"/>
      <c r="Q527" s="1114"/>
      <c r="R527" s="1115"/>
      <c r="S527" s="1119" t="s">
        <v>77</v>
      </c>
      <c r="T527" s="1117">
        <v>2022</v>
      </c>
      <c r="U527" s="1120">
        <v>16.479700000000001</v>
      </c>
      <c r="V527" s="1120">
        <v>3.030681</v>
      </c>
      <c r="W527" s="1134">
        <f t="shared" si="65"/>
        <v>0.18390389388156336</v>
      </c>
      <c r="X527" s="1120">
        <v>1.78</v>
      </c>
      <c r="Y527" s="1120">
        <v>-7.4747399999999997</v>
      </c>
      <c r="Z527" s="1115"/>
      <c r="AA527" s="1114" t="s">
        <v>140</v>
      </c>
      <c r="AB527" s="1120"/>
      <c r="AC527" s="1122" t="s">
        <v>78</v>
      </c>
      <c r="AD527" s="1122" t="s">
        <v>4423</v>
      </c>
      <c r="AE527" s="1122" t="s">
        <v>4423</v>
      </c>
      <c r="AF527" s="1120"/>
      <c r="AG527" s="1114"/>
      <c r="AH527" s="1115"/>
      <c r="AI527" s="1115"/>
      <c r="AJ527" s="1123">
        <f t="shared" ca="1" si="66"/>
        <v>78</v>
      </c>
      <c r="AK527" s="1123">
        <f t="shared" ca="1" si="67"/>
        <v>78</v>
      </c>
      <c r="AL527" s="1135" t="str">
        <f t="shared" si="68"/>
        <v>No Answer</v>
      </c>
      <c r="AM527" s="1124">
        <v>45586</v>
      </c>
      <c r="AN527" s="1125">
        <v>45586</v>
      </c>
      <c r="AO527" s="1125">
        <v>45593</v>
      </c>
      <c r="AP527" s="38" t="s">
        <v>65</v>
      </c>
      <c r="AQ527" s="888" t="s">
        <v>65</v>
      </c>
      <c r="AR527" s="1136" t="s">
        <v>1763</v>
      </c>
      <c r="AS527" s="1124">
        <v>45586</v>
      </c>
      <c r="AT527" s="11" t="s">
        <v>7</v>
      </c>
    </row>
    <row r="528" spans="1:46" s="98" customFormat="1" ht="12" customHeight="1" x14ac:dyDescent="0.3">
      <c r="B528" s="16" cm="1">
        <f t="array" ref="B528">+_xlfn.IFS(D528="In Touch - Positive",2,D528="Pending",1,D528="No Answer",4,D528="In Touch - Negative",3)</f>
        <v>4</v>
      </c>
      <c r="C528" s="16"/>
      <c r="D528" s="99" t="str">
        <f t="shared" si="61"/>
        <v>No Answer</v>
      </c>
      <c r="E528" s="12" t="s">
        <v>4687</v>
      </c>
      <c r="F528" s="20"/>
      <c r="G528" s="13" t="s">
        <v>508</v>
      </c>
      <c r="H528" s="14" t="s">
        <v>4691</v>
      </c>
      <c r="I528" s="13"/>
      <c r="J528" s="15" t="s">
        <v>2769</v>
      </c>
      <c r="K528" s="15" t="s">
        <v>4696</v>
      </c>
      <c r="L528" s="15" t="s">
        <v>4700</v>
      </c>
      <c r="M528" s="15" t="s">
        <v>4700</v>
      </c>
      <c r="N528" s="15" t="s">
        <v>4703</v>
      </c>
      <c r="O528" s="15"/>
      <c r="P528" s="15"/>
      <c r="Q528" s="15"/>
      <c r="R528" s="16"/>
      <c r="S528" s="35" t="s">
        <v>77</v>
      </c>
      <c r="T528" s="13">
        <v>2023</v>
      </c>
      <c r="U528" s="17">
        <v>26.327000000000002</v>
      </c>
      <c r="V528" s="17">
        <v>5.642436</v>
      </c>
      <c r="W528" s="248">
        <f t="shared" si="65"/>
        <v>0.21432126714019825</v>
      </c>
      <c r="X528" s="17">
        <v>3.3633609999999998</v>
      </c>
      <c r="Y528" s="17">
        <v>-14</v>
      </c>
      <c r="Z528" s="16"/>
      <c r="AA528" s="15" t="s">
        <v>140</v>
      </c>
      <c r="AB528" s="17"/>
      <c r="AC528" s="21" t="s">
        <v>78</v>
      </c>
      <c r="AD528" s="21" t="s">
        <v>4423</v>
      </c>
      <c r="AE528" s="21" t="s">
        <v>4423</v>
      </c>
      <c r="AF528" s="17"/>
      <c r="AG528" s="15"/>
      <c r="AH528" s="16"/>
      <c r="AI528" s="16"/>
      <c r="AJ528" s="42">
        <f t="shared" ca="1" si="66"/>
        <v>85</v>
      </c>
      <c r="AK528" s="42">
        <f t="shared" ca="1" si="67"/>
        <v>78</v>
      </c>
      <c r="AL528" s="130" t="str">
        <f t="shared" si="68"/>
        <v>No Answer</v>
      </c>
      <c r="AM528" s="37">
        <v>45579</v>
      </c>
      <c r="AN528" s="38">
        <v>45579</v>
      </c>
      <c r="AO528" s="38">
        <v>45586</v>
      </c>
      <c r="AP528" s="1125" t="s">
        <v>65</v>
      </c>
      <c r="AQ528" s="38" t="s">
        <v>65</v>
      </c>
      <c r="AR528" s="101" t="s">
        <v>1763</v>
      </c>
      <c r="AS528" s="37">
        <v>45586</v>
      </c>
      <c r="AT528" s="11" t="s">
        <v>7</v>
      </c>
    </row>
    <row r="529" spans="1:55" s="98" customFormat="1" ht="12" customHeight="1" x14ac:dyDescent="0.3">
      <c r="B529" s="986" cm="1">
        <f t="array" ref="B529">+_xlfn.IFS(D529="In Touch - Positive",2,D529="Pending",1,D529="No Answer",4,D529="In Touch - Negative",3)</f>
        <v>4</v>
      </c>
      <c r="C529" s="986"/>
      <c r="D529" s="1003" t="str">
        <f t="shared" si="61"/>
        <v>No Answer</v>
      </c>
      <c r="E529" s="1000" t="s">
        <v>4635</v>
      </c>
      <c r="F529" s="987"/>
      <c r="G529" s="13" t="s">
        <v>333</v>
      </c>
      <c r="H529" s="989" t="s">
        <v>4638</v>
      </c>
      <c r="I529" s="988"/>
      <c r="J529" s="15" t="s">
        <v>4642</v>
      </c>
      <c r="K529" s="15" t="s">
        <v>4643</v>
      </c>
      <c r="L529" s="990"/>
      <c r="M529" s="990" t="s">
        <v>4646</v>
      </c>
      <c r="N529" s="990" t="s">
        <v>4647</v>
      </c>
      <c r="O529" s="990"/>
      <c r="P529" s="990"/>
      <c r="Q529" s="990"/>
      <c r="R529" s="986"/>
      <c r="S529" s="991" t="s">
        <v>77</v>
      </c>
      <c r="T529" s="988">
        <v>2023</v>
      </c>
      <c r="U529" s="992">
        <v>22.93</v>
      </c>
      <c r="V529" s="992">
        <v>3.6680000000000001</v>
      </c>
      <c r="W529" s="1004">
        <f t="shared" si="65"/>
        <v>0.15996511120802442</v>
      </c>
      <c r="X529" s="992">
        <v>1.5720000000000001</v>
      </c>
      <c r="Y529" s="992">
        <v>-4.444</v>
      </c>
      <c r="Z529" s="986"/>
      <c r="AA529" s="990" t="s">
        <v>140</v>
      </c>
      <c r="AB529" s="992"/>
      <c r="AC529" s="994" t="s">
        <v>78</v>
      </c>
      <c r="AD529" s="994" t="s">
        <v>4423</v>
      </c>
      <c r="AE529" s="994" t="s">
        <v>4423</v>
      </c>
      <c r="AF529" s="992"/>
      <c r="AG529" s="990"/>
      <c r="AH529" s="986"/>
      <c r="AI529" s="986"/>
      <c r="AJ529" s="995">
        <f t="shared" ca="1" si="66"/>
        <v>92</v>
      </c>
      <c r="AK529" s="995">
        <f t="shared" ca="1" si="67"/>
        <v>85</v>
      </c>
      <c r="AL529" s="1005" t="str">
        <f t="shared" si="68"/>
        <v>No Answer</v>
      </c>
      <c r="AM529" s="996">
        <v>45572</v>
      </c>
      <c r="AN529" s="997">
        <v>45572</v>
      </c>
      <c r="AO529" s="997">
        <v>45579</v>
      </c>
      <c r="AP529" s="888"/>
      <c r="AQ529" s="1125" t="s">
        <v>65</v>
      </c>
      <c r="AR529" s="1006" t="s">
        <v>1763</v>
      </c>
      <c r="AS529" s="996">
        <v>45579</v>
      </c>
      <c r="AT529" s="11" t="s">
        <v>7</v>
      </c>
    </row>
    <row r="530" spans="1:55" s="98" customFormat="1" ht="12" customHeight="1" x14ac:dyDescent="0.3">
      <c r="B530" s="890" cm="1">
        <f t="array" ref="B530">+_xlfn.IFS(D530="In Touch - Positive",2,D530="Pending",1,D530="No Answer",4,D530="In Touch - Negative",3)</f>
        <v>4</v>
      </c>
      <c r="C530" s="16"/>
      <c r="D530" s="891" t="str">
        <f t="shared" si="61"/>
        <v>No Answer</v>
      </c>
      <c r="E530" s="892" t="s">
        <v>4457</v>
      </c>
      <c r="F530" s="893"/>
      <c r="G530" s="894" t="s">
        <v>1446</v>
      </c>
      <c r="H530" s="895" t="s">
        <v>4459</v>
      </c>
      <c r="I530" s="894"/>
      <c r="J530" s="896" t="s">
        <v>2769</v>
      </c>
      <c r="K530" s="896" t="s">
        <v>4460</v>
      </c>
      <c r="L530" s="15" t="s">
        <v>4628</v>
      </c>
      <c r="M530" s="896" t="s">
        <v>4462</v>
      </c>
      <c r="N530" s="896" t="s">
        <v>4463</v>
      </c>
      <c r="O530" s="896" t="s">
        <v>4462</v>
      </c>
      <c r="P530" s="896" t="s">
        <v>4462</v>
      </c>
      <c r="Q530" s="896" t="s">
        <v>4464</v>
      </c>
      <c r="R530" s="890"/>
      <c r="S530" s="897" t="s">
        <v>77</v>
      </c>
      <c r="T530" s="894">
        <v>2023</v>
      </c>
      <c r="U530" s="887">
        <v>17.907</v>
      </c>
      <c r="V530" s="887">
        <v>2.2040000000000002</v>
      </c>
      <c r="W530" s="898">
        <f t="shared" si="65"/>
        <v>0.12308035963589659</v>
      </c>
      <c r="X530" s="887">
        <v>1.4370000000000001</v>
      </c>
      <c r="Y530" s="887">
        <v>0.55700000000000005</v>
      </c>
      <c r="Z530" s="890"/>
      <c r="AA530" s="896" t="s">
        <v>140</v>
      </c>
      <c r="AB530" s="887"/>
      <c r="AC530" s="994" t="s">
        <v>78</v>
      </c>
      <c r="AD530" s="899" t="s">
        <v>4423</v>
      </c>
      <c r="AE530" s="899" t="s">
        <v>4423</v>
      </c>
      <c r="AF530" s="887"/>
      <c r="AG530" s="896"/>
      <c r="AH530" s="890"/>
      <c r="AI530" s="890"/>
      <c r="AJ530" s="900">
        <f t="shared" ca="1" si="66"/>
        <v>113</v>
      </c>
      <c r="AK530" s="900">
        <f t="shared" ca="1" si="67"/>
        <v>92</v>
      </c>
      <c r="AL530" s="901" t="str">
        <f t="shared" si="68"/>
        <v>No Answer</v>
      </c>
      <c r="AM530" s="902">
        <v>45551</v>
      </c>
      <c r="AN530" s="888">
        <v>45559</v>
      </c>
      <c r="AO530" s="997">
        <v>45572</v>
      </c>
      <c r="AP530" s="997"/>
      <c r="AQ530" s="888"/>
      <c r="AR530" s="903" t="s">
        <v>1763</v>
      </c>
      <c r="AS530" s="902">
        <v>45572</v>
      </c>
      <c r="AT530" s="11" t="s">
        <v>7</v>
      </c>
    </row>
    <row r="531" spans="1:55" s="98" customFormat="1" x14ac:dyDescent="0.3">
      <c r="A531" s="16"/>
      <c r="B531" s="986" cm="1">
        <f t="array" ref="B531">+_xlfn.IFS(D531="In Touch - Positive",2,D531="Pending",1,D531="No Answer",4,D531="In Touch - Negative",3)</f>
        <v>4</v>
      </c>
      <c r="C531" s="986"/>
      <c r="D531" s="1003" t="str">
        <f t="shared" si="61"/>
        <v>No Answer</v>
      </c>
      <c r="E531" s="1000" t="s">
        <v>4584</v>
      </c>
      <c r="F531" s="987"/>
      <c r="G531" s="988" t="s">
        <v>333</v>
      </c>
      <c r="H531" s="989" t="s">
        <v>4588</v>
      </c>
      <c r="I531" s="988"/>
      <c r="J531" s="990" t="s">
        <v>1817</v>
      </c>
      <c r="K531" s="990" t="s">
        <v>4593</v>
      </c>
      <c r="L531" s="990"/>
      <c r="M531" s="990" t="s">
        <v>4596</v>
      </c>
      <c r="N531" s="990" t="s">
        <v>4597</v>
      </c>
      <c r="O531" s="990"/>
      <c r="P531" s="990"/>
      <c r="Q531" s="990"/>
      <c r="R531" s="986"/>
      <c r="S531" s="991" t="s">
        <v>77</v>
      </c>
      <c r="T531" s="988">
        <v>2023</v>
      </c>
      <c r="U531" s="992">
        <v>69.697846999999996</v>
      </c>
      <c r="V531" s="992">
        <v>6.7709510000000002</v>
      </c>
      <c r="W531" s="1004">
        <f t="shared" si="65"/>
        <v>9.714720456142642E-2</v>
      </c>
      <c r="X531" s="992">
        <v>7.9541000000000001E-2</v>
      </c>
      <c r="Y531" s="992">
        <v>19.181159999999998</v>
      </c>
      <c r="Z531" s="986"/>
      <c r="AA531" s="990" t="s">
        <v>140</v>
      </c>
      <c r="AB531" s="992"/>
      <c r="AC531" s="994" t="s">
        <v>78</v>
      </c>
      <c r="AD531" s="994" t="s">
        <v>4423</v>
      </c>
      <c r="AE531" s="994" t="s">
        <v>4423</v>
      </c>
      <c r="AF531" s="992"/>
      <c r="AG531" s="990"/>
      <c r="AH531" s="986"/>
      <c r="AI531" s="986"/>
      <c r="AJ531" s="995">
        <f t="shared" ca="1" si="66"/>
        <v>103</v>
      </c>
      <c r="AK531" s="995">
        <f t="shared" ca="1" si="67"/>
        <v>92</v>
      </c>
      <c r="AL531" s="1005" t="str">
        <f t="shared" si="68"/>
        <v>No Answer</v>
      </c>
      <c r="AM531" s="996">
        <v>45561</v>
      </c>
      <c r="AN531" s="997">
        <v>45565</v>
      </c>
      <c r="AO531" s="997">
        <v>45572</v>
      </c>
      <c r="AP531" s="997"/>
      <c r="AQ531" s="997"/>
      <c r="AR531" s="903" t="s">
        <v>1763</v>
      </c>
      <c r="AS531" s="996">
        <v>45572</v>
      </c>
      <c r="AT531" s="11" t="s">
        <v>7</v>
      </c>
    </row>
    <row r="532" spans="1:55" s="98" customFormat="1" x14ac:dyDescent="0.3">
      <c r="B532" s="986" cm="1">
        <f t="array" ref="B532">+_xlfn.IFS(D532="In Touch - Positive",2,D532="Pending",1,D532="No Answer",4,D532="In Touch - Negative",3)</f>
        <v>4</v>
      </c>
      <c r="C532" s="986"/>
      <c r="D532" s="1003" t="str">
        <f t="shared" si="61"/>
        <v>No Answer</v>
      </c>
      <c r="E532" s="1000" t="s">
        <v>4585</v>
      </c>
      <c r="F532" s="987"/>
      <c r="G532" s="988" t="s">
        <v>2656</v>
      </c>
      <c r="H532" s="989" t="s">
        <v>4589</v>
      </c>
      <c r="I532" s="988"/>
      <c r="J532" s="990" t="s">
        <v>3014</v>
      </c>
      <c r="K532" s="990" t="s">
        <v>4594</v>
      </c>
      <c r="L532" s="990"/>
      <c r="M532" s="990" t="s">
        <v>4598</v>
      </c>
      <c r="N532" s="990" t="s">
        <v>4599</v>
      </c>
      <c r="O532" s="990"/>
      <c r="P532" s="990"/>
      <c r="Q532" s="990"/>
      <c r="R532" s="986"/>
      <c r="S532" s="991" t="s">
        <v>77</v>
      </c>
      <c r="T532" s="988">
        <v>2023</v>
      </c>
      <c r="U532" s="992">
        <v>39.849600000000002</v>
      </c>
      <c r="V532" s="992">
        <v>5.9329749999999999</v>
      </c>
      <c r="W532" s="1004">
        <f t="shared" si="65"/>
        <v>0.14888417951497629</v>
      </c>
      <c r="X532" s="992">
        <v>4.3520529999999997</v>
      </c>
      <c r="Y532" s="992">
        <v>0.554956</v>
      </c>
      <c r="Z532" s="986"/>
      <c r="AA532" s="990" t="s">
        <v>140</v>
      </c>
      <c r="AB532" s="992"/>
      <c r="AC532" s="994" t="s">
        <v>78</v>
      </c>
      <c r="AD532" s="994" t="s">
        <v>4423</v>
      </c>
      <c r="AE532" s="994" t="s">
        <v>4423</v>
      </c>
      <c r="AF532" s="992"/>
      <c r="AG532" s="990"/>
      <c r="AH532" s="986"/>
      <c r="AI532" s="986"/>
      <c r="AJ532" s="995">
        <f t="shared" ca="1" si="66"/>
        <v>103</v>
      </c>
      <c r="AK532" s="995">
        <f t="shared" ca="1" si="67"/>
        <v>92</v>
      </c>
      <c r="AL532" s="1005" t="str">
        <f t="shared" si="68"/>
        <v>No Answer</v>
      </c>
      <c r="AM532" s="996">
        <v>45561</v>
      </c>
      <c r="AN532" s="997">
        <v>45565</v>
      </c>
      <c r="AO532" s="997">
        <v>45572</v>
      </c>
      <c r="AP532" s="997"/>
      <c r="AQ532" s="997"/>
      <c r="AR532" s="903" t="s">
        <v>1763</v>
      </c>
      <c r="AS532" s="996">
        <v>45572</v>
      </c>
      <c r="AT532" s="11" t="s">
        <v>7</v>
      </c>
    </row>
    <row r="533" spans="1:55" s="98" customFormat="1" x14ac:dyDescent="0.3">
      <c r="A533" s="16"/>
      <c r="B533" s="986" cm="1">
        <f t="array" ref="B533">+_xlfn.IFS(D533="In Touch - Positive",2,D533="Pending",1,D533="No Answer",4,D533="In Touch - Negative",3)</f>
        <v>4</v>
      </c>
      <c r="C533" s="986"/>
      <c r="D533" s="1003" t="str">
        <f t="shared" ref="D533:D596" si="69">+AR533</f>
        <v>No Answer</v>
      </c>
      <c r="E533" s="1000" t="s">
        <v>4586</v>
      </c>
      <c r="F533" s="987"/>
      <c r="G533" s="988" t="s">
        <v>2656</v>
      </c>
      <c r="H533" s="989" t="s">
        <v>4590</v>
      </c>
      <c r="I533" s="988"/>
      <c r="J533" s="990" t="s">
        <v>4414</v>
      </c>
      <c r="K533" s="990" t="s">
        <v>4595</v>
      </c>
      <c r="L533" s="990"/>
      <c r="M533" s="990" t="s">
        <v>4600</v>
      </c>
      <c r="N533" s="990" t="s">
        <v>4601</v>
      </c>
      <c r="O533" s="990"/>
      <c r="P533" s="990"/>
      <c r="Q533" s="990"/>
      <c r="R533" s="986"/>
      <c r="S533" s="991" t="s">
        <v>77</v>
      </c>
      <c r="T533" s="988">
        <v>2023</v>
      </c>
      <c r="U533" s="992">
        <v>22.222000000000001</v>
      </c>
      <c r="V533" s="992">
        <v>4.4080000000000004</v>
      </c>
      <c r="W533" s="1004">
        <f t="shared" si="65"/>
        <v>0.1983619836198362</v>
      </c>
      <c r="X533" s="992">
        <v>2.8050000000000002</v>
      </c>
      <c r="Y533" s="992">
        <v>-5.5919999999999996</v>
      </c>
      <c r="Z533" s="986"/>
      <c r="AA533" s="990" t="s">
        <v>140</v>
      </c>
      <c r="AB533" s="992"/>
      <c r="AC533" s="994" t="s">
        <v>78</v>
      </c>
      <c r="AD533" s="994" t="s">
        <v>4423</v>
      </c>
      <c r="AE533" s="994" t="s">
        <v>4423</v>
      </c>
      <c r="AF533" s="992"/>
      <c r="AG533" s="990"/>
      <c r="AH533" s="986"/>
      <c r="AI533" s="986"/>
      <c r="AJ533" s="995">
        <f t="shared" ca="1" si="66"/>
        <v>103</v>
      </c>
      <c r="AK533" s="995">
        <f t="shared" ca="1" si="67"/>
        <v>92</v>
      </c>
      <c r="AL533" s="1005" t="str">
        <f t="shared" si="68"/>
        <v>No Answer</v>
      </c>
      <c r="AM533" s="996">
        <v>45561</v>
      </c>
      <c r="AN533" s="997">
        <v>45565</v>
      </c>
      <c r="AO533" s="997">
        <v>45572</v>
      </c>
      <c r="AP533" s="38"/>
      <c r="AQ533" s="997"/>
      <c r="AR533" s="903" t="s">
        <v>1763</v>
      </c>
      <c r="AS533" s="996">
        <v>45572</v>
      </c>
      <c r="AT533" s="11" t="s">
        <v>7</v>
      </c>
    </row>
    <row r="534" spans="1:55" s="98" customFormat="1" x14ac:dyDescent="0.3">
      <c r="B534" s="16" cm="1">
        <f t="array" ref="B534">+_xlfn.IFS(D534="In Touch - Positive",2,D534="Pending",1,D534="No Answer",4,D534="In Touch - Negative",3)</f>
        <v>4</v>
      </c>
      <c r="C534" s="16" t="s">
        <v>4420</v>
      </c>
      <c r="D534" s="99" t="str">
        <f t="shared" si="69"/>
        <v>No Answer</v>
      </c>
      <c r="E534" s="12" t="s">
        <v>4609</v>
      </c>
      <c r="F534" s="20"/>
      <c r="G534" s="13" t="s">
        <v>4610</v>
      </c>
      <c r="H534" s="14"/>
      <c r="I534" s="13"/>
      <c r="J534" s="15" t="s">
        <v>4550</v>
      </c>
      <c r="K534" s="15" t="s">
        <v>4611</v>
      </c>
      <c r="L534" s="15"/>
      <c r="M534" s="15"/>
      <c r="N534" s="15"/>
      <c r="O534" s="15"/>
      <c r="P534" s="15"/>
      <c r="Q534" s="15"/>
      <c r="R534" s="16"/>
      <c r="S534" s="35"/>
      <c r="T534" s="13"/>
      <c r="U534" s="17"/>
      <c r="V534" s="17"/>
      <c r="W534" s="248"/>
      <c r="X534" s="17"/>
      <c r="Y534" s="17"/>
      <c r="Z534" s="16"/>
      <c r="AA534" s="15" t="s">
        <v>140</v>
      </c>
      <c r="AB534" s="17"/>
      <c r="AC534" s="21" t="s">
        <v>3598</v>
      </c>
      <c r="AD534" s="21" t="s">
        <v>128</v>
      </c>
      <c r="AE534" s="21" t="s">
        <v>128</v>
      </c>
      <c r="AF534" s="17"/>
      <c r="AG534" s="15"/>
      <c r="AH534" s="16"/>
      <c r="AI534" s="16"/>
      <c r="AJ534" s="42">
        <f t="shared" ca="1" si="66"/>
        <v>106</v>
      </c>
      <c r="AK534" s="928">
        <f t="shared" ca="1" si="67"/>
        <v>106</v>
      </c>
      <c r="AL534" s="130" t="str">
        <f t="shared" si="68"/>
        <v>No Answer</v>
      </c>
      <c r="AM534" s="37">
        <v>45558</v>
      </c>
      <c r="AN534" s="38">
        <v>45565</v>
      </c>
      <c r="AO534" s="38">
        <v>45568</v>
      </c>
      <c r="AP534" s="1010"/>
      <c r="AQ534" s="38"/>
      <c r="AR534" s="101" t="s">
        <v>1763</v>
      </c>
      <c r="AS534" s="37">
        <v>45558</v>
      </c>
      <c r="AT534" s="11" t="s">
        <v>7</v>
      </c>
    </row>
    <row r="535" spans="1:55" s="271" customFormat="1" ht="10.5" customHeight="1" x14ac:dyDescent="0.35">
      <c r="A535" s="16"/>
      <c r="B535" s="1012" cm="1">
        <f t="array" ref="B535">+_xlfn.IFS(D535="In Touch - Positive",2,D535="Pending",1,D535="No Answer",4,D535="In Touch - Negative",3)</f>
        <v>4</v>
      </c>
      <c r="C535" s="1012" t="s">
        <v>4420</v>
      </c>
      <c r="D535" s="1033" t="str">
        <f t="shared" si="69"/>
        <v>No Answer</v>
      </c>
      <c r="E535" s="1034" t="s">
        <v>4568</v>
      </c>
      <c r="F535" s="1013"/>
      <c r="G535" s="1014" t="s">
        <v>288</v>
      </c>
      <c r="H535" s="1015"/>
      <c r="I535" s="1014"/>
      <c r="J535" s="1016" t="s">
        <v>4550</v>
      </c>
      <c r="K535" s="1016" t="s">
        <v>4549</v>
      </c>
      <c r="L535" s="1016"/>
      <c r="M535" s="1016"/>
      <c r="N535" s="1016"/>
      <c r="O535" s="1016"/>
      <c r="P535" s="1016"/>
      <c r="Q535" s="1016"/>
      <c r="R535" s="1012"/>
      <c r="S535" s="1017"/>
      <c r="T535" s="1014"/>
      <c r="U535" s="1018"/>
      <c r="V535" s="1018"/>
      <c r="W535" s="1035"/>
      <c r="X535" s="1018"/>
      <c r="Y535" s="1018"/>
      <c r="Z535" s="1012"/>
      <c r="AA535" s="1016" t="s">
        <v>140</v>
      </c>
      <c r="AB535" s="1018"/>
      <c r="AC535" s="1019" t="s">
        <v>3598</v>
      </c>
      <c r="AD535" s="1019" t="s">
        <v>128</v>
      </c>
      <c r="AE535" s="1019" t="s">
        <v>128</v>
      </c>
      <c r="AF535" s="1018"/>
      <c r="AG535" s="1016"/>
      <c r="AH535" s="1012"/>
      <c r="AI535" s="1012"/>
      <c r="AJ535" s="1011">
        <f t="shared" ca="1" si="66"/>
        <v>106</v>
      </c>
      <c r="AK535" s="1011">
        <f t="shared" ca="1" si="67"/>
        <v>83</v>
      </c>
      <c r="AL535" s="1036" t="str">
        <f t="shared" si="68"/>
        <v>No Answer</v>
      </c>
      <c r="AM535" s="1009">
        <v>45558</v>
      </c>
      <c r="AN535" s="1010">
        <v>45574</v>
      </c>
      <c r="AO535" s="1125">
        <v>45581</v>
      </c>
      <c r="AP535" s="888"/>
      <c r="AQ535" s="1010"/>
      <c r="AR535" s="1037" t="s">
        <v>1763</v>
      </c>
      <c r="AS535" s="1125">
        <v>45581</v>
      </c>
      <c r="AT535" s="11"/>
    </row>
    <row r="536" spans="1:55" s="271" customFormat="1" ht="10.5" customHeight="1" x14ac:dyDescent="0.35">
      <c r="A536" s="16"/>
      <c r="B536" s="890" cm="1">
        <f t="array" ref="B536">+_xlfn.IFS(D536="In Touch - Positive",2,D536="Pending",1,D536="No Answer",4,D536="In Touch - Negative",3)</f>
        <v>4</v>
      </c>
      <c r="C536" s="16" t="s">
        <v>4420</v>
      </c>
      <c r="D536" s="891" t="str">
        <f t="shared" si="69"/>
        <v>No Answer</v>
      </c>
      <c r="E536" s="892" t="s">
        <v>4542</v>
      </c>
      <c r="F536" s="893"/>
      <c r="G536" s="13" t="s">
        <v>308</v>
      </c>
      <c r="H536" s="895"/>
      <c r="I536" s="894"/>
      <c r="J536" s="15" t="s">
        <v>4550</v>
      </c>
      <c r="K536" s="896" t="s">
        <v>4549</v>
      </c>
      <c r="L536" s="896"/>
      <c r="M536" s="896"/>
      <c r="N536" s="896"/>
      <c r="O536" s="896"/>
      <c r="P536" s="896"/>
      <c r="Q536" s="896"/>
      <c r="R536" s="890"/>
      <c r="S536" s="897"/>
      <c r="T536" s="894"/>
      <c r="U536" s="887"/>
      <c r="V536" s="887"/>
      <c r="W536" s="898"/>
      <c r="X536" s="887"/>
      <c r="Y536" s="887"/>
      <c r="Z536" s="890"/>
      <c r="AA536" s="896" t="s">
        <v>140</v>
      </c>
      <c r="AB536" s="887"/>
      <c r="AC536" s="21" t="s">
        <v>3598</v>
      </c>
      <c r="AD536" s="21" t="s">
        <v>128</v>
      </c>
      <c r="AE536" s="21" t="s">
        <v>128</v>
      </c>
      <c r="AF536" s="887"/>
      <c r="AG536" s="896"/>
      <c r="AH536" s="890"/>
      <c r="AI536" s="890"/>
      <c r="AJ536" s="900">
        <f t="shared" ca="1" si="66"/>
        <v>106</v>
      </c>
      <c r="AK536" s="900">
        <f t="shared" ca="1" si="67"/>
        <v>83</v>
      </c>
      <c r="AL536" s="901" t="str">
        <f t="shared" si="68"/>
        <v>No Answer</v>
      </c>
      <c r="AM536" s="37">
        <v>45558</v>
      </c>
      <c r="AN536" s="888">
        <v>45575</v>
      </c>
      <c r="AO536" s="888">
        <v>45581</v>
      </c>
      <c r="AP536" s="931"/>
      <c r="AQ536" s="888"/>
      <c r="AR536" s="1037" t="s">
        <v>1763</v>
      </c>
      <c r="AS536" s="1125">
        <v>45581</v>
      </c>
      <c r="AT536" s="11"/>
    </row>
    <row r="537" spans="1:55" s="271" customFormat="1" ht="10.5" customHeight="1" x14ac:dyDescent="0.35">
      <c r="A537" s="16"/>
      <c r="B537" s="921" cm="1">
        <f t="array" ref="B537">+_xlfn.IFS(D537="In Touch - Positive",2,D537="Pending",1,D537="No Answer",4,D537="In Touch - Negative",3)</f>
        <v>4</v>
      </c>
      <c r="C537" s="16" t="s">
        <v>4420</v>
      </c>
      <c r="D537" s="922" t="str">
        <f t="shared" si="69"/>
        <v>No Answer</v>
      </c>
      <c r="E537" s="923" t="s">
        <v>4544</v>
      </c>
      <c r="F537" s="924"/>
      <c r="G537" s="13" t="s">
        <v>103</v>
      </c>
      <c r="H537" s="910"/>
      <c r="I537" s="908"/>
      <c r="J537" s="15" t="s">
        <v>4550</v>
      </c>
      <c r="K537" s="896" t="s">
        <v>4549</v>
      </c>
      <c r="L537" s="907"/>
      <c r="M537" s="907"/>
      <c r="N537" s="907"/>
      <c r="O537" s="907"/>
      <c r="P537" s="907"/>
      <c r="Q537" s="907"/>
      <c r="R537" s="921"/>
      <c r="S537" s="909"/>
      <c r="T537" s="908"/>
      <c r="U537" s="925"/>
      <c r="V537" s="925"/>
      <c r="W537" s="926"/>
      <c r="X537" s="925"/>
      <c r="Y537" s="925"/>
      <c r="Z537" s="921"/>
      <c r="AA537" s="907" t="s">
        <v>140</v>
      </c>
      <c r="AB537" s="925"/>
      <c r="AC537" s="21" t="s">
        <v>3598</v>
      </c>
      <c r="AD537" s="21" t="s">
        <v>128</v>
      </c>
      <c r="AE537" s="21" t="s">
        <v>128</v>
      </c>
      <c r="AF537" s="925"/>
      <c r="AG537" s="907"/>
      <c r="AH537" s="921"/>
      <c r="AI537" s="921"/>
      <c r="AJ537" s="928">
        <f t="shared" ca="1" si="66"/>
        <v>106</v>
      </c>
      <c r="AK537" s="928">
        <f t="shared" ca="1" si="67"/>
        <v>83</v>
      </c>
      <c r="AL537" s="929" t="str">
        <f t="shared" si="68"/>
        <v>No Answer</v>
      </c>
      <c r="AM537" s="37">
        <v>45558</v>
      </c>
      <c r="AN537" s="931">
        <v>45575</v>
      </c>
      <c r="AO537" s="1125">
        <v>45581</v>
      </c>
      <c r="AP537" s="931"/>
      <c r="AQ537" s="931"/>
      <c r="AR537" s="1037" t="s">
        <v>1763</v>
      </c>
      <c r="AS537" s="1125">
        <v>45581</v>
      </c>
      <c r="AT537" s="11"/>
    </row>
    <row r="538" spans="1:55" s="271" customFormat="1" ht="10.5" customHeight="1" x14ac:dyDescent="0.35">
      <c r="A538" s="16"/>
      <c r="B538" s="921" cm="1">
        <f t="array" ref="B538">+_xlfn.IFS(D538="In Touch - Positive",2,D538="Pending",1,D538="No Answer",4,D538="In Touch - Negative",3)</f>
        <v>4</v>
      </c>
      <c r="C538" s="16" t="s">
        <v>4420</v>
      </c>
      <c r="D538" s="922" t="str">
        <f t="shared" si="69"/>
        <v>No Answer</v>
      </c>
      <c r="E538" s="923" t="s">
        <v>4545</v>
      </c>
      <c r="F538" s="924"/>
      <c r="G538" s="13" t="s">
        <v>103</v>
      </c>
      <c r="H538" s="910"/>
      <c r="I538" s="908"/>
      <c r="J538" s="15" t="s">
        <v>4550</v>
      </c>
      <c r="K538" s="907" t="s">
        <v>4549</v>
      </c>
      <c r="L538" s="907"/>
      <c r="M538" s="907"/>
      <c r="N538" s="907"/>
      <c r="O538" s="907"/>
      <c r="P538" s="907"/>
      <c r="Q538" s="907"/>
      <c r="R538" s="921"/>
      <c r="S538" s="909"/>
      <c r="T538" s="908"/>
      <c r="U538" s="925"/>
      <c r="V538" s="925"/>
      <c r="W538" s="926"/>
      <c r="X538" s="925"/>
      <c r="Y538" s="925"/>
      <c r="Z538" s="921"/>
      <c r="AA538" s="907" t="s">
        <v>140</v>
      </c>
      <c r="AB538" s="925"/>
      <c r="AC538" s="21" t="s">
        <v>3598</v>
      </c>
      <c r="AD538" s="21" t="s">
        <v>128</v>
      </c>
      <c r="AE538" s="21" t="s">
        <v>128</v>
      </c>
      <c r="AF538" s="925"/>
      <c r="AG538" s="907"/>
      <c r="AH538" s="921"/>
      <c r="AI538" s="921"/>
      <c r="AJ538" s="928">
        <f t="shared" ca="1" si="66"/>
        <v>106</v>
      </c>
      <c r="AK538" s="928">
        <f t="shared" ca="1" si="67"/>
        <v>83</v>
      </c>
      <c r="AL538" s="929" t="str">
        <f t="shared" si="68"/>
        <v>No Answer</v>
      </c>
      <c r="AM538" s="37">
        <v>45558</v>
      </c>
      <c r="AN538" s="931">
        <v>45575</v>
      </c>
      <c r="AO538" s="1125">
        <v>45581</v>
      </c>
      <c r="AP538" s="38"/>
      <c r="AQ538" s="931"/>
      <c r="AR538" s="1037" t="s">
        <v>1763</v>
      </c>
      <c r="AS538" s="1125">
        <v>45581</v>
      </c>
      <c r="AT538" s="11"/>
    </row>
    <row r="539" spans="1:55" s="271" customFormat="1" x14ac:dyDescent="0.35">
      <c r="B539" s="16" cm="1">
        <f t="array" ref="B539">+_xlfn.IFS(D539="In Touch - Positive",2,D539="Pending",1,D539="No Answer",4,D539="In Touch - Negative",3)</f>
        <v>4</v>
      </c>
      <c r="C539" s="16" t="s">
        <v>4420</v>
      </c>
      <c r="D539" s="99" t="str">
        <f t="shared" si="69"/>
        <v>No Answer</v>
      </c>
      <c r="E539" s="12" t="s">
        <v>4552</v>
      </c>
      <c r="F539" s="20"/>
      <c r="G539" s="13" t="s">
        <v>326</v>
      </c>
      <c r="H539" s="14"/>
      <c r="I539" s="13"/>
      <c r="J539" s="15" t="s">
        <v>4550</v>
      </c>
      <c r="K539" s="15" t="s">
        <v>4551</v>
      </c>
      <c r="L539" s="15"/>
      <c r="M539" s="15"/>
      <c r="N539" s="15"/>
      <c r="O539" s="15"/>
      <c r="P539" s="15"/>
      <c r="Q539" s="15"/>
      <c r="R539" s="16"/>
      <c r="S539" s="35"/>
      <c r="T539" s="13"/>
      <c r="U539" s="17"/>
      <c r="V539" s="17"/>
      <c r="W539" s="248"/>
      <c r="X539" s="17"/>
      <c r="Y539" s="17"/>
      <c r="Z539" s="16"/>
      <c r="AA539" s="15" t="s">
        <v>140</v>
      </c>
      <c r="AB539" s="17"/>
      <c r="AC539" s="21" t="s">
        <v>3598</v>
      </c>
      <c r="AD539" s="21" t="s">
        <v>128</v>
      </c>
      <c r="AE539" s="21" t="s">
        <v>128</v>
      </c>
      <c r="AF539" s="17"/>
      <c r="AG539" s="15"/>
      <c r="AH539" s="16"/>
      <c r="AI539" s="16"/>
      <c r="AJ539" s="42">
        <f t="shared" ca="1" si="66"/>
        <v>106</v>
      </c>
      <c r="AK539" s="42">
        <f t="shared" ca="1" si="67"/>
        <v>83</v>
      </c>
      <c r="AL539" s="130" t="str">
        <f t="shared" si="68"/>
        <v>No Answer</v>
      </c>
      <c r="AM539" s="37">
        <v>45558</v>
      </c>
      <c r="AN539" s="38">
        <v>45575</v>
      </c>
      <c r="AO539" s="1125">
        <v>45581</v>
      </c>
      <c r="AP539" s="38"/>
      <c r="AQ539" s="38"/>
      <c r="AR539" s="1037" t="s">
        <v>1763</v>
      </c>
      <c r="AS539" s="1125">
        <v>45581</v>
      </c>
      <c r="AT539" s="23"/>
    </row>
    <row r="540" spans="1:55" s="271" customFormat="1" x14ac:dyDescent="0.35">
      <c r="A540" s="1039"/>
      <c r="B540" s="16" cm="1">
        <f t="array" ref="B540">+_xlfn.IFS(D540="In Touch - Positive",2,D540="Pending",1,D540="No Answer",4,D540="In Touch - Negative",3)</f>
        <v>4</v>
      </c>
      <c r="C540" s="16" t="s">
        <v>4420</v>
      </c>
      <c r="D540" s="99" t="str">
        <f t="shared" si="69"/>
        <v>No Answer</v>
      </c>
      <c r="E540" s="12" t="s">
        <v>4546</v>
      </c>
      <c r="F540" s="20"/>
      <c r="G540" s="13" t="s">
        <v>174</v>
      </c>
      <c r="H540" s="14"/>
      <c r="I540" s="13"/>
      <c r="J540" s="15" t="s">
        <v>4550</v>
      </c>
      <c r="K540" s="907" t="s">
        <v>4549</v>
      </c>
      <c r="L540" s="15"/>
      <c r="M540" s="15"/>
      <c r="N540" s="15"/>
      <c r="O540" s="15"/>
      <c r="P540" s="15"/>
      <c r="Q540" s="15"/>
      <c r="R540" s="16"/>
      <c r="S540" s="35"/>
      <c r="T540" s="13"/>
      <c r="U540" s="17"/>
      <c r="V540" s="17"/>
      <c r="W540" s="248"/>
      <c r="X540" s="17"/>
      <c r="Y540" s="17"/>
      <c r="Z540" s="16"/>
      <c r="AA540" s="15" t="s">
        <v>140</v>
      </c>
      <c r="AB540" s="17"/>
      <c r="AC540" s="21" t="s">
        <v>3598</v>
      </c>
      <c r="AD540" s="21" t="s">
        <v>128</v>
      </c>
      <c r="AE540" s="21" t="s">
        <v>128</v>
      </c>
      <c r="AF540" s="17"/>
      <c r="AG540" s="15"/>
      <c r="AH540" s="16"/>
      <c r="AI540" s="16"/>
      <c r="AJ540" s="42">
        <f t="shared" ca="1" si="66"/>
        <v>106</v>
      </c>
      <c r="AK540" s="42">
        <f t="shared" ca="1" si="67"/>
        <v>83</v>
      </c>
      <c r="AL540" s="130" t="str">
        <f t="shared" si="68"/>
        <v>No Answer</v>
      </c>
      <c r="AM540" s="37">
        <v>45558</v>
      </c>
      <c r="AN540" s="38">
        <v>45575</v>
      </c>
      <c r="AO540" s="1125">
        <v>45581</v>
      </c>
      <c r="AP540" s="38"/>
      <c r="AQ540" s="38"/>
      <c r="AR540" s="1037" t="s">
        <v>1763</v>
      </c>
      <c r="AS540" s="1125">
        <v>45581</v>
      </c>
      <c r="AT540" s="1020"/>
      <c r="AU540" s="1038"/>
      <c r="AV540" s="1038"/>
      <c r="AW540" s="1038"/>
      <c r="AX540" s="1038"/>
      <c r="AY540" s="1038"/>
      <c r="AZ540" s="1038"/>
      <c r="BA540" s="1038"/>
      <c r="BB540" s="1038"/>
      <c r="BC540" s="1038"/>
    </row>
    <row r="541" spans="1:55" s="271" customFormat="1" x14ac:dyDescent="0.35">
      <c r="B541" s="16" cm="1">
        <f t="array" ref="B541">+_xlfn.IFS(D541="In Touch - Positive",2,D541="Pending",1,D541="No Answer",4,D541="In Touch - Negative",3)</f>
        <v>4</v>
      </c>
      <c r="C541" s="16" t="s">
        <v>4420</v>
      </c>
      <c r="D541" s="99" t="str">
        <f t="shared" si="69"/>
        <v>No Answer</v>
      </c>
      <c r="E541" s="12" t="s">
        <v>4547</v>
      </c>
      <c r="F541" s="20"/>
      <c r="G541" s="13" t="s">
        <v>68</v>
      </c>
      <c r="H541" s="14"/>
      <c r="I541" s="13"/>
      <c r="J541" s="15" t="s">
        <v>4550</v>
      </c>
      <c r="K541" s="907" t="s">
        <v>4549</v>
      </c>
      <c r="L541" s="15"/>
      <c r="M541" s="15"/>
      <c r="N541" s="15"/>
      <c r="O541" s="15"/>
      <c r="P541" s="15"/>
      <c r="Q541" s="15"/>
      <c r="R541" s="16"/>
      <c r="S541" s="35"/>
      <c r="T541" s="13"/>
      <c r="U541" s="17"/>
      <c r="V541" s="17"/>
      <c r="W541" s="248"/>
      <c r="X541" s="17"/>
      <c r="Y541" s="17"/>
      <c r="Z541" s="16"/>
      <c r="AA541" s="15" t="s">
        <v>140</v>
      </c>
      <c r="AB541" s="17"/>
      <c r="AC541" s="21" t="s">
        <v>3598</v>
      </c>
      <c r="AD541" s="21" t="s">
        <v>128</v>
      </c>
      <c r="AE541" s="21" t="s">
        <v>128</v>
      </c>
      <c r="AF541" s="17"/>
      <c r="AG541" s="15"/>
      <c r="AH541" s="16"/>
      <c r="AI541" s="16"/>
      <c r="AJ541" s="42">
        <f t="shared" ca="1" si="66"/>
        <v>106</v>
      </c>
      <c r="AK541" s="42">
        <f t="shared" ca="1" si="67"/>
        <v>83</v>
      </c>
      <c r="AL541" s="130" t="str">
        <f t="shared" si="68"/>
        <v>No Answer</v>
      </c>
      <c r="AM541" s="37">
        <v>45558</v>
      </c>
      <c r="AN541" s="38">
        <v>45575</v>
      </c>
      <c r="AO541" s="1125">
        <v>45581</v>
      </c>
      <c r="AP541" s="38"/>
      <c r="AQ541" s="38"/>
      <c r="AR541" s="1037" t="s">
        <v>1763</v>
      </c>
      <c r="AS541" s="1125">
        <v>45581</v>
      </c>
      <c r="AT541" s="906"/>
      <c r="AU541" s="905"/>
      <c r="AV541" s="905"/>
      <c r="AW541" s="905"/>
      <c r="AX541" s="905"/>
      <c r="AY541" s="905"/>
      <c r="AZ541" s="905"/>
      <c r="BA541" s="905"/>
      <c r="BB541" s="905"/>
      <c r="BC541" s="905"/>
    </row>
    <row r="542" spans="1:55" s="271" customFormat="1" x14ac:dyDescent="0.35">
      <c r="A542" s="889"/>
      <c r="B542" s="16" cm="1">
        <f t="array" ref="B542">+_xlfn.IFS(D542="In Touch - Positive",2,D542="Pending",1,D542="No Answer",4,D542="In Touch - Negative",3)</f>
        <v>4</v>
      </c>
      <c r="C542" s="16" t="s">
        <v>4420</v>
      </c>
      <c r="D542" s="99" t="str">
        <f t="shared" si="69"/>
        <v>No Answer</v>
      </c>
      <c r="E542" s="12" t="s">
        <v>4548</v>
      </c>
      <c r="F542" s="20"/>
      <c r="G542" s="13" t="s">
        <v>103</v>
      </c>
      <c r="H542" s="14"/>
      <c r="I542" s="13"/>
      <c r="J542" s="15" t="s">
        <v>4550</v>
      </c>
      <c r="K542" s="15" t="s">
        <v>4553</v>
      </c>
      <c r="L542" s="15"/>
      <c r="M542" s="15"/>
      <c r="N542" s="15"/>
      <c r="O542" s="15"/>
      <c r="P542" s="15"/>
      <c r="Q542" s="15"/>
      <c r="R542" s="16"/>
      <c r="S542" s="35"/>
      <c r="T542" s="13"/>
      <c r="U542" s="17"/>
      <c r="V542" s="17"/>
      <c r="W542" s="248"/>
      <c r="X542" s="17"/>
      <c r="Y542" s="17"/>
      <c r="Z542" s="16"/>
      <c r="AA542" s="15" t="s">
        <v>140</v>
      </c>
      <c r="AB542" s="17"/>
      <c r="AC542" s="21" t="s">
        <v>3598</v>
      </c>
      <c r="AD542" s="21" t="s">
        <v>128</v>
      </c>
      <c r="AE542" s="21" t="s">
        <v>128</v>
      </c>
      <c r="AF542" s="17"/>
      <c r="AG542" s="15"/>
      <c r="AH542" s="16"/>
      <c r="AI542" s="16"/>
      <c r="AJ542" s="42">
        <f t="shared" ca="1" si="66"/>
        <v>106</v>
      </c>
      <c r="AK542" s="42">
        <f t="shared" ca="1" si="67"/>
        <v>83</v>
      </c>
      <c r="AL542" s="130" t="str">
        <f t="shared" si="68"/>
        <v>No Answer</v>
      </c>
      <c r="AM542" s="37">
        <v>45558</v>
      </c>
      <c r="AN542" s="38">
        <v>45575</v>
      </c>
      <c r="AO542" s="1125">
        <v>45581</v>
      </c>
      <c r="AP542" s="735"/>
      <c r="AQ542" s="38"/>
      <c r="AR542" s="1037" t="s">
        <v>1763</v>
      </c>
      <c r="AS542" s="1125">
        <v>45581</v>
      </c>
      <c r="AT542" s="906"/>
      <c r="AU542" s="905"/>
      <c r="AV542" s="905"/>
      <c r="AW542" s="905"/>
      <c r="AX542" s="905"/>
      <c r="AY542" s="905"/>
      <c r="AZ542" s="905"/>
      <c r="BA542" s="905"/>
      <c r="BB542" s="905"/>
      <c r="BC542" s="905"/>
    </row>
    <row r="543" spans="1:55" s="98" customFormat="1" x14ac:dyDescent="0.3">
      <c r="A543" s="16"/>
      <c r="B543" s="725" cm="1">
        <f t="array" ref="B543">+_xlfn.IFS(D543="In Touch - Positive",2,D543="Pending",1,D543="No Answer",4,D543="In Touch - Negative",3)</f>
        <v>4</v>
      </c>
      <c r="C543" s="725" t="s">
        <v>4188</v>
      </c>
      <c r="D543" s="738" t="str">
        <f t="shared" si="69"/>
        <v>No Answer</v>
      </c>
      <c r="E543" s="727" t="s">
        <v>4279</v>
      </c>
      <c r="F543" s="726"/>
      <c r="G543" s="728" t="s">
        <v>326</v>
      </c>
      <c r="H543" s="728"/>
      <c r="I543" s="728"/>
      <c r="J543" s="741" t="s">
        <v>2714</v>
      </c>
      <c r="K543" s="729" t="s">
        <v>1739</v>
      </c>
      <c r="L543" s="729"/>
      <c r="M543" s="729"/>
      <c r="N543" s="729"/>
      <c r="O543" s="729"/>
      <c r="P543" s="729"/>
      <c r="Q543" s="729"/>
      <c r="R543" s="725"/>
      <c r="S543" s="730"/>
      <c r="T543" s="728"/>
      <c r="U543" s="731"/>
      <c r="V543" s="731"/>
      <c r="W543" s="736"/>
      <c r="X543" s="731"/>
      <c r="Y543" s="731"/>
      <c r="Z543" s="725"/>
      <c r="AA543" s="818" t="s">
        <v>140</v>
      </c>
      <c r="AB543" s="731"/>
      <c r="AC543" s="732"/>
      <c r="AD543" s="732"/>
      <c r="AE543" s="732"/>
      <c r="AF543" s="731"/>
      <c r="AG543" s="729"/>
      <c r="AH543" s="725"/>
      <c r="AI543" s="725"/>
      <c r="AJ543" s="733">
        <f t="shared" ca="1" si="66"/>
        <v>183</v>
      </c>
      <c r="AK543" s="733">
        <f t="shared" ca="1" si="67"/>
        <v>45664</v>
      </c>
      <c r="AL543" s="739" t="str">
        <f t="shared" si="68"/>
        <v>No Answer</v>
      </c>
      <c r="AM543" s="734">
        <v>45481</v>
      </c>
      <c r="AN543" s="777"/>
      <c r="AO543" s="735"/>
      <c r="AP543" s="38"/>
      <c r="AQ543" s="735"/>
      <c r="AR543" s="740" t="s">
        <v>1763</v>
      </c>
      <c r="AS543" s="735"/>
      <c r="AT543" s="11" t="s">
        <v>7</v>
      </c>
    </row>
    <row r="544" spans="1:55" s="98" customFormat="1" x14ac:dyDescent="0.3">
      <c r="A544" s="97"/>
      <c r="B544" s="16" cm="1">
        <f t="array" ref="B544">+_xlfn.IFS(D544="In Touch - Positive",2,D544="Pending",1,D544="No Answer",4,D544="In Touch - Negative",3)</f>
        <v>4</v>
      </c>
      <c r="C544" s="16" t="s">
        <v>3650</v>
      </c>
      <c r="D544" s="99" t="str">
        <f t="shared" si="69"/>
        <v>No Answer</v>
      </c>
      <c r="E544" s="12" t="s">
        <v>3656</v>
      </c>
      <c r="F544" s="12"/>
      <c r="G544" s="13" t="s">
        <v>3655</v>
      </c>
      <c r="H544" s="14" t="s">
        <v>3657</v>
      </c>
      <c r="I544" s="13"/>
      <c r="J544" s="188" t="s">
        <v>111</v>
      </c>
      <c r="K544" s="15" t="s">
        <v>3658</v>
      </c>
      <c r="L544" s="15" t="s">
        <v>3659</v>
      </c>
      <c r="M544" s="15"/>
      <c r="N544" s="15"/>
      <c r="O544" s="15"/>
      <c r="P544" s="15"/>
      <c r="Q544" s="15"/>
      <c r="R544" s="16"/>
      <c r="S544" s="35" t="s">
        <v>77</v>
      </c>
      <c r="T544" s="13">
        <v>2022</v>
      </c>
      <c r="U544" s="17">
        <v>47</v>
      </c>
      <c r="V544" s="17">
        <v>5.9</v>
      </c>
      <c r="W544" s="248">
        <f>+V544/U544</f>
        <v>0.12553191489361704</v>
      </c>
      <c r="X544" s="17">
        <v>5.8</v>
      </c>
      <c r="Y544" s="17"/>
      <c r="Z544" s="16"/>
      <c r="AA544" s="15" t="s">
        <v>140</v>
      </c>
      <c r="AB544" s="17"/>
      <c r="AC544" s="21" t="s">
        <v>78</v>
      </c>
      <c r="AD544" s="21" t="s">
        <v>78</v>
      </c>
      <c r="AE544" s="21" t="s">
        <v>78</v>
      </c>
      <c r="AF544" s="17"/>
      <c r="AG544" s="15"/>
      <c r="AH544" s="16"/>
      <c r="AI544" s="16"/>
      <c r="AJ544" s="42">
        <f t="shared" ca="1" si="66"/>
        <v>239</v>
      </c>
      <c r="AK544" s="42">
        <f t="shared" ca="1" si="67"/>
        <v>239</v>
      </c>
      <c r="AL544" s="130" t="str">
        <f t="shared" si="68"/>
        <v>No Answer</v>
      </c>
      <c r="AM544" s="37">
        <v>45425</v>
      </c>
      <c r="AN544" s="777">
        <v>45425</v>
      </c>
      <c r="AO544" s="38"/>
      <c r="AP544" s="615">
        <v>45450</v>
      </c>
      <c r="AQ544" s="38"/>
      <c r="AR544" s="101" t="s">
        <v>1763</v>
      </c>
      <c r="AS544" s="38">
        <v>45425</v>
      </c>
      <c r="AT544" s="11" t="s">
        <v>7</v>
      </c>
    </row>
    <row r="545" spans="1:46" s="98" customFormat="1" x14ac:dyDescent="0.3">
      <c r="A545" s="97"/>
      <c r="B545" s="601" cm="1">
        <f t="array" ref="B545">+_xlfn.IFS(D545="In Touch - Positive",2,D545="Pending",1,D545="No Answer",4,D545="In Touch - Negative",3)</f>
        <v>4</v>
      </c>
      <c r="C545" s="601" t="s">
        <v>3688</v>
      </c>
      <c r="D545" s="602" t="str">
        <f t="shared" si="69"/>
        <v>No Answer</v>
      </c>
      <c r="E545" s="603" t="s">
        <v>3803</v>
      </c>
      <c r="F545" s="603"/>
      <c r="G545" s="604" t="s">
        <v>712</v>
      </c>
      <c r="H545" s="605"/>
      <c r="I545" s="604"/>
      <c r="J545" s="606" t="s">
        <v>57</v>
      </c>
      <c r="K545" s="607" t="s">
        <v>3798</v>
      </c>
      <c r="L545" s="607"/>
      <c r="M545" s="607"/>
      <c r="N545" s="607"/>
      <c r="O545" s="607"/>
      <c r="P545" s="607"/>
      <c r="Q545" s="607"/>
      <c r="R545" s="601"/>
      <c r="S545" s="608"/>
      <c r="T545" s="604"/>
      <c r="U545" s="609"/>
      <c r="V545" s="609"/>
      <c r="W545" s="610"/>
      <c r="X545" s="609"/>
      <c r="Y545" s="609"/>
      <c r="Z545" s="601"/>
      <c r="AA545" s="607" t="s">
        <v>140</v>
      </c>
      <c r="AB545" s="609"/>
      <c r="AC545" s="611" t="s">
        <v>61</v>
      </c>
      <c r="AD545" s="611" t="s">
        <v>61</v>
      </c>
      <c r="AE545" s="611" t="s">
        <v>62</v>
      </c>
      <c r="AF545" s="609"/>
      <c r="AG545" s="607"/>
      <c r="AH545" s="601"/>
      <c r="AI545" s="601"/>
      <c r="AJ545" s="612">
        <f t="shared" ca="1" si="66"/>
        <v>237</v>
      </c>
      <c r="AK545" s="612">
        <f t="shared" ca="1" si="67"/>
        <v>214</v>
      </c>
      <c r="AL545" s="613" t="str">
        <f t="shared" si="68"/>
        <v>No Answer</v>
      </c>
      <c r="AM545" s="614">
        <v>45427</v>
      </c>
      <c r="AN545" s="777">
        <v>45429</v>
      </c>
      <c r="AO545" s="615">
        <v>45436</v>
      </c>
      <c r="AP545" s="615">
        <v>45450</v>
      </c>
      <c r="AQ545" s="615"/>
      <c r="AR545" s="616" t="s">
        <v>1763</v>
      </c>
      <c r="AS545" s="615">
        <v>45450</v>
      </c>
      <c r="AT545" s="11" t="s">
        <v>7</v>
      </c>
    </row>
    <row r="546" spans="1:46" s="98" customFormat="1" ht="12" customHeight="1" x14ac:dyDescent="0.3">
      <c r="B546" s="601" cm="1">
        <f t="array" ref="B546">+_xlfn.IFS(D546="In Touch - Positive",2,D546="Pending",1,D546="No Answer",4,D546="In Touch - Negative",3)</f>
        <v>4</v>
      </c>
      <c r="C546" s="601" t="s">
        <v>3688</v>
      </c>
      <c r="D546" s="602" t="str">
        <f t="shared" si="69"/>
        <v>No Answer</v>
      </c>
      <c r="E546" s="603" t="s">
        <v>3804</v>
      </c>
      <c r="F546" s="603"/>
      <c r="G546" s="604" t="s">
        <v>437</v>
      </c>
      <c r="H546" s="605"/>
      <c r="I546" s="604"/>
      <c r="J546" s="606" t="s">
        <v>57</v>
      </c>
      <c r="K546" s="607" t="s">
        <v>3798</v>
      </c>
      <c r="L546" s="607"/>
      <c r="M546" s="607"/>
      <c r="N546" s="607"/>
      <c r="O546" s="607"/>
      <c r="P546" s="607"/>
      <c r="Q546" s="607"/>
      <c r="R546" s="601"/>
      <c r="S546" s="608"/>
      <c r="T546" s="604"/>
      <c r="U546" s="609"/>
      <c r="V546" s="609"/>
      <c r="W546" s="610"/>
      <c r="X546" s="609"/>
      <c r="Y546" s="609"/>
      <c r="Z546" s="601"/>
      <c r="AA546" s="607" t="s">
        <v>140</v>
      </c>
      <c r="AB546" s="609"/>
      <c r="AC546" s="611" t="s">
        <v>61</v>
      </c>
      <c r="AD546" s="611" t="s">
        <v>61</v>
      </c>
      <c r="AE546" s="611" t="s">
        <v>128</v>
      </c>
      <c r="AF546" s="609"/>
      <c r="AG546" s="607"/>
      <c r="AH546" s="601"/>
      <c r="AI546" s="601"/>
      <c r="AJ546" s="612">
        <f t="shared" ca="1" si="66"/>
        <v>237</v>
      </c>
      <c r="AK546" s="612">
        <f t="shared" ca="1" si="67"/>
        <v>214</v>
      </c>
      <c r="AL546" s="613" t="str">
        <f t="shared" si="68"/>
        <v>No Answer</v>
      </c>
      <c r="AM546" s="614">
        <v>45427</v>
      </c>
      <c r="AN546" s="777">
        <v>45429</v>
      </c>
      <c r="AO546" s="615">
        <v>45436</v>
      </c>
      <c r="AP546" s="615">
        <v>45450</v>
      </c>
      <c r="AQ546" s="615"/>
      <c r="AR546" s="616" t="s">
        <v>1763</v>
      </c>
      <c r="AS546" s="615">
        <v>45450</v>
      </c>
      <c r="AT546" s="11" t="s">
        <v>7</v>
      </c>
    </row>
    <row r="547" spans="1:46" s="98" customFormat="1" ht="12" customHeight="1" x14ac:dyDescent="0.3">
      <c r="B547" s="601" cm="1">
        <f t="array" ref="B547">+_xlfn.IFS(D547="In Touch - Positive",2,D547="Pending",1,D547="No Answer",4,D547="In Touch - Negative",3)</f>
        <v>4</v>
      </c>
      <c r="C547" s="601" t="s">
        <v>3688</v>
      </c>
      <c r="D547" s="602" t="str">
        <f t="shared" si="69"/>
        <v>No Answer</v>
      </c>
      <c r="E547" s="664" t="s">
        <v>4186</v>
      </c>
      <c r="F547" s="603"/>
      <c r="G547" s="604" t="s">
        <v>634</v>
      </c>
      <c r="H547" s="605"/>
      <c r="I547" s="604"/>
      <c r="J547" s="606" t="s">
        <v>57</v>
      </c>
      <c r="K547" s="607" t="s">
        <v>3798</v>
      </c>
      <c r="L547" s="607"/>
      <c r="M547" s="607"/>
      <c r="N547" s="607"/>
      <c r="O547" s="607"/>
      <c r="P547" s="607"/>
      <c r="Q547" s="607"/>
      <c r="R547" s="601"/>
      <c r="S547" s="608"/>
      <c r="T547" s="604"/>
      <c r="U547" s="609"/>
      <c r="V547" s="609"/>
      <c r="W547" s="610"/>
      <c r="X547" s="609"/>
      <c r="Y547" s="609"/>
      <c r="Z547" s="601"/>
      <c r="AA547" s="607" t="s">
        <v>140</v>
      </c>
      <c r="AB547" s="609"/>
      <c r="AC547" s="611" t="s">
        <v>61</v>
      </c>
      <c r="AD547" s="611" t="s">
        <v>61</v>
      </c>
      <c r="AE547" s="611" t="s">
        <v>128</v>
      </c>
      <c r="AF547" s="609"/>
      <c r="AG547" s="607"/>
      <c r="AH547" s="601"/>
      <c r="AI547" s="601"/>
      <c r="AJ547" s="612">
        <f t="shared" ca="1" si="66"/>
        <v>237</v>
      </c>
      <c r="AK547" s="612">
        <f t="shared" ca="1" si="67"/>
        <v>214</v>
      </c>
      <c r="AL547" s="613" t="str">
        <f t="shared" si="68"/>
        <v>No Answer</v>
      </c>
      <c r="AM547" s="614">
        <v>45427</v>
      </c>
      <c r="AN547" s="777">
        <v>45429</v>
      </c>
      <c r="AO547" s="615">
        <v>45438</v>
      </c>
      <c r="AP547" s="615"/>
      <c r="AQ547" s="615"/>
      <c r="AR547" s="616" t="s">
        <v>1763</v>
      </c>
      <c r="AS547" s="615">
        <v>45450</v>
      </c>
      <c r="AT547" s="11" t="s">
        <v>7</v>
      </c>
    </row>
    <row r="548" spans="1:46" s="98" customFormat="1" x14ac:dyDescent="0.3">
      <c r="A548" s="97"/>
      <c r="B548" s="651" cm="1">
        <f t="array" ref="B548">+_xlfn.IFS(D548="In Touch - Positive",2,D548="Pending",1,D548="No Answer",4,D548="In Touch - Negative",3)</f>
        <v>4</v>
      </c>
      <c r="C548" s="651" t="s">
        <v>3929</v>
      </c>
      <c r="D548" s="602" t="str">
        <f t="shared" si="69"/>
        <v>No Answer</v>
      </c>
      <c r="E548" s="664" t="s">
        <v>4170</v>
      </c>
      <c r="F548" s="603"/>
      <c r="G548" s="604"/>
      <c r="H548" s="605"/>
      <c r="I548" s="604"/>
      <c r="J548" s="663" t="s">
        <v>4171</v>
      </c>
      <c r="K548" s="607"/>
      <c r="L548" s="607"/>
      <c r="M548" s="607"/>
      <c r="N548" s="607"/>
      <c r="O548" s="607"/>
      <c r="P548" s="607"/>
      <c r="Q548" s="607"/>
      <c r="R548" s="601"/>
      <c r="S548" s="608"/>
      <c r="T548" s="604"/>
      <c r="U548" s="609"/>
      <c r="V548" s="609"/>
      <c r="W548" s="610"/>
      <c r="X548" s="609"/>
      <c r="Y548" s="609"/>
      <c r="Z548" s="601"/>
      <c r="AA548" s="649" t="s">
        <v>60</v>
      </c>
      <c r="AB548" s="609"/>
      <c r="AC548" s="656" t="s">
        <v>153</v>
      </c>
      <c r="AD548" s="656" t="s">
        <v>153</v>
      </c>
      <c r="AE548" s="656" t="s">
        <v>273</v>
      </c>
      <c r="AF548" s="609"/>
      <c r="AG548" s="607"/>
      <c r="AH548" s="601"/>
      <c r="AI548" s="601"/>
      <c r="AJ548" s="612">
        <f t="shared" ca="1" si="66"/>
        <v>216</v>
      </c>
      <c r="AK548" s="612">
        <f t="shared" ca="1" si="67"/>
        <v>204</v>
      </c>
      <c r="AL548" s="613" t="str">
        <f t="shared" si="68"/>
        <v>No Answer</v>
      </c>
      <c r="AM548" s="614">
        <v>45448</v>
      </c>
      <c r="AN548" s="614">
        <v>45454</v>
      </c>
      <c r="AO548" s="615">
        <v>45460</v>
      </c>
      <c r="AP548" s="38"/>
      <c r="AQ548" s="615"/>
      <c r="AR548" s="616" t="s">
        <v>1763</v>
      </c>
      <c r="AS548" s="615">
        <v>45460</v>
      </c>
      <c r="AT548" s="11" t="s">
        <v>7</v>
      </c>
    </row>
    <row r="549" spans="1:46" s="98" customFormat="1" x14ac:dyDescent="0.3">
      <c r="B549" s="16" cm="1">
        <f t="array" ref="B549">+_xlfn.IFS(D549="In Touch - Positive",2,D549="Pending",1,D549="No Answer",4,D549="In Touch - Negative",3)</f>
        <v>4</v>
      </c>
      <c r="C549" s="16" t="s">
        <v>3650</v>
      </c>
      <c r="D549" s="99" t="str">
        <f t="shared" si="69"/>
        <v>No Answer</v>
      </c>
      <c r="E549" s="12" t="s">
        <v>3816</v>
      </c>
      <c r="F549" s="12"/>
      <c r="G549" s="13" t="s">
        <v>326</v>
      </c>
      <c r="H549" s="14"/>
      <c r="I549" s="13"/>
      <c r="J549" s="604" t="s">
        <v>83</v>
      </c>
      <c r="K549" s="607" t="s">
        <v>3817</v>
      </c>
      <c r="L549" s="15" t="s">
        <v>3914</v>
      </c>
      <c r="M549" s="15"/>
      <c r="N549" s="15"/>
      <c r="O549" s="15"/>
      <c r="P549" s="15"/>
      <c r="Q549" s="15"/>
      <c r="R549" s="16"/>
      <c r="S549" s="35" t="s">
        <v>77</v>
      </c>
      <c r="T549" s="13">
        <v>2022</v>
      </c>
      <c r="U549" s="17">
        <v>12</v>
      </c>
      <c r="V549" s="17">
        <v>2</v>
      </c>
      <c r="W549" s="248">
        <f t="shared" ref="W549:W568" si="70">+V549/U549</f>
        <v>0.16666666666666666</v>
      </c>
      <c r="X549" s="17"/>
      <c r="Y549" s="17"/>
      <c r="Z549" s="16"/>
      <c r="AA549" s="15" t="s">
        <v>140</v>
      </c>
      <c r="AB549" s="17"/>
      <c r="AC549" s="611" t="s">
        <v>61</v>
      </c>
      <c r="AD549" s="611" t="s">
        <v>61</v>
      </c>
      <c r="AE549" s="21" t="s">
        <v>79</v>
      </c>
      <c r="AF549" s="17"/>
      <c r="AG549" s="15"/>
      <c r="AH549" s="16"/>
      <c r="AI549" s="16"/>
      <c r="AJ549" s="42">
        <f t="shared" ca="1" si="66"/>
        <v>232</v>
      </c>
      <c r="AK549" s="42">
        <f t="shared" ca="1" si="67"/>
        <v>239</v>
      </c>
      <c r="AL549" s="130" t="str">
        <f t="shared" si="68"/>
        <v>No Answer</v>
      </c>
      <c r="AM549" s="37">
        <v>45432</v>
      </c>
      <c r="AN549" s="37"/>
      <c r="AO549" s="38"/>
      <c r="AP549" s="38"/>
      <c r="AQ549" s="38"/>
      <c r="AR549" s="101" t="s">
        <v>1763</v>
      </c>
      <c r="AS549" s="38">
        <v>45425</v>
      </c>
      <c r="AT549" s="11" t="s">
        <v>7</v>
      </c>
    </row>
    <row r="550" spans="1:46" s="98" customFormat="1" x14ac:dyDescent="0.3">
      <c r="B550" s="16" cm="1">
        <f t="array" ref="B550">+_xlfn.IFS(D550="In Touch - Positive",2,D550="Pending",1,D550="No Answer",4,D550="In Touch - Negative",3)</f>
        <v>4</v>
      </c>
      <c r="C550" s="16" t="s">
        <v>3416</v>
      </c>
      <c r="D550" s="99" t="str">
        <f t="shared" si="69"/>
        <v>No Answer</v>
      </c>
      <c r="E550" s="12" t="s">
        <v>3363</v>
      </c>
      <c r="F550" s="12"/>
      <c r="G550" s="13" t="s">
        <v>166</v>
      </c>
      <c r="H550" s="14" t="s">
        <v>3364</v>
      </c>
      <c r="I550" s="13"/>
      <c r="J550" s="100" t="s">
        <v>2772</v>
      </c>
      <c r="K550" s="15" t="s">
        <v>3424</v>
      </c>
      <c r="L550" s="15" t="s">
        <v>3391</v>
      </c>
      <c r="M550" s="15"/>
      <c r="N550" s="15"/>
      <c r="O550" s="15"/>
      <c r="P550" s="15"/>
      <c r="Q550" s="15"/>
      <c r="R550" s="16"/>
      <c r="S550" s="35" t="s">
        <v>77</v>
      </c>
      <c r="T550" s="13">
        <v>2022</v>
      </c>
      <c r="U550" s="17">
        <v>5.7249999999999996</v>
      </c>
      <c r="V550" s="17">
        <v>1.306</v>
      </c>
      <c r="W550" s="248">
        <f t="shared" si="70"/>
        <v>0.22812227074235811</v>
      </c>
      <c r="X550" s="17">
        <v>0.22500000000000001</v>
      </c>
      <c r="Y550" s="17"/>
      <c r="Z550" s="16"/>
      <c r="AA550" s="15" t="s">
        <v>140</v>
      </c>
      <c r="AB550" s="17"/>
      <c r="AC550" s="21" t="s">
        <v>153</v>
      </c>
      <c r="AD550" s="21" t="s">
        <v>153</v>
      </c>
      <c r="AE550" s="21" t="s">
        <v>153</v>
      </c>
      <c r="AF550" s="17"/>
      <c r="AG550" s="15"/>
      <c r="AH550" s="16"/>
      <c r="AI550" s="16"/>
      <c r="AJ550" s="42">
        <f t="shared" ca="1" si="66"/>
        <v>302</v>
      </c>
      <c r="AK550" s="42">
        <f t="shared" ca="1" si="67"/>
        <v>301</v>
      </c>
      <c r="AL550" s="130" t="str">
        <f t="shared" si="68"/>
        <v>No Answer</v>
      </c>
      <c r="AM550" s="37">
        <v>45362</v>
      </c>
      <c r="AN550" s="38">
        <v>45364</v>
      </c>
      <c r="AO550" s="38"/>
      <c r="AP550" s="38"/>
      <c r="AQ550" s="38"/>
      <c r="AR550" s="101" t="s">
        <v>1763</v>
      </c>
      <c r="AS550" s="38">
        <v>45363</v>
      </c>
      <c r="AT550" s="11" t="s">
        <v>7</v>
      </c>
    </row>
    <row r="551" spans="1:46" s="98" customFormat="1" x14ac:dyDescent="0.3">
      <c r="B551" s="16" cm="1">
        <f t="array" ref="B551">+_xlfn.IFS(D551="In Touch - Positive",2,D551="Pending",1,D551="No Answer",4,D551="In Touch - Negative",3)</f>
        <v>4</v>
      </c>
      <c r="C551" s="16" t="s">
        <v>3416</v>
      </c>
      <c r="D551" s="99" t="str">
        <f t="shared" si="69"/>
        <v>No Answer</v>
      </c>
      <c r="E551" s="12" t="s">
        <v>3358</v>
      </c>
      <c r="F551" s="12"/>
      <c r="G551" s="13" t="s">
        <v>546</v>
      </c>
      <c r="H551" s="14" t="s">
        <v>3369</v>
      </c>
      <c r="I551" s="13"/>
      <c r="J551" s="100" t="s">
        <v>2772</v>
      </c>
      <c r="K551" s="15" t="s">
        <v>3428</v>
      </c>
      <c r="L551" s="15" t="s">
        <v>3396</v>
      </c>
      <c r="M551" s="15"/>
      <c r="N551" s="15"/>
      <c r="O551" s="15"/>
      <c r="P551" s="15"/>
      <c r="Q551" s="15"/>
      <c r="R551" s="16"/>
      <c r="S551" s="35" t="s">
        <v>77</v>
      </c>
      <c r="T551" s="13">
        <v>2022</v>
      </c>
      <c r="U551" s="17">
        <v>5.5270000000000001</v>
      </c>
      <c r="V551" s="17">
        <v>1.411</v>
      </c>
      <c r="W551" s="248">
        <f t="shared" si="70"/>
        <v>0.25529220191785779</v>
      </c>
      <c r="X551" s="17">
        <v>0.94299999999999995</v>
      </c>
      <c r="Y551" s="17"/>
      <c r="Z551" s="16"/>
      <c r="AA551" s="15" t="s">
        <v>140</v>
      </c>
      <c r="AB551" s="17"/>
      <c r="AC551" s="21" t="s">
        <v>153</v>
      </c>
      <c r="AD551" s="21" t="s">
        <v>153</v>
      </c>
      <c r="AE551" s="21" t="s">
        <v>153</v>
      </c>
      <c r="AF551" s="17"/>
      <c r="AG551" s="15"/>
      <c r="AH551" s="16"/>
      <c r="AI551" s="16"/>
      <c r="AJ551" s="42">
        <f t="shared" ca="1" si="66"/>
        <v>302</v>
      </c>
      <c r="AK551" s="42">
        <f t="shared" ca="1" si="67"/>
        <v>301</v>
      </c>
      <c r="AL551" s="130" t="str">
        <f t="shared" si="68"/>
        <v>No Answer</v>
      </c>
      <c r="AM551" s="37">
        <v>45362</v>
      </c>
      <c r="AN551" s="38">
        <v>45364</v>
      </c>
      <c r="AO551" s="38"/>
      <c r="AP551" s="38"/>
      <c r="AQ551" s="38"/>
      <c r="AR551" s="101" t="s">
        <v>1763</v>
      </c>
      <c r="AS551" s="38">
        <v>45363</v>
      </c>
      <c r="AT551" s="11" t="s">
        <v>7</v>
      </c>
    </row>
    <row r="552" spans="1:46" s="98" customFormat="1" x14ac:dyDescent="0.3">
      <c r="B552" s="16" cm="1">
        <f t="array" ref="B552">+_xlfn.IFS(D552="In Touch - Positive",2,D552="Pending",1,D552="No Answer",4,D552="In Touch - Negative",3)</f>
        <v>4</v>
      </c>
      <c r="C552" s="16" t="s">
        <v>3416</v>
      </c>
      <c r="D552" s="99" t="str">
        <f t="shared" si="69"/>
        <v>No Answer</v>
      </c>
      <c r="E552" s="12" t="s">
        <v>3355</v>
      </c>
      <c r="F552" s="12"/>
      <c r="G552" s="13" t="s">
        <v>103</v>
      </c>
      <c r="H552" s="14" t="s">
        <v>3372</v>
      </c>
      <c r="I552" s="13"/>
      <c r="J552" s="100" t="s">
        <v>2772</v>
      </c>
      <c r="K552" s="15" t="s">
        <v>3431</v>
      </c>
      <c r="L552" s="15" t="s">
        <v>3398</v>
      </c>
      <c r="M552" s="15"/>
      <c r="N552" s="15"/>
      <c r="O552" s="15"/>
      <c r="P552" s="15"/>
      <c r="Q552" s="15"/>
      <c r="R552" s="16"/>
      <c r="S552" s="35" t="s">
        <v>77</v>
      </c>
      <c r="T552" s="13">
        <v>2022</v>
      </c>
      <c r="U552" s="17">
        <v>9.9789999999999992</v>
      </c>
      <c r="V552" s="17">
        <v>1.44</v>
      </c>
      <c r="W552" s="248">
        <f t="shared" si="70"/>
        <v>0.14430303637639041</v>
      </c>
      <c r="X552" s="17">
        <v>0.94499999999999995</v>
      </c>
      <c r="Y552" s="17"/>
      <c r="Z552" s="16"/>
      <c r="AA552" s="15" t="s">
        <v>140</v>
      </c>
      <c r="AB552" s="17"/>
      <c r="AC552" s="21" t="s">
        <v>153</v>
      </c>
      <c r="AD552" s="21" t="s">
        <v>153</v>
      </c>
      <c r="AE552" s="21" t="s">
        <v>153</v>
      </c>
      <c r="AF552" s="17"/>
      <c r="AG552" s="15"/>
      <c r="AH552" s="16"/>
      <c r="AI552" s="16"/>
      <c r="AJ552" s="42">
        <f t="shared" ca="1" si="66"/>
        <v>302</v>
      </c>
      <c r="AK552" s="42">
        <f t="shared" ca="1" si="67"/>
        <v>301</v>
      </c>
      <c r="AL552" s="130" t="str">
        <f t="shared" si="68"/>
        <v>No Answer</v>
      </c>
      <c r="AM552" s="37">
        <v>45362</v>
      </c>
      <c r="AN552" s="38">
        <v>45364</v>
      </c>
      <c r="AO552" s="38"/>
      <c r="AP552" s="38"/>
      <c r="AQ552" s="38"/>
      <c r="AR552" s="101" t="s">
        <v>1763</v>
      </c>
      <c r="AS552" s="38">
        <v>45363</v>
      </c>
      <c r="AT552" s="11" t="s">
        <v>7</v>
      </c>
    </row>
    <row r="553" spans="1:46" s="98" customFormat="1" x14ac:dyDescent="0.3">
      <c r="B553" s="16" cm="1">
        <f t="array" ref="B553">+_xlfn.IFS(D553="In Touch - Positive",2,D553="Pending",1,D553="No Answer",4,D553="In Touch - Negative",3)</f>
        <v>4</v>
      </c>
      <c r="C553" s="16" t="s">
        <v>3416</v>
      </c>
      <c r="D553" s="99" t="str">
        <f t="shared" si="69"/>
        <v>No Answer</v>
      </c>
      <c r="E553" s="12" t="s">
        <v>3354</v>
      </c>
      <c r="F553" s="12"/>
      <c r="G553" s="13" t="s">
        <v>246</v>
      </c>
      <c r="H553" s="14" t="s">
        <v>3373</v>
      </c>
      <c r="I553" s="13"/>
      <c r="J553" s="100" t="s">
        <v>2772</v>
      </c>
      <c r="K553" s="15" t="s">
        <v>3432</v>
      </c>
      <c r="L553" s="15" t="s">
        <v>3399</v>
      </c>
      <c r="M553" s="15"/>
      <c r="N553" s="15"/>
      <c r="O553" s="15"/>
      <c r="P553" s="15"/>
      <c r="Q553" s="15"/>
      <c r="R553" s="16"/>
      <c r="S553" s="35" t="s">
        <v>77</v>
      </c>
      <c r="T553" s="13">
        <v>2022</v>
      </c>
      <c r="U553" s="17">
        <v>6.5519999999999996</v>
      </c>
      <c r="V553" s="17">
        <v>2.206</v>
      </c>
      <c r="W553" s="248">
        <f t="shared" si="70"/>
        <v>0.33669108669108672</v>
      </c>
      <c r="X553" s="17">
        <v>1.3080000000000001</v>
      </c>
      <c r="Y553" s="17"/>
      <c r="Z553" s="16"/>
      <c r="AA553" s="15" t="s">
        <v>140</v>
      </c>
      <c r="AB553" s="17"/>
      <c r="AC553" s="21" t="s">
        <v>153</v>
      </c>
      <c r="AD553" s="21" t="s">
        <v>153</v>
      </c>
      <c r="AE553" s="21" t="s">
        <v>153</v>
      </c>
      <c r="AF553" s="17"/>
      <c r="AG553" s="15"/>
      <c r="AH553" s="16"/>
      <c r="AI553" s="16"/>
      <c r="AJ553" s="42">
        <f t="shared" ca="1" si="66"/>
        <v>302</v>
      </c>
      <c r="AK553" s="42">
        <f t="shared" ca="1" si="67"/>
        <v>250</v>
      </c>
      <c r="AL553" s="130" t="str">
        <f t="shared" si="68"/>
        <v>No Answer</v>
      </c>
      <c r="AM553" s="37">
        <v>45362</v>
      </c>
      <c r="AN553" s="38">
        <v>45364</v>
      </c>
      <c r="AO553" s="38">
        <v>45414</v>
      </c>
      <c r="AP553" s="38"/>
      <c r="AQ553" s="38"/>
      <c r="AR553" s="101" t="s">
        <v>1763</v>
      </c>
      <c r="AS553" s="38">
        <v>45414</v>
      </c>
      <c r="AT553" s="11" t="s">
        <v>7</v>
      </c>
    </row>
    <row r="554" spans="1:46" s="98" customFormat="1" x14ac:dyDescent="0.3">
      <c r="B554" s="16" cm="1">
        <f t="array" ref="B554">+_xlfn.IFS(D554="In Touch - Positive",2,D554="Pending",1,D554="No Answer",4,D554="In Touch - Negative",3)</f>
        <v>4</v>
      </c>
      <c r="C554" s="16" t="s">
        <v>3416</v>
      </c>
      <c r="D554" s="99" t="str">
        <f t="shared" si="69"/>
        <v>No Answer</v>
      </c>
      <c r="E554" s="12" t="s">
        <v>3353</v>
      </c>
      <c r="F554" s="12"/>
      <c r="G554" s="13" t="s">
        <v>226</v>
      </c>
      <c r="H554" s="14" t="s">
        <v>3374</v>
      </c>
      <c r="I554" s="13"/>
      <c r="J554" s="100" t="s">
        <v>2772</v>
      </c>
      <c r="K554" s="15" t="s">
        <v>3433</v>
      </c>
      <c r="L554" s="15" t="s">
        <v>3400</v>
      </c>
      <c r="M554" s="15"/>
      <c r="N554" s="15"/>
      <c r="O554" s="15"/>
      <c r="P554" s="15"/>
      <c r="Q554" s="15"/>
      <c r="R554" s="16"/>
      <c r="S554" s="35" t="s">
        <v>77</v>
      </c>
      <c r="T554" s="13">
        <v>2022</v>
      </c>
      <c r="U554" s="17">
        <v>15.76</v>
      </c>
      <c r="V554" s="17">
        <v>2.64</v>
      </c>
      <c r="W554" s="248">
        <f t="shared" si="70"/>
        <v>0.16751269035532995</v>
      </c>
      <c r="X554" s="17">
        <v>1.393</v>
      </c>
      <c r="Y554" s="17"/>
      <c r="Z554" s="16"/>
      <c r="AA554" s="15" t="s">
        <v>140</v>
      </c>
      <c r="AB554" s="17"/>
      <c r="AC554" s="21" t="s">
        <v>153</v>
      </c>
      <c r="AD554" s="21" t="s">
        <v>153</v>
      </c>
      <c r="AE554" s="21" t="s">
        <v>153</v>
      </c>
      <c r="AF554" s="17"/>
      <c r="AG554" s="15"/>
      <c r="AH554" s="16"/>
      <c r="AI554" s="16"/>
      <c r="AJ554" s="42">
        <f t="shared" ca="1" si="66"/>
        <v>302</v>
      </c>
      <c r="AK554" s="42">
        <f t="shared" ca="1" si="67"/>
        <v>250</v>
      </c>
      <c r="AL554" s="130" t="str">
        <f t="shared" si="68"/>
        <v>No Answer</v>
      </c>
      <c r="AM554" s="37">
        <v>45362</v>
      </c>
      <c r="AN554" s="38">
        <v>45364</v>
      </c>
      <c r="AO554" s="38">
        <v>45414</v>
      </c>
      <c r="AP554" s="38"/>
      <c r="AQ554" s="38"/>
      <c r="AR554" s="101" t="s">
        <v>1763</v>
      </c>
      <c r="AS554" s="38">
        <v>45414</v>
      </c>
      <c r="AT554" s="11" t="s">
        <v>7</v>
      </c>
    </row>
    <row r="555" spans="1:46" s="98" customFormat="1" x14ac:dyDescent="0.3">
      <c r="A555" s="16"/>
      <c r="B555" s="16" cm="1">
        <f t="array" ref="B555">+_xlfn.IFS(D555="In Touch - Positive",2,D555="Pending",1,D555="No Answer",4,D555="In Touch - Negative",3)</f>
        <v>4</v>
      </c>
      <c r="C555" s="16" t="s">
        <v>3416</v>
      </c>
      <c r="D555" s="99" t="str">
        <f t="shared" si="69"/>
        <v>No Answer</v>
      </c>
      <c r="E555" s="12" t="s">
        <v>3352</v>
      </c>
      <c r="F555" s="12"/>
      <c r="G555" s="13" t="s">
        <v>572</v>
      </c>
      <c r="H555" s="14" t="s">
        <v>3375</v>
      </c>
      <c r="I555" s="13"/>
      <c r="J555" s="100" t="s">
        <v>2772</v>
      </c>
      <c r="K555" s="15" t="s">
        <v>3434</v>
      </c>
      <c r="L555" s="15" t="s">
        <v>3401</v>
      </c>
      <c r="M555" s="15"/>
      <c r="N555" s="15"/>
      <c r="O555" s="15"/>
      <c r="P555" s="15"/>
      <c r="Q555" s="15"/>
      <c r="R555" s="16"/>
      <c r="S555" s="35" t="s">
        <v>77</v>
      </c>
      <c r="T555" s="13">
        <v>2022</v>
      </c>
      <c r="U555" s="17">
        <v>29.501999999999999</v>
      </c>
      <c r="V555" s="17">
        <v>5.5780000000000003</v>
      </c>
      <c r="W555" s="248">
        <f t="shared" si="70"/>
        <v>0.1890719273269609</v>
      </c>
      <c r="X555" s="17">
        <v>3.6619999999999999</v>
      </c>
      <c r="Y555" s="17"/>
      <c r="Z555" s="16"/>
      <c r="AA555" s="15" t="s">
        <v>140</v>
      </c>
      <c r="AB555" s="17"/>
      <c r="AC555" s="21" t="s">
        <v>153</v>
      </c>
      <c r="AD555" s="21" t="s">
        <v>153</v>
      </c>
      <c r="AE555" s="21" t="s">
        <v>153</v>
      </c>
      <c r="AF555" s="17"/>
      <c r="AG555" s="15"/>
      <c r="AH555" s="16"/>
      <c r="AI555" s="16"/>
      <c r="AJ555" s="42">
        <f t="shared" ca="1" si="66"/>
        <v>302</v>
      </c>
      <c r="AK555" s="42">
        <f t="shared" ca="1" si="67"/>
        <v>301</v>
      </c>
      <c r="AL555" s="130" t="str">
        <f t="shared" si="68"/>
        <v>No Answer</v>
      </c>
      <c r="AM555" s="37">
        <v>45362</v>
      </c>
      <c r="AN555" s="38">
        <v>45364</v>
      </c>
      <c r="AO555" s="38"/>
      <c r="AP555" s="38"/>
      <c r="AQ555" s="38"/>
      <c r="AR555" s="101" t="s">
        <v>1763</v>
      </c>
      <c r="AS555" s="38">
        <v>45363</v>
      </c>
      <c r="AT555" s="11" t="s">
        <v>7</v>
      </c>
    </row>
    <row r="556" spans="1:46" s="98" customFormat="1" x14ac:dyDescent="0.3">
      <c r="B556" s="16" cm="1">
        <f t="array" ref="B556">+_xlfn.IFS(D556="In Touch - Positive",2,D556="Pending",1,D556="No Answer",4,D556="In Touch - Negative",3)</f>
        <v>4</v>
      </c>
      <c r="C556" s="16" t="s">
        <v>3416</v>
      </c>
      <c r="D556" s="99" t="str">
        <f t="shared" si="69"/>
        <v>No Answer</v>
      </c>
      <c r="E556" s="12" t="s">
        <v>3350</v>
      </c>
      <c r="F556" s="12"/>
      <c r="G556" s="13" t="s">
        <v>226</v>
      </c>
      <c r="H556" s="14" t="s">
        <v>3377</v>
      </c>
      <c r="I556" s="13"/>
      <c r="J556" s="100" t="s">
        <v>2772</v>
      </c>
      <c r="K556" s="15" t="s">
        <v>3436</v>
      </c>
      <c r="L556" s="15" t="s">
        <v>3402</v>
      </c>
      <c r="M556" s="15"/>
      <c r="N556" s="15"/>
      <c r="O556" s="15"/>
      <c r="P556" s="15"/>
      <c r="Q556" s="15"/>
      <c r="R556" s="16"/>
      <c r="S556" s="35" t="s">
        <v>77</v>
      </c>
      <c r="T556" s="13">
        <v>2022</v>
      </c>
      <c r="U556" s="17">
        <v>122.148</v>
      </c>
      <c r="V556" s="17">
        <v>12.724</v>
      </c>
      <c r="W556" s="248">
        <f t="shared" si="70"/>
        <v>0.10416871336411566</v>
      </c>
      <c r="X556" s="17">
        <v>7.7889999999999997</v>
      </c>
      <c r="Y556" s="17"/>
      <c r="Z556" s="16"/>
      <c r="AA556" s="15" t="s">
        <v>140</v>
      </c>
      <c r="AB556" s="17"/>
      <c r="AC556" s="21" t="s">
        <v>153</v>
      </c>
      <c r="AD556" s="21" t="s">
        <v>153</v>
      </c>
      <c r="AE556" s="21" t="s">
        <v>153</v>
      </c>
      <c r="AF556" s="17"/>
      <c r="AG556" s="15"/>
      <c r="AH556" s="16"/>
      <c r="AI556" s="16"/>
      <c r="AJ556" s="42">
        <f t="shared" ca="1" si="66"/>
        <v>302</v>
      </c>
      <c r="AK556" s="42">
        <f t="shared" ca="1" si="67"/>
        <v>301</v>
      </c>
      <c r="AL556" s="130" t="str">
        <f t="shared" si="68"/>
        <v>No Answer</v>
      </c>
      <c r="AM556" s="37">
        <v>45362</v>
      </c>
      <c r="AN556" s="38">
        <v>45364</v>
      </c>
      <c r="AO556" s="38"/>
      <c r="AP556" s="38"/>
      <c r="AQ556" s="38"/>
      <c r="AR556" s="101" t="s">
        <v>1763</v>
      </c>
      <c r="AS556" s="38">
        <v>45363</v>
      </c>
      <c r="AT556" s="11" t="s">
        <v>7</v>
      </c>
    </row>
    <row r="557" spans="1:46" s="98" customFormat="1" x14ac:dyDescent="0.3">
      <c r="B557" s="16" cm="1">
        <f t="array" ref="B557">+_xlfn.IFS(D557="In Touch - Positive",2,D557="Pending",1,D557="No Answer",4,D557="In Touch - Negative",3)</f>
        <v>4</v>
      </c>
      <c r="C557" s="16" t="s">
        <v>3416</v>
      </c>
      <c r="D557" s="99" t="str">
        <f t="shared" si="69"/>
        <v>No Answer</v>
      </c>
      <c r="E557" s="12" t="s">
        <v>3349</v>
      </c>
      <c r="F557" s="12"/>
      <c r="G557" s="13" t="s">
        <v>94</v>
      </c>
      <c r="H557" s="14" t="s">
        <v>3378</v>
      </c>
      <c r="I557" s="13"/>
      <c r="J557" s="100" t="s">
        <v>2772</v>
      </c>
      <c r="K557" s="15" t="s">
        <v>3437</v>
      </c>
      <c r="L557" s="15" t="s">
        <v>3403</v>
      </c>
      <c r="M557" s="15"/>
      <c r="N557" s="15"/>
      <c r="O557" s="15"/>
      <c r="P557" s="15"/>
      <c r="Q557" s="15"/>
      <c r="R557" s="16"/>
      <c r="S557" s="35" t="s">
        <v>77</v>
      </c>
      <c r="T557" s="13">
        <v>2022</v>
      </c>
      <c r="U557" s="17">
        <v>7.0389999999999997</v>
      </c>
      <c r="V557" s="17">
        <v>1.4370000000000001</v>
      </c>
      <c r="W557" s="248">
        <f t="shared" si="70"/>
        <v>0.20414831652223328</v>
      </c>
      <c r="X557" s="17">
        <v>0.94899999999999995</v>
      </c>
      <c r="Y557" s="17"/>
      <c r="Z557" s="16"/>
      <c r="AA557" s="15" t="s">
        <v>140</v>
      </c>
      <c r="AB557" s="17"/>
      <c r="AC557" s="21" t="s">
        <v>153</v>
      </c>
      <c r="AD557" s="21" t="s">
        <v>153</v>
      </c>
      <c r="AE557" s="21" t="s">
        <v>153</v>
      </c>
      <c r="AF557" s="17"/>
      <c r="AG557" s="15"/>
      <c r="AH557" s="16"/>
      <c r="AI557" s="16"/>
      <c r="AJ557" s="42">
        <f t="shared" ca="1" si="66"/>
        <v>302</v>
      </c>
      <c r="AK557" s="42">
        <f t="shared" ca="1" si="67"/>
        <v>301</v>
      </c>
      <c r="AL557" s="130" t="str">
        <f t="shared" si="68"/>
        <v>No Answer</v>
      </c>
      <c r="AM557" s="37">
        <v>45362</v>
      </c>
      <c r="AN557" s="38">
        <v>45364</v>
      </c>
      <c r="AO557" s="38"/>
      <c r="AP557" s="38"/>
      <c r="AQ557" s="38"/>
      <c r="AR557" s="101" t="s">
        <v>1763</v>
      </c>
      <c r="AS557" s="38">
        <v>45363</v>
      </c>
      <c r="AT557" s="11" t="s">
        <v>7</v>
      </c>
    </row>
    <row r="558" spans="1:46" s="98" customFormat="1" x14ac:dyDescent="0.3">
      <c r="A558" s="16"/>
      <c r="B558" s="16" cm="1">
        <f t="array" ref="B558">+_xlfn.IFS(D558="In Touch - Positive",2,D558="Pending",1,D558="No Answer",4,D558="In Touch - Negative",3)</f>
        <v>4</v>
      </c>
      <c r="C558" s="16" t="s">
        <v>3416</v>
      </c>
      <c r="D558" s="99" t="str">
        <f t="shared" si="69"/>
        <v>No Answer</v>
      </c>
      <c r="E558" s="12" t="s">
        <v>3347</v>
      </c>
      <c r="F558" s="12"/>
      <c r="G558" s="13" t="s">
        <v>103</v>
      </c>
      <c r="H558" s="14" t="s">
        <v>3380</v>
      </c>
      <c r="I558" s="13"/>
      <c r="J558" s="100" t="s">
        <v>2772</v>
      </c>
      <c r="K558" s="15" t="s">
        <v>3440</v>
      </c>
      <c r="L558" s="15" t="s">
        <v>3405</v>
      </c>
      <c r="M558" s="15"/>
      <c r="N558" s="15"/>
      <c r="O558" s="15"/>
      <c r="P558" s="15"/>
      <c r="Q558" s="15"/>
      <c r="R558" s="16"/>
      <c r="S558" s="35" t="s">
        <v>77</v>
      </c>
      <c r="T558" s="13">
        <v>2022</v>
      </c>
      <c r="U558" s="17">
        <v>50.707999999999998</v>
      </c>
      <c r="V558" s="17">
        <v>9.6669999999999998</v>
      </c>
      <c r="W558" s="248">
        <f t="shared" si="70"/>
        <v>0.1906405300938708</v>
      </c>
      <c r="X558" s="17">
        <v>4.3319999999999999</v>
      </c>
      <c r="Y558" s="17"/>
      <c r="Z558" s="16"/>
      <c r="AA558" s="15" t="s">
        <v>140</v>
      </c>
      <c r="AB558" s="17"/>
      <c r="AC558" s="21" t="s">
        <v>153</v>
      </c>
      <c r="AD558" s="21" t="s">
        <v>153</v>
      </c>
      <c r="AE558" s="21" t="s">
        <v>153</v>
      </c>
      <c r="AF558" s="17"/>
      <c r="AG558" s="15"/>
      <c r="AH558" s="16"/>
      <c r="AI558" s="16"/>
      <c r="AJ558" s="42">
        <f t="shared" ca="1" si="66"/>
        <v>302</v>
      </c>
      <c r="AK558" s="42">
        <f t="shared" ca="1" si="67"/>
        <v>250</v>
      </c>
      <c r="AL558" s="130" t="str">
        <f t="shared" si="68"/>
        <v>No Answer</v>
      </c>
      <c r="AM558" s="37">
        <v>45362</v>
      </c>
      <c r="AN558" s="38">
        <v>45364</v>
      </c>
      <c r="AO558" s="38">
        <v>45414</v>
      </c>
      <c r="AP558" s="38"/>
      <c r="AQ558" s="38"/>
      <c r="AR558" s="101" t="s">
        <v>1763</v>
      </c>
      <c r="AS558" s="38">
        <v>45414</v>
      </c>
      <c r="AT558" s="11" t="s">
        <v>7</v>
      </c>
    </row>
    <row r="559" spans="1:46" s="98" customFormat="1" x14ac:dyDescent="0.3">
      <c r="A559" s="16"/>
      <c r="B559" s="16" cm="1">
        <f t="array" ref="B559">+_xlfn.IFS(D559="In Touch - Positive",2,D559="Pending",1,D559="No Answer",4,D559="In Touch - Negative",3)</f>
        <v>4</v>
      </c>
      <c r="C559" s="16" t="s">
        <v>3416</v>
      </c>
      <c r="D559" s="99" t="str">
        <f t="shared" si="69"/>
        <v>No Answer</v>
      </c>
      <c r="E559" s="12" t="s">
        <v>3346</v>
      </c>
      <c r="F559" s="12"/>
      <c r="G559" s="13" t="s">
        <v>68</v>
      </c>
      <c r="H559" s="14" t="s">
        <v>3381</v>
      </c>
      <c r="I559" s="13"/>
      <c r="J559" s="100" t="s">
        <v>2772</v>
      </c>
      <c r="K559" s="15" t="s">
        <v>3441</v>
      </c>
      <c r="L559" s="15" t="s">
        <v>3406</v>
      </c>
      <c r="M559" s="15"/>
      <c r="N559" s="15"/>
      <c r="O559" s="15"/>
      <c r="P559" s="15"/>
      <c r="Q559" s="15"/>
      <c r="R559" s="16"/>
      <c r="S559" s="35" t="s">
        <v>77</v>
      </c>
      <c r="T559" s="13">
        <v>2022</v>
      </c>
      <c r="U559" s="17">
        <v>16.792000000000002</v>
      </c>
      <c r="V559" s="17">
        <v>1.2709999999999999</v>
      </c>
      <c r="W559" s="248">
        <f t="shared" si="70"/>
        <v>7.569080514530728E-2</v>
      </c>
      <c r="X559" s="17">
        <v>-2.5999999999999999E-2</v>
      </c>
      <c r="Y559" s="17"/>
      <c r="Z559" s="16"/>
      <c r="AA559" s="15" t="s">
        <v>140</v>
      </c>
      <c r="AB559" s="17"/>
      <c r="AC559" s="21" t="s">
        <v>153</v>
      </c>
      <c r="AD559" s="21" t="s">
        <v>153</v>
      </c>
      <c r="AE559" s="21" t="s">
        <v>153</v>
      </c>
      <c r="AF559" s="17"/>
      <c r="AG559" s="15"/>
      <c r="AH559" s="16"/>
      <c r="AI559" s="16"/>
      <c r="AJ559" s="42">
        <f t="shared" ca="1" si="66"/>
        <v>302</v>
      </c>
      <c r="AK559" s="42">
        <f t="shared" ca="1" si="67"/>
        <v>301</v>
      </c>
      <c r="AL559" s="130" t="str">
        <f t="shared" si="68"/>
        <v>No Answer</v>
      </c>
      <c r="AM559" s="37">
        <v>45362</v>
      </c>
      <c r="AN559" s="38">
        <v>45364</v>
      </c>
      <c r="AO559" s="38"/>
      <c r="AP559" s="38"/>
      <c r="AQ559" s="38"/>
      <c r="AR559" s="101" t="s">
        <v>1763</v>
      </c>
      <c r="AS559" s="38">
        <v>45363</v>
      </c>
      <c r="AT559" s="11" t="s">
        <v>7</v>
      </c>
    </row>
    <row r="560" spans="1:46" s="98" customFormat="1" x14ac:dyDescent="0.3">
      <c r="A560" s="16"/>
      <c r="B560" s="16" cm="1">
        <f t="array" ref="B560">+_xlfn.IFS(D560="In Touch - Positive",2,D560="Pending",1,D560="No Answer",4,D560="In Touch - Negative",3)</f>
        <v>4</v>
      </c>
      <c r="C560" s="16" t="s">
        <v>3416</v>
      </c>
      <c r="D560" s="99" t="str">
        <f t="shared" si="69"/>
        <v>No Answer</v>
      </c>
      <c r="E560" s="12" t="s">
        <v>3345</v>
      </c>
      <c r="F560" s="12"/>
      <c r="G560" s="13" t="s">
        <v>1141</v>
      </c>
      <c r="H560" s="14" t="s">
        <v>3382</v>
      </c>
      <c r="I560" s="13"/>
      <c r="J560" s="100" t="s">
        <v>2772</v>
      </c>
      <c r="K560" s="15" t="s">
        <v>3442</v>
      </c>
      <c r="L560" s="15" t="s">
        <v>3407</v>
      </c>
      <c r="M560" s="15"/>
      <c r="N560" s="15"/>
      <c r="O560" s="15"/>
      <c r="P560" s="15"/>
      <c r="Q560" s="15"/>
      <c r="R560" s="16"/>
      <c r="S560" s="35" t="s">
        <v>77</v>
      </c>
      <c r="T560" s="13">
        <v>2022</v>
      </c>
      <c r="U560" s="17">
        <v>10.747</v>
      </c>
      <c r="V560" s="17">
        <v>1.01</v>
      </c>
      <c r="W560" s="248">
        <f t="shared" si="70"/>
        <v>9.3979715269377498E-2</v>
      </c>
      <c r="X560" s="17">
        <v>0.48</v>
      </c>
      <c r="Y560" s="17"/>
      <c r="Z560" s="16"/>
      <c r="AA560" s="15" t="s">
        <v>140</v>
      </c>
      <c r="AB560" s="17"/>
      <c r="AC560" s="21" t="s">
        <v>153</v>
      </c>
      <c r="AD560" s="21" t="s">
        <v>153</v>
      </c>
      <c r="AE560" s="21" t="s">
        <v>153</v>
      </c>
      <c r="AF560" s="17"/>
      <c r="AG560" s="15"/>
      <c r="AH560" s="16"/>
      <c r="AI560" s="16"/>
      <c r="AJ560" s="42">
        <f t="shared" ca="1" si="66"/>
        <v>302</v>
      </c>
      <c r="AK560" s="42">
        <f t="shared" ca="1" si="67"/>
        <v>301</v>
      </c>
      <c r="AL560" s="130" t="str">
        <f t="shared" si="68"/>
        <v>No Answer</v>
      </c>
      <c r="AM560" s="37">
        <v>45362</v>
      </c>
      <c r="AN560" s="38">
        <v>45364</v>
      </c>
      <c r="AO560" s="38"/>
      <c r="AP560" s="38"/>
      <c r="AQ560" s="38"/>
      <c r="AR560" s="101" t="s">
        <v>1763</v>
      </c>
      <c r="AS560" s="38">
        <v>45363</v>
      </c>
      <c r="AT560" s="11" t="s">
        <v>7</v>
      </c>
    </row>
    <row r="561" spans="1:46" s="98" customFormat="1" x14ac:dyDescent="0.3">
      <c r="A561" s="16"/>
      <c r="B561" s="16" cm="1">
        <f t="array" ref="B561">+_xlfn.IFS(D561="In Touch - Positive",2,D561="Pending",1,D561="No Answer",4,D561="In Touch - Negative",3)</f>
        <v>4</v>
      </c>
      <c r="C561" s="16" t="s">
        <v>3416</v>
      </c>
      <c r="D561" s="99" t="str">
        <f t="shared" si="69"/>
        <v>No Answer</v>
      </c>
      <c r="E561" s="12" t="s">
        <v>3344</v>
      </c>
      <c r="F561" s="12"/>
      <c r="G561" s="13" t="s">
        <v>103</v>
      </c>
      <c r="H561" s="14" t="s">
        <v>3383</v>
      </c>
      <c r="I561" s="13"/>
      <c r="J561" s="100" t="s">
        <v>2772</v>
      </c>
      <c r="K561" s="15" t="s">
        <v>3439</v>
      </c>
      <c r="L561" s="15" t="s">
        <v>3408</v>
      </c>
      <c r="M561" s="15"/>
      <c r="N561" s="15"/>
      <c r="O561" s="15"/>
      <c r="P561" s="15"/>
      <c r="Q561" s="15"/>
      <c r="R561" s="16"/>
      <c r="S561" s="35" t="s">
        <v>77</v>
      </c>
      <c r="T561" s="13">
        <v>2022</v>
      </c>
      <c r="U561" s="17">
        <v>6.5090000000000003</v>
      </c>
      <c r="V561" s="17">
        <v>1.08</v>
      </c>
      <c r="W561" s="248">
        <f t="shared" si="70"/>
        <v>0.16592410508526656</v>
      </c>
      <c r="X561" s="17">
        <v>0.71899999999999997</v>
      </c>
      <c r="Y561" s="17"/>
      <c r="Z561" s="16"/>
      <c r="AA561" s="15" t="s">
        <v>140</v>
      </c>
      <c r="AB561" s="17"/>
      <c r="AC561" s="21" t="s">
        <v>153</v>
      </c>
      <c r="AD561" s="21" t="s">
        <v>153</v>
      </c>
      <c r="AE561" s="21" t="s">
        <v>153</v>
      </c>
      <c r="AF561" s="17"/>
      <c r="AG561" s="15"/>
      <c r="AH561" s="16"/>
      <c r="AI561" s="16"/>
      <c r="AJ561" s="42">
        <f t="shared" ca="1" si="66"/>
        <v>302</v>
      </c>
      <c r="AK561" s="42">
        <f t="shared" ca="1" si="67"/>
        <v>301</v>
      </c>
      <c r="AL561" s="130" t="str">
        <f t="shared" si="68"/>
        <v>No Answer</v>
      </c>
      <c r="AM561" s="37">
        <v>45362</v>
      </c>
      <c r="AN561" s="38">
        <v>45364</v>
      </c>
      <c r="AO561" s="38"/>
      <c r="AP561" s="38"/>
      <c r="AQ561" s="38"/>
      <c r="AR561" s="101" t="s">
        <v>1763</v>
      </c>
      <c r="AS561" s="38">
        <v>45363</v>
      </c>
      <c r="AT561" s="11" t="s">
        <v>7</v>
      </c>
    </row>
    <row r="562" spans="1:46" s="98" customFormat="1" x14ac:dyDescent="0.3">
      <c r="A562" s="16"/>
      <c r="B562" s="16" cm="1">
        <f t="array" ref="B562">+_xlfn.IFS(D562="In Touch - Positive",2,D562="Pending",1,D562="No Answer",4,D562="In Touch - Negative",3)</f>
        <v>4</v>
      </c>
      <c r="C562" s="16" t="s">
        <v>3416</v>
      </c>
      <c r="D562" s="99" t="str">
        <f t="shared" si="69"/>
        <v>No Answer</v>
      </c>
      <c r="E562" s="12" t="s">
        <v>3343</v>
      </c>
      <c r="F562" s="12"/>
      <c r="G562" s="13" t="s">
        <v>159</v>
      </c>
      <c r="H562" s="14" t="s">
        <v>3384</v>
      </c>
      <c r="I562" s="13"/>
      <c r="J562" s="100" t="s">
        <v>2772</v>
      </c>
      <c r="K562" s="15" t="s">
        <v>3443</v>
      </c>
      <c r="L562" s="15" t="s">
        <v>3409</v>
      </c>
      <c r="M562" s="15"/>
      <c r="N562" s="15"/>
      <c r="O562" s="15"/>
      <c r="P562" s="15"/>
      <c r="Q562" s="15"/>
      <c r="R562" s="16"/>
      <c r="S562" s="35" t="s">
        <v>77</v>
      </c>
      <c r="T562" s="13">
        <v>2022</v>
      </c>
      <c r="U562" s="17">
        <v>48.798000000000002</v>
      </c>
      <c r="V562" s="17">
        <v>6.1820000000000004</v>
      </c>
      <c r="W562" s="248">
        <f t="shared" si="70"/>
        <v>0.1266855198983565</v>
      </c>
      <c r="X562" s="17">
        <v>8.3219999999999992</v>
      </c>
      <c r="Y562" s="17"/>
      <c r="Z562" s="16"/>
      <c r="AA562" s="15" t="s">
        <v>140</v>
      </c>
      <c r="AB562" s="17"/>
      <c r="AC562" s="21" t="s">
        <v>153</v>
      </c>
      <c r="AD562" s="21" t="s">
        <v>153</v>
      </c>
      <c r="AE562" s="21" t="s">
        <v>153</v>
      </c>
      <c r="AF562" s="17"/>
      <c r="AG562" s="15"/>
      <c r="AH562" s="16"/>
      <c r="AI562" s="16"/>
      <c r="AJ562" s="42">
        <f t="shared" ca="1" si="66"/>
        <v>302</v>
      </c>
      <c r="AK562" s="42">
        <f t="shared" ca="1" si="67"/>
        <v>301</v>
      </c>
      <c r="AL562" s="130" t="str">
        <f t="shared" si="68"/>
        <v>No Answer</v>
      </c>
      <c r="AM562" s="37">
        <v>45362</v>
      </c>
      <c r="AN562" s="38">
        <v>45364</v>
      </c>
      <c r="AO562" s="38"/>
      <c r="AP562" s="38"/>
      <c r="AQ562" s="38"/>
      <c r="AR562" s="101" t="s">
        <v>1763</v>
      </c>
      <c r="AS562" s="38">
        <v>45363</v>
      </c>
      <c r="AT562" s="11" t="s">
        <v>7</v>
      </c>
    </row>
    <row r="563" spans="1:46" s="98" customFormat="1" x14ac:dyDescent="0.3">
      <c r="A563" s="16"/>
      <c r="B563" s="16" cm="1">
        <f t="array" ref="B563">+_xlfn.IFS(D563="In Touch - Positive",2,D563="Pending",1,D563="No Answer",4,D563="In Touch - Negative",3)</f>
        <v>4</v>
      </c>
      <c r="C563" s="16" t="s">
        <v>3416</v>
      </c>
      <c r="D563" s="99" t="str">
        <f t="shared" si="69"/>
        <v>No Answer</v>
      </c>
      <c r="E563" s="12" t="s">
        <v>3340</v>
      </c>
      <c r="F563" s="12"/>
      <c r="G563" s="13" t="s">
        <v>572</v>
      </c>
      <c r="H563" s="14" t="s">
        <v>3387</v>
      </c>
      <c r="I563" s="13"/>
      <c r="J563" s="100" t="s">
        <v>2772</v>
      </c>
      <c r="K563" s="15" t="s">
        <v>3446</v>
      </c>
      <c r="L563" s="15" t="s">
        <v>3412</v>
      </c>
      <c r="M563" s="15"/>
      <c r="N563" s="15"/>
      <c r="O563" s="15"/>
      <c r="P563" s="15"/>
      <c r="Q563" s="15"/>
      <c r="R563" s="16"/>
      <c r="S563" s="35" t="s">
        <v>77</v>
      </c>
      <c r="T563" s="13">
        <v>2022</v>
      </c>
      <c r="U563" s="17">
        <v>14.55</v>
      </c>
      <c r="V563" s="17">
        <v>1.1870000000000001</v>
      </c>
      <c r="W563" s="248">
        <f t="shared" si="70"/>
        <v>8.1580756013745703E-2</v>
      </c>
      <c r="X563" s="17">
        <v>0.55400000000000005</v>
      </c>
      <c r="Y563" s="17"/>
      <c r="Z563" s="16"/>
      <c r="AA563" s="15" t="s">
        <v>140</v>
      </c>
      <c r="AB563" s="17"/>
      <c r="AC563" s="21" t="s">
        <v>153</v>
      </c>
      <c r="AD563" s="21" t="s">
        <v>153</v>
      </c>
      <c r="AE563" s="21" t="s">
        <v>153</v>
      </c>
      <c r="AF563" s="17"/>
      <c r="AG563" s="15"/>
      <c r="AH563" s="16"/>
      <c r="AI563" s="16"/>
      <c r="AJ563" s="42">
        <f t="shared" ca="1" si="66"/>
        <v>302</v>
      </c>
      <c r="AK563" s="42">
        <f t="shared" ca="1" si="67"/>
        <v>301</v>
      </c>
      <c r="AL563" s="130" t="str">
        <f t="shared" si="68"/>
        <v>No Answer</v>
      </c>
      <c r="AM563" s="37">
        <v>45362</v>
      </c>
      <c r="AN563" s="38">
        <v>45364</v>
      </c>
      <c r="AO563" s="38"/>
      <c r="AP563" s="38"/>
      <c r="AQ563" s="38"/>
      <c r="AR563" s="101" t="s">
        <v>1763</v>
      </c>
      <c r="AS563" s="38">
        <v>45363</v>
      </c>
      <c r="AT563" s="11" t="s">
        <v>7</v>
      </c>
    </row>
    <row r="564" spans="1:46" s="98" customFormat="1" x14ac:dyDescent="0.3">
      <c r="B564" s="16" cm="1">
        <f t="array" ref="B564">+_xlfn.IFS(D564="In Touch - Positive",2,D564="Pending",1,D564="No Answer",4,D564="In Touch - Negative",3)</f>
        <v>4</v>
      </c>
      <c r="C564" s="16" t="s">
        <v>3416</v>
      </c>
      <c r="D564" s="99" t="str">
        <f t="shared" si="69"/>
        <v>No Answer</v>
      </c>
      <c r="E564" s="12" t="s">
        <v>3337</v>
      </c>
      <c r="F564" s="12"/>
      <c r="G564" s="13" t="s">
        <v>68</v>
      </c>
      <c r="H564" s="14" t="s">
        <v>3390</v>
      </c>
      <c r="I564" s="13"/>
      <c r="J564" s="100" t="s">
        <v>2772</v>
      </c>
      <c r="K564" s="15" t="s">
        <v>3436</v>
      </c>
      <c r="L564" s="15"/>
      <c r="M564" s="15"/>
      <c r="N564" s="15"/>
      <c r="O564" s="15"/>
      <c r="P564" s="15"/>
      <c r="Q564" s="15"/>
      <c r="R564" s="16"/>
      <c r="S564" s="35" t="s">
        <v>77</v>
      </c>
      <c r="T564" s="13">
        <v>2022</v>
      </c>
      <c r="U564" s="17">
        <v>7.6749999999999998</v>
      </c>
      <c r="V564" s="17">
        <v>1.6379999999999999</v>
      </c>
      <c r="W564" s="248">
        <f t="shared" si="70"/>
        <v>0.21342019543973942</v>
      </c>
      <c r="X564" s="17">
        <v>1.0640000000000001</v>
      </c>
      <c r="Y564" s="17"/>
      <c r="Z564" s="16"/>
      <c r="AA564" s="15" t="s">
        <v>140</v>
      </c>
      <c r="AB564" s="17"/>
      <c r="AC564" s="21" t="s">
        <v>153</v>
      </c>
      <c r="AD564" s="21" t="s">
        <v>153</v>
      </c>
      <c r="AE564" s="21" t="s">
        <v>153</v>
      </c>
      <c r="AF564" s="17"/>
      <c r="AG564" s="15"/>
      <c r="AH564" s="16"/>
      <c r="AI564" s="16"/>
      <c r="AJ564" s="42">
        <f t="shared" ca="1" si="66"/>
        <v>302</v>
      </c>
      <c r="AK564" s="42">
        <f t="shared" ca="1" si="67"/>
        <v>301</v>
      </c>
      <c r="AL564" s="130" t="str">
        <f t="shared" si="68"/>
        <v>No Answer</v>
      </c>
      <c r="AM564" s="37">
        <v>45362</v>
      </c>
      <c r="AN564" s="38">
        <v>45364</v>
      </c>
      <c r="AO564" s="38"/>
      <c r="AP564" s="38"/>
      <c r="AQ564" s="38"/>
      <c r="AR564" s="101" t="s">
        <v>1763</v>
      </c>
      <c r="AS564" s="38">
        <v>45363</v>
      </c>
      <c r="AT564" s="11" t="s">
        <v>7</v>
      </c>
    </row>
    <row r="565" spans="1:46" s="98" customFormat="1" x14ac:dyDescent="0.3">
      <c r="B565" s="16" cm="1">
        <f t="array" ref="B565">+_xlfn.IFS(D565="In Touch - Positive",2,D565="Pending",1,D565="No Answer",4,D565="In Touch - Negative",3)</f>
        <v>4</v>
      </c>
      <c r="C565" s="16" t="s">
        <v>3416</v>
      </c>
      <c r="D565" s="99" t="str">
        <f t="shared" si="69"/>
        <v>No Answer</v>
      </c>
      <c r="E565" s="12" t="s">
        <v>3361</v>
      </c>
      <c r="F565" s="12"/>
      <c r="G565" s="13" t="s">
        <v>174</v>
      </c>
      <c r="H565" s="14" t="s">
        <v>3366</v>
      </c>
      <c r="I565" s="13"/>
      <c r="J565" s="100" t="s">
        <v>2772</v>
      </c>
      <c r="K565" s="15" t="s">
        <v>3426</v>
      </c>
      <c r="L565" s="15" t="s">
        <v>3393</v>
      </c>
      <c r="M565" s="15"/>
      <c r="N565" s="15"/>
      <c r="O565" s="15"/>
      <c r="P565" s="15"/>
      <c r="Q565" s="15"/>
      <c r="R565" s="16"/>
      <c r="S565" s="35" t="s">
        <v>77</v>
      </c>
      <c r="T565" s="13">
        <v>2022</v>
      </c>
      <c r="U565" s="17">
        <v>17.260000000000002</v>
      </c>
      <c r="V565" s="17">
        <v>1.119</v>
      </c>
      <c r="W565" s="248">
        <f t="shared" si="70"/>
        <v>6.4831981460023169E-2</v>
      </c>
      <c r="X565" s="17">
        <v>0.83599999999999997</v>
      </c>
      <c r="Y565" s="17"/>
      <c r="Z565" s="16"/>
      <c r="AA565" s="15" t="s">
        <v>140</v>
      </c>
      <c r="AB565" s="17"/>
      <c r="AC565" s="21" t="s">
        <v>153</v>
      </c>
      <c r="AD565" s="21" t="s">
        <v>153</v>
      </c>
      <c r="AE565" s="21" t="s">
        <v>153</v>
      </c>
      <c r="AF565" s="17"/>
      <c r="AG565" s="15"/>
      <c r="AH565" s="16"/>
      <c r="AI565" s="16"/>
      <c r="AJ565" s="42">
        <f t="shared" ca="1" si="66"/>
        <v>302</v>
      </c>
      <c r="AK565" s="42">
        <f t="shared" ca="1" si="67"/>
        <v>301</v>
      </c>
      <c r="AL565" s="130" t="str">
        <f t="shared" si="68"/>
        <v>No Answer</v>
      </c>
      <c r="AM565" s="37">
        <v>45362</v>
      </c>
      <c r="AN565" s="38">
        <v>45364</v>
      </c>
      <c r="AO565" s="38"/>
      <c r="AP565" s="38"/>
      <c r="AQ565" s="38"/>
      <c r="AR565" s="101" t="s">
        <v>1763</v>
      </c>
      <c r="AS565" s="38">
        <v>45363</v>
      </c>
      <c r="AT565" s="11" t="s">
        <v>7</v>
      </c>
    </row>
    <row r="566" spans="1:46" s="98" customFormat="1" x14ac:dyDescent="0.3">
      <c r="A566" s="16"/>
      <c r="B566" s="16" cm="1">
        <f t="array" ref="B566">+_xlfn.IFS(D566="In Touch - Positive",2,D566="Pending",1,D566="No Answer",4,D566="In Touch - Negative",3)</f>
        <v>4</v>
      </c>
      <c r="C566" s="16" t="s">
        <v>3416</v>
      </c>
      <c r="D566" s="99" t="str">
        <f t="shared" si="69"/>
        <v>No Answer</v>
      </c>
      <c r="E566" s="12" t="s">
        <v>3357</v>
      </c>
      <c r="F566" s="12"/>
      <c r="G566" s="13" t="s">
        <v>103</v>
      </c>
      <c r="H566" s="14" t="s">
        <v>3370</v>
      </c>
      <c r="I566" s="13"/>
      <c r="J566" s="100" t="s">
        <v>2772</v>
      </c>
      <c r="K566" s="15" t="s">
        <v>3429</v>
      </c>
      <c r="L566" s="15"/>
      <c r="M566" s="15"/>
      <c r="N566" s="15"/>
      <c r="O566" s="15"/>
      <c r="P566" s="15"/>
      <c r="Q566" s="15"/>
      <c r="R566" s="16"/>
      <c r="S566" s="35" t="s">
        <v>77</v>
      </c>
      <c r="T566" s="13">
        <v>2022</v>
      </c>
      <c r="U566" s="17">
        <v>17.8</v>
      </c>
      <c r="V566" s="17">
        <v>3.2639999999999998</v>
      </c>
      <c r="W566" s="248">
        <f t="shared" si="70"/>
        <v>0.1833707865168539</v>
      </c>
      <c r="X566" s="17">
        <v>2.3220000000000001</v>
      </c>
      <c r="Y566" s="17"/>
      <c r="Z566" s="16"/>
      <c r="AA566" s="15" t="s">
        <v>140</v>
      </c>
      <c r="AB566" s="17"/>
      <c r="AC566" s="21" t="s">
        <v>153</v>
      </c>
      <c r="AD566" s="21" t="s">
        <v>153</v>
      </c>
      <c r="AE566" s="21" t="s">
        <v>153</v>
      </c>
      <c r="AF566" s="17"/>
      <c r="AG566" s="15"/>
      <c r="AH566" s="16"/>
      <c r="AI566" s="16"/>
      <c r="AJ566" s="42">
        <f t="shared" ca="1" si="66"/>
        <v>302</v>
      </c>
      <c r="AK566" s="42">
        <f t="shared" ca="1" si="67"/>
        <v>301</v>
      </c>
      <c r="AL566" s="130" t="str">
        <f t="shared" si="68"/>
        <v>No Answer</v>
      </c>
      <c r="AM566" s="37">
        <v>45362</v>
      </c>
      <c r="AN566" s="38">
        <v>45364</v>
      </c>
      <c r="AO566" s="38"/>
      <c r="AP566" s="38"/>
      <c r="AQ566" s="38"/>
      <c r="AR566" s="101" t="s">
        <v>1763</v>
      </c>
      <c r="AS566" s="38">
        <v>45363</v>
      </c>
      <c r="AT566" s="11" t="s">
        <v>7</v>
      </c>
    </row>
    <row r="567" spans="1:46" s="98" customFormat="1" x14ac:dyDescent="0.3">
      <c r="A567" s="16"/>
      <c r="B567" s="16" cm="1">
        <f t="array" ref="B567">+_xlfn.IFS(D567="In Touch - Positive",2,D567="Pending",1,D567="No Answer",4,D567="In Touch - Negative",3)</f>
        <v>4</v>
      </c>
      <c r="C567" s="16" t="s">
        <v>3416</v>
      </c>
      <c r="D567" s="99" t="str">
        <f t="shared" si="69"/>
        <v>No Answer</v>
      </c>
      <c r="E567" s="12" t="s">
        <v>3351</v>
      </c>
      <c r="F567" s="12"/>
      <c r="G567" s="13" t="s">
        <v>246</v>
      </c>
      <c r="H567" s="14" t="s">
        <v>3376</v>
      </c>
      <c r="I567" s="13"/>
      <c r="J567" s="100" t="s">
        <v>2772</v>
      </c>
      <c r="K567" s="15" t="s">
        <v>3435</v>
      </c>
      <c r="L567" s="15"/>
      <c r="M567" s="15"/>
      <c r="N567" s="15"/>
      <c r="O567" s="15"/>
      <c r="P567" s="15"/>
      <c r="Q567" s="15"/>
      <c r="R567" s="16"/>
      <c r="S567" s="35" t="s">
        <v>77</v>
      </c>
      <c r="T567" s="13">
        <v>2022</v>
      </c>
      <c r="U567" s="17">
        <v>39.149000000000001</v>
      </c>
      <c r="V567" s="17">
        <v>9.2710000000000008</v>
      </c>
      <c r="W567" s="248">
        <f t="shared" si="70"/>
        <v>0.23681320084804211</v>
      </c>
      <c r="X567" s="17">
        <v>7.2779999999999996</v>
      </c>
      <c r="Y567" s="17"/>
      <c r="Z567" s="16"/>
      <c r="AA567" s="15" t="s">
        <v>140</v>
      </c>
      <c r="AB567" s="17"/>
      <c r="AC567" s="21" t="s">
        <v>153</v>
      </c>
      <c r="AD567" s="21" t="s">
        <v>153</v>
      </c>
      <c r="AE567" s="21" t="s">
        <v>153</v>
      </c>
      <c r="AF567" s="17"/>
      <c r="AG567" s="15"/>
      <c r="AH567" s="16"/>
      <c r="AI567" s="16"/>
      <c r="AJ567" s="42">
        <f t="shared" ca="1" si="66"/>
        <v>302</v>
      </c>
      <c r="AK567" s="42">
        <f t="shared" ca="1" si="67"/>
        <v>301</v>
      </c>
      <c r="AL567" s="130" t="str">
        <f t="shared" si="68"/>
        <v>No Answer</v>
      </c>
      <c r="AM567" s="37">
        <v>45362</v>
      </c>
      <c r="AN567" s="38">
        <v>45364</v>
      </c>
      <c r="AO567" s="38"/>
      <c r="AP567" s="38"/>
      <c r="AQ567" s="38"/>
      <c r="AR567" s="101" t="s">
        <v>1763</v>
      </c>
      <c r="AS567" s="38">
        <v>45363</v>
      </c>
      <c r="AT567" s="11" t="s">
        <v>7</v>
      </c>
    </row>
    <row r="568" spans="1:46" s="98" customFormat="1" x14ac:dyDescent="0.3">
      <c r="B568" s="16" cm="1">
        <f t="array" ref="B568">+_xlfn.IFS(D568="In Touch - Positive",2,D568="Pending",1,D568="No Answer",4,D568="In Touch - Negative",3)</f>
        <v>4</v>
      </c>
      <c r="C568" s="16" t="s">
        <v>377</v>
      </c>
      <c r="D568" s="99" t="str">
        <f t="shared" si="69"/>
        <v>No Answer</v>
      </c>
      <c r="E568" s="12" t="s">
        <v>3463</v>
      </c>
      <c r="F568" s="12"/>
      <c r="G568" s="13" t="s">
        <v>103</v>
      </c>
      <c r="H568" s="14" t="s">
        <v>3469</v>
      </c>
      <c r="I568" s="14" t="s">
        <v>3465</v>
      </c>
      <c r="J568" s="100" t="s">
        <v>377</v>
      </c>
      <c r="K568" s="15" t="s">
        <v>3471</v>
      </c>
      <c r="L568" s="15" t="s">
        <v>3470</v>
      </c>
      <c r="M568" s="15"/>
      <c r="N568" s="15"/>
      <c r="O568" s="15"/>
      <c r="P568" s="15"/>
      <c r="Q568" s="15"/>
      <c r="R568" s="16"/>
      <c r="S568" s="35" t="s">
        <v>77</v>
      </c>
      <c r="T568" s="13">
        <v>2022</v>
      </c>
      <c r="U568" s="17">
        <v>21.4985</v>
      </c>
      <c r="V568" s="17">
        <v>7.53</v>
      </c>
      <c r="W568" s="248">
        <f t="shared" si="70"/>
        <v>0.35025699467404703</v>
      </c>
      <c r="X568" s="17">
        <v>4.4729999999999999</v>
      </c>
      <c r="Y568" s="17">
        <v>-9.8729790000000008</v>
      </c>
      <c r="Z568" s="16"/>
      <c r="AA568" s="15" t="s">
        <v>140</v>
      </c>
      <c r="AB568" s="17"/>
      <c r="AC568" s="21" t="s">
        <v>86</v>
      </c>
      <c r="AD568" s="21" t="s">
        <v>61</v>
      </c>
      <c r="AE568" s="21" t="s">
        <v>86</v>
      </c>
      <c r="AF568" s="17"/>
      <c r="AG568" s="15"/>
      <c r="AH568" s="16"/>
      <c r="AI568" s="16"/>
      <c r="AJ568" s="42">
        <f t="shared" ca="1" si="66"/>
        <v>295</v>
      </c>
      <c r="AK568" s="42">
        <f t="shared" ca="1" si="67"/>
        <v>295</v>
      </c>
      <c r="AL568" s="130" t="str">
        <f t="shared" si="68"/>
        <v>No Answer</v>
      </c>
      <c r="AM568" s="37">
        <v>45369</v>
      </c>
      <c r="AN568" s="38">
        <v>45369</v>
      </c>
      <c r="AO568" s="38">
        <v>45414</v>
      </c>
      <c r="AP568" s="38">
        <v>45328</v>
      </c>
      <c r="AQ568" s="38"/>
      <c r="AR568" s="101" t="s">
        <v>1763</v>
      </c>
      <c r="AS568" s="38">
        <v>45369</v>
      </c>
      <c r="AT568" s="11" t="s">
        <v>7</v>
      </c>
    </row>
    <row r="569" spans="1:46" s="98" customFormat="1" x14ac:dyDescent="0.3">
      <c r="A569" s="16"/>
      <c r="B569" s="16" cm="1">
        <f t="array" ref="B569">+_xlfn.IFS(D569="In Touch - Positive",2,D569="Pending",1,D569="No Answer",4,D569="In Touch - Negative",3)</f>
        <v>4</v>
      </c>
      <c r="C569" s="16" t="s">
        <v>1790</v>
      </c>
      <c r="D569" s="122" t="str">
        <f t="shared" si="69"/>
        <v>No Answer</v>
      </c>
      <c r="E569" s="12" t="s">
        <v>1804</v>
      </c>
      <c r="F569" s="12"/>
      <c r="G569" s="13" t="s">
        <v>1805</v>
      </c>
      <c r="H569" s="14"/>
      <c r="I569" s="13"/>
      <c r="J569" s="100" t="s">
        <v>111</v>
      </c>
      <c r="K569" s="15"/>
      <c r="L569" s="15"/>
      <c r="M569" s="15"/>
      <c r="N569" s="15"/>
      <c r="O569" s="15"/>
      <c r="P569" s="15"/>
      <c r="Q569" s="15"/>
      <c r="R569" s="16"/>
      <c r="S569" s="35"/>
      <c r="T569" s="13"/>
      <c r="U569" s="17"/>
      <c r="V569" s="17"/>
      <c r="W569" s="39"/>
      <c r="X569" s="17"/>
      <c r="Y569" s="17"/>
      <c r="Z569" s="16"/>
      <c r="AA569" s="15" t="s">
        <v>140</v>
      </c>
      <c r="AB569" s="17"/>
      <c r="AC569" s="21" t="s">
        <v>153</v>
      </c>
      <c r="AD569" s="21" t="s">
        <v>153</v>
      </c>
      <c r="AE569" s="61" t="s">
        <v>1792</v>
      </c>
      <c r="AF569" s="17"/>
      <c r="AG569" s="15"/>
      <c r="AH569" s="16"/>
      <c r="AI569" s="16"/>
      <c r="AJ569" s="42">
        <f t="shared" ca="1" si="66"/>
        <v>589</v>
      </c>
      <c r="AK569" s="42">
        <f t="shared" ca="1" si="67"/>
        <v>336</v>
      </c>
      <c r="AL569" s="130" t="str">
        <f t="shared" si="68"/>
        <v>No Answer</v>
      </c>
      <c r="AM569" s="37">
        <v>45075</v>
      </c>
      <c r="AN569" s="123">
        <v>45078</v>
      </c>
      <c r="AO569" s="38">
        <v>45187</v>
      </c>
      <c r="AP569" s="245"/>
      <c r="AQ569" s="38"/>
      <c r="AR569" s="101" t="s">
        <v>1763</v>
      </c>
      <c r="AS569" s="38">
        <v>45328</v>
      </c>
      <c r="AT569" s="11" t="s">
        <v>7</v>
      </c>
    </row>
    <row r="570" spans="1:46" s="98" customFormat="1" x14ac:dyDescent="0.3">
      <c r="A570" s="16"/>
      <c r="B570" s="16" cm="1">
        <f t="array" ref="B570">+_xlfn.IFS(D570="In Touch - Positive",2,D570="Pending",1,D570="No Answer",4,D570="In Touch - Negative",3)</f>
        <v>4</v>
      </c>
      <c r="C570" s="231" t="s">
        <v>2800</v>
      </c>
      <c r="D570" s="232" t="str">
        <f t="shared" si="69"/>
        <v>No Answer</v>
      </c>
      <c r="E570" s="12" t="s">
        <v>3269</v>
      </c>
      <c r="F570" s="233"/>
      <c r="G570" s="13" t="s">
        <v>386</v>
      </c>
      <c r="H570" s="14" t="s">
        <v>3276</v>
      </c>
      <c r="I570" s="234"/>
      <c r="J570" s="100" t="s">
        <v>1010</v>
      </c>
      <c r="K570" s="15"/>
      <c r="L570" s="15" t="s">
        <v>3285</v>
      </c>
      <c r="M570" s="237"/>
      <c r="N570" s="237"/>
      <c r="O570" s="237"/>
      <c r="P570" s="237"/>
      <c r="Q570" s="237"/>
      <c r="R570" s="231"/>
      <c r="S570" s="238"/>
      <c r="T570" s="234">
        <v>2022</v>
      </c>
      <c r="U570" s="239">
        <v>31.6</v>
      </c>
      <c r="V570" s="239">
        <v>14.63</v>
      </c>
      <c r="W570" s="248">
        <f t="shared" ref="W570:W603" si="71">+V570/U570</f>
        <v>0.46297468354430382</v>
      </c>
      <c r="X570" s="239"/>
      <c r="Y570" s="239"/>
      <c r="Z570" s="231"/>
      <c r="AA570" s="237" t="s">
        <v>140</v>
      </c>
      <c r="AB570" s="239"/>
      <c r="AC570" s="241" t="s">
        <v>153</v>
      </c>
      <c r="AD570" s="241" t="s">
        <v>153</v>
      </c>
      <c r="AE570" s="241" t="s">
        <v>273</v>
      </c>
      <c r="AF570" s="239"/>
      <c r="AG570" s="237"/>
      <c r="AH570" s="231"/>
      <c r="AI570" s="231"/>
      <c r="AJ570" s="242">
        <f t="shared" ca="1" si="66"/>
        <v>322</v>
      </c>
      <c r="AK570" s="242">
        <f t="shared" ca="1" si="67"/>
        <v>321</v>
      </c>
      <c r="AL570" s="243" t="str">
        <f t="shared" si="68"/>
        <v>No Answer</v>
      </c>
      <c r="AM570" s="244">
        <v>45342</v>
      </c>
      <c r="AN570" s="245">
        <v>45343</v>
      </c>
      <c r="AO570" s="245"/>
      <c r="AP570" s="245"/>
      <c r="AQ570" s="245"/>
      <c r="AR570" s="246" t="s">
        <v>1763</v>
      </c>
      <c r="AS570" s="245">
        <v>45343</v>
      </c>
      <c r="AT570" s="11" t="s">
        <v>7</v>
      </c>
    </row>
    <row r="571" spans="1:46" s="271" customFormat="1" x14ac:dyDescent="0.35">
      <c r="A571" s="97"/>
      <c r="B571" s="16" cm="1">
        <f t="array" ref="B571">+_xlfn.IFS(D571="In Touch - Positive",2,D571="Pending",1,D571="No Answer",4,D571="In Touch - Negative",3)</f>
        <v>4</v>
      </c>
      <c r="C571" s="231" t="s">
        <v>2800</v>
      </c>
      <c r="D571" s="232" t="str">
        <f t="shared" si="69"/>
        <v>No Answer</v>
      </c>
      <c r="E571" s="12" t="s">
        <v>3270</v>
      </c>
      <c r="F571" s="233"/>
      <c r="G571" s="13" t="s">
        <v>226</v>
      </c>
      <c r="H571" s="14" t="s">
        <v>3277</v>
      </c>
      <c r="I571" s="234"/>
      <c r="J571" s="100" t="s">
        <v>111</v>
      </c>
      <c r="K571" s="15"/>
      <c r="L571" s="15" t="s">
        <v>3286</v>
      </c>
      <c r="M571" s="237"/>
      <c r="N571" s="237"/>
      <c r="O571" s="237"/>
      <c r="P571" s="237"/>
      <c r="Q571" s="237"/>
      <c r="R571" s="231"/>
      <c r="S571" s="238"/>
      <c r="T571" s="234">
        <v>2022</v>
      </c>
      <c r="U571" s="239">
        <v>210.37</v>
      </c>
      <c r="V571" s="239">
        <v>13</v>
      </c>
      <c r="W571" s="248">
        <f t="shared" si="71"/>
        <v>6.1795883443456767E-2</v>
      </c>
      <c r="X571" s="239"/>
      <c r="Y571" s="239"/>
      <c r="Z571" s="231"/>
      <c r="AA571" s="237" t="s">
        <v>140</v>
      </c>
      <c r="AB571" s="239"/>
      <c r="AC571" s="241" t="s">
        <v>153</v>
      </c>
      <c r="AD571" s="241" t="s">
        <v>153</v>
      </c>
      <c r="AE571" s="241" t="s">
        <v>273</v>
      </c>
      <c r="AF571" s="239"/>
      <c r="AG571" s="237"/>
      <c r="AH571" s="231"/>
      <c r="AI571" s="231"/>
      <c r="AJ571" s="242">
        <f t="shared" ca="1" si="66"/>
        <v>322</v>
      </c>
      <c r="AK571" s="242">
        <f t="shared" ca="1" si="67"/>
        <v>321</v>
      </c>
      <c r="AL571" s="243" t="str">
        <f t="shared" si="68"/>
        <v>No Answer</v>
      </c>
      <c r="AM571" s="244">
        <v>45342</v>
      </c>
      <c r="AN571" s="245">
        <v>45343</v>
      </c>
      <c r="AO571" s="245"/>
      <c r="AP571" s="245"/>
      <c r="AQ571" s="245"/>
      <c r="AR571" s="246" t="s">
        <v>1763</v>
      </c>
      <c r="AS571" s="245">
        <v>45343</v>
      </c>
      <c r="AT571" s="11"/>
    </row>
    <row r="572" spans="1:46" s="98" customFormat="1" x14ac:dyDescent="0.3">
      <c r="B572" s="16" cm="1">
        <f t="array" ref="B572">+_xlfn.IFS(D572="In Touch - Positive",2,D572="Pending",1,D572="No Answer",4,D572="In Touch - Negative",3)</f>
        <v>4</v>
      </c>
      <c r="C572" s="231" t="s">
        <v>2800</v>
      </c>
      <c r="D572" s="232" t="str">
        <f t="shared" si="69"/>
        <v>No Answer</v>
      </c>
      <c r="E572" s="12" t="s">
        <v>3271</v>
      </c>
      <c r="F572" s="233"/>
      <c r="G572" s="13" t="s">
        <v>103</v>
      </c>
      <c r="H572" s="14" t="s">
        <v>3278</v>
      </c>
      <c r="I572" s="234"/>
      <c r="J572" s="100" t="s">
        <v>274</v>
      </c>
      <c r="K572" s="15" t="s">
        <v>3292</v>
      </c>
      <c r="L572" s="15" t="s">
        <v>3287</v>
      </c>
      <c r="M572" s="237"/>
      <c r="N572" s="237"/>
      <c r="O572" s="237"/>
      <c r="P572" s="237"/>
      <c r="Q572" s="237"/>
      <c r="R572" s="231"/>
      <c r="S572" s="238"/>
      <c r="T572" s="234">
        <v>2022</v>
      </c>
      <c r="U572" s="239">
        <v>38.5</v>
      </c>
      <c r="V572" s="239">
        <v>12.45</v>
      </c>
      <c r="W572" s="248">
        <f t="shared" si="71"/>
        <v>0.32337662337662337</v>
      </c>
      <c r="X572" s="239"/>
      <c r="Y572" s="239"/>
      <c r="Z572" s="231"/>
      <c r="AA572" s="237" t="s">
        <v>140</v>
      </c>
      <c r="AB572" s="239"/>
      <c r="AC572" s="241" t="s">
        <v>153</v>
      </c>
      <c r="AD572" s="241" t="s">
        <v>153</v>
      </c>
      <c r="AE572" s="241" t="s">
        <v>273</v>
      </c>
      <c r="AF572" s="239"/>
      <c r="AG572" s="237"/>
      <c r="AH572" s="231"/>
      <c r="AI572" s="231"/>
      <c r="AJ572" s="242">
        <f t="shared" ca="1" si="66"/>
        <v>322</v>
      </c>
      <c r="AK572" s="242">
        <f t="shared" ca="1" si="67"/>
        <v>321</v>
      </c>
      <c r="AL572" s="243" t="str">
        <f t="shared" si="68"/>
        <v>No Answer</v>
      </c>
      <c r="AM572" s="244">
        <v>45342</v>
      </c>
      <c r="AN572" s="245">
        <v>45343</v>
      </c>
      <c r="AO572" s="245"/>
      <c r="AP572" s="245"/>
      <c r="AQ572" s="245"/>
      <c r="AR572" s="246" t="s">
        <v>1763</v>
      </c>
      <c r="AS572" s="245">
        <v>45343</v>
      </c>
      <c r="AT572" s="11" t="s">
        <v>7</v>
      </c>
    </row>
    <row r="573" spans="1:46" s="98" customFormat="1" x14ac:dyDescent="0.3">
      <c r="B573" s="16" cm="1">
        <f t="array" ref="B573">+_xlfn.IFS(D573="In Touch - Positive",2,D573="Pending",1,D573="No Answer",4,D573="In Touch - Negative",3)</f>
        <v>4</v>
      </c>
      <c r="C573" s="231" t="s">
        <v>2800</v>
      </c>
      <c r="D573" s="232" t="str">
        <f t="shared" si="69"/>
        <v>No Answer</v>
      </c>
      <c r="E573" s="12" t="s">
        <v>3272</v>
      </c>
      <c r="F573" s="233"/>
      <c r="G573" s="13" t="s">
        <v>174</v>
      </c>
      <c r="H573" s="14" t="s">
        <v>3279</v>
      </c>
      <c r="I573" s="234"/>
      <c r="J573" s="100" t="s">
        <v>3283</v>
      </c>
      <c r="K573" s="15" t="s">
        <v>3293</v>
      </c>
      <c r="L573" s="15" t="s">
        <v>3288</v>
      </c>
      <c r="M573" s="237"/>
      <c r="N573" s="237"/>
      <c r="O573" s="237"/>
      <c r="P573" s="237"/>
      <c r="Q573" s="237"/>
      <c r="R573" s="231"/>
      <c r="S573" s="238"/>
      <c r="T573" s="234">
        <v>2022</v>
      </c>
      <c r="U573" s="239">
        <v>5.34</v>
      </c>
      <c r="V573" s="239">
        <v>5.7</v>
      </c>
      <c r="W573" s="248">
        <f t="shared" si="71"/>
        <v>1.0674157303370788</v>
      </c>
      <c r="X573" s="239"/>
      <c r="Y573" s="239"/>
      <c r="Z573" s="231"/>
      <c r="AA573" s="237" t="s">
        <v>140</v>
      </c>
      <c r="AB573" s="239"/>
      <c r="AC573" s="241" t="s">
        <v>153</v>
      </c>
      <c r="AD573" s="241" t="s">
        <v>153</v>
      </c>
      <c r="AE573" s="241" t="s">
        <v>273</v>
      </c>
      <c r="AF573" s="239"/>
      <c r="AG573" s="237"/>
      <c r="AH573" s="231"/>
      <c r="AI573" s="231"/>
      <c r="AJ573" s="242">
        <f t="shared" ca="1" si="66"/>
        <v>322</v>
      </c>
      <c r="AK573" s="242">
        <f t="shared" ca="1" si="67"/>
        <v>321</v>
      </c>
      <c r="AL573" s="243" t="str">
        <f t="shared" si="68"/>
        <v>No Answer</v>
      </c>
      <c r="AM573" s="244">
        <v>45342</v>
      </c>
      <c r="AN573" s="245">
        <v>45343</v>
      </c>
      <c r="AO573" s="245"/>
      <c r="AP573" s="245"/>
      <c r="AQ573" s="245"/>
      <c r="AR573" s="246" t="s">
        <v>1763</v>
      </c>
      <c r="AS573" s="245">
        <v>45343</v>
      </c>
      <c r="AT573" s="11" t="s">
        <v>7</v>
      </c>
    </row>
    <row r="574" spans="1:46" s="98" customFormat="1" x14ac:dyDescent="0.3">
      <c r="A574" s="16"/>
      <c r="B574" s="16" cm="1">
        <f t="array" ref="B574">+_xlfn.IFS(D574="In Touch - Positive",2,D574="Pending",1,D574="No Answer",4,D574="In Touch - Negative",3)</f>
        <v>4</v>
      </c>
      <c r="C574" s="231" t="s">
        <v>2800</v>
      </c>
      <c r="D574" s="232" t="str">
        <f t="shared" si="69"/>
        <v>No Answer</v>
      </c>
      <c r="E574" s="12" t="s">
        <v>3273</v>
      </c>
      <c r="F574" s="233"/>
      <c r="G574" s="13" t="s">
        <v>428</v>
      </c>
      <c r="H574" s="14" t="s">
        <v>3280</v>
      </c>
      <c r="I574" s="234"/>
      <c r="J574" s="100" t="s">
        <v>3284</v>
      </c>
      <c r="K574" s="15" t="s">
        <v>3294</v>
      </c>
      <c r="L574" s="15" t="s">
        <v>3289</v>
      </c>
      <c r="M574" s="237"/>
      <c r="N574" s="237"/>
      <c r="O574" s="237"/>
      <c r="P574" s="237"/>
      <c r="Q574" s="237"/>
      <c r="R574" s="231"/>
      <c r="S574" s="238"/>
      <c r="T574" s="234">
        <v>2022</v>
      </c>
      <c r="U574" s="239">
        <v>23.12</v>
      </c>
      <c r="V574" s="239">
        <v>5.75</v>
      </c>
      <c r="W574" s="248">
        <f t="shared" si="71"/>
        <v>0.2487024221453287</v>
      </c>
      <c r="X574" s="239"/>
      <c r="Y574" s="239"/>
      <c r="Z574" s="231"/>
      <c r="AA574" s="237" t="s">
        <v>140</v>
      </c>
      <c r="AB574" s="239"/>
      <c r="AC574" s="241" t="s">
        <v>153</v>
      </c>
      <c r="AD574" s="241" t="s">
        <v>153</v>
      </c>
      <c r="AE574" s="241" t="s">
        <v>273</v>
      </c>
      <c r="AF574" s="239"/>
      <c r="AG574" s="237"/>
      <c r="AH574" s="231"/>
      <c r="AI574" s="231"/>
      <c r="AJ574" s="242">
        <f t="shared" ca="1" si="66"/>
        <v>322</v>
      </c>
      <c r="AK574" s="242">
        <f t="shared" ca="1" si="67"/>
        <v>321</v>
      </c>
      <c r="AL574" s="243" t="str">
        <f t="shared" si="68"/>
        <v>No Answer</v>
      </c>
      <c r="AM574" s="244">
        <v>45342</v>
      </c>
      <c r="AN574" s="245">
        <v>45343</v>
      </c>
      <c r="AO574" s="245"/>
      <c r="AP574" s="245"/>
      <c r="AQ574" s="245"/>
      <c r="AR574" s="246" t="s">
        <v>1763</v>
      </c>
      <c r="AS574" s="245">
        <v>45343</v>
      </c>
      <c r="AT574" s="11" t="s">
        <v>7</v>
      </c>
    </row>
    <row r="575" spans="1:46" s="98" customFormat="1" x14ac:dyDescent="0.3">
      <c r="A575" s="16"/>
      <c r="B575" s="16" cm="1">
        <f t="array" ref="B575">+_xlfn.IFS(D575="In Touch - Positive",2,D575="Pending",1,D575="No Answer",4,D575="In Touch - Negative",3)</f>
        <v>4</v>
      </c>
      <c r="C575" s="231" t="s">
        <v>2800</v>
      </c>
      <c r="D575" s="232" t="str">
        <f t="shared" si="69"/>
        <v>No Answer</v>
      </c>
      <c r="E575" s="12" t="s">
        <v>3274</v>
      </c>
      <c r="F575" s="233"/>
      <c r="G575" s="13" t="s">
        <v>308</v>
      </c>
      <c r="H575" s="14" t="s">
        <v>3281</v>
      </c>
      <c r="I575" s="234"/>
      <c r="J575" s="100" t="s">
        <v>3014</v>
      </c>
      <c r="K575" s="15" t="s">
        <v>3295</v>
      </c>
      <c r="L575" s="15" t="s">
        <v>3290</v>
      </c>
      <c r="M575" s="237"/>
      <c r="N575" s="237"/>
      <c r="O575" s="237"/>
      <c r="P575" s="237"/>
      <c r="Q575" s="237"/>
      <c r="R575" s="231"/>
      <c r="S575" s="238"/>
      <c r="T575" s="234">
        <v>2022</v>
      </c>
      <c r="U575" s="239">
        <v>32.6</v>
      </c>
      <c r="V575" s="239">
        <v>5.65</v>
      </c>
      <c r="W575" s="248">
        <f t="shared" si="71"/>
        <v>0.17331288343558282</v>
      </c>
      <c r="X575" s="239"/>
      <c r="Y575" s="239"/>
      <c r="Z575" s="231"/>
      <c r="AA575" s="237" t="s">
        <v>140</v>
      </c>
      <c r="AB575" s="239"/>
      <c r="AC575" s="241" t="s">
        <v>153</v>
      </c>
      <c r="AD575" s="241" t="s">
        <v>153</v>
      </c>
      <c r="AE575" s="241" t="s">
        <v>273</v>
      </c>
      <c r="AF575" s="239"/>
      <c r="AG575" s="237"/>
      <c r="AH575" s="231"/>
      <c r="AI575" s="231"/>
      <c r="AJ575" s="242">
        <f t="shared" ca="1" si="66"/>
        <v>322</v>
      </c>
      <c r="AK575" s="242">
        <f t="shared" ca="1" si="67"/>
        <v>321</v>
      </c>
      <c r="AL575" s="243" t="str">
        <f t="shared" si="68"/>
        <v>No Answer</v>
      </c>
      <c r="AM575" s="244">
        <v>45342</v>
      </c>
      <c r="AN575" s="245">
        <v>45343</v>
      </c>
      <c r="AO575" s="245"/>
      <c r="AP575" s="245"/>
      <c r="AQ575" s="245"/>
      <c r="AR575" s="246" t="s">
        <v>1763</v>
      </c>
      <c r="AS575" s="245">
        <v>45343</v>
      </c>
      <c r="AT575" s="11" t="s">
        <v>7</v>
      </c>
    </row>
    <row r="576" spans="1:46" s="98" customFormat="1" x14ac:dyDescent="0.3">
      <c r="B576" s="16" cm="1">
        <f t="array" ref="B576">+_xlfn.IFS(D576="In Touch - Positive",2,D576="Pending",1,D576="No Answer",4,D576="In Touch - Negative",3)</f>
        <v>4</v>
      </c>
      <c r="C576" s="231" t="s">
        <v>2800</v>
      </c>
      <c r="D576" s="232" t="str">
        <f t="shared" si="69"/>
        <v>No Answer</v>
      </c>
      <c r="E576" s="12" t="s">
        <v>3275</v>
      </c>
      <c r="F576" s="233"/>
      <c r="G576" s="13" t="s">
        <v>103</v>
      </c>
      <c r="H576" s="14" t="s">
        <v>3282</v>
      </c>
      <c r="I576" s="234"/>
      <c r="J576" s="100" t="s">
        <v>3012</v>
      </c>
      <c r="K576" s="15"/>
      <c r="L576" s="15" t="s">
        <v>3291</v>
      </c>
      <c r="M576" s="237"/>
      <c r="N576" s="237"/>
      <c r="O576" s="237"/>
      <c r="P576" s="237"/>
      <c r="Q576" s="237"/>
      <c r="R576" s="231"/>
      <c r="S576" s="238"/>
      <c r="T576" s="234">
        <v>2022</v>
      </c>
      <c r="U576" s="239">
        <v>11.99</v>
      </c>
      <c r="V576" s="239">
        <v>5.55</v>
      </c>
      <c r="W576" s="248">
        <f t="shared" si="71"/>
        <v>0.46288573811509587</v>
      </c>
      <c r="X576" s="239"/>
      <c r="Y576" s="239"/>
      <c r="Z576" s="231"/>
      <c r="AA576" s="237" t="s">
        <v>140</v>
      </c>
      <c r="AB576" s="239"/>
      <c r="AC576" s="241" t="s">
        <v>153</v>
      </c>
      <c r="AD576" s="241" t="s">
        <v>153</v>
      </c>
      <c r="AE576" s="241" t="s">
        <v>273</v>
      </c>
      <c r="AF576" s="239"/>
      <c r="AG576" s="237"/>
      <c r="AH576" s="231"/>
      <c r="AI576" s="231"/>
      <c r="AJ576" s="242">
        <f t="shared" ca="1" si="66"/>
        <v>322</v>
      </c>
      <c r="AK576" s="242">
        <f t="shared" ca="1" si="67"/>
        <v>321</v>
      </c>
      <c r="AL576" s="243" t="str">
        <f t="shared" si="68"/>
        <v>No Answer</v>
      </c>
      <c r="AM576" s="244">
        <v>45342</v>
      </c>
      <c r="AN576" s="245">
        <v>45343</v>
      </c>
      <c r="AO576" s="245"/>
      <c r="AP576" s="38"/>
      <c r="AQ576" s="245"/>
      <c r="AR576" s="246" t="s">
        <v>1763</v>
      </c>
      <c r="AS576" s="245">
        <v>45343</v>
      </c>
      <c r="AT576" s="11" t="s">
        <v>7</v>
      </c>
    </row>
    <row r="577" spans="1:46" s="98" customFormat="1" x14ac:dyDescent="0.3">
      <c r="B577" s="16" cm="1">
        <f t="array" ref="B577">+_xlfn.IFS(D577="In Touch - Positive",2,D577="Pending",1,D577="No Answer",4,D577="In Touch - Negative",3)</f>
        <v>4</v>
      </c>
      <c r="C577" s="16" t="s">
        <v>2745</v>
      </c>
      <c r="D577" s="99" t="str">
        <f t="shared" si="69"/>
        <v>No Answer</v>
      </c>
      <c r="E577" s="12" t="s">
        <v>2746</v>
      </c>
      <c r="F577" s="12"/>
      <c r="G577" s="13" t="s">
        <v>428</v>
      </c>
      <c r="H577" s="14"/>
      <c r="I577" s="13"/>
      <c r="J577" s="100" t="s">
        <v>2772</v>
      </c>
      <c r="K577" s="15"/>
      <c r="L577" s="15" t="s">
        <v>2792</v>
      </c>
      <c r="M577" s="15"/>
      <c r="N577" s="15"/>
      <c r="O577" s="15"/>
      <c r="P577" s="15"/>
      <c r="Q577" s="15"/>
      <c r="R577" s="16"/>
      <c r="S577" s="35"/>
      <c r="T577" s="13">
        <v>2022</v>
      </c>
      <c r="U577" s="17">
        <v>33.624000000000002</v>
      </c>
      <c r="V577" s="17">
        <v>9.5340000000000007</v>
      </c>
      <c r="W577" s="248">
        <f t="shared" si="71"/>
        <v>0.28354746609564596</v>
      </c>
      <c r="X577" s="17"/>
      <c r="Y577" s="17"/>
      <c r="Z577" s="16"/>
      <c r="AA577" s="15" t="s">
        <v>140</v>
      </c>
      <c r="AB577" s="17"/>
      <c r="AC577" s="21" t="s">
        <v>153</v>
      </c>
      <c r="AD577" s="21" t="s">
        <v>153</v>
      </c>
      <c r="AE577" s="21"/>
      <c r="AF577" s="17"/>
      <c r="AG577" s="15"/>
      <c r="AH577" s="16"/>
      <c r="AI577" s="16"/>
      <c r="AJ577" s="42">
        <f t="shared" ca="1" si="66"/>
        <v>355</v>
      </c>
      <c r="AK577" s="42">
        <f t="shared" ca="1" si="67"/>
        <v>349</v>
      </c>
      <c r="AL577" s="130" t="str">
        <f t="shared" si="68"/>
        <v>No Answer</v>
      </c>
      <c r="AM577" s="37">
        <v>45309</v>
      </c>
      <c r="AN577" s="38">
        <v>45315</v>
      </c>
      <c r="AO577" s="38"/>
      <c r="AP577" s="38"/>
      <c r="AQ577" s="38"/>
      <c r="AR577" s="101" t="s">
        <v>1763</v>
      </c>
      <c r="AS577" s="38">
        <v>45315</v>
      </c>
      <c r="AT577" s="11" t="s">
        <v>7</v>
      </c>
    </row>
    <row r="578" spans="1:46" s="98" customFormat="1" x14ac:dyDescent="0.3">
      <c r="A578" s="16"/>
      <c r="B578" s="16" cm="1">
        <f t="array" ref="B578">+_xlfn.IFS(D578="In Touch - Positive",2,D578="Pending",1,D578="No Answer",4,D578="In Touch - Negative",3)</f>
        <v>4</v>
      </c>
      <c r="C578" s="16" t="s">
        <v>2745</v>
      </c>
      <c r="D578" s="99" t="str">
        <f t="shared" si="69"/>
        <v>No Answer</v>
      </c>
      <c r="E578" s="12" t="s">
        <v>2747</v>
      </c>
      <c r="F578" s="12"/>
      <c r="G578" s="13" t="s">
        <v>103</v>
      </c>
      <c r="H578" s="14"/>
      <c r="I578" s="13"/>
      <c r="J578" s="100" t="s">
        <v>2772</v>
      </c>
      <c r="K578" s="15"/>
      <c r="L578" s="15" t="s">
        <v>2773</v>
      </c>
      <c r="M578" s="15"/>
      <c r="N578" s="15"/>
      <c r="O578" s="15"/>
      <c r="P578" s="15"/>
      <c r="Q578" s="15"/>
      <c r="R578" s="16"/>
      <c r="S578" s="35"/>
      <c r="T578" s="13">
        <v>2022</v>
      </c>
      <c r="U578" s="17">
        <v>73.381</v>
      </c>
      <c r="V578" s="17">
        <v>8.7629999999999999</v>
      </c>
      <c r="W578" s="248">
        <f t="shared" si="71"/>
        <v>0.11941783295403442</v>
      </c>
      <c r="X578" s="17"/>
      <c r="Y578" s="17"/>
      <c r="Z578" s="16"/>
      <c r="AA578" s="15" t="s">
        <v>140</v>
      </c>
      <c r="AB578" s="17"/>
      <c r="AC578" s="21" t="s">
        <v>153</v>
      </c>
      <c r="AD578" s="21" t="s">
        <v>153</v>
      </c>
      <c r="AE578" s="21"/>
      <c r="AF578" s="17"/>
      <c r="AG578" s="15"/>
      <c r="AH578" s="16"/>
      <c r="AI578" s="16"/>
      <c r="AJ578" s="42">
        <f t="shared" ca="1" si="66"/>
        <v>355</v>
      </c>
      <c r="AK578" s="42">
        <f t="shared" ca="1" si="67"/>
        <v>349</v>
      </c>
      <c r="AL578" s="130" t="str">
        <f t="shared" si="68"/>
        <v>No Answer</v>
      </c>
      <c r="AM578" s="37">
        <v>45309</v>
      </c>
      <c r="AN578" s="38">
        <v>45315</v>
      </c>
      <c r="AO578" s="38"/>
      <c r="AP578" s="38"/>
      <c r="AQ578" s="38"/>
      <c r="AR578" s="101" t="s">
        <v>1763</v>
      </c>
      <c r="AS578" s="38">
        <v>45315</v>
      </c>
      <c r="AT578" s="11" t="s">
        <v>7</v>
      </c>
    </row>
    <row r="579" spans="1:46" s="98" customFormat="1" x14ac:dyDescent="0.3">
      <c r="A579" s="16"/>
      <c r="B579" s="16" cm="1">
        <f t="array" ref="B579">+_xlfn.IFS(D579="In Touch - Positive",2,D579="Pending",1,D579="No Answer",4,D579="In Touch - Negative",3)</f>
        <v>4</v>
      </c>
      <c r="C579" s="16" t="s">
        <v>2745</v>
      </c>
      <c r="D579" s="99" t="str">
        <f t="shared" si="69"/>
        <v>No Answer</v>
      </c>
      <c r="E579" s="12" t="s">
        <v>2748</v>
      </c>
      <c r="F579" s="12"/>
      <c r="G579" s="13" t="s">
        <v>444</v>
      </c>
      <c r="H579" s="14"/>
      <c r="I579" s="13"/>
      <c r="J579" s="100" t="s">
        <v>2772</v>
      </c>
      <c r="K579" s="15"/>
      <c r="L579" s="15" t="s">
        <v>2774</v>
      </c>
      <c r="M579" s="15"/>
      <c r="N579" s="15"/>
      <c r="O579" s="15"/>
      <c r="P579" s="15"/>
      <c r="Q579" s="15"/>
      <c r="R579" s="16"/>
      <c r="S579" s="35"/>
      <c r="T579" s="13">
        <v>2022</v>
      </c>
      <c r="U579" s="17">
        <v>50.811999999999998</v>
      </c>
      <c r="V579" s="17">
        <v>8.6479999999999997</v>
      </c>
      <c r="W579" s="248">
        <f t="shared" si="71"/>
        <v>0.17019601668897111</v>
      </c>
      <c r="X579" s="17"/>
      <c r="Y579" s="17"/>
      <c r="Z579" s="16"/>
      <c r="AA579" s="15" t="s">
        <v>140</v>
      </c>
      <c r="AB579" s="17"/>
      <c r="AC579" s="21" t="s">
        <v>153</v>
      </c>
      <c r="AD579" s="21" t="s">
        <v>153</v>
      </c>
      <c r="AE579" s="21"/>
      <c r="AF579" s="17"/>
      <c r="AG579" s="15"/>
      <c r="AH579" s="16"/>
      <c r="AI579" s="16"/>
      <c r="AJ579" s="42">
        <f t="shared" ca="1" si="66"/>
        <v>355</v>
      </c>
      <c r="AK579" s="42">
        <f t="shared" ca="1" si="67"/>
        <v>349</v>
      </c>
      <c r="AL579" s="130" t="str">
        <f t="shared" si="68"/>
        <v>No Answer</v>
      </c>
      <c r="AM579" s="37">
        <v>45309</v>
      </c>
      <c r="AN579" s="38">
        <v>45315</v>
      </c>
      <c r="AO579" s="38"/>
      <c r="AP579" s="38"/>
      <c r="AQ579" s="38"/>
      <c r="AR579" s="101" t="s">
        <v>1763</v>
      </c>
      <c r="AS579" s="38">
        <v>45315</v>
      </c>
      <c r="AT579" s="11" t="s">
        <v>7</v>
      </c>
    </row>
    <row r="580" spans="1:46" s="98" customFormat="1" x14ac:dyDescent="0.3">
      <c r="B580" s="16" cm="1">
        <f t="array" ref="B580">+_xlfn.IFS(D580="In Touch - Positive",2,D580="Pending",1,D580="No Answer",4,D580="In Touch - Negative",3)</f>
        <v>4</v>
      </c>
      <c r="C580" s="16" t="s">
        <v>2745</v>
      </c>
      <c r="D580" s="99" t="str">
        <f t="shared" si="69"/>
        <v>No Answer</v>
      </c>
      <c r="E580" s="12" t="s">
        <v>2749</v>
      </c>
      <c r="F580" s="12"/>
      <c r="G580" s="13" t="s">
        <v>147</v>
      </c>
      <c r="H580" s="14"/>
      <c r="I580" s="13"/>
      <c r="J580" s="100" t="s">
        <v>2772</v>
      </c>
      <c r="K580" s="15"/>
      <c r="L580" s="15" t="s">
        <v>2775</v>
      </c>
      <c r="M580" s="15"/>
      <c r="N580" s="15"/>
      <c r="O580" s="15"/>
      <c r="P580" s="15"/>
      <c r="Q580" s="15"/>
      <c r="R580" s="16"/>
      <c r="S580" s="35"/>
      <c r="T580" s="13">
        <v>2022</v>
      </c>
      <c r="U580" s="17">
        <v>36.192999999999998</v>
      </c>
      <c r="V580" s="17">
        <v>8.2040000000000006</v>
      </c>
      <c r="W580" s="248">
        <f t="shared" si="71"/>
        <v>0.22667366617854284</v>
      </c>
      <c r="X580" s="17"/>
      <c r="Y580" s="17"/>
      <c r="Z580" s="16"/>
      <c r="AA580" s="15" t="s">
        <v>140</v>
      </c>
      <c r="AB580" s="17"/>
      <c r="AC580" s="21" t="s">
        <v>153</v>
      </c>
      <c r="AD580" s="21" t="s">
        <v>153</v>
      </c>
      <c r="AE580" s="21"/>
      <c r="AF580" s="17"/>
      <c r="AG580" s="15"/>
      <c r="AH580" s="16"/>
      <c r="AI580" s="16"/>
      <c r="AJ580" s="42">
        <f t="shared" ca="1" si="66"/>
        <v>355</v>
      </c>
      <c r="AK580" s="42">
        <f t="shared" ca="1" si="67"/>
        <v>349</v>
      </c>
      <c r="AL580" s="130" t="str">
        <f t="shared" si="68"/>
        <v>No Answer</v>
      </c>
      <c r="AM580" s="37">
        <v>45309</v>
      </c>
      <c r="AN580" s="38">
        <v>45315</v>
      </c>
      <c r="AO580" s="38"/>
      <c r="AP580" s="38"/>
      <c r="AQ580" s="38"/>
      <c r="AR580" s="101" t="s">
        <v>1763</v>
      </c>
      <c r="AS580" s="38">
        <v>45315</v>
      </c>
      <c r="AT580" s="247"/>
    </row>
    <row r="581" spans="1:46" s="98" customFormat="1" x14ac:dyDescent="0.3">
      <c r="A581" s="398"/>
      <c r="B581" s="16" cm="1">
        <f t="array" ref="B581">+_xlfn.IFS(D581="In Touch - Positive",2,D581="Pending",1,D581="No Answer",4,D581="In Touch - Negative",3)</f>
        <v>4</v>
      </c>
      <c r="C581" s="16" t="s">
        <v>2745</v>
      </c>
      <c r="D581" s="99" t="str">
        <f t="shared" si="69"/>
        <v>No Answer</v>
      </c>
      <c r="E581" s="12" t="s">
        <v>2750</v>
      </c>
      <c r="F581" s="12"/>
      <c r="G581" s="13" t="s">
        <v>508</v>
      </c>
      <c r="H581" s="14"/>
      <c r="I581" s="13"/>
      <c r="J581" s="100" t="s">
        <v>2772</v>
      </c>
      <c r="K581" s="15"/>
      <c r="L581" s="15" t="s">
        <v>2776</v>
      </c>
      <c r="M581" s="15"/>
      <c r="N581" s="15"/>
      <c r="O581" s="15"/>
      <c r="P581" s="15"/>
      <c r="Q581" s="15"/>
      <c r="R581" s="16"/>
      <c r="S581" s="35"/>
      <c r="T581" s="13">
        <v>2022</v>
      </c>
      <c r="U581" s="17">
        <v>43.289000000000001</v>
      </c>
      <c r="V581" s="17">
        <v>7.4950000000000001</v>
      </c>
      <c r="W581" s="248">
        <f t="shared" si="71"/>
        <v>0.17313867264201066</v>
      </c>
      <c r="X581" s="17"/>
      <c r="Y581" s="17"/>
      <c r="Z581" s="16"/>
      <c r="AA581" s="15" t="s">
        <v>140</v>
      </c>
      <c r="AB581" s="17"/>
      <c r="AC581" s="21" t="s">
        <v>153</v>
      </c>
      <c r="AD581" s="21" t="s">
        <v>153</v>
      </c>
      <c r="AE581" s="21"/>
      <c r="AF581" s="17"/>
      <c r="AG581" s="15"/>
      <c r="AH581" s="16"/>
      <c r="AI581" s="16"/>
      <c r="AJ581" s="42">
        <f t="shared" ca="1" si="66"/>
        <v>355</v>
      </c>
      <c r="AK581" s="42">
        <f t="shared" ca="1" si="67"/>
        <v>349</v>
      </c>
      <c r="AL581" s="130" t="str">
        <f t="shared" si="68"/>
        <v>No Answer</v>
      </c>
      <c r="AM581" s="37">
        <v>45309</v>
      </c>
      <c r="AN581" s="38">
        <v>45315</v>
      </c>
      <c r="AO581" s="38"/>
      <c r="AP581" s="38"/>
      <c r="AQ581" s="38"/>
      <c r="AR581" s="101" t="s">
        <v>1763</v>
      </c>
      <c r="AS581" s="38">
        <v>45315</v>
      </c>
      <c r="AT581" s="413"/>
    </row>
    <row r="582" spans="1:46" s="98" customFormat="1" x14ac:dyDescent="0.3">
      <c r="A582" s="16"/>
      <c r="B582" s="16" cm="1">
        <f t="array" ref="B582">+_xlfn.IFS(D582="In Touch - Positive",2,D582="Pending",1,D582="No Answer",4,D582="In Touch - Negative",3)</f>
        <v>4</v>
      </c>
      <c r="C582" s="16" t="s">
        <v>2745</v>
      </c>
      <c r="D582" s="99" t="str">
        <f t="shared" si="69"/>
        <v>No Answer</v>
      </c>
      <c r="E582" s="12" t="s">
        <v>2751</v>
      </c>
      <c r="F582" s="12"/>
      <c r="G582" s="13" t="s">
        <v>103</v>
      </c>
      <c r="H582" s="14"/>
      <c r="I582" s="13"/>
      <c r="J582" s="100" t="s">
        <v>2772</v>
      </c>
      <c r="K582" s="15"/>
      <c r="L582" s="15" t="s">
        <v>2777</v>
      </c>
      <c r="M582" s="15"/>
      <c r="N582" s="15"/>
      <c r="O582" s="15"/>
      <c r="P582" s="15"/>
      <c r="Q582" s="15"/>
      <c r="R582" s="16"/>
      <c r="S582" s="35"/>
      <c r="T582" s="13">
        <v>2022</v>
      </c>
      <c r="U582" s="17">
        <v>33.985999999999997</v>
      </c>
      <c r="V582" s="17">
        <v>6.548</v>
      </c>
      <c r="W582" s="248">
        <f t="shared" si="71"/>
        <v>0.19266756899899962</v>
      </c>
      <c r="X582" s="17"/>
      <c r="Y582" s="17"/>
      <c r="Z582" s="16"/>
      <c r="AA582" s="15" t="s">
        <v>140</v>
      </c>
      <c r="AB582" s="17"/>
      <c r="AC582" s="21" t="s">
        <v>153</v>
      </c>
      <c r="AD582" s="21" t="s">
        <v>153</v>
      </c>
      <c r="AE582" s="21"/>
      <c r="AF582" s="17"/>
      <c r="AG582" s="15"/>
      <c r="AH582" s="16"/>
      <c r="AI582" s="16"/>
      <c r="AJ582" s="42">
        <f t="shared" ca="1" si="66"/>
        <v>355</v>
      </c>
      <c r="AK582" s="42">
        <f t="shared" ca="1" si="67"/>
        <v>349</v>
      </c>
      <c r="AL582" s="130" t="str">
        <f t="shared" si="68"/>
        <v>No Answer</v>
      </c>
      <c r="AM582" s="37">
        <v>45309</v>
      </c>
      <c r="AN582" s="38">
        <v>45315</v>
      </c>
      <c r="AO582" s="38"/>
      <c r="AP582" s="38"/>
      <c r="AQ582" s="38"/>
      <c r="AR582" s="101" t="s">
        <v>1763</v>
      </c>
      <c r="AS582" s="38">
        <v>45315</v>
      </c>
      <c r="AT582" s="247"/>
    </row>
    <row r="583" spans="1:46" s="98" customFormat="1" x14ac:dyDescent="0.3">
      <c r="A583" s="16"/>
      <c r="B583" s="16" cm="1">
        <f t="array" ref="B583">+_xlfn.IFS(D583="In Touch - Positive",2,D583="Pending",1,D583="No Answer",4,D583="In Touch - Negative",3)</f>
        <v>4</v>
      </c>
      <c r="C583" s="16" t="s">
        <v>2745</v>
      </c>
      <c r="D583" s="99" t="str">
        <f t="shared" si="69"/>
        <v>No Answer</v>
      </c>
      <c r="E583" s="12" t="s">
        <v>2753</v>
      </c>
      <c r="F583" s="12"/>
      <c r="G583" s="13" t="s">
        <v>288</v>
      </c>
      <c r="H583" s="14"/>
      <c r="I583" s="13"/>
      <c r="J583" s="100" t="s">
        <v>2772</v>
      </c>
      <c r="K583" s="15"/>
      <c r="L583" s="15" t="s">
        <v>2779</v>
      </c>
      <c r="M583" s="15"/>
      <c r="N583" s="15"/>
      <c r="O583" s="15"/>
      <c r="P583" s="15"/>
      <c r="Q583" s="15"/>
      <c r="R583" s="16"/>
      <c r="S583" s="35"/>
      <c r="T583" s="13">
        <v>2022</v>
      </c>
      <c r="U583" s="17">
        <v>54.591000000000001</v>
      </c>
      <c r="V583" s="17">
        <v>5.0389999999999997</v>
      </c>
      <c r="W583" s="248">
        <f t="shared" si="71"/>
        <v>9.2304592332069377E-2</v>
      </c>
      <c r="X583" s="17"/>
      <c r="Y583" s="17"/>
      <c r="Z583" s="16"/>
      <c r="AA583" s="15" t="s">
        <v>140</v>
      </c>
      <c r="AB583" s="17"/>
      <c r="AC583" s="21" t="s">
        <v>153</v>
      </c>
      <c r="AD583" s="21" t="s">
        <v>153</v>
      </c>
      <c r="AE583" s="21"/>
      <c r="AF583" s="17"/>
      <c r="AG583" s="15"/>
      <c r="AH583" s="16"/>
      <c r="AI583" s="16"/>
      <c r="AJ583" s="42">
        <f t="shared" ca="1" si="66"/>
        <v>355</v>
      </c>
      <c r="AK583" s="42">
        <f t="shared" ca="1" si="67"/>
        <v>349</v>
      </c>
      <c r="AL583" s="130" t="str">
        <f t="shared" si="68"/>
        <v>No Answer</v>
      </c>
      <c r="AM583" s="37">
        <v>45309</v>
      </c>
      <c r="AN583" s="38">
        <v>45315</v>
      </c>
      <c r="AO583" s="38"/>
      <c r="AP583" s="38"/>
      <c r="AQ583" s="38"/>
      <c r="AR583" s="101" t="s">
        <v>1763</v>
      </c>
      <c r="AS583" s="38">
        <v>45315</v>
      </c>
      <c r="AT583" s="247"/>
    </row>
    <row r="584" spans="1:46" s="98" customFormat="1" x14ac:dyDescent="0.3">
      <c r="A584" s="16"/>
      <c r="B584" s="16" cm="1">
        <f t="array" ref="B584">+_xlfn.IFS(D584="In Touch - Positive",2,D584="Pending",1,D584="No Answer",4,D584="In Touch - Negative",3)</f>
        <v>4</v>
      </c>
      <c r="C584" s="16" t="s">
        <v>2745</v>
      </c>
      <c r="D584" s="99" t="str">
        <f t="shared" si="69"/>
        <v>No Answer</v>
      </c>
      <c r="E584" s="12" t="s">
        <v>2754</v>
      </c>
      <c r="F584" s="12"/>
      <c r="G584" s="13" t="s">
        <v>174</v>
      </c>
      <c r="H584" s="14"/>
      <c r="I584" s="13"/>
      <c r="J584" s="100" t="s">
        <v>2772</v>
      </c>
      <c r="K584" s="15"/>
      <c r="L584" s="15" t="s">
        <v>2780</v>
      </c>
      <c r="M584" s="15"/>
      <c r="N584" s="15"/>
      <c r="O584" s="15"/>
      <c r="P584" s="15"/>
      <c r="Q584" s="15"/>
      <c r="R584" s="16"/>
      <c r="S584" s="35"/>
      <c r="T584" s="13">
        <v>2022</v>
      </c>
      <c r="U584" s="17">
        <v>15.749000000000001</v>
      </c>
      <c r="V584" s="17">
        <v>4.4329999999999998</v>
      </c>
      <c r="W584" s="248">
        <f t="shared" si="71"/>
        <v>0.28147818909137085</v>
      </c>
      <c r="X584" s="17"/>
      <c r="Y584" s="17"/>
      <c r="Z584" s="16"/>
      <c r="AA584" s="15" t="s">
        <v>140</v>
      </c>
      <c r="AB584" s="17"/>
      <c r="AC584" s="21" t="s">
        <v>153</v>
      </c>
      <c r="AD584" s="21" t="s">
        <v>153</v>
      </c>
      <c r="AE584" s="21"/>
      <c r="AF584" s="17"/>
      <c r="AG584" s="15"/>
      <c r="AH584" s="16"/>
      <c r="AI584" s="16"/>
      <c r="AJ584" s="42">
        <f t="shared" ca="1" si="66"/>
        <v>355</v>
      </c>
      <c r="AK584" s="42">
        <f t="shared" ca="1" si="67"/>
        <v>349</v>
      </c>
      <c r="AL584" s="130" t="str">
        <f t="shared" si="68"/>
        <v>No Answer</v>
      </c>
      <c r="AM584" s="37">
        <v>45309</v>
      </c>
      <c r="AN584" s="38">
        <v>45315</v>
      </c>
      <c r="AO584" s="38"/>
      <c r="AP584" s="38"/>
      <c r="AQ584" s="38"/>
      <c r="AR584" s="101" t="s">
        <v>1763</v>
      </c>
      <c r="AS584" s="38">
        <v>45315</v>
      </c>
      <c r="AT584" s="247"/>
    </row>
    <row r="585" spans="1:46" s="98" customFormat="1" x14ac:dyDescent="0.3">
      <c r="A585" s="16"/>
      <c r="B585" s="16" cm="1">
        <f t="array" ref="B585">+_xlfn.IFS(D585="In Touch - Positive",2,D585="Pending",1,D585="No Answer",4,D585="In Touch - Negative",3)</f>
        <v>4</v>
      </c>
      <c r="C585" s="16" t="s">
        <v>2745</v>
      </c>
      <c r="D585" s="99" t="str">
        <f t="shared" si="69"/>
        <v>No Answer</v>
      </c>
      <c r="E585" s="12" t="s">
        <v>2755</v>
      </c>
      <c r="F585" s="12"/>
      <c r="G585" s="13" t="s">
        <v>147</v>
      </c>
      <c r="H585" s="14"/>
      <c r="I585" s="13"/>
      <c r="J585" s="100" t="s">
        <v>2772</v>
      </c>
      <c r="K585" s="15"/>
      <c r="L585" s="15" t="s">
        <v>2781</v>
      </c>
      <c r="M585" s="15"/>
      <c r="N585" s="15"/>
      <c r="O585" s="15"/>
      <c r="P585" s="15"/>
      <c r="Q585" s="15"/>
      <c r="R585" s="16"/>
      <c r="S585" s="35"/>
      <c r="T585" s="13">
        <v>2022</v>
      </c>
      <c r="U585" s="17">
        <v>69.828000000000003</v>
      </c>
      <c r="V585" s="17">
        <v>4.3730000000000002</v>
      </c>
      <c r="W585" s="248">
        <f t="shared" si="71"/>
        <v>6.2625307899409982E-2</v>
      </c>
      <c r="X585" s="17"/>
      <c r="Y585" s="17"/>
      <c r="Z585" s="16"/>
      <c r="AA585" s="15" t="s">
        <v>140</v>
      </c>
      <c r="AB585" s="17"/>
      <c r="AC585" s="21" t="s">
        <v>153</v>
      </c>
      <c r="AD585" s="21" t="s">
        <v>153</v>
      </c>
      <c r="AE585" s="21"/>
      <c r="AF585" s="17"/>
      <c r="AG585" s="15"/>
      <c r="AH585" s="16"/>
      <c r="AI585" s="16"/>
      <c r="AJ585" s="42">
        <f t="shared" ca="1" si="66"/>
        <v>355</v>
      </c>
      <c r="AK585" s="42">
        <f t="shared" ca="1" si="67"/>
        <v>348</v>
      </c>
      <c r="AL585" s="130" t="str">
        <f t="shared" si="68"/>
        <v>No Answer</v>
      </c>
      <c r="AM585" s="37">
        <v>45309</v>
      </c>
      <c r="AN585" s="38">
        <v>45316</v>
      </c>
      <c r="AO585" s="38"/>
      <c r="AP585" s="38"/>
      <c r="AQ585" s="38"/>
      <c r="AR585" s="101" t="s">
        <v>1763</v>
      </c>
      <c r="AS585" s="38">
        <v>45316</v>
      </c>
      <c r="AT585" s="247"/>
    </row>
    <row r="586" spans="1:46" s="98" customFormat="1" x14ac:dyDescent="0.3">
      <c r="A586" s="16"/>
      <c r="B586" s="16" cm="1">
        <f t="array" ref="B586">+_xlfn.IFS(D586="In Touch - Positive",2,D586="Pending",1,D586="No Answer",4,D586="In Touch - Negative",3)</f>
        <v>4</v>
      </c>
      <c r="C586" s="16" t="s">
        <v>2745</v>
      </c>
      <c r="D586" s="99" t="str">
        <f t="shared" si="69"/>
        <v>No Answer</v>
      </c>
      <c r="E586" s="12" t="s">
        <v>2756</v>
      </c>
      <c r="F586" s="12"/>
      <c r="G586" s="13" t="s">
        <v>271</v>
      </c>
      <c r="H586" s="14"/>
      <c r="I586" s="13"/>
      <c r="J586" s="100" t="s">
        <v>2772</v>
      </c>
      <c r="K586" s="15"/>
      <c r="L586" s="15" t="s">
        <v>2782</v>
      </c>
      <c r="M586" s="15"/>
      <c r="N586" s="15"/>
      <c r="O586" s="15"/>
      <c r="P586" s="15"/>
      <c r="Q586" s="15"/>
      <c r="R586" s="16"/>
      <c r="S586" s="35"/>
      <c r="T586" s="13">
        <v>2022</v>
      </c>
      <c r="U586" s="17">
        <v>50.465000000000003</v>
      </c>
      <c r="V586" s="17">
        <v>4.3310000000000004</v>
      </c>
      <c r="W586" s="248">
        <f t="shared" si="71"/>
        <v>8.582185673238879E-2</v>
      </c>
      <c r="X586" s="17"/>
      <c r="Y586" s="17"/>
      <c r="Z586" s="16"/>
      <c r="AA586" s="15" t="s">
        <v>140</v>
      </c>
      <c r="AB586" s="17"/>
      <c r="AC586" s="21" t="s">
        <v>153</v>
      </c>
      <c r="AD586" s="21" t="s">
        <v>153</v>
      </c>
      <c r="AE586" s="21"/>
      <c r="AF586" s="17"/>
      <c r="AG586" s="15"/>
      <c r="AH586" s="16"/>
      <c r="AI586" s="16"/>
      <c r="AJ586" s="42">
        <f t="shared" ca="1" si="66"/>
        <v>355</v>
      </c>
      <c r="AK586" s="42">
        <f t="shared" ca="1" si="67"/>
        <v>348</v>
      </c>
      <c r="AL586" s="130" t="str">
        <f t="shared" si="68"/>
        <v>No Answer</v>
      </c>
      <c r="AM586" s="37">
        <v>45309</v>
      </c>
      <c r="AN586" s="38">
        <v>45316</v>
      </c>
      <c r="AO586" s="38"/>
      <c r="AP586" s="38"/>
      <c r="AQ586" s="38"/>
      <c r="AR586" s="101" t="s">
        <v>1763</v>
      </c>
      <c r="AS586" s="38">
        <v>45316</v>
      </c>
      <c r="AT586" s="247"/>
    </row>
    <row r="587" spans="1:46" s="98" customFormat="1" x14ac:dyDescent="0.3">
      <c r="A587" s="16"/>
      <c r="B587" s="16" cm="1">
        <f t="array" ref="B587">+_xlfn.IFS(D587="In Touch - Positive",2,D587="Pending",1,D587="No Answer",4,D587="In Touch - Negative",3)</f>
        <v>4</v>
      </c>
      <c r="C587" s="16" t="s">
        <v>2745</v>
      </c>
      <c r="D587" s="99" t="str">
        <f t="shared" si="69"/>
        <v>No Answer</v>
      </c>
      <c r="E587" s="249" t="s">
        <v>2758</v>
      </c>
      <c r="F587" s="12"/>
      <c r="G587" s="13" t="s">
        <v>68</v>
      </c>
      <c r="H587" s="14"/>
      <c r="I587" s="13"/>
      <c r="J587" s="100" t="s">
        <v>2772</v>
      </c>
      <c r="K587" s="15"/>
      <c r="L587" s="15" t="s">
        <v>2791</v>
      </c>
      <c r="M587" s="15"/>
      <c r="N587" s="15"/>
      <c r="O587" s="15"/>
      <c r="P587" s="15"/>
      <c r="Q587" s="15"/>
      <c r="R587" s="16"/>
      <c r="S587" s="35"/>
      <c r="T587" s="13">
        <v>2022</v>
      </c>
      <c r="U587" s="17">
        <v>0</v>
      </c>
      <c r="V587" s="17">
        <v>0</v>
      </c>
      <c r="W587" s="248" t="e">
        <f t="shared" si="71"/>
        <v>#DIV/0!</v>
      </c>
      <c r="X587" s="17"/>
      <c r="Y587" s="17"/>
      <c r="Z587" s="16"/>
      <c r="AA587" s="15" t="s">
        <v>140</v>
      </c>
      <c r="AB587" s="17"/>
      <c r="AC587" s="21" t="s">
        <v>153</v>
      </c>
      <c r="AD587" s="21" t="s">
        <v>153</v>
      </c>
      <c r="AE587" s="21"/>
      <c r="AF587" s="17"/>
      <c r="AG587" s="15"/>
      <c r="AH587" s="16"/>
      <c r="AI587" s="16"/>
      <c r="AJ587" s="42">
        <f t="shared" ca="1" si="66"/>
        <v>355</v>
      </c>
      <c r="AK587" s="42">
        <f t="shared" ca="1" si="67"/>
        <v>348</v>
      </c>
      <c r="AL587" s="130" t="str">
        <f t="shared" si="68"/>
        <v>No Answer</v>
      </c>
      <c r="AM587" s="37">
        <v>45309</v>
      </c>
      <c r="AN587" s="38"/>
      <c r="AO587" s="38"/>
      <c r="AP587" s="38"/>
      <c r="AQ587" s="38"/>
      <c r="AR587" s="101" t="s">
        <v>1763</v>
      </c>
      <c r="AS587" s="38">
        <v>45316</v>
      </c>
      <c r="AT587" s="247"/>
    </row>
    <row r="588" spans="1:46" s="98" customFormat="1" x14ac:dyDescent="0.3">
      <c r="A588" s="16"/>
      <c r="B588" s="16" cm="1">
        <f t="array" ref="B588">+_xlfn.IFS(D588="In Touch - Positive",2,D588="Pending",1,D588="No Answer",4,D588="In Touch - Negative",3)</f>
        <v>4</v>
      </c>
      <c r="C588" s="16" t="s">
        <v>2745</v>
      </c>
      <c r="D588" s="99" t="str">
        <f t="shared" si="69"/>
        <v>No Answer</v>
      </c>
      <c r="E588" s="12" t="s">
        <v>2759</v>
      </c>
      <c r="F588" s="12"/>
      <c r="G588" s="13" t="s">
        <v>226</v>
      </c>
      <c r="H588" s="14"/>
      <c r="I588" s="13"/>
      <c r="J588" s="100" t="s">
        <v>2772</v>
      </c>
      <c r="K588" s="15"/>
      <c r="L588" s="15" t="s">
        <v>2784</v>
      </c>
      <c r="M588" s="15"/>
      <c r="N588" s="15"/>
      <c r="O588" s="15"/>
      <c r="P588" s="15"/>
      <c r="Q588" s="15"/>
      <c r="R588" s="16"/>
      <c r="S588" s="35"/>
      <c r="T588" s="13">
        <v>2022</v>
      </c>
      <c r="U588" s="17">
        <v>34.119999999999997</v>
      </c>
      <c r="V588" s="17">
        <v>3.536</v>
      </c>
      <c r="W588" s="248">
        <f t="shared" si="71"/>
        <v>0.10363423212192263</v>
      </c>
      <c r="X588" s="17"/>
      <c r="Y588" s="17"/>
      <c r="Z588" s="16"/>
      <c r="AA588" s="15" t="s">
        <v>140</v>
      </c>
      <c r="AB588" s="17"/>
      <c r="AC588" s="21" t="s">
        <v>153</v>
      </c>
      <c r="AD588" s="21" t="s">
        <v>153</v>
      </c>
      <c r="AE588" s="21"/>
      <c r="AF588" s="17"/>
      <c r="AG588" s="15"/>
      <c r="AH588" s="16"/>
      <c r="AI588" s="16"/>
      <c r="AJ588" s="42">
        <f t="shared" ref="AJ588:AJ651" ca="1" si="72">+TODAY()-AM588</f>
        <v>355</v>
      </c>
      <c r="AK588" s="42">
        <f t="shared" ref="AK588:AK651" ca="1" si="73">+TODAY()-AS588</f>
        <v>348</v>
      </c>
      <c r="AL588" s="130" t="str">
        <f t="shared" ref="AL588:AL651" si="74">+IF(D588="Pending",COUNTA(AM588:AQ588)/5,D588)</f>
        <v>No Answer</v>
      </c>
      <c r="AM588" s="37">
        <v>45309</v>
      </c>
      <c r="AN588" s="38">
        <v>45316</v>
      </c>
      <c r="AO588" s="38"/>
      <c r="AP588" s="38"/>
      <c r="AQ588" s="38"/>
      <c r="AR588" s="101" t="s">
        <v>1763</v>
      </c>
      <c r="AS588" s="38">
        <v>45316</v>
      </c>
      <c r="AT588" s="247"/>
    </row>
    <row r="589" spans="1:46" s="98" customFormat="1" x14ac:dyDescent="0.3">
      <c r="B589" s="16" cm="1">
        <f t="array" ref="B589">+_xlfn.IFS(D589="In Touch - Positive",2,D589="Pending",1,D589="No Answer",4,D589="In Touch - Negative",3)</f>
        <v>4</v>
      </c>
      <c r="C589" s="16" t="s">
        <v>2745</v>
      </c>
      <c r="D589" s="99" t="str">
        <f t="shared" si="69"/>
        <v>No Answer</v>
      </c>
      <c r="E589" s="12" t="s">
        <v>2760</v>
      </c>
      <c r="F589" s="12"/>
      <c r="G589" s="13" t="s">
        <v>166</v>
      </c>
      <c r="H589" s="14"/>
      <c r="I589" s="13"/>
      <c r="J589" s="100" t="s">
        <v>2772</v>
      </c>
      <c r="K589" s="15"/>
      <c r="L589" s="15" t="s">
        <v>2785</v>
      </c>
      <c r="M589" s="15"/>
      <c r="N589" s="15"/>
      <c r="O589" s="15"/>
      <c r="P589" s="15"/>
      <c r="Q589" s="15"/>
      <c r="R589" s="16"/>
      <c r="S589" s="35"/>
      <c r="T589" s="13">
        <v>2022</v>
      </c>
      <c r="U589" s="17">
        <v>29.292999999999999</v>
      </c>
      <c r="V589" s="17">
        <v>3.524</v>
      </c>
      <c r="W589" s="248">
        <f t="shared" si="71"/>
        <v>0.12030177858191377</v>
      </c>
      <c r="X589" s="17"/>
      <c r="Y589" s="17"/>
      <c r="Z589" s="16"/>
      <c r="AA589" s="15" t="s">
        <v>140</v>
      </c>
      <c r="AB589" s="17"/>
      <c r="AC589" s="21" t="s">
        <v>153</v>
      </c>
      <c r="AD589" s="21" t="s">
        <v>153</v>
      </c>
      <c r="AE589" s="21"/>
      <c r="AF589" s="17"/>
      <c r="AG589" s="15"/>
      <c r="AH589" s="16"/>
      <c r="AI589" s="16"/>
      <c r="AJ589" s="42">
        <f t="shared" ca="1" si="72"/>
        <v>355</v>
      </c>
      <c r="AK589" s="42">
        <f t="shared" ca="1" si="73"/>
        <v>348</v>
      </c>
      <c r="AL589" s="130" t="str">
        <f t="shared" si="74"/>
        <v>No Answer</v>
      </c>
      <c r="AM589" s="37">
        <v>45309</v>
      </c>
      <c r="AN589" s="38">
        <v>45316</v>
      </c>
      <c r="AO589" s="38"/>
      <c r="AP589" s="38"/>
      <c r="AQ589" s="38"/>
      <c r="AR589" s="101" t="s">
        <v>1763</v>
      </c>
      <c r="AS589" s="38">
        <v>45316</v>
      </c>
      <c r="AT589" s="247"/>
    </row>
    <row r="590" spans="1:46" s="98" customFormat="1" x14ac:dyDescent="0.3">
      <c r="A590" s="16"/>
      <c r="B590" s="16" cm="1">
        <f t="array" ref="B590">+_xlfn.IFS(D590="In Touch - Positive",2,D590="Pending",1,D590="No Answer",4,D590="In Touch - Negative",3)</f>
        <v>4</v>
      </c>
      <c r="C590" s="16" t="s">
        <v>2745</v>
      </c>
      <c r="D590" s="99" t="str">
        <f t="shared" si="69"/>
        <v>No Answer</v>
      </c>
      <c r="E590" s="12" t="s">
        <v>2762</v>
      </c>
      <c r="F590" s="12"/>
      <c r="G590" s="13" t="s">
        <v>208</v>
      </c>
      <c r="H590" s="14"/>
      <c r="I590" s="13"/>
      <c r="J590" s="100" t="s">
        <v>2772</v>
      </c>
      <c r="K590" s="15"/>
      <c r="L590" s="15" t="s">
        <v>2787</v>
      </c>
      <c r="M590" s="15"/>
      <c r="N590" s="15"/>
      <c r="O590" s="15"/>
      <c r="P590" s="15"/>
      <c r="Q590" s="15"/>
      <c r="R590" s="16"/>
      <c r="S590" s="35"/>
      <c r="T590" s="13">
        <v>2022</v>
      </c>
      <c r="U590" s="17">
        <v>15.943</v>
      </c>
      <c r="V590" s="17">
        <v>3.3069999999999999</v>
      </c>
      <c r="W590" s="248">
        <f t="shared" si="71"/>
        <v>0.20742645675217963</v>
      </c>
      <c r="X590" s="17"/>
      <c r="Y590" s="17"/>
      <c r="Z590" s="16"/>
      <c r="AA590" s="15" t="s">
        <v>140</v>
      </c>
      <c r="AB590" s="17"/>
      <c r="AC590" s="21" t="s">
        <v>153</v>
      </c>
      <c r="AD590" s="21" t="s">
        <v>153</v>
      </c>
      <c r="AE590" s="21"/>
      <c r="AF590" s="17"/>
      <c r="AG590" s="15"/>
      <c r="AH590" s="16"/>
      <c r="AI590" s="16"/>
      <c r="AJ590" s="42">
        <f t="shared" ca="1" si="72"/>
        <v>355</v>
      </c>
      <c r="AK590" s="42">
        <f t="shared" ca="1" si="73"/>
        <v>348</v>
      </c>
      <c r="AL590" s="130" t="str">
        <f t="shared" si="74"/>
        <v>No Answer</v>
      </c>
      <c r="AM590" s="37">
        <v>45309</v>
      </c>
      <c r="AN590" s="38">
        <v>45316</v>
      </c>
      <c r="AO590" s="38"/>
      <c r="AP590" s="38"/>
      <c r="AQ590" s="38"/>
      <c r="AR590" s="101" t="s">
        <v>1763</v>
      </c>
      <c r="AS590" s="38">
        <v>45316</v>
      </c>
      <c r="AT590" s="247"/>
    </row>
    <row r="591" spans="1:46" s="98" customFormat="1" x14ac:dyDescent="0.3">
      <c r="A591" s="16"/>
      <c r="B591" s="16" cm="1">
        <f t="array" ref="B591">+_xlfn.IFS(D591="In Touch - Positive",2,D591="Pending",1,D591="No Answer",4,D591="In Touch - Negative",3)</f>
        <v>4</v>
      </c>
      <c r="C591" s="16" t="s">
        <v>2745</v>
      </c>
      <c r="D591" s="99" t="str">
        <f t="shared" si="69"/>
        <v>No Answer</v>
      </c>
      <c r="E591" s="12" t="s">
        <v>2763</v>
      </c>
      <c r="F591" s="12"/>
      <c r="G591" s="13" t="s">
        <v>288</v>
      </c>
      <c r="H591" s="14"/>
      <c r="I591" s="13"/>
      <c r="J591" s="100" t="s">
        <v>2772</v>
      </c>
      <c r="K591" s="15"/>
      <c r="L591" s="15" t="s">
        <v>2788</v>
      </c>
      <c r="M591" s="15"/>
      <c r="N591" s="15"/>
      <c r="O591" s="15"/>
      <c r="P591" s="15"/>
      <c r="Q591" s="15"/>
      <c r="R591" s="16"/>
      <c r="S591" s="35"/>
      <c r="T591" s="13">
        <v>2022</v>
      </c>
      <c r="U591" s="17">
        <v>0</v>
      </c>
      <c r="V591" s="17">
        <v>0</v>
      </c>
      <c r="W591" s="248" t="e">
        <f t="shared" si="71"/>
        <v>#DIV/0!</v>
      </c>
      <c r="X591" s="17"/>
      <c r="Y591" s="17"/>
      <c r="Z591" s="16"/>
      <c r="AA591" s="15" t="s">
        <v>140</v>
      </c>
      <c r="AB591" s="17"/>
      <c r="AC591" s="21" t="s">
        <v>153</v>
      </c>
      <c r="AD591" s="21" t="s">
        <v>153</v>
      </c>
      <c r="AE591" s="21"/>
      <c r="AF591" s="17"/>
      <c r="AG591" s="15"/>
      <c r="AH591" s="16"/>
      <c r="AI591" s="16"/>
      <c r="AJ591" s="42">
        <f t="shared" ca="1" si="72"/>
        <v>355</v>
      </c>
      <c r="AK591" s="42">
        <f t="shared" ca="1" si="73"/>
        <v>350</v>
      </c>
      <c r="AL591" s="130" t="str">
        <f t="shared" si="74"/>
        <v>No Answer</v>
      </c>
      <c r="AM591" s="37">
        <v>45309</v>
      </c>
      <c r="AN591" s="38"/>
      <c r="AO591" s="38"/>
      <c r="AP591" s="38"/>
      <c r="AQ591" s="38"/>
      <c r="AR591" s="101" t="s">
        <v>1763</v>
      </c>
      <c r="AS591" s="38">
        <v>45314</v>
      </c>
      <c r="AT591" s="247"/>
    </row>
    <row r="592" spans="1:46" s="98" customFormat="1" x14ac:dyDescent="0.3">
      <c r="A592" s="16"/>
      <c r="B592" s="16" cm="1">
        <f t="array" ref="B592">+_xlfn.IFS(D592="In Touch - Positive",2,D592="Pending",1,D592="No Answer",4,D592="In Touch - Negative",3)</f>
        <v>4</v>
      </c>
      <c r="C592" s="16" t="s">
        <v>2745</v>
      </c>
      <c r="D592" s="99" t="str">
        <f t="shared" si="69"/>
        <v>No Answer</v>
      </c>
      <c r="E592" s="12" t="s">
        <v>2765</v>
      </c>
      <c r="F592" s="12"/>
      <c r="G592" s="13" t="s">
        <v>174</v>
      </c>
      <c r="H592" s="14"/>
      <c r="I592" s="13"/>
      <c r="J592" s="100" t="s">
        <v>111</v>
      </c>
      <c r="K592" s="15"/>
      <c r="L592" s="15" t="s">
        <v>2790</v>
      </c>
      <c r="M592" s="15"/>
      <c r="N592" s="15"/>
      <c r="O592" s="15"/>
      <c r="P592" s="15"/>
      <c r="Q592" s="15"/>
      <c r="R592" s="16"/>
      <c r="S592" s="35"/>
      <c r="T592" s="13">
        <v>2022</v>
      </c>
      <c r="U592" s="17">
        <v>23.736000000000001</v>
      </c>
      <c r="V592" s="17">
        <v>2.9449999999999998</v>
      </c>
      <c r="W592" s="248">
        <f t="shared" si="71"/>
        <v>0.1240731378496798</v>
      </c>
      <c r="X592" s="17"/>
      <c r="Y592" s="17"/>
      <c r="Z592" s="16"/>
      <c r="AA592" s="15" t="s">
        <v>140</v>
      </c>
      <c r="AB592" s="17"/>
      <c r="AC592" s="21" t="s">
        <v>153</v>
      </c>
      <c r="AD592" s="21" t="s">
        <v>153</v>
      </c>
      <c r="AE592" s="21"/>
      <c r="AF592" s="17"/>
      <c r="AG592" s="15"/>
      <c r="AH592" s="16"/>
      <c r="AI592" s="16"/>
      <c r="AJ592" s="42">
        <f t="shared" ca="1" si="72"/>
        <v>355</v>
      </c>
      <c r="AK592" s="42">
        <f t="shared" ca="1" si="73"/>
        <v>348</v>
      </c>
      <c r="AL592" s="130" t="str">
        <f t="shared" si="74"/>
        <v>No Answer</v>
      </c>
      <c r="AM592" s="37">
        <v>45309</v>
      </c>
      <c r="AN592" s="38">
        <v>45316</v>
      </c>
      <c r="AO592" s="38"/>
      <c r="AP592" s="245"/>
      <c r="AQ592" s="38"/>
      <c r="AR592" s="101" t="s">
        <v>1763</v>
      </c>
      <c r="AS592" s="38">
        <v>45316</v>
      </c>
      <c r="AT592" s="247"/>
    </row>
    <row r="593" spans="1:46" s="98" customFormat="1" x14ac:dyDescent="0.3">
      <c r="A593" s="16"/>
      <c r="B593" s="231" cm="1">
        <f t="array" ref="B593">+_xlfn.IFS(D593="In Touch - Positive",2,D593="Pending",1,D593="No Answer",4,D593="In Touch - Negative",3)</f>
        <v>4</v>
      </c>
      <c r="C593" s="231" t="s">
        <v>2800</v>
      </c>
      <c r="D593" s="232" t="str">
        <f t="shared" si="69"/>
        <v>No Answer</v>
      </c>
      <c r="E593" s="233" t="s">
        <v>2988</v>
      </c>
      <c r="F593" s="233"/>
      <c r="G593" s="234" t="s">
        <v>208</v>
      </c>
      <c r="H593" s="235" t="s">
        <v>3002</v>
      </c>
      <c r="I593" s="234"/>
      <c r="J593" s="236" t="s">
        <v>111</v>
      </c>
      <c r="K593" s="237"/>
      <c r="L593" s="237" t="s">
        <v>3018</v>
      </c>
      <c r="M593" s="237"/>
      <c r="N593" s="237"/>
      <c r="O593" s="237"/>
      <c r="P593" s="237"/>
      <c r="Q593" s="237"/>
      <c r="R593" s="231"/>
      <c r="S593" s="238"/>
      <c r="T593" s="234">
        <v>2022</v>
      </c>
      <c r="U593" s="239">
        <v>181.98400000000001</v>
      </c>
      <c r="V593" s="239">
        <v>36.76</v>
      </c>
      <c r="W593" s="248">
        <f t="shared" si="71"/>
        <v>0.2019957798487779</v>
      </c>
      <c r="X593" s="239"/>
      <c r="Y593" s="239"/>
      <c r="Z593" s="231"/>
      <c r="AA593" s="237" t="s">
        <v>140</v>
      </c>
      <c r="AB593" s="239"/>
      <c r="AC593" s="241" t="s">
        <v>153</v>
      </c>
      <c r="AD593" s="241" t="s">
        <v>153</v>
      </c>
      <c r="AE593" s="241" t="s">
        <v>273</v>
      </c>
      <c r="AF593" s="239"/>
      <c r="AG593" s="237"/>
      <c r="AH593" s="231"/>
      <c r="AI593" s="231"/>
      <c r="AJ593" s="242">
        <f t="shared" ca="1" si="72"/>
        <v>341</v>
      </c>
      <c r="AK593" s="242">
        <f t="shared" ca="1" si="73"/>
        <v>335</v>
      </c>
      <c r="AL593" s="243" t="str">
        <f t="shared" si="74"/>
        <v>No Answer</v>
      </c>
      <c r="AM593" s="244">
        <v>45323</v>
      </c>
      <c r="AN593" s="245">
        <v>45329</v>
      </c>
      <c r="AO593" s="245">
        <v>45342</v>
      </c>
      <c r="AP593" s="245"/>
      <c r="AQ593" s="245"/>
      <c r="AR593" s="246" t="s">
        <v>1763</v>
      </c>
      <c r="AS593" s="245">
        <v>45329</v>
      </c>
      <c r="AT593" s="247"/>
    </row>
    <row r="594" spans="1:46" s="98" customFormat="1" x14ac:dyDescent="0.3">
      <c r="A594" s="16"/>
      <c r="B594" s="231" cm="1">
        <f t="array" ref="B594">+_xlfn.IFS(D594="In Touch - Positive",2,D594="Pending",1,D594="No Answer",4,D594="In Touch - Negative",3)</f>
        <v>4</v>
      </c>
      <c r="C594" s="231" t="s">
        <v>2800</v>
      </c>
      <c r="D594" s="232" t="str">
        <f t="shared" si="69"/>
        <v>No Answer</v>
      </c>
      <c r="E594" s="233" t="s">
        <v>2989</v>
      </c>
      <c r="F594" s="233"/>
      <c r="G594" s="234" t="s">
        <v>288</v>
      </c>
      <c r="H594" s="235">
        <v>1696870359</v>
      </c>
      <c r="I594" s="234"/>
      <c r="J594" s="236" t="s">
        <v>111</v>
      </c>
      <c r="K594" s="237"/>
      <c r="L594" s="237" t="s">
        <v>3019</v>
      </c>
      <c r="M594" s="237"/>
      <c r="N594" s="237"/>
      <c r="O594" s="237"/>
      <c r="P594" s="237"/>
      <c r="Q594" s="237"/>
      <c r="R594" s="231"/>
      <c r="S594" s="238"/>
      <c r="T594" s="234">
        <v>2022</v>
      </c>
      <c r="U594" s="239">
        <v>87.07</v>
      </c>
      <c r="V594" s="239">
        <v>14.938000000000001</v>
      </c>
      <c r="W594" s="248">
        <f t="shared" si="71"/>
        <v>0.17156311014126566</v>
      </c>
      <c r="X594" s="239"/>
      <c r="Y594" s="239"/>
      <c r="Z594" s="231"/>
      <c r="AA594" s="237" t="s">
        <v>140</v>
      </c>
      <c r="AB594" s="239"/>
      <c r="AC594" s="241" t="s">
        <v>153</v>
      </c>
      <c r="AD594" s="241" t="s">
        <v>153</v>
      </c>
      <c r="AE594" s="241" t="s">
        <v>273</v>
      </c>
      <c r="AF594" s="239"/>
      <c r="AG594" s="237"/>
      <c r="AH594" s="231"/>
      <c r="AI594" s="231"/>
      <c r="AJ594" s="242">
        <f t="shared" ca="1" si="72"/>
        <v>341</v>
      </c>
      <c r="AK594" s="242">
        <f t="shared" ca="1" si="73"/>
        <v>335</v>
      </c>
      <c r="AL594" s="243" t="str">
        <f t="shared" si="74"/>
        <v>No Answer</v>
      </c>
      <c r="AM594" s="244">
        <v>45323</v>
      </c>
      <c r="AN594" s="245">
        <v>45329</v>
      </c>
      <c r="AO594" s="245">
        <v>45342</v>
      </c>
      <c r="AP594" s="245"/>
      <c r="AQ594" s="245"/>
      <c r="AR594" s="246" t="s">
        <v>1763</v>
      </c>
      <c r="AS594" s="245">
        <v>45329</v>
      </c>
      <c r="AT594" s="247"/>
    </row>
    <row r="595" spans="1:46" s="98" customFormat="1" x14ac:dyDescent="0.3">
      <c r="A595" s="16"/>
      <c r="B595" s="231" cm="1">
        <f t="array" ref="B595">+_xlfn.IFS(D595="In Touch - Positive",2,D595="Pending",1,D595="No Answer",4,D595="In Touch - Negative",3)</f>
        <v>4</v>
      </c>
      <c r="C595" s="231" t="s">
        <v>2800</v>
      </c>
      <c r="D595" s="232" t="str">
        <f t="shared" si="69"/>
        <v>No Answer</v>
      </c>
      <c r="E595" s="233" t="s">
        <v>2990</v>
      </c>
      <c r="F595" s="233"/>
      <c r="G595" s="234" t="s">
        <v>508</v>
      </c>
      <c r="H595" s="235" t="s">
        <v>3003</v>
      </c>
      <c r="I595" s="234"/>
      <c r="J595" s="236" t="s">
        <v>3011</v>
      </c>
      <c r="K595" s="237"/>
      <c r="L595" s="237" t="s">
        <v>3020</v>
      </c>
      <c r="M595" s="237"/>
      <c r="N595" s="237"/>
      <c r="O595" s="237"/>
      <c r="P595" s="237"/>
      <c r="Q595" s="237"/>
      <c r="R595" s="231"/>
      <c r="S595" s="238"/>
      <c r="T595" s="234">
        <v>2022</v>
      </c>
      <c r="U595" s="239">
        <v>51.29</v>
      </c>
      <c r="V595" s="239">
        <v>10.651999999999999</v>
      </c>
      <c r="W595" s="248">
        <f t="shared" si="71"/>
        <v>0.20768180931955546</v>
      </c>
      <c r="X595" s="239"/>
      <c r="Y595" s="239"/>
      <c r="Z595" s="231"/>
      <c r="AA595" s="237" t="s">
        <v>140</v>
      </c>
      <c r="AB595" s="239"/>
      <c r="AC595" s="241" t="s">
        <v>153</v>
      </c>
      <c r="AD595" s="241" t="s">
        <v>153</v>
      </c>
      <c r="AE595" s="241" t="s">
        <v>273</v>
      </c>
      <c r="AF595" s="239"/>
      <c r="AG595" s="237"/>
      <c r="AH595" s="231"/>
      <c r="AI595" s="231"/>
      <c r="AJ595" s="242">
        <f t="shared" ca="1" si="72"/>
        <v>341</v>
      </c>
      <c r="AK595" s="242">
        <f t="shared" ca="1" si="73"/>
        <v>335</v>
      </c>
      <c r="AL595" s="243" t="str">
        <f t="shared" si="74"/>
        <v>No Answer</v>
      </c>
      <c r="AM595" s="244">
        <v>45323</v>
      </c>
      <c r="AN595" s="245">
        <v>45329</v>
      </c>
      <c r="AO595" s="245">
        <v>45342</v>
      </c>
      <c r="AP595" s="245"/>
      <c r="AQ595" s="245"/>
      <c r="AR595" s="246" t="s">
        <v>1763</v>
      </c>
      <c r="AS595" s="245">
        <v>45329</v>
      </c>
      <c r="AT595" s="247"/>
    </row>
    <row r="596" spans="1:46" s="98" customFormat="1" x14ac:dyDescent="0.3">
      <c r="B596" s="231" cm="1">
        <f t="array" ref="B596">+_xlfn.IFS(D596="In Touch - Positive",2,D596="Pending",1,D596="No Answer",4,D596="In Touch - Negative",3)</f>
        <v>4</v>
      </c>
      <c r="C596" s="231" t="s">
        <v>2800</v>
      </c>
      <c r="D596" s="232" t="str">
        <f t="shared" si="69"/>
        <v>No Answer</v>
      </c>
      <c r="E596" s="233" t="s">
        <v>2991</v>
      </c>
      <c r="F596" s="233"/>
      <c r="G596" s="234" t="s">
        <v>428</v>
      </c>
      <c r="H596" s="235" t="s">
        <v>3004</v>
      </c>
      <c r="I596" s="234"/>
      <c r="J596" s="236" t="s">
        <v>1010</v>
      </c>
      <c r="K596" s="237"/>
      <c r="L596" s="237" t="s">
        <v>3021</v>
      </c>
      <c r="M596" s="237"/>
      <c r="N596" s="237"/>
      <c r="O596" s="237"/>
      <c r="P596" s="237"/>
      <c r="Q596" s="237"/>
      <c r="R596" s="231"/>
      <c r="S596" s="238"/>
      <c r="T596" s="234">
        <v>2022</v>
      </c>
      <c r="U596" s="239">
        <v>47</v>
      </c>
      <c r="V596" s="239">
        <v>9.1159999999999997</v>
      </c>
      <c r="W596" s="248">
        <f t="shared" si="71"/>
        <v>0.19395744680851063</v>
      </c>
      <c r="X596" s="239"/>
      <c r="Y596" s="239"/>
      <c r="Z596" s="231"/>
      <c r="AA596" s="237" t="s">
        <v>140</v>
      </c>
      <c r="AB596" s="239"/>
      <c r="AC596" s="241" t="s">
        <v>153</v>
      </c>
      <c r="AD596" s="241" t="s">
        <v>153</v>
      </c>
      <c r="AE596" s="241" t="s">
        <v>273</v>
      </c>
      <c r="AF596" s="239"/>
      <c r="AG596" s="237"/>
      <c r="AH596" s="231"/>
      <c r="AI596" s="231"/>
      <c r="AJ596" s="242">
        <f t="shared" ca="1" si="72"/>
        <v>341</v>
      </c>
      <c r="AK596" s="242">
        <f t="shared" ca="1" si="73"/>
        <v>335</v>
      </c>
      <c r="AL596" s="243" t="str">
        <f t="shared" si="74"/>
        <v>No Answer</v>
      </c>
      <c r="AM596" s="244">
        <v>45323</v>
      </c>
      <c r="AN596" s="245">
        <v>45329</v>
      </c>
      <c r="AO596" s="245">
        <v>45342</v>
      </c>
      <c r="AP596" s="245"/>
      <c r="AQ596" s="245"/>
      <c r="AR596" s="246" t="s">
        <v>1763</v>
      </c>
      <c r="AS596" s="245">
        <v>45329</v>
      </c>
      <c r="AT596" s="11" t="s">
        <v>7</v>
      </c>
    </row>
    <row r="597" spans="1:46" s="98" customFormat="1" x14ac:dyDescent="0.3">
      <c r="A597" s="97"/>
      <c r="B597" s="231" cm="1">
        <f t="array" ref="B597">+_xlfn.IFS(D597="In Touch - Positive",2,D597="Pending",1,D597="No Answer",4,D597="In Touch - Negative",3)</f>
        <v>4</v>
      </c>
      <c r="C597" s="231" t="s">
        <v>2800</v>
      </c>
      <c r="D597" s="232" t="str">
        <f t="shared" ref="D597:D660" si="75">+AR597</f>
        <v>No Answer</v>
      </c>
      <c r="E597" s="233" t="s">
        <v>2992</v>
      </c>
      <c r="F597" s="233"/>
      <c r="G597" s="234" t="s">
        <v>326</v>
      </c>
      <c r="H597" s="235">
        <v>9220780010</v>
      </c>
      <c r="I597" s="234"/>
      <c r="J597" s="236" t="s">
        <v>3012</v>
      </c>
      <c r="K597" s="237"/>
      <c r="L597" s="237" t="s">
        <v>3022</v>
      </c>
      <c r="M597" s="237"/>
      <c r="N597" s="237"/>
      <c r="O597" s="237"/>
      <c r="P597" s="237"/>
      <c r="Q597" s="237"/>
      <c r="R597" s="231"/>
      <c r="S597" s="238"/>
      <c r="T597" s="234">
        <v>2022</v>
      </c>
      <c r="U597" s="239">
        <v>137.30000000000001</v>
      </c>
      <c r="V597" s="239">
        <v>8.8659999999999997</v>
      </c>
      <c r="W597" s="248">
        <f t="shared" si="71"/>
        <v>6.4573925710123811E-2</v>
      </c>
      <c r="X597" s="239"/>
      <c r="Y597" s="239"/>
      <c r="Z597" s="231"/>
      <c r="AA597" s="237" t="s">
        <v>140</v>
      </c>
      <c r="AB597" s="239"/>
      <c r="AC597" s="241" t="s">
        <v>153</v>
      </c>
      <c r="AD597" s="241" t="s">
        <v>153</v>
      </c>
      <c r="AE597" s="241" t="s">
        <v>273</v>
      </c>
      <c r="AF597" s="239"/>
      <c r="AG597" s="237"/>
      <c r="AH597" s="231"/>
      <c r="AI597" s="231"/>
      <c r="AJ597" s="242">
        <f t="shared" ca="1" si="72"/>
        <v>341</v>
      </c>
      <c r="AK597" s="242">
        <f t="shared" ca="1" si="73"/>
        <v>335</v>
      </c>
      <c r="AL597" s="243" t="str">
        <f t="shared" si="74"/>
        <v>No Answer</v>
      </c>
      <c r="AM597" s="244">
        <v>45323</v>
      </c>
      <c r="AN597" s="245">
        <v>45329</v>
      </c>
      <c r="AO597" s="245">
        <v>45342</v>
      </c>
      <c r="AP597" s="245"/>
      <c r="AQ597" s="245"/>
      <c r="AR597" s="246" t="s">
        <v>1763</v>
      </c>
      <c r="AS597" s="245">
        <v>45329</v>
      </c>
      <c r="AT597" s="11" t="s">
        <v>7</v>
      </c>
    </row>
    <row r="598" spans="1:46" s="98" customFormat="1" x14ac:dyDescent="0.3">
      <c r="A598" s="16"/>
      <c r="B598" s="231" cm="1">
        <f t="array" ref="B598">+_xlfn.IFS(D598="In Touch - Positive",2,D598="Pending",1,D598="No Answer",4,D598="In Touch - Negative",3)</f>
        <v>4</v>
      </c>
      <c r="C598" s="231" t="s">
        <v>2800</v>
      </c>
      <c r="D598" s="232" t="str">
        <f t="shared" si="75"/>
        <v>No Answer</v>
      </c>
      <c r="E598" s="233" t="s">
        <v>2993</v>
      </c>
      <c r="F598" s="233"/>
      <c r="G598" s="234" t="s">
        <v>428</v>
      </c>
      <c r="H598" s="235" t="s">
        <v>3005</v>
      </c>
      <c r="I598" s="234"/>
      <c r="J598" s="236" t="s">
        <v>3012</v>
      </c>
      <c r="K598" s="237"/>
      <c r="L598" s="237" t="s">
        <v>3023</v>
      </c>
      <c r="M598" s="237"/>
      <c r="N598" s="237"/>
      <c r="O598" s="237"/>
      <c r="P598" s="237"/>
      <c r="Q598" s="237"/>
      <c r="R598" s="231"/>
      <c r="S598" s="238"/>
      <c r="T598" s="234">
        <v>2022</v>
      </c>
      <c r="U598" s="239">
        <v>24.257999999999999</v>
      </c>
      <c r="V598" s="239">
        <v>8.766</v>
      </c>
      <c r="W598" s="248">
        <f t="shared" si="71"/>
        <v>0.3613653227801138</v>
      </c>
      <c r="X598" s="239"/>
      <c r="Y598" s="239"/>
      <c r="Z598" s="231"/>
      <c r="AA598" s="237" t="s">
        <v>140</v>
      </c>
      <c r="AB598" s="239"/>
      <c r="AC598" s="241" t="s">
        <v>153</v>
      </c>
      <c r="AD598" s="241" t="s">
        <v>153</v>
      </c>
      <c r="AE598" s="241" t="s">
        <v>273</v>
      </c>
      <c r="AF598" s="239"/>
      <c r="AG598" s="237"/>
      <c r="AH598" s="231"/>
      <c r="AI598" s="231"/>
      <c r="AJ598" s="242">
        <f t="shared" ca="1" si="72"/>
        <v>341</v>
      </c>
      <c r="AK598" s="242">
        <f t="shared" ca="1" si="73"/>
        <v>335</v>
      </c>
      <c r="AL598" s="243" t="str">
        <f t="shared" si="74"/>
        <v>No Answer</v>
      </c>
      <c r="AM598" s="244">
        <v>45323</v>
      </c>
      <c r="AN598" s="245">
        <v>45329</v>
      </c>
      <c r="AO598" s="245">
        <v>45342</v>
      </c>
      <c r="AP598" s="245"/>
      <c r="AQ598" s="245"/>
      <c r="AR598" s="246" t="s">
        <v>1763</v>
      </c>
      <c r="AS598" s="245">
        <v>45329</v>
      </c>
      <c r="AT598" s="11" t="s">
        <v>7</v>
      </c>
    </row>
    <row r="599" spans="1:46" s="98" customFormat="1" x14ac:dyDescent="0.3">
      <c r="B599" s="231" cm="1">
        <f t="array" ref="B599">+_xlfn.IFS(D599="In Touch - Positive",2,D599="Pending",1,D599="No Answer",4,D599="In Touch - Negative",3)</f>
        <v>4</v>
      </c>
      <c r="C599" s="231" t="s">
        <v>2800</v>
      </c>
      <c r="D599" s="232" t="str">
        <f t="shared" si="75"/>
        <v>No Answer</v>
      </c>
      <c r="E599" s="233" t="s">
        <v>2994</v>
      </c>
      <c r="F599" s="233"/>
      <c r="G599" s="234" t="s">
        <v>68</v>
      </c>
      <c r="H599" s="235">
        <v>11937600010</v>
      </c>
      <c r="I599" s="234"/>
      <c r="J599" s="236" t="s">
        <v>3013</v>
      </c>
      <c r="K599" s="237"/>
      <c r="L599" s="237" t="s">
        <v>3024</v>
      </c>
      <c r="M599" s="237"/>
      <c r="N599" s="237"/>
      <c r="O599" s="237"/>
      <c r="P599" s="237"/>
      <c r="Q599" s="237"/>
      <c r="R599" s="231"/>
      <c r="S599" s="238"/>
      <c r="T599" s="234">
        <v>2022</v>
      </c>
      <c r="U599" s="239">
        <v>53.95</v>
      </c>
      <c r="V599" s="239">
        <v>8.5210000000000008</v>
      </c>
      <c r="W599" s="248">
        <f t="shared" si="71"/>
        <v>0.15794253938832253</v>
      </c>
      <c r="X599" s="239"/>
      <c r="Y599" s="239"/>
      <c r="Z599" s="231"/>
      <c r="AA599" s="237" t="s">
        <v>140</v>
      </c>
      <c r="AB599" s="239"/>
      <c r="AC599" s="241" t="s">
        <v>153</v>
      </c>
      <c r="AD599" s="241" t="s">
        <v>153</v>
      </c>
      <c r="AE599" s="241" t="s">
        <v>273</v>
      </c>
      <c r="AF599" s="239"/>
      <c r="AG599" s="237"/>
      <c r="AH599" s="231"/>
      <c r="AI599" s="231"/>
      <c r="AJ599" s="242">
        <f t="shared" ca="1" si="72"/>
        <v>341</v>
      </c>
      <c r="AK599" s="242">
        <f t="shared" ca="1" si="73"/>
        <v>335</v>
      </c>
      <c r="AL599" s="243" t="str">
        <f t="shared" si="74"/>
        <v>No Answer</v>
      </c>
      <c r="AM599" s="244">
        <v>45323</v>
      </c>
      <c r="AN599" s="245">
        <v>45329</v>
      </c>
      <c r="AO599" s="245">
        <v>45342</v>
      </c>
      <c r="AP599" s="245"/>
      <c r="AQ599" s="245"/>
      <c r="AR599" s="246" t="s">
        <v>1763</v>
      </c>
      <c r="AS599" s="245">
        <v>45329</v>
      </c>
      <c r="AT599" s="11" t="s">
        <v>7</v>
      </c>
    </row>
    <row r="600" spans="1:46" s="98" customFormat="1" x14ac:dyDescent="0.3">
      <c r="A600" s="16"/>
      <c r="B600" s="231" cm="1">
        <f t="array" ref="B600">+_xlfn.IFS(D600="In Touch - Positive",2,D600="Pending",1,D600="No Answer",4,D600="In Touch - Negative",3)</f>
        <v>4</v>
      </c>
      <c r="C600" s="231" t="s">
        <v>2800</v>
      </c>
      <c r="D600" s="232" t="str">
        <f t="shared" si="75"/>
        <v>No Answer</v>
      </c>
      <c r="E600" s="233" t="s">
        <v>2996</v>
      </c>
      <c r="F600" s="233"/>
      <c r="G600" s="234" t="s">
        <v>1080</v>
      </c>
      <c r="H600" s="235" t="s">
        <v>3007</v>
      </c>
      <c r="I600" s="234"/>
      <c r="J600" s="236" t="s">
        <v>3014</v>
      </c>
      <c r="K600" s="237"/>
      <c r="L600" s="237" t="s">
        <v>3026</v>
      </c>
      <c r="M600" s="237"/>
      <c r="N600" s="237"/>
      <c r="O600" s="237"/>
      <c r="P600" s="237"/>
      <c r="Q600" s="237"/>
      <c r="R600" s="231"/>
      <c r="S600" s="238"/>
      <c r="T600" s="234">
        <v>2022</v>
      </c>
      <c r="U600" s="239">
        <v>48.29</v>
      </c>
      <c r="V600" s="239">
        <v>8.8180999999999994</v>
      </c>
      <c r="W600" s="248">
        <f t="shared" si="71"/>
        <v>0.18260716504452268</v>
      </c>
      <c r="X600" s="239"/>
      <c r="Y600" s="239"/>
      <c r="Z600" s="231"/>
      <c r="AA600" s="237" t="s">
        <v>140</v>
      </c>
      <c r="AB600" s="239"/>
      <c r="AC600" s="241" t="s">
        <v>153</v>
      </c>
      <c r="AD600" s="241" t="s">
        <v>153</v>
      </c>
      <c r="AE600" s="241" t="s">
        <v>273</v>
      </c>
      <c r="AF600" s="239"/>
      <c r="AG600" s="237"/>
      <c r="AH600" s="231"/>
      <c r="AI600" s="231"/>
      <c r="AJ600" s="242">
        <f t="shared" ca="1" si="72"/>
        <v>341</v>
      </c>
      <c r="AK600" s="242">
        <f t="shared" ca="1" si="73"/>
        <v>335</v>
      </c>
      <c r="AL600" s="243" t="str">
        <f t="shared" si="74"/>
        <v>No Answer</v>
      </c>
      <c r="AM600" s="244">
        <v>45323</v>
      </c>
      <c r="AN600" s="245">
        <v>45329</v>
      </c>
      <c r="AO600" s="245">
        <v>45342</v>
      </c>
      <c r="AP600" s="245"/>
      <c r="AQ600" s="245"/>
      <c r="AR600" s="246" t="s">
        <v>1763</v>
      </c>
      <c r="AS600" s="245">
        <v>45329</v>
      </c>
      <c r="AT600" s="11" t="s">
        <v>7</v>
      </c>
    </row>
    <row r="601" spans="1:46" s="98" customFormat="1" ht="11.25" customHeight="1" x14ac:dyDescent="0.3">
      <c r="A601" s="16"/>
      <c r="B601" s="231" cm="1">
        <f t="array" ref="B601">+_xlfn.IFS(D601="In Touch - Positive",2,D601="Pending",1,D601="No Answer",4,D601="In Touch - Negative",3)</f>
        <v>4</v>
      </c>
      <c r="C601" s="231" t="s">
        <v>2800</v>
      </c>
      <c r="D601" s="232" t="str">
        <f t="shared" si="75"/>
        <v>No Answer</v>
      </c>
      <c r="E601" s="233" t="s">
        <v>2998</v>
      </c>
      <c r="F601" s="233"/>
      <c r="G601" s="234" t="s">
        <v>386</v>
      </c>
      <c r="H601" s="235" t="s">
        <v>3009</v>
      </c>
      <c r="I601" s="234"/>
      <c r="J601" s="236" t="s">
        <v>251</v>
      </c>
      <c r="K601" s="237"/>
      <c r="L601" s="237" t="s">
        <v>3028</v>
      </c>
      <c r="M601" s="237"/>
      <c r="N601" s="237"/>
      <c r="O601" s="237"/>
      <c r="P601" s="237"/>
      <c r="Q601" s="237"/>
      <c r="R601" s="231"/>
      <c r="S601" s="238"/>
      <c r="T601" s="234">
        <v>2022</v>
      </c>
      <c r="U601" s="239">
        <v>30.084</v>
      </c>
      <c r="V601" s="239">
        <v>6.87</v>
      </c>
      <c r="W601" s="248">
        <f t="shared" si="71"/>
        <v>0.22836059034702832</v>
      </c>
      <c r="X601" s="239"/>
      <c r="Y601" s="239"/>
      <c r="Z601" s="231"/>
      <c r="AA601" s="237" t="s">
        <v>140</v>
      </c>
      <c r="AB601" s="239"/>
      <c r="AC601" s="241" t="s">
        <v>153</v>
      </c>
      <c r="AD601" s="241" t="s">
        <v>153</v>
      </c>
      <c r="AE601" s="241" t="s">
        <v>273</v>
      </c>
      <c r="AF601" s="239"/>
      <c r="AG601" s="237"/>
      <c r="AH601" s="231"/>
      <c r="AI601" s="231"/>
      <c r="AJ601" s="242">
        <f t="shared" ca="1" si="72"/>
        <v>341</v>
      </c>
      <c r="AK601" s="242">
        <f t="shared" ca="1" si="73"/>
        <v>335</v>
      </c>
      <c r="AL601" s="243" t="str">
        <f t="shared" si="74"/>
        <v>No Answer</v>
      </c>
      <c r="AM601" s="244">
        <v>45323</v>
      </c>
      <c r="AN601" s="245">
        <v>45329</v>
      </c>
      <c r="AO601" s="245">
        <v>45342</v>
      </c>
      <c r="AP601" s="245"/>
      <c r="AQ601" s="245"/>
      <c r="AR601" s="246" t="s">
        <v>1763</v>
      </c>
      <c r="AS601" s="245">
        <v>45329</v>
      </c>
      <c r="AT601" s="11" t="s">
        <v>7</v>
      </c>
    </row>
    <row r="602" spans="1:46" s="98" customFormat="1" x14ac:dyDescent="0.3">
      <c r="A602" s="16"/>
      <c r="B602" s="231" cm="1">
        <f t="array" ref="B602">+_xlfn.IFS(D602="In Touch - Positive",2,D602="Pending",1,D602="No Answer",4,D602="In Touch - Negative",3)</f>
        <v>4</v>
      </c>
      <c r="C602" s="231" t="s">
        <v>2800</v>
      </c>
      <c r="D602" s="232" t="str">
        <f t="shared" si="75"/>
        <v>No Answer</v>
      </c>
      <c r="E602" s="233" t="s">
        <v>2999</v>
      </c>
      <c r="F602" s="233"/>
      <c r="G602" s="234" t="s">
        <v>3000</v>
      </c>
      <c r="H602" s="235" t="s">
        <v>3010</v>
      </c>
      <c r="I602" s="234"/>
      <c r="J602" s="236" t="s">
        <v>3016</v>
      </c>
      <c r="K602" s="237"/>
      <c r="L602" s="237" t="s">
        <v>3029</v>
      </c>
      <c r="M602" s="237"/>
      <c r="N602" s="237"/>
      <c r="O602" s="237"/>
      <c r="P602" s="237"/>
      <c r="Q602" s="237"/>
      <c r="R602" s="231"/>
      <c r="S602" s="238"/>
      <c r="T602" s="234">
        <v>2022</v>
      </c>
      <c r="U602" s="239">
        <v>36.75</v>
      </c>
      <c r="V602" s="239">
        <v>6.1440000000000001</v>
      </c>
      <c r="W602" s="248">
        <f t="shared" si="71"/>
        <v>0.16718367346938776</v>
      </c>
      <c r="X602" s="239"/>
      <c r="Y602" s="239"/>
      <c r="Z602" s="231"/>
      <c r="AA602" s="237" t="s">
        <v>140</v>
      </c>
      <c r="AB602" s="239"/>
      <c r="AC602" s="241" t="s">
        <v>153</v>
      </c>
      <c r="AD602" s="241" t="s">
        <v>153</v>
      </c>
      <c r="AE602" s="241" t="s">
        <v>273</v>
      </c>
      <c r="AF602" s="239"/>
      <c r="AG602" s="237"/>
      <c r="AH602" s="231"/>
      <c r="AI602" s="231"/>
      <c r="AJ602" s="242">
        <f t="shared" ca="1" si="72"/>
        <v>341</v>
      </c>
      <c r="AK602" s="242">
        <f t="shared" ca="1" si="73"/>
        <v>335</v>
      </c>
      <c r="AL602" s="243" t="str">
        <f t="shared" si="74"/>
        <v>No Answer</v>
      </c>
      <c r="AM602" s="244">
        <v>45323</v>
      </c>
      <c r="AN602" s="245">
        <v>45329</v>
      </c>
      <c r="AO602" s="245">
        <v>45342</v>
      </c>
      <c r="AP602" s="38"/>
      <c r="AQ602" s="245"/>
      <c r="AR602" s="246" t="s">
        <v>1763</v>
      </c>
      <c r="AS602" s="245">
        <v>45329</v>
      </c>
      <c r="AT602" s="11" t="s">
        <v>7</v>
      </c>
    </row>
    <row r="603" spans="1:46" s="98" customFormat="1" x14ac:dyDescent="0.3">
      <c r="A603" s="16"/>
      <c r="B603" s="16" cm="1">
        <f t="array" ref="B603">+_xlfn.IFS(D603="In Touch - Positive",2,D603="Pending",1,D603="No Answer",4,D603="In Touch - Negative",3)</f>
        <v>4</v>
      </c>
      <c r="C603" s="16" t="s">
        <v>153</v>
      </c>
      <c r="D603" s="99" t="str">
        <f t="shared" si="75"/>
        <v>No Answer</v>
      </c>
      <c r="E603" s="249" t="s">
        <v>2766</v>
      </c>
      <c r="F603" s="12"/>
      <c r="G603" s="13" t="s">
        <v>137</v>
      </c>
      <c r="H603" s="14"/>
      <c r="I603" s="13"/>
      <c r="J603" s="100" t="s">
        <v>83</v>
      </c>
      <c r="K603" s="15"/>
      <c r="L603" s="15" t="s">
        <v>2771</v>
      </c>
      <c r="M603" s="15"/>
      <c r="N603" s="15"/>
      <c r="O603" s="15"/>
      <c r="P603" s="15"/>
      <c r="Q603" s="15"/>
      <c r="R603" s="16"/>
      <c r="S603" s="35"/>
      <c r="T603" s="13">
        <v>2022</v>
      </c>
      <c r="U603" s="17">
        <v>79.796999999999997</v>
      </c>
      <c r="V603" s="17">
        <v>21.875</v>
      </c>
      <c r="W603" s="248">
        <f t="shared" si="71"/>
        <v>0.2741331127736632</v>
      </c>
      <c r="X603" s="17"/>
      <c r="Y603" s="17"/>
      <c r="Z603" s="16"/>
      <c r="AA603" s="15" t="s">
        <v>140</v>
      </c>
      <c r="AB603" s="17"/>
      <c r="AC603" s="21" t="s">
        <v>153</v>
      </c>
      <c r="AD603" s="21" t="s">
        <v>153</v>
      </c>
      <c r="AE603" s="21"/>
      <c r="AF603" s="17"/>
      <c r="AG603" s="15"/>
      <c r="AH603" s="16"/>
      <c r="AI603" s="16"/>
      <c r="AJ603" s="42">
        <f t="shared" ca="1" si="72"/>
        <v>355</v>
      </c>
      <c r="AK603" s="42">
        <f t="shared" ca="1" si="73"/>
        <v>350</v>
      </c>
      <c r="AL603" s="130" t="str">
        <f t="shared" si="74"/>
        <v>No Answer</v>
      </c>
      <c r="AM603" s="37">
        <v>45309</v>
      </c>
      <c r="AN603" s="38">
        <v>45314</v>
      </c>
      <c r="AO603" s="38"/>
      <c r="AP603" s="38"/>
      <c r="AQ603" s="38"/>
      <c r="AR603" s="101" t="s">
        <v>1763</v>
      </c>
      <c r="AS603" s="38">
        <v>45314</v>
      </c>
      <c r="AT603" s="11" t="s">
        <v>7</v>
      </c>
    </row>
    <row r="604" spans="1:46" s="98" customFormat="1" x14ac:dyDescent="0.3">
      <c r="A604" s="97"/>
      <c r="B604" s="16" cm="1">
        <f t="array" ref="B604">+_xlfn.IFS(D604="In Touch - Positive",2,D604="Pending",1,D604="No Answer",4,D604="In Touch - Negative",3)</f>
        <v>4</v>
      </c>
      <c r="C604" s="16" t="s">
        <v>1768</v>
      </c>
      <c r="D604" s="99" t="str">
        <f t="shared" si="75"/>
        <v>No Answer</v>
      </c>
      <c r="E604" s="12" t="s">
        <v>1771</v>
      </c>
      <c r="F604" s="12"/>
      <c r="G604" s="13"/>
      <c r="H604" s="13"/>
      <c r="I604" s="13"/>
      <c r="J604" s="127"/>
      <c r="K604" s="15"/>
      <c r="L604" s="15"/>
      <c r="M604" s="15"/>
      <c r="N604" s="15"/>
      <c r="O604" s="15"/>
      <c r="P604" s="15"/>
      <c r="Q604" s="15"/>
      <c r="R604" s="16"/>
      <c r="S604" s="35"/>
      <c r="T604" s="13"/>
      <c r="U604" s="17"/>
      <c r="V604" s="17"/>
      <c r="W604" s="60"/>
      <c r="X604" s="17"/>
      <c r="Y604" s="17"/>
      <c r="Z604" s="16"/>
      <c r="AA604" s="15" t="s">
        <v>140</v>
      </c>
      <c r="AB604" s="17"/>
      <c r="AC604" s="21" t="s">
        <v>153</v>
      </c>
      <c r="AD604" s="21" t="s">
        <v>153</v>
      </c>
      <c r="AE604" s="21" t="s">
        <v>155</v>
      </c>
      <c r="AF604" s="17"/>
      <c r="AG604" s="15"/>
      <c r="AH604" s="16"/>
      <c r="AI604" s="16"/>
      <c r="AJ604" s="42">
        <f t="shared" ca="1" si="72"/>
        <v>475</v>
      </c>
      <c r="AK604" s="42">
        <f t="shared" ca="1" si="73"/>
        <v>470</v>
      </c>
      <c r="AL604" s="130" t="str">
        <f t="shared" si="74"/>
        <v>No Answer</v>
      </c>
      <c r="AM604" s="37">
        <v>45189</v>
      </c>
      <c r="AN604" s="38">
        <v>45195</v>
      </c>
      <c r="AO604" s="38"/>
      <c r="AP604" s="38"/>
      <c r="AQ604" s="38"/>
      <c r="AR604" s="101" t="s">
        <v>1763</v>
      </c>
      <c r="AS604" s="38">
        <v>45194</v>
      </c>
      <c r="AT604" s="11" t="s">
        <v>7</v>
      </c>
    </row>
    <row r="605" spans="1:46" s="98" customFormat="1" x14ac:dyDescent="0.3">
      <c r="B605" s="16" cm="1">
        <f t="array" ref="B605">+_xlfn.IFS(D605="In Touch - Positive",2,D605="Pending",1,D605="No Answer",4,D605="In Touch - Negative",3)</f>
        <v>4</v>
      </c>
      <c r="C605" s="16" t="s">
        <v>1768</v>
      </c>
      <c r="D605" s="99" t="str">
        <f t="shared" si="75"/>
        <v>No Answer</v>
      </c>
      <c r="E605" s="12" t="s">
        <v>1772</v>
      </c>
      <c r="F605" s="12"/>
      <c r="G605" s="13"/>
      <c r="H605" s="13"/>
      <c r="I605" s="13"/>
      <c r="J605" s="127"/>
      <c r="K605" s="15"/>
      <c r="L605" s="15"/>
      <c r="M605" s="15"/>
      <c r="N605" s="15"/>
      <c r="O605" s="15"/>
      <c r="P605" s="15"/>
      <c r="Q605" s="15"/>
      <c r="R605" s="16"/>
      <c r="S605" s="35"/>
      <c r="T605" s="13"/>
      <c r="U605" s="17"/>
      <c r="V605" s="17"/>
      <c r="W605" s="60"/>
      <c r="X605" s="17"/>
      <c r="Y605" s="17"/>
      <c r="Z605" s="16"/>
      <c r="AA605" s="15" t="s">
        <v>140</v>
      </c>
      <c r="AB605" s="17"/>
      <c r="AC605" s="21" t="s">
        <v>153</v>
      </c>
      <c r="AD605" s="21" t="s">
        <v>153</v>
      </c>
      <c r="AE605" s="21" t="s">
        <v>155</v>
      </c>
      <c r="AF605" s="17"/>
      <c r="AG605" s="15"/>
      <c r="AH605" s="16"/>
      <c r="AI605" s="16"/>
      <c r="AJ605" s="42">
        <f t="shared" ca="1" si="72"/>
        <v>475</v>
      </c>
      <c r="AK605" s="42">
        <f t="shared" ca="1" si="73"/>
        <v>470</v>
      </c>
      <c r="AL605" s="130" t="str">
        <f t="shared" si="74"/>
        <v>No Answer</v>
      </c>
      <c r="AM605" s="37">
        <v>45189</v>
      </c>
      <c r="AN605" s="38">
        <v>45195</v>
      </c>
      <c r="AO605" s="38"/>
      <c r="AP605" s="38"/>
      <c r="AQ605" s="38"/>
      <c r="AR605" s="101" t="s">
        <v>1763</v>
      </c>
      <c r="AS605" s="38">
        <v>45194</v>
      </c>
      <c r="AT605" s="11" t="s">
        <v>7</v>
      </c>
    </row>
    <row r="606" spans="1:46" s="98" customFormat="1" x14ac:dyDescent="0.3">
      <c r="B606" s="16" cm="1">
        <f t="array" ref="B606">+_xlfn.IFS(D606="In Touch - Positive",2,D606="Pending",1,D606="No Answer",4,D606="In Touch - Negative",3)</f>
        <v>4</v>
      </c>
      <c r="C606" s="16" t="s">
        <v>1768</v>
      </c>
      <c r="D606" s="99" t="str">
        <f t="shared" si="75"/>
        <v>No Answer</v>
      </c>
      <c r="E606" s="12" t="s">
        <v>1773</v>
      </c>
      <c r="F606" s="12"/>
      <c r="G606" s="13"/>
      <c r="H606" s="13"/>
      <c r="I606" s="13"/>
      <c r="J606" s="127"/>
      <c r="K606" s="15"/>
      <c r="L606" s="15"/>
      <c r="M606" s="15"/>
      <c r="N606" s="15"/>
      <c r="O606" s="15"/>
      <c r="P606" s="15"/>
      <c r="Q606" s="15"/>
      <c r="R606" s="16"/>
      <c r="S606" s="35"/>
      <c r="T606" s="13"/>
      <c r="U606" s="17"/>
      <c r="V606" s="17"/>
      <c r="W606" s="60"/>
      <c r="X606" s="17"/>
      <c r="Y606" s="17"/>
      <c r="Z606" s="16"/>
      <c r="AA606" s="15" t="s">
        <v>140</v>
      </c>
      <c r="AB606" s="17"/>
      <c r="AC606" s="21" t="s">
        <v>153</v>
      </c>
      <c r="AD606" s="21" t="s">
        <v>153</v>
      </c>
      <c r="AE606" s="21" t="s">
        <v>155</v>
      </c>
      <c r="AF606" s="17"/>
      <c r="AG606" s="15"/>
      <c r="AH606" s="16"/>
      <c r="AI606" s="16"/>
      <c r="AJ606" s="42">
        <f t="shared" ca="1" si="72"/>
        <v>475</v>
      </c>
      <c r="AK606" s="42">
        <f t="shared" ca="1" si="73"/>
        <v>470</v>
      </c>
      <c r="AL606" s="130" t="str">
        <f t="shared" si="74"/>
        <v>No Answer</v>
      </c>
      <c r="AM606" s="37">
        <v>45189</v>
      </c>
      <c r="AN606" s="38">
        <v>45195</v>
      </c>
      <c r="AO606" s="38"/>
      <c r="AP606" s="38"/>
      <c r="AQ606" s="38"/>
      <c r="AR606" s="101" t="s">
        <v>1763</v>
      </c>
      <c r="AS606" s="38">
        <v>45194</v>
      </c>
      <c r="AT606" s="11" t="s">
        <v>7</v>
      </c>
    </row>
    <row r="607" spans="1:46" s="98" customFormat="1" x14ac:dyDescent="0.3">
      <c r="A607" s="16"/>
      <c r="B607" s="16" cm="1">
        <f t="array" ref="B607">+_xlfn.IFS(D607="In Touch - Positive",2,D607="Pending",1,D607="No Answer",4,D607="In Touch - Negative",3)</f>
        <v>4</v>
      </c>
      <c r="C607" s="16" t="s">
        <v>1768</v>
      </c>
      <c r="D607" s="99" t="str">
        <f t="shared" si="75"/>
        <v>No Answer</v>
      </c>
      <c r="E607" s="12" t="s">
        <v>1774</v>
      </c>
      <c r="F607" s="12"/>
      <c r="G607" s="13"/>
      <c r="H607" s="13"/>
      <c r="I607" s="13"/>
      <c r="J607" s="127"/>
      <c r="K607" s="15"/>
      <c r="L607" s="15"/>
      <c r="M607" s="15"/>
      <c r="N607" s="15"/>
      <c r="O607" s="15"/>
      <c r="P607" s="15"/>
      <c r="Q607" s="15"/>
      <c r="R607" s="16"/>
      <c r="S607" s="35"/>
      <c r="T607" s="13"/>
      <c r="U607" s="17"/>
      <c r="V607" s="17"/>
      <c r="W607" s="60"/>
      <c r="X607" s="17"/>
      <c r="Y607" s="17"/>
      <c r="Z607" s="16"/>
      <c r="AA607" s="15" t="s">
        <v>140</v>
      </c>
      <c r="AB607" s="17"/>
      <c r="AC607" s="21" t="s">
        <v>153</v>
      </c>
      <c r="AD607" s="21" t="s">
        <v>153</v>
      </c>
      <c r="AE607" s="21" t="s">
        <v>155</v>
      </c>
      <c r="AF607" s="17"/>
      <c r="AG607" s="15"/>
      <c r="AH607" s="16"/>
      <c r="AI607" s="16"/>
      <c r="AJ607" s="42">
        <f t="shared" ca="1" si="72"/>
        <v>475</v>
      </c>
      <c r="AK607" s="42">
        <f t="shared" ca="1" si="73"/>
        <v>470</v>
      </c>
      <c r="AL607" s="130" t="str">
        <f t="shared" si="74"/>
        <v>No Answer</v>
      </c>
      <c r="AM607" s="37">
        <v>45189</v>
      </c>
      <c r="AN607" s="38">
        <v>45195</v>
      </c>
      <c r="AO607" s="38"/>
      <c r="AP607" s="38"/>
      <c r="AQ607" s="38"/>
      <c r="AR607" s="101" t="s">
        <v>1763</v>
      </c>
      <c r="AS607" s="38">
        <v>45194</v>
      </c>
      <c r="AT607" s="11" t="s">
        <v>7</v>
      </c>
    </row>
    <row r="608" spans="1:46" s="98" customFormat="1" x14ac:dyDescent="0.3">
      <c r="A608" s="16"/>
      <c r="B608" s="16" cm="1">
        <f t="array" ref="B608">+_xlfn.IFS(D608="In Touch - Positive",2,D608="Pending",1,D608="No Answer",4,D608="In Touch - Negative",3)</f>
        <v>4</v>
      </c>
      <c r="C608" s="16" t="s">
        <v>1768</v>
      </c>
      <c r="D608" s="99" t="str">
        <f t="shared" si="75"/>
        <v>No Answer</v>
      </c>
      <c r="E608" s="12" t="s">
        <v>1775</v>
      </c>
      <c r="F608" s="12"/>
      <c r="G608" s="13"/>
      <c r="H608" s="13"/>
      <c r="I608" s="13"/>
      <c r="J608" s="127"/>
      <c r="K608" s="15"/>
      <c r="L608" s="15"/>
      <c r="M608" s="15"/>
      <c r="N608" s="15"/>
      <c r="O608" s="15"/>
      <c r="P608" s="15"/>
      <c r="Q608" s="15"/>
      <c r="R608" s="16"/>
      <c r="S608" s="35"/>
      <c r="T608" s="13"/>
      <c r="U608" s="17"/>
      <c r="V608" s="17"/>
      <c r="W608" s="60"/>
      <c r="X608" s="17"/>
      <c r="Y608" s="17"/>
      <c r="Z608" s="16"/>
      <c r="AA608" s="15" t="s">
        <v>140</v>
      </c>
      <c r="AB608" s="17"/>
      <c r="AC608" s="21" t="s">
        <v>153</v>
      </c>
      <c r="AD608" s="21" t="s">
        <v>153</v>
      </c>
      <c r="AE608" s="21" t="s">
        <v>155</v>
      </c>
      <c r="AF608" s="17"/>
      <c r="AG608" s="15"/>
      <c r="AH608" s="16"/>
      <c r="AI608" s="16"/>
      <c r="AJ608" s="42">
        <f t="shared" ca="1" si="72"/>
        <v>475</v>
      </c>
      <c r="AK608" s="42">
        <f t="shared" ca="1" si="73"/>
        <v>470</v>
      </c>
      <c r="AL608" s="130" t="str">
        <f t="shared" si="74"/>
        <v>No Answer</v>
      </c>
      <c r="AM608" s="37">
        <v>45189</v>
      </c>
      <c r="AN608" s="38">
        <v>45195</v>
      </c>
      <c r="AO608" s="38"/>
      <c r="AP608" s="38"/>
      <c r="AQ608" s="38"/>
      <c r="AR608" s="101" t="s">
        <v>1763</v>
      </c>
      <c r="AS608" s="38">
        <v>45194</v>
      </c>
      <c r="AT608" s="11" t="s">
        <v>7</v>
      </c>
    </row>
    <row r="609" spans="1:46" s="98" customFormat="1" x14ac:dyDescent="0.3">
      <c r="A609" s="16"/>
      <c r="B609" s="16" cm="1">
        <f t="array" ref="B609">+_xlfn.IFS(D609="In Touch - Positive",2,D609="Pending",1,D609="No Answer",4,D609="In Touch - Negative",3)</f>
        <v>4</v>
      </c>
      <c r="C609" s="16" t="s">
        <v>1768</v>
      </c>
      <c r="D609" s="99" t="str">
        <f t="shared" si="75"/>
        <v>No Answer</v>
      </c>
      <c r="E609" s="12" t="s">
        <v>1776</v>
      </c>
      <c r="F609" s="12"/>
      <c r="G609" s="13"/>
      <c r="H609" s="13"/>
      <c r="I609" s="13"/>
      <c r="J609" s="127"/>
      <c r="K609" s="15"/>
      <c r="L609" s="15"/>
      <c r="M609" s="15"/>
      <c r="N609" s="15"/>
      <c r="O609" s="15"/>
      <c r="P609" s="15"/>
      <c r="Q609" s="15"/>
      <c r="R609" s="16"/>
      <c r="S609" s="35"/>
      <c r="T609" s="13"/>
      <c r="U609" s="17"/>
      <c r="V609" s="17"/>
      <c r="W609" s="60"/>
      <c r="X609" s="17"/>
      <c r="Y609" s="17"/>
      <c r="Z609" s="16"/>
      <c r="AA609" s="15" t="s">
        <v>140</v>
      </c>
      <c r="AB609" s="17"/>
      <c r="AC609" s="21" t="s">
        <v>153</v>
      </c>
      <c r="AD609" s="21" t="s">
        <v>153</v>
      </c>
      <c r="AE609" s="21" t="s">
        <v>155</v>
      </c>
      <c r="AF609" s="17"/>
      <c r="AG609" s="15"/>
      <c r="AH609" s="16"/>
      <c r="AI609" s="16"/>
      <c r="AJ609" s="42">
        <f t="shared" ca="1" si="72"/>
        <v>475</v>
      </c>
      <c r="AK609" s="42">
        <f t="shared" ca="1" si="73"/>
        <v>470</v>
      </c>
      <c r="AL609" s="130" t="str">
        <f t="shared" si="74"/>
        <v>No Answer</v>
      </c>
      <c r="AM609" s="37">
        <v>45189</v>
      </c>
      <c r="AN609" s="38">
        <v>45195</v>
      </c>
      <c r="AO609" s="38"/>
      <c r="AP609" s="38"/>
      <c r="AQ609" s="38"/>
      <c r="AR609" s="101" t="s">
        <v>1763</v>
      </c>
      <c r="AS609" s="38">
        <v>45194</v>
      </c>
      <c r="AT609" s="11" t="s">
        <v>7</v>
      </c>
    </row>
    <row r="610" spans="1:46" s="98" customFormat="1" x14ac:dyDescent="0.3">
      <c r="A610" s="16"/>
      <c r="B610" s="16" cm="1">
        <f t="array" ref="B610">+_xlfn.IFS(D610="In Touch - Positive",2,D610="Pending",1,D610="No Answer",4,D610="In Touch - Negative",3)</f>
        <v>4</v>
      </c>
      <c r="C610" s="16" t="s">
        <v>1768</v>
      </c>
      <c r="D610" s="99" t="str">
        <f t="shared" si="75"/>
        <v>No Answer</v>
      </c>
      <c r="E610" s="12" t="s">
        <v>1777</v>
      </c>
      <c r="F610" s="12"/>
      <c r="G610" s="13"/>
      <c r="H610" s="13"/>
      <c r="I610" s="13"/>
      <c r="J610" s="1153"/>
      <c r="K610" s="15"/>
      <c r="L610" s="15"/>
      <c r="M610" s="15"/>
      <c r="N610" s="15"/>
      <c r="O610" s="15"/>
      <c r="P610" s="15"/>
      <c r="Q610" s="15"/>
      <c r="R610" s="16"/>
      <c r="S610" s="35"/>
      <c r="T610" s="13"/>
      <c r="U610" s="17"/>
      <c r="V610" s="17"/>
      <c r="W610" s="60"/>
      <c r="X610" s="17"/>
      <c r="Y610" s="17"/>
      <c r="Z610" s="16"/>
      <c r="AA610" s="15" t="s">
        <v>140</v>
      </c>
      <c r="AB610" s="17"/>
      <c r="AC610" s="21" t="s">
        <v>153</v>
      </c>
      <c r="AD610" s="21" t="s">
        <v>153</v>
      </c>
      <c r="AE610" s="21" t="s">
        <v>155</v>
      </c>
      <c r="AF610" s="17"/>
      <c r="AG610" s="15"/>
      <c r="AH610" s="16"/>
      <c r="AI610" s="16"/>
      <c r="AJ610" s="42">
        <f t="shared" ca="1" si="72"/>
        <v>475</v>
      </c>
      <c r="AK610" s="42">
        <f t="shared" ca="1" si="73"/>
        <v>470</v>
      </c>
      <c r="AL610" s="130" t="str">
        <f t="shared" si="74"/>
        <v>No Answer</v>
      </c>
      <c r="AM610" s="37">
        <v>45189</v>
      </c>
      <c r="AN610" s="38">
        <v>45195</v>
      </c>
      <c r="AO610" s="38"/>
      <c r="AP610" s="38"/>
      <c r="AQ610" s="38"/>
      <c r="AR610" s="101" t="s">
        <v>1763</v>
      </c>
      <c r="AS610" s="38">
        <v>45194</v>
      </c>
      <c r="AT610" s="11" t="s">
        <v>7</v>
      </c>
    </row>
    <row r="611" spans="1:46" s="98" customFormat="1" x14ac:dyDescent="0.3">
      <c r="A611" s="16"/>
      <c r="B611" s="16" cm="1">
        <f t="array" ref="B611">+_xlfn.IFS(D611="In Touch - Positive",2,D611="Pending",1,D611="No Answer",4,D611="In Touch - Negative",3)</f>
        <v>4</v>
      </c>
      <c r="C611" s="16" t="s">
        <v>1768</v>
      </c>
      <c r="D611" s="99" t="str">
        <f t="shared" si="75"/>
        <v>No Answer</v>
      </c>
      <c r="E611" s="12" t="s">
        <v>1778</v>
      </c>
      <c r="F611" s="12"/>
      <c r="G611" s="13"/>
      <c r="H611" s="13"/>
      <c r="I611" s="13"/>
      <c r="J611" s="127"/>
      <c r="K611" s="15"/>
      <c r="L611" s="15"/>
      <c r="M611" s="15"/>
      <c r="N611" s="15"/>
      <c r="O611" s="15"/>
      <c r="P611" s="15"/>
      <c r="Q611" s="15"/>
      <c r="R611" s="16"/>
      <c r="S611" s="35"/>
      <c r="T611" s="13"/>
      <c r="U611" s="17"/>
      <c r="V611" s="17"/>
      <c r="W611" s="60"/>
      <c r="X611" s="17"/>
      <c r="Y611" s="17"/>
      <c r="Z611" s="16"/>
      <c r="AA611" s="15" t="s">
        <v>140</v>
      </c>
      <c r="AB611" s="17"/>
      <c r="AC611" s="21" t="s">
        <v>153</v>
      </c>
      <c r="AD611" s="21" t="s">
        <v>153</v>
      </c>
      <c r="AE611" s="21" t="s">
        <v>155</v>
      </c>
      <c r="AF611" s="17"/>
      <c r="AG611" s="15"/>
      <c r="AH611" s="16"/>
      <c r="AI611" s="16"/>
      <c r="AJ611" s="42">
        <f t="shared" ca="1" si="72"/>
        <v>475</v>
      </c>
      <c r="AK611" s="42">
        <f t="shared" ca="1" si="73"/>
        <v>470</v>
      </c>
      <c r="AL611" s="130" t="str">
        <f t="shared" si="74"/>
        <v>No Answer</v>
      </c>
      <c r="AM611" s="37">
        <v>45189</v>
      </c>
      <c r="AN611" s="38">
        <v>45195</v>
      </c>
      <c r="AO611" s="38"/>
      <c r="AP611" s="38"/>
      <c r="AQ611" s="38"/>
      <c r="AR611" s="101" t="s">
        <v>1763</v>
      </c>
      <c r="AS611" s="38">
        <v>45194</v>
      </c>
      <c r="AT611" s="11" t="s">
        <v>7</v>
      </c>
    </row>
    <row r="612" spans="1:46" s="98" customFormat="1" x14ac:dyDescent="0.3">
      <c r="B612" s="16" cm="1">
        <f t="array" ref="B612">+_xlfn.IFS(D612="In Touch - Positive",2,D612="Pending",1,D612="No Answer",4,D612="In Touch - Negative",3)</f>
        <v>4</v>
      </c>
      <c r="C612" s="16" t="s">
        <v>1768</v>
      </c>
      <c r="D612" s="99" t="str">
        <f t="shared" si="75"/>
        <v>No Answer</v>
      </c>
      <c r="E612" s="12" t="s">
        <v>1779</v>
      </c>
      <c r="F612" s="12"/>
      <c r="G612" s="13"/>
      <c r="H612" s="13"/>
      <c r="I612" s="13"/>
      <c r="J612" s="127"/>
      <c r="K612" s="15"/>
      <c r="L612" s="15"/>
      <c r="M612" s="15"/>
      <c r="N612" s="15"/>
      <c r="O612" s="15"/>
      <c r="P612" s="15"/>
      <c r="Q612" s="15"/>
      <c r="R612" s="16"/>
      <c r="S612" s="35"/>
      <c r="T612" s="13"/>
      <c r="U612" s="17"/>
      <c r="V612" s="17"/>
      <c r="W612" s="60"/>
      <c r="X612" s="17"/>
      <c r="Y612" s="17"/>
      <c r="Z612" s="16"/>
      <c r="AA612" s="15" t="s">
        <v>140</v>
      </c>
      <c r="AB612" s="17"/>
      <c r="AC612" s="21" t="s">
        <v>153</v>
      </c>
      <c r="AD612" s="21" t="s">
        <v>153</v>
      </c>
      <c r="AE612" s="21" t="s">
        <v>155</v>
      </c>
      <c r="AF612" s="17"/>
      <c r="AG612" s="15"/>
      <c r="AH612" s="16"/>
      <c r="AI612" s="16"/>
      <c r="AJ612" s="42">
        <f t="shared" ca="1" si="72"/>
        <v>475</v>
      </c>
      <c r="AK612" s="42">
        <f t="shared" ca="1" si="73"/>
        <v>470</v>
      </c>
      <c r="AL612" s="130" t="str">
        <f t="shared" si="74"/>
        <v>No Answer</v>
      </c>
      <c r="AM612" s="37">
        <v>45189</v>
      </c>
      <c r="AN612" s="38">
        <v>45195</v>
      </c>
      <c r="AO612" s="38"/>
      <c r="AP612" s="38"/>
      <c r="AQ612" s="38"/>
      <c r="AR612" s="101" t="s">
        <v>1763</v>
      </c>
      <c r="AS612" s="38">
        <v>45194</v>
      </c>
      <c r="AT612" s="11" t="s">
        <v>7</v>
      </c>
    </row>
    <row r="613" spans="1:46" s="98" customFormat="1" x14ac:dyDescent="0.3">
      <c r="B613" s="16" cm="1">
        <f t="array" ref="B613">+_xlfn.IFS(D613="In Touch - Positive",2,D613="Pending",1,D613="No Answer",4,D613="In Touch - Negative",3)</f>
        <v>4</v>
      </c>
      <c r="C613" s="16" t="s">
        <v>1768</v>
      </c>
      <c r="D613" s="99" t="str">
        <f t="shared" si="75"/>
        <v>No Answer</v>
      </c>
      <c r="E613" s="12" t="s">
        <v>1780</v>
      </c>
      <c r="F613" s="12"/>
      <c r="G613" s="13"/>
      <c r="H613" s="13"/>
      <c r="I613" s="13"/>
      <c r="J613" s="127"/>
      <c r="K613" s="15"/>
      <c r="L613" s="15"/>
      <c r="M613" s="15"/>
      <c r="N613" s="15"/>
      <c r="O613" s="15"/>
      <c r="P613" s="15"/>
      <c r="Q613" s="15"/>
      <c r="R613" s="16"/>
      <c r="S613" s="35"/>
      <c r="T613" s="13"/>
      <c r="U613" s="17"/>
      <c r="V613" s="17"/>
      <c r="W613" s="60"/>
      <c r="X613" s="17"/>
      <c r="Y613" s="17"/>
      <c r="Z613" s="16"/>
      <c r="AA613" s="15" t="s">
        <v>140</v>
      </c>
      <c r="AB613" s="17"/>
      <c r="AC613" s="21" t="s">
        <v>153</v>
      </c>
      <c r="AD613" s="21" t="s">
        <v>153</v>
      </c>
      <c r="AE613" s="21" t="s">
        <v>155</v>
      </c>
      <c r="AF613" s="17"/>
      <c r="AG613" s="15"/>
      <c r="AH613" s="16"/>
      <c r="AI613" s="16"/>
      <c r="AJ613" s="42">
        <f t="shared" ca="1" si="72"/>
        <v>475</v>
      </c>
      <c r="AK613" s="42">
        <f t="shared" ca="1" si="73"/>
        <v>470</v>
      </c>
      <c r="AL613" s="130" t="str">
        <f t="shared" si="74"/>
        <v>No Answer</v>
      </c>
      <c r="AM613" s="37">
        <v>45189</v>
      </c>
      <c r="AN613" s="38">
        <v>45195</v>
      </c>
      <c r="AO613" s="38"/>
      <c r="AP613" s="38"/>
      <c r="AQ613" s="38"/>
      <c r="AR613" s="101" t="s">
        <v>1763</v>
      </c>
      <c r="AS613" s="38">
        <v>45194</v>
      </c>
      <c r="AT613" s="11" t="s">
        <v>7</v>
      </c>
    </row>
    <row r="614" spans="1:46" s="98" customFormat="1" x14ac:dyDescent="0.3">
      <c r="A614" s="16"/>
      <c r="B614" s="16" cm="1">
        <f t="array" ref="B614">+_xlfn.IFS(D614="In Touch - Positive",2,D614="Pending",1,D614="No Answer",4,D614="In Touch - Negative",3)</f>
        <v>4</v>
      </c>
      <c r="C614" s="16" t="s">
        <v>1768</v>
      </c>
      <c r="D614" s="99" t="str">
        <f t="shared" si="75"/>
        <v>No Answer</v>
      </c>
      <c r="E614" s="12" t="s">
        <v>1781</v>
      </c>
      <c r="F614" s="12"/>
      <c r="G614" s="13"/>
      <c r="H614" s="13"/>
      <c r="I614" s="13"/>
      <c r="J614" s="127"/>
      <c r="K614" s="15"/>
      <c r="L614" s="15"/>
      <c r="M614" s="15"/>
      <c r="N614" s="15"/>
      <c r="O614" s="15"/>
      <c r="P614" s="15"/>
      <c r="Q614" s="15"/>
      <c r="R614" s="16"/>
      <c r="S614" s="35"/>
      <c r="T614" s="13"/>
      <c r="U614" s="17"/>
      <c r="V614" s="17"/>
      <c r="W614" s="60"/>
      <c r="X614" s="17"/>
      <c r="Y614" s="17"/>
      <c r="Z614" s="16"/>
      <c r="AA614" s="15" t="s">
        <v>140</v>
      </c>
      <c r="AB614" s="17"/>
      <c r="AC614" s="21" t="s">
        <v>153</v>
      </c>
      <c r="AD614" s="21" t="s">
        <v>153</v>
      </c>
      <c r="AE614" s="21" t="s">
        <v>155</v>
      </c>
      <c r="AF614" s="17"/>
      <c r="AG614" s="15"/>
      <c r="AH614" s="16"/>
      <c r="AI614" s="16"/>
      <c r="AJ614" s="42">
        <f t="shared" ca="1" si="72"/>
        <v>475</v>
      </c>
      <c r="AK614" s="42">
        <f t="shared" ca="1" si="73"/>
        <v>470</v>
      </c>
      <c r="AL614" s="130" t="str">
        <f t="shared" si="74"/>
        <v>No Answer</v>
      </c>
      <c r="AM614" s="37">
        <v>45189</v>
      </c>
      <c r="AN614" s="38">
        <v>45195</v>
      </c>
      <c r="AO614" s="38"/>
      <c r="AP614" s="38"/>
      <c r="AQ614" s="38"/>
      <c r="AR614" s="101" t="s">
        <v>1763</v>
      </c>
      <c r="AS614" s="38">
        <v>45194</v>
      </c>
      <c r="AT614" s="11" t="s">
        <v>7</v>
      </c>
    </row>
    <row r="615" spans="1:46" s="98" customFormat="1" x14ac:dyDescent="0.3">
      <c r="A615" s="16"/>
      <c r="B615" s="16" cm="1">
        <f t="array" ref="B615">+_xlfn.IFS(D615="In Touch - Positive",2,D615="Pending",1,D615="No Answer",4,D615="In Touch - Negative",3)</f>
        <v>4</v>
      </c>
      <c r="C615" s="16" t="s">
        <v>1768</v>
      </c>
      <c r="D615" s="99" t="str">
        <f t="shared" si="75"/>
        <v>No Answer</v>
      </c>
      <c r="E615" s="12" t="s">
        <v>1782</v>
      </c>
      <c r="F615" s="12"/>
      <c r="G615" s="13"/>
      <c r="H615" s="13"/>
      <c r="I615" s="13"/>
      <c r="J615" s="127"/>
      <c r="K615" s="15"/>
      <c r="L615" s="15"/>
      <c r="M615" s="15"/>
      <c r="N615" s="15"/>
      <c r="O615" s="15"/>
      <c r="P615" s="15"/>
      <c r="Q615" s="15"/>
      <c r="R615" s="16"/>
      <c r="S615" s="35"/>
      <c r="T615" s="13"/>
      <c r="U615" s="17"/>
      <c r="V615" s="17"/>
      <c r="W615" s="60"/>
      <c r="X615" s="17"/>
      <c r="Y615" s="17"/>
      <c r="Z615" s="16"/>
      <c r="AA615" s="15" t="s">
        <v>140</v>
      </c>
      <c r="AB615" s="17"/>
      <c r="AC615" s="21" t="s">
        <v>153</v>
      </c>
      <c r="AD615" s="21" t="s">
        <v>153</v>
      </c>
      <c r="AE615" s="21" t="s">
        <v>155</v>
      </c>
      <c r="AF615" s="17"/>
      <c r="AG615" s="15"/>
      <c r="AH615" s="16"/>
      <c r="AI615" s="16"/>
      <c r="AJ615" s="42">
        <f t="shared" ca="1" si="72"/>
        <v>475</v>
      </c>
      <c r="AK615" s="42">
        <f t="shared" ca="1" si="73"/>
        <v>470</v>
      </c>
      <c r="AL615" s="130" t="str">
        <f t="shared" si="74"/>
        <v>No Answer</v>
      </c>
      <c r="AM615" s="37">
        <v>45189</v>
      </c>
      <c r="AN615" s="38">
        <v>45195</v>
      </c>
      <c r="AO615" s="38"/>
      <c r="AP615" s="38"/>
      <c r="AQ615" s="38"/>
      <c r="AR615" s="101" t="s">
        <v>1763</v>
      </c>
      <c r="AS615" s="38">
        <v>45194</v>
      </c>
      <c r="AT615" s="11" t="s">
        <v>7</v>
      </c>
    </row>
    <row r="616" spans="1:46" s="98" customFormat="1" x14ac:dyDescent="0.3">
      <c r="A616" s="16"/>
      <c r="B616" s="16" cm="1">
        <f t="array" ref="B616">+_xlfn.IFS(D616="In Touch - Positive",2,D616="Pending",1,D616="No Answer",4,D616="In Touch - Negative",3)</f>
        <v>4</v>
      </c>
      <c r="C616" s="16" t="s">
        <v>1768</v>
      </c>
      <c r="D616" s="99" t="str">
        <f t="shared" si="75"/>
        <v>No Answer</v>
      </c>
      <c r="E616" s="12" t="s">
        <v>1783</v>
      </c>
      <c r="F616" s="12"/>
      <c r="G616" s="13"/>
      <c r="H616" s="13"/>
      <c r="I616" s="13"/>
      <c r="J616" s="127"/>
      <c r="K616" s="15"/>
      <c r="L616" s="15"/>
      <c r="M616" s="15"/>
      <c r="N616" s="15"/>
      <c r="O616" s="15"/>
      <c r="P616" s="15"/>
      <c r="Q616" s="15"/>
      <c r="R616" s="16"/>
      <c r="S616" s="35"/>
      <c r="T616" s="13"/>
      <c r="U616" s="17"/>
      <c r="V616" s="17"/>
      <c r="W616" s="60"/>
      <c r="X616" s="17"/>
      <c r="Y616" s="17"/>
      <c r="Z616" s="16"/>
      <c r="AA616" s="15" t="s">
        <v>140</v>
      </c>
      <c r="AB616" s="17"/>
      <c r="AC616" s="21" t="s">
        <v>153</v>
      </c>
      <c r="AD616" s="21" t="s">
        <v>153</v>
      </c>
      <c r="AE616" s="21" t="s">
        <v>155</v>
      </c>
      <c r="AF616" s="17"/>
      <c r="AG616" s="15"/>
      <c r="AH616" s="16"/>
      <c r="AI616" s="16"/>
      <c r="AJ616" s="42">
        <f t="shared" ca="1" si="72"/>
        <v>475</v>
      </c>
      <c r="AK616" s="42">
        <f t="shared" ca="1" si="73"/>
        <v>470</v>
      </c>
      <c r="AL616" s="130" t="str">
        <f t="shared" si="74"/>
        <v>No Answer</v>
      </c>
      <c r="AM616" s="37">
        <v>45189</v>
      </c>
      <c r="AN616" s="38">
        <v>45195</v>
      </c>
      <c r="AO616" s="38"/>
      <c r="AP616" s="38"/>
      <c r="AQ616" s="38"/>
      <c r="AR616" s="101" t="s">
        <v>1763</v>
      </c>
      <c r="AS616" s="38">
        <v>45194</v>
      </c>
      <c r="AT616" s="11" t="s">
        <v>7</v>
      </c>
    </row>
    <row r="617" spans="1:46" s="98" customFormat="1" x14ac:dyDescent="0.3">
      <c r="B617" s="16" cm="1">
        <f t="array" ref="B617">+_xlfn.IFS(D617="In Touch - Positive",2,D617="Pending",1,D617="No Answer",4,D617="In Touch - Negative",3)</f>
        <v>4</v>
      </c>
      <c r="C617" s="16" t="s">
        <v>1768</v>
      </c>
      <c r="D617" s="99" t="str">
        <f t="shared" si="75"/>
        <v>No Answer</v>
      </c>
      <c r="E617" s="12" t="s">
        <v>1784</v>
      </c>
      <c r="F617" s="12"/>
      <c r="G617" s="13"/>
      <c r="H617" s="13"/>
      <c r="I617" s="13"/>
      <c r="J617" s="127"/>
      <c r="K617" s="15"/>
      <c r="L617" s="15"/>
      <c r="M617" s="15"/>
      <c r="N617" s="15"/>
      <c r="O617" s="15"/>
      <c r="P617" s="15"/>
      <c r="Q617" s="15"/>
      <c r="R617" s="16"/>
      <c r="S617" s="35"/>
      <c r="T617" s="13"/>
      <c r="U617" s="17"/>
      <c r="V617" s="17"/>
      <c r="W617" s="60"/>
      <c r="X617" s="17"/>
      <c r="Y617" s="17"/>
      <c r="Z617" s="16"/>
      <c r="AA617" s="15" t="s">
        <v>140</v>
      </c>
      <c r="AB617" s="17"/>
      <c r="AC617" s="21" t="s">
        <v>153</v>
      </c>
      <c r="AD617" s="21" t="s">
        <v>153</v>
      </c>
      <c r="AE617" s="21" t="s">
        <v>155</v>
      </c>
      <c r="AF617" s="17"/>
      <c r="AG617" s="15"/>
      <c r="AH617" s="16"/>
      <c r="AI617" s="16"/>
      <c r="AJ617" s="42">
        <f t="shared" ca="1" si="72"/>
        <v>475</v>
      </c>
      <c r="AK617" s="42">
        <f t="shared" ca="1" si="73"/>
        <v>470</v>
      </c>
      <c r="AL617" s="130" t="str">
        <f t="shared" si="74"/>
        <v>No Answer</v>
      </c>
      <c r="AM617" s="37">
        <v>45189</v>
      </c>
      <c r="AN617" s="38">
        <v>45195</v>
      </c>
      <c r="AO617" s="38"/>
      <c r="AP617" s="38"/>
      <c r="AQ617" s="38"/>
      <c r="AR617" s="101" t="s">
        <v>1763</v>
      </c>
      <c r="AS617" s="38">
        <v>45194</v>
      </c>
      <c r="AT617" s="11" t="s">
        <v>7</v>
      </c>
    </row>
    <row r="618" spans="1:46" s="98" customFormat="1" x14ac:dyDescent="0.3">
      <c r="A618" s="16"/>
      <c r="B618" s="16" cm="1">
        <f t="array" ref="B618">+_xlfn.IFS(D618="In Touch - Positive",2,D618="Pending",1,D618="No Answer",4,D618="In Touch - Negative",3)</f>
        <v>4</v>
      </c>
      <c r="C618" s="16" t="s">
        <v>1768</v>
      </c>
      <c r="D618" s="99" t="str">
        <f t="shared" si="75"/>
        <v>No Answer</v>
      </c>
      <c r="E618" s="12" t="s">
        <v>1785</v>
      </c>
      <c r="F618" s="12"/>
      <c r="G618" s="13"/>
      <c r="H618" s="13"/>
      <c r="I618" s="13"/>
      <c r="J618" s="127"/>
      <c r="K618" s="15"/>
      <c r="L618" s="15"/>
      <c r="M618" s="15"/>
      <c r="N618" s="15"/>
      <c r="O618" s="15"/>
      <c r="P618" s="15"/>
      <c r="Q618" s="15"/>
      <c r="R618" s="16"/>
      <c r="S618" s="35"/>
      <c r="T618" s="13"/>
      <c r="U618" s="17"/>
      <c r="V618" s="17"/>
      <c r="W618" s="60"/>
      <c r="X618" s="17"/>
      <c r="Y618" s="17"/>
      <c r="Z618" s="16"/>
      <c r="AA618" s="15" t="s">
        <v>140</v>
      </c>
      <c r="AB618" s="17"/>
      <c r="AC618" s="21" t="s">
        <v>153</v>
      </c>
      <c r="AD618" s="21" t="s">
        <v>153</v>
      </c>
      <c r="AE618" s="21" t="s">
        <v>155</v>
      </c>
      <c r="AF618" s="17"/>
      <c r="AG618" s="15"/>
      <c r="AH618" s="16"/>
      <c r="AI618" s="16"/>
      <c r="AJ618" s="42">
        <f t="shared" ca="1" si="72"/>
        <v>475</v>
      </c>
      <c r="AK618" s="42">
        <f t="shared" ca="1" si="73"/>
        <v>470</v>
      </c>
      <c r="AL618" s="130" t="str">
        <f t="shared" si="74"/>
        <v>No Answer</v>
      </c>
      <c r="AM618" s="37">
        <v>45189</v>
      </c>
      <c r="AN618" s="38">
        <v>45195</v>
      </c>
      <c r="AO618" s="38"/>
      <c r="AP618" s="38"/>
      <c r="AQ618" s="38"/>
      <c r="AR618" s="101" t="s">
        <v>1763</v>
      </c>
      <c r="AS618" s="38">
        <v>45194</v>
      </c>
      <c r="AT618" s="11" t="s">
        <v>7</v>
      </c>
    </row>
    <row r="619" spans="1:46" s="98" customFormat="1" x14ac:dyDescent="0.3">
      <c r="A619" s="16"/>
      <c r="B619" s="16" cm="1">
        <f t="array" ref="B619">+_xlfn.IFS(D619="In Touch - Positive",2,D619="Pending",1,D619="No Answer",4,D619="In Touch - Negative",3)</f>
        <v>4</v>
      </c>
      <c r="C619" s="16" t="s">
        <v>1790</v>
      </c>
      <c r="D619" s="122" t="str">
        <f t="shared" si="75"/>
        <v>No Answer</v>
      </c>
      <c r="E619" s="12" t="s">
        <v>1806</v>
      </c>
      <c r="F619" s="12"/>
      <c r="G619" s="13" t="s">
        <v>270</v>
      </c>
      <c r="H619" s="14"/>
      <c r="I619" s="13"/>
      <c r="J619" s="100" t="s">
        <v>111</v>
      </c>
      <c r="K619" s="15"/>
      <c r="L619" s="15"/>
      <c r="M619" s="15"/>
      <c r="N619" s="15"/>
      <c r="O619" s="15"/>
      <c r="P619" s="15"/>
      <c r="Q619" s="15"/>
      <c r="R619" s="16"/>
      <c r="S619" s="35"/>
      <c r="T619" s="13"/>
      <c r="U619" s="17"/>
      <c r="V619" s="17"/>
      <c r="W619" s="39"/>
      <c r="X619" s="17"/>
      <c r="Y619" s="17"/>
      <c r="Z619" s="16"/>
      <c r="AA619" s="15" t="s">
        <v>140</v>
      </c>
      <c r="AB619" s="17"/>
      <c r="AC619" s="21" t="s">
        <v>153</v>
      </c>
      <c r="AD619" s="21" t="s">
        <v>153</v>
      </c>
      <c r="AE619" s="61" t="s">
        <v>1792</v>
      </c>
      <c r="AF619" s="17"/>
      <c r="AG619" s="15"/>
      <c r="AH619" s="16"/>
      <c r="AI619" s="16"/>
      <c r="AJ619" s="42">
        <f t="shared" ca="1" si="72"/>
        <v>589</v>
      </c>
      <c r="AK619" s="42">
        <f t="shared" ca="1" si="73"/>
        <v>477</v>
      </c>
      <c r="AL619" s="130" t="str">
        <f t="shared" si="74"/>
        <v>No Answer</v>
      </c>
      <c r="AM619" s="37">
        <v>45075</v>
      </c>
      <c r="AN619" s="123">
        <v>45078</v>
      </c>
      <c r="AO619" s="38">
        <v>45187</v>
      </c>
      <c r="AP619" s="245"/>
      <c r="AQ619" s="38"/>
      <c r="AR619" s="101" t="s">
        <v>1763</v>
      </c>
      <c r="AS619" s="38">
        <v>45187</v>
      </c>
      <c r="AT619" s="11" t="s">
        <v>7</v>
      </c>
    </row>
    <row r="620" spans="1:46" s="98" customFormat="1" x14ac:dyDescent="0.3">
      <c r="A620" s="16"/>
      <c r="B620" s="231" cm="1">
        <f t="array" ref="B620">+_xlfn.IFS(D620="In Touch - Positive",2,D620="Pending",1,D620="No Answer",4,D620="In Touch - Negative",3)</f>
        <v>4</v>
      </c>
      <c r="C620" s="231" t="s">
        <v>2800</v>
      </c>
      <c r="D620" s="232" t="str">
        <f t="shared" si="75"/>
        <v>No Answer</v>
      </c>
      <c r="E620" s="233" t="s">
        <v>2804</v>
      </c>
      <c r="F620" s="233"/>
      <c r="G620" s="234" t="s">
        <v>103</v>
      </c>
      <c r="H620" s="235" t="s">
        <v>2805</v>
      </c>
      <c r="I620" s="234"/>
      <c r="J620" s="236" t="s">
        <v>274</v>
      </c>
      <c r="K620" s="237" t="s">
        <v>2806</v>
      </c>
      <c r="L620" s="237" t="s">
        <v>2807</v>
      </c>
      <c r="M620" s="237" t="s">
        <v>2885</v>
      </c>
      <c r="N620" s="237"/>
      <c r="O620" s="237"/>
      <c r="P620" s="237"/>
      <c r="Q620" s="237"/>
      <c r="R620" s="231"/>
      <c r="S620" s="238"/>
      <c r="T620" s="234">
        <v>2022</v>
      </c>
      <c r="U620" s="239">
        <v>22.6</v>
      </c>
      <c r="V620" s="239">
        <v>7.2</v>
      </c>
      <c r="W620" s="248">
        <f>+V620/U620</f>
        <v>0.31858407079646017</v>
      </c>
      <c r="X620" s="239"/>
      <c r="Y620" s="239"/>
      <c r="Z620" s="231"/>
      <c r="AA620" s="237" t="s">
        <v>140</v>
      </c>
      <c r="AB620" s="239"/>
      <c r="AC620" s="241" t="s">
        <v>153</v>
      </c>
      <c r="AD620" s="241" t="s">
        <v>153</v>
      </c>
      <c r="AE620" s="241" t="s">
        <v>273</v>
      </c>
      <c r="AF620" s="239"/>
      <c r="AG620" s="237"/>
      <c r="AH620" s="231"/>
      <c r="AI620" s="231"/>
      <c r="AJ620" s="242">
        <f t="shared" ca="1" si="72"/>
        <v>351</v>
      </c>
      <c r="AK620" s="242">
        <f t="shared" ca="1" si="73"/>
        <v>322</v>
      </c>
      <c r="AL620" s="243" t="str">
        <f t="shared" si="74"/>
        <v>No Answer</v>
      </c>
      <c r="AM620" s="244">
        <v>45313</v>
      </c>
      <c r="AN620" s="245">
        <v>45314</v>
      </c>
      <c r="AO620" s="245">
        <v>45327</v>
      </c>
      <c r="AP620" s="245"/>
      <c r="AQ620" s="245"/>
      <c r="AR620" s="246" t="s">
        <v>1763</v>
      </c>
      <c r="AS620" s="245">
        <v>45342</v>
      </c>
      <c r="AT620" s="11" t="s">
        <v>7</v>
      </c>
    </row>
    <row r="621" spans="1:46" s="98" customFormat="1" x14ac:dyDescent="0.3">
      <c r="A621" s="16"/>
      <c r="B621" s="231" cm="1">
        <f t="array" ref="B621">+_xlfn.IFS(D621="In Touch - Positive",2,D621="Pending",1,D621="No Answer",4,D621="In Touch - Negative",3)</f>
        <v>4</v>
      </c>
      <c r="C621" s="231" t="s">
        <v>2800</v>
      </c>
      <c r="D621" s="232" t="str">
        <f t="shared" si="75"/>
        <v>No Answer</v>
      </c>
      <c r="E621" s="233" t="s">
        <v>2808</v>
      </c>
      <c r="F621" s="233"/>
      <c r="G621" s="234" t="s">
        <v>288</v>
      </c>
      <c r="H621" s="235" t="s">
        <v>2805</v>
      </c>
      <c r="I621" s="234"/>
      <c r="J621" s="236" t="s">
        <v>2837</v>
      </c>
      <c r="K621" s="237" t="s">
        <v>2842</v>
      </c>
      <c r="L621" s="237" t="s">
        <v>2859</v>
      </c>
      <c r="M621" s="237" t="s">
        <v>2886</v>
      </c>
      <c r="N621" s="237"/>
      <c r="O621" s="237"/>
      <c r="P621" s="237"/>
      <c r="Q621" s="237"/>
      <c r="R621" s="231"/>
      <c r="S621" s="238"/>
      <c r="T621" s="234">
        <v>2022</v>
      </c>
      <c r="U621" s="239">
        <v>13.9</v>
      </c>
      <c r="V621" s="239">
        <v>6.4</v>
      </c>
      <c r="W621" s="248">
        <f>+V621/U621</f>
        <v>0.46043165467625902</v>
      </c>
      <c r="X621" s="239"/>
      <c r="Y621" s="239"/>
      <c r="Z621" s="231"/>
      <c r="AA621" s="237" t="s">
        <v>140</v>
      </c>
      <c r="AB621" s="239"/>
      <c r="AC621" s="241" t="s">
        <v>153</v>
      </c>
      <c r="AD621" s="241" t="s">
        <v>153</v>
      </c>
      <c r="AE621" s="241" t="s">
        <v>273</v>
      </c>
      <c r="AF621" s="239"/>
      <c r="AG621" s="237"/>
      <c r="AH621" s="231"/>
      <c r="AI621" s="231"/>
      <c r="AJ621" s="242">
        <f t="shared" ca="1" si="72"/>
        <v>351</v>
      </c>
      <c r="AK621" s="242">
        <f t="shared" ca="1" si="73"/>
        <v>322</v>
      </c>
      <c r="AL621" s="243" t="str">
        <f t="shared" si="74"/>
        <v>No Answer</v>
      </c>
      <c r="AM621" s="244">
        <v>45313</v>
      </c>
      <c r="AN621" s="245">
        <v>45314</v>
      </c>
      <c r="AO621" s="245">
        <v>45327</v>
      </c>
      <c r="AP621" s="245"/>
      <c r="AQ621" s="245"/>
      <c r="AR621" s="246" t="s">
        <v>1763</v>
      </c>
      <c r="AS621" s="245">
        <v>45342</v>
      </c>
      <c r="AT621" s="11" t="s">
        <v>7</v>
      </c>
    </row>
    <row r="622" spans="1:46" s="98" customFormat="1" x14ac:dyDescent="0.3">
      <c r="B622" s="231" cm="1">
        <f t="array" ref="B622">+_xlfn.IFS(D622="In Touch - Positive",2,D622="Pending",1,D622="No Answer",4,D622="In Touch - Negative",3)</f>
        <v>4</v>
      </c>
      <c r="C622" s="231" t="s">
        <v>2800</v>
      </c>
      <c r="D622" s="232" t="str">
        <f t="shared" si="75"/>
        <v>No Answer</v>
      </c>
      <c r="E622" s="233" t="s">
        <v>2810</v>
      </c>
      <c r="F622" s="233"/>
      <c r="G622" s="234" t="s">
        <v>333</v>
      </c>
      <c r="H622" s="235" t="s">
        <v>2825</v>
      </c>
      <c r="I622" s="234"/>
      <c r="J622" s="236" t="s">
        <v>2838</v>
      </c>
      <c r="K622" s="237" t="s">
        <v>2844</v>
      </c>
      <c r="L622" s="237" t="s">
        <v>2861</v>
      </c>
      <c r="M622" s="105"/>
      <c r="N622" s="237"/>
      <c r="O622" s="237"/>
      <c r="P622" s="237"/>
      <c r="Q622" s="237"/>
      <c r="R622" s="231"/>
      <c r="S622" s="238"/>
      <c r="T622" s="234">
        <v>2022</v>
      </c>
      <c r="U622" s="239">
        <v>12.8</v>
      </c>
      <c r="V622" s="239">
        <v>3.2</v>
      </c>
      <c r="W622" s="248">
        <f>+V622/U622</f>
        <v>0.25</v>
      </c>
      <c r="X622" s="239"/>
      <c r="Y622" s="239"/>
      <c r="Z622" s="231"/>
      <c r="AA622" s="237" t="s">
        <v>140</v>
      </c>
      <c r="AB622" s="239"/>
      <c r="AC622" s="241" t="s">
        <v>153</v>
      </c>
      <c r="AD622" s="241" t="s">
        <v>153</v>
      </c>
      <c r="AE622" s="241" t="s">
        <v>273</v>
      </c>
      <c r="AF622" s="239"/>
      <c r="AG622" s="237"/>
      <c r="AH622" s="231"/>
      <c r="AI622" s="231"/>
      <c r="AJ622" s="242">
        <f t="shared" ca="1" si="72"/>
        <v>351</v>
      </c>
      <c r="AK622" s="242">
        <f t="shared" ca="1" si="73"/>
        <v>322</v>
      </c>
      <c r="AL622" s="243" t="str">
        <f t="shared" si="74"/>
        <v>No Answer</v>
      </c>
      <c r="AM622" s="244">
        <v>45313</v>
      </c>
      <c r="AN622" s="245">
        <v>45314</v>
      </c>
      <c r="AO622" s="245">
        <v>45327</v>
      </c>
      <c r="AP622" s="245"/>
      <c r="AQ622" s="245"/>
      <c r="AR622" s="246" t="s">
        <v>1763</v>
      </c>
      <c r="AS622" s="245">
        <v>45342</v>
      </c>
      <c r="AT622" s="11" t="s">
        <v>7</v>
      </c>
    </row>
    <row r="623" spans="1:46" s="98" customFormat="1" x14ac:dyDescent="0.3">
      <c r="B623" s="231" cm="1">
        <f t="array" ref="B623">+_xlfn.IFS(D623="In Touch - Positive",2,D623="Pending",1,D623="No Answer",4,D623="In Touch - Negative",3)</f>
        <v>4</v>
      </c>
      <c r="C623" s="231" t="s">
        <v>2800</v>
      </c>
      <c r="D623" s="232" t="str">
        <f t="shared" si="75"/>
        <v>No Answer</v>
      </c>
      <c r="E623" s="233" t="s">
        <v>2811</v>
      </c>
      <c r="F623" s="233"/>
      <c r="G623" s="234" t="s">
        <v>208</v>
      </c>
      <c r="H623" s="235" t="s">
        <v>2826</v>
      </c>
      <c r="I623" s="234"/>
      <c r="J623" s="236" t="s">
        <v>274</v>
      </c>
      <c r="K623" s="237" t="s">
        <v>2845</v>
      </c>
      <c r="L623" s="237" t="s">
        <v>2862</v>
      </c>
      <c r="M623" s="105"/>
      <c r="N623" s="237"/>
      <c r="O623" s="237"/>
      <c r="P623" s="237"/>
      <c r="Q623" s="237"/>
      <c r="R623" s="231"/>
      <c r="S623" s="238"/>
      <c r="T623" s="234">
        <v>2022</v>
      </c>
      <c r="U623" s="239"/>
      <c r="V623" s="239"/>
      <c r="W623" s="248"/>
      <c r="X623" s="239"/>
      <c r="Y623" s="239"/>
      <c r="Z623" s="231"/>
      <c r="AA623" s="237" t="s">
        <v>140</v>
      </c>
      <c r="AB623" s="239"/>
      <c r="AC623" s="241" t="s">
        <v>153</v>
      </c>
      <c r="AD623" s="241" t="s">
        <v>153</v>
      </c>
      <c r="AE623" s="241" t="s">
        <v>273</v>
      </c>
      <c r="AF623" s="239"/>
      <c r="AG623" s="237"/>
      <c r="AH623" s="231"/>
      <c r="AI623" s="231"/>
      <c r="AJ623" s="242">
        <f t="shared" ca="1" si="72"/>
        <v>351</v>
      </c>
      <c r="AK623" s="242">
        <f t="shared" ca="1" si="73"/>
        <v>322</v>
      </c>
      <c r="AL623" s="243" t="str">
        <f t="shared" si="74"/>
        <v>No Answer</v>
      </c>
      <c r="AM623" s="244">
        <v>45313</v>
      </c>
      <c r="AN623" s="245">
        <v>45314</v>
      </c>
      <c r="AO623" s="245">
        <v>45327</v>
      </c>
      <c r="AP623" s="245"/>
      <c r="AQ623" s="245"/>
      <c r="AR623" s="246" t="s">
        <v>1763</v>
      </c>
      <c r="AS623" s="245">
        <v>45342</v>
      </c>
      <c r="AT623" s="11" t="s">
        <v>7</v>
      </c>
    </row>
    <row r="624" spans="1:46" s="98" customFormat="1" ht="12" customHeight="1" x14ac:dyDescent="0.35">
      <c r="A624"/>
      <c r="B624" s="231" cm="1">
        <f t="array" ref="B624">+_xlfn.IFS(D624="In Touch - Positive",2,D624="Pending",1,D624="No Answer",4,D624="In Touch - Negative",3)</f>
        <v>4</v>
      </c>
      <c r="C624" s="255" t="s">
        <v>2800</v>
      </c>
      <c r="D624" s="261" t="str">
        <f t="shared" si="75"/>
        <v>No Answer</v>
      </c>
      <c r="E624" s="260" t="s">
        <v>2812</v>
      </c>
      <c r="F624" s="251"/>
      <c r="G624" s="252" t="s">
        <v>326</v>
      </c>
      <c r="H624" s="253" t="s">
        <v>2827</v>
      </c>
      <c r="I624" s="252"/>
      <c r="J624" s="262" t="s">
        <v>274</v>
      </c>
      <c r="K624" s="254" t="s">
        <v>2847</v>
      </c>
      <c r="L624" s="254" t="s">
        <v>2863</v>
      </c>
      <c r="M624" s="237" t="s">
        <v>2888</v>
      </c>
      <c r="N624" s="254"/>
      <c r="O624" s="254"/>
      <c r="P624" s="254"/>
      <c r="Q624" s="254"/>
      <c r="R624" s="255"/>
      <c r="S624" s="256"/>
      <c r="T624" s="252">
        <v>2022</v>
      </c>
      <c r="U624" s="257">
        <v>21.2</v>
      </c>
      <c r="V624" s="257">
        <v>4.4000000000000004</v>
      </c>
      <c r="W624" s="259">
        <f t="shared" ref="W624:W631" si="76">+V624/U624</f>
        <v>0.20754716981132079</v>
      </c>
      <c r="X624" s="257"/>
      <c r="Y624" s="257"/>
      <c r="Z624" s="255"/>
      <c r="AA624" s="254" t="s">
        <v>140</v>
      </c>
      <c r="AB624" s="257"/>
      <c r="AC624" s="258" t="s">
        <v>153</v>
      </c>
      <c r="AD624" s="241" t="s">
        <v>153</v>
      </c>
      <c r="AE624" s="241" t="s">
        <v>273</v>
      </c>
      <c r="AF624" s="239"/>
      <c r="AG624" s="237"/>
      <c r="AH624" s="231"/>
      <c r="AI624" s="231"/>
      <c r="AJ624" s="242">
        <f t="shared" ca="1" si="72"/>
        <v>351</v>
      </c>
      <c r="AK624" s="242">
        <f t="shared" ca="1" si="73"/>
        <v>322</v>
      </c>
      <c r="AL624" s="243" t="str">
        <f t="shared" si="74"/>
        <v>No Answer</v>
      </c>
      <c r="AM624" s="244">
        <v>45313</v>
      </c>
      <c r="AN624" s="245">
        <v>45314</v>
      </c>
      <c r="AO624" s="245">
        <v>45327</v>
      </c>
      <c r="AP624" s="245"/>
      <c r="AQ624" s="245"/>
      <c r="AR624" s="246" t="s">
        <v>1763</v>
      </c>
      <c r="AS624" s="245">
        <v>45342</v>
      </c>
      <c r="AT624" s="11" t="s">
        <v>7</v>
      </c>
    </row>
    <row r="625" spans="1:46" s="98" customFormat="1" ht="12" customHeight="1" x14ac:dyDescent="0.35">
      <c r="A625"/>
      <c r="B625" s="231" cm="1">
        <f t="array" ref="B625">+_xlfn.IFS(D625="In Touch - Positive",2,D625="Pending",1,D625="No Answer",4,D625="In Touch - Negative",3)</f>
        <v>4</v>
      </c>
      <c r="C625" s="231" t="s">
        <v>2800</v>
      </c>
      <c r="D625" s="232" t="str">
        <f t="shared" si="75"/>
        <v>No Answer</v>
      </c>
      <c r="E625" s="233" t="s">
        <v>2813</v>
      </c>
      <c r="F625" s="233"/>
      <c r="G625" s="234" t="s">
        <v>68</v>
      </c>
      <c r="H625" s="235" t="s">
        <v>2828</v>
      </c>
      <c r="I625" s="234"/>
      <c r="J625" s="236" t="s">
        <v>274</v>
      </c>
      <c r="K625" s="237" t="s">
        <v>2848</v>
      </c>
      <c r="L625" s="237" t="s">
        <v>2864</v>
      </c>
      <c r="M625" s="237" t="s">
        <v>2889</v>
      </c>
      <c r="N625" s="237"/>
      <c r="O625" s="237"/>
      <c r="P625" s="237"/>
      <c r="Q625" s="237"/>
      <c r="R625" s="231"/>
      <c r="S625" s="238"/>
      <c r="T625" s="234">
        <v>2022</v>
      </c>
      <c r="U625" s="239">
        <v>17</v>
      </c>
      <c r="V625" s="239">
        <v>4.0999999999999996</v>
      </c>
      <c r="W625" s="248">
        <f t="shared" si="76"/>
        <v>0.24117647058823527</v>
      </c>
      <c r="X625" s="239"/>
      <c r="Y625" s="239"/>
      <c r="Z625" s="231"/>
      <c r="AA625" s="237" t="s">
        <v>140</v>
      </c>
      <c r="AB625" s="239"/>
      <c r="AC625" s="241" t="s">
        <v>153</v>
      </c>
      <c r="AD625" s="241" t="s">
        <v>153</v>
      </c>
      <c r="AE625" s="241" t="s">
        <v>273</v>
      </c>
      <c r="AF625" s="239"/>
      <c r="AG625" s="237"/>
      <c r="AH625" s="231"/>
      <c r="AI625" s="231"/>
      <c r="AJ625" s="242">
        <f t="shared" ca="1" si="72"/>
        <v>351</v>
      </c>
      <c r="AK625" s="242">
        <f t="shared" ca="1" si="73"/>
        <v>322</v>
      </c>
      <c r="AL625" s="243" t="str">
        <f t="shared" si="74"/>
        <v>No Answer</v>
      </c>
      <c r="AM625" s="244">
        <v>45313</v>
      </c>
      <c r="AN625" s="245">
        <v>45314</v>
      </c>
      <c r="AO625" s="245">
        <v>45327</v>
      </c>
      <c r="AP625" s="245"/>
      <c r="AQ625" s="245"/>
      <c r="AR625" s="246" t="s">
        <v>1763</v>
      </c>
      <c r="AS625" s="245">
        <v>45342</v>
      </c>
      <c r="AT625" s="11" t="s">
        <v>7</v>
      </c>
    </row>
    <row r="626" spans="1:46" s="98" customFormat="1" ht="12" customHeight="1" x14ac:dyDescent="0.35">
      <c r="A626"/>
      <c r="B626" s="231" cm="1">
        <f t="array" ref="B626">+_xlfn.IFS(D626="In Touch - Positive",2,D626="Pending",1,D626="No Answer",4,D626="In Touch - Negative",3)</f>
        <v>4</v>
      </c>
      <c r="C626" s="231" t="s">
        <v>2800</v>
      </c>
      <c r="D626" s="232" t="str">
        <f t="shared" si="75"/>
        <v>No Answer</v>
      </c>
      <c r="E626" s="233" t="s">
        <v>2814</v>
      </c>
      <c r="F626" s="233"/>
      <c r="G626" s="234" t="s">
        <v>103</v>
      </c>
      <c r="H626" s="235" t="s">
        <v>2829</v>
      </c>
      <c r="I626" s="234"/>
      <c r="J626" s="236" t="s">
        <v>274</v>
      </c>
      <c r="K626" s="237" t="s">
        <v>2849</v>
      </c>
      <c r="L626" s="237" t="s">
        <v>2865</v>
      </c>
      <c r="M626" s="237" t="s">
        <v>2865</v>
      </c>
      <c r="N626" s="237"/>
      <c r="O626" s="237"/>
      <c r="P626" s="237"/>
      <c r="Q626" s="237"/>
      <c r="R626" s="231"/>
      <c r="S626" s="238"/>
      <c r="T626" s="234">
        <v>2022</v>
      </c>
      <c r="U626" s="239">
        <v>4.8</v>
      </c>
      <c r="V626" s="239">
        <v>3.8</v>
      </c>
      <c r="W626" s="248">
        <f t="shared" si="76"/>
        <v>0.79166666666666663</v>
      </c>
      <c r="X626" s="239"/>
      <c r="Y626" s="239"/>
      <c r="Z626" s="231"/>
      <c r="AA626" s="237" t="s">
        <v>140</v>
      </c>
      <c r="AB626" s="239"/>
      <c r="AC626" s="241" t="s">
        <v>153</v>
      </c>
      <c r="AD626" s="241" t="s">
        <v>153</v>
      </c>
      <c r="AE626" s="241" t="s">
        <v>273</v>
      </c>
      <c r="AF626" s="239"/>
      <c r="AG626" s="237"/>
      <c r="AH626" s="231"/>
      <c r="AI626" s="231"/>
      <c r="AJ626" s="242">
        <f t="shared" ca="1" si="72"/>
        <v>351</v>
      </c>
      <c r="AK626" s="242">
        <f t="shared" ca="1" si="73"/>
        <v>322</v>
      </c>
      <c r="AL626" s="243" t="str">
        <f t="shared" si="74"/>
        <v>No Answer</v>
      </c>
      <c r="AM626" s="244">
        <v>45313</v>
      </c>
      <c r="AN626" s="245">
        <v>45314</v>
      </c>
      <c r="AO626" s="245">
        <v>45327</v>
      </c>
      <c r="AP626" s="245"/>
      <c r="AQ626" s="245"/>
      <c r="AR626" s="246" t="s">
        <v>1763</v>
      </c>
      <c r="AS626" s="245">
        <v>45342</v>
      </c>
      <c r="AT626" s="11" t="s">
        <v>7</v>
      </c>
    </row>
    <row r="627" spans="1:46" s="98" customFormat="1" ht="12" customHeight="1" x14ac:dyDescent="0.35">
      <c r="A627"/>
      <c r="B627" s="231" cm="1">
        <f t="array" ref="B627">+_xlfn.IFS(D627="In Touch - Positive",2,D627="Pending",1,D627="No Answer",4,D627="In Touch - Negative",3)</f>
        <v>4</v>
      </c>
      <c r="C627" s="231" t="s">
        <v>2800</v>
      </c>
      <c r="D627" s="232" t="str">
        <f t="shared" si="75"/>
        <v>No Answer</v>
      </c>
      <c r="E627" s="233" t="s">
        <v>2815</v>
      </c>
      <c r="F627" s="233"/>
      <c r="G627" s="234" t="s">
        <v>103</v>
      </c>
      <c r="H627" s="235" t="s">
        <v>2830</v>
      </c>
      <c r="I627" s="234"/>
      <c r="J627" s="236" t="s">
        <v>2837</v>
      </c>
      <c r="K627" s="237" t="s">
        <v>2842</v>
      </c>
      <c r="L627" s="237" t="s">
        <v>2866</v>
      </c>
      <c r="M627" s="237"/>
      <c r="N627" s="237"/>
      <c r="O627" s="237"/>
      <c r="P627" s="237"/>
      <c r="Q627" s="237"/>
      <c r="R627" s="231"/>
      <c r="S627" s="238"/>
      <c r="T627" s="234">
        <v>2022</v>
      </c>
      <c r="U627" s="239">
        <v>7.9</v>
      </c>
      <c r="V627" s="239">
        <v>3.4</v>
      </c>
      <c r="W627" s="248">
        <f t="shared" si="76"/>
        <v>0.430379746835443</v>
      </c>
      <c r="X627" s="239"/>
      <c r="Y627" s="239"/>
      <c r="Z627" s="231"/>
      <c r="AA627" s="237" t="s">
        <v>140</v>
      </c>
      <c r="AB627" s="239"/>
      <c r="AC627" s="241" t="s">
        <v>153</v>
      </c>
      <c r="AD627" s="241" t="s">
        <v>153</v>
      </c>
      <c r="AE627" s="241" t="s">
        <v>273</v>
      </c>
      <c r="AF627" s="239"/>
      <c r="AG627" s="237"/>
      <c r="AH627" s="231"/>
      <c r="AI627" s="231"/>
      <c r="AJ627" s="242">
        <f t="shared" ca="1" si="72"/>
        <v>351</v>
      </c>
      <c r="AK627" s="242">
        <f t="shared" ca="1" si="73"/>
        <v>322</v>
      </c>
      <c r="AL627" s="243" t="str">
        <f t="shared" si="74"/>
        <v>No Answer</v>
      </c>
      <c r="AM627" s="244">
        <v>45313</v>
      </c>
      <c r="AN627" s="245">
        <v>45314</v>
      </c>
      <c r="AO627" s="245">
        <v>45327</v>
      </c>
      <c r="AP627" s="245"/>
      <c r="AQ627" s="245"/>
      <c r="AR627" s="246" t="s">
        <v>1763</v>
      </c>
      <c r="AS627" s="245">
        <v>45342</v>
      </c>
      <c r="AT627" s="11" t="s">
        <v>7</v>
      </c>
    </row>
    <row r="628" spans="1:46" s="98" customFormat="1" ht="12" customHeight="1" x14ac:dyDescent="0.35">
      <c r="A628"/>
      <c r="B628" s="231" cm="1">
        <f t="array" ref="B628">+_xlfn.IFS(D628="In Touch - Positive",2,D628="Pending",1,D628="No Answer",4,D628="In Touch - Negative",3)</f>
        <v>4</v>
      </c>
      <c r="C628" s="231" t="s">
        <v>2800</v>
      </c>
      <c r="D628" s="232" t="str">
        <f t="shared" si="75"/>
        <v>No Answer</v>
      </c>
      <c r="E628" s="233" t="s">
        <v>2816</v>
      </c>
      <c r="F628" s="233"/>
      <c r="G628" s="234" t="s">
        <v>103</v>
      </c>
      <c r="H628" s="235" t="s">
        <v>2831</v>
      </c>
      <c r="I628" s="234"/>
      <c r="J628" s="236" t="s">
        <v>2850</v>
      </c>
      <c r="K628" s="237" t="s">
        <v>2851</v>
      </c>
      <c r="L628" s="237" t="s">
        <v>2872</v>
      </c>
      <c r="M628" s="237" t="s">
        <v>2884</v>
      </c>
      <c r="N628" s="237"/>
      <c r="O628" s="237"/>
      <c r="P628" s="237"/>
      <c r="Q628" s="237"/>
      <c r="R628" s="231"/>
      <c r="S628" s="238"/>
      <c r="T628" s="234">
        <v>2022</v>
      </c>
      <c r="U628" s="239">
        <v>10.3</v>
      </c>
      <c r="V628" s="239">
        <v>3.3</v>
      </c>
      <c r="W628" s="248">
        <f t="shared" si="76"/>
        <v>0.32038834951456308</v>
      </c>
      <c r="X628" s="239"/>
      <c r="Y628" s="239"/>
      <c r="Z628" s="231"/>
      <c r="AA628" s="237" t="s">
        <v>140</v>
      </c>
      <c r="AB628" s="239"/>
      <c r="AC628" s="241" t="s">
        <v>153</v>
      </c>
      <c r="AD628" s="241" t="s">
        <v>153</v>
      </c>
      <c r="AE628" s="241" t="s">
        <v>273</v>
      </c>
      <c r="AF628" s="239"/>
      <c r="AG628" s="237"/>
      <c r="AH628" s="231"/>
      <c r="AI628" s="231"/>
      <c r="AJ628" s="242">
        <f t="shared" ca="1" si="72"/>
        <v>351</v>
      </c>
      <c r="AK628" s="242">
        <f t="shared" ca="1" si="73"/>
        <v>322</v>
      </c>
      <c r="AL628" s="243" t="str">
        <f t="shared" si="74"/>
        <v>No Answer</v>
      </c>
      <c r="AM628" s="244">
        <v>45313</v>
      </c>
      <c r="AN628" s="245">
        <v>45314</v>
      </c>
      <c r="AO628" s="245">
        <v>45327</v>
      </c>
      <c r="AP628" s="245"/>
      <c r="AQ628" s="245"/>
      <c r="AR628" s="246" t="s">
        <v>1763</v>
      </c>
      <c r="AS628" s="245">
        <v>45342</v>
      </c>
      <c r="AT628" s="11" t="s">
        <v>7</v>
      </c>
    </row>
    <row r="629" spans="1:46" s="98" customFormat="1" ht="12" customHeight="1" x14ac:dyDescent="0.35">
      <c r="A629"/>
      <c r="B629" s="231" cm="1">
        <f t="array" ref="B629">+_xlfn.IFS(D629="In Touch - Positive",2,D629="Pending",1,D629="No Answer",4,D629="In Touch - Negative",3)</f>
        <v>4</v>
      </c>
      <c r="C629" s="231" t="s">
        <v>2800</v>
      </c>
      <c r="D629" s="232" t="str">
        <f t="shared" si="75"/>
        <v>No Answer</v>
      </c>
      <c r="E629" s="233" t="s">
        <v>2817</v>
      </c>
      <c r="F629" s="233"/>
      <c r="G629" s="234" t="s">
        <v>103</v>
      </c>
      <c r="H629" s="235" t="s">
        <v>2832</v>
      </c>
      <c r="I629" s="234"/>
      <c r="J629" s="236" t="s">
        <v>274</v>
      </c>
      <c r="K629" s="237" t="s">
        <v>2852</v>
      </c>
      <c r="L629" s="237" t="s">
        <v>2873</v>
      </c>
      <c r="M629" s="237" t="s">
        <v>2890</v>
      </c>
      <c r="N629" s="237"/>
      <c r="O629" s="237"/>
      <c r="P629" s="237"/>
      <c r="Q629" s="237"/>
      <c r="R629" s="231"/>
      <c r="S629" s="238"/>
      <c r="T629" s="234">
        <v>2022</v>
      </c>
      <c r="U629" s="239">
        <v>9.1999999999999993</v>
      </c>
      <c r="V629" s="239">
        <v>3</v>
      </c>
      <c r="W629" s="248">
        <f t="shared" si="76"/>
        <v>0.32608695652173914</v>
      </c>
      <c r="X629" s="239"/>
      <c r="Y629" s="239"/>
      <c r="Z629" s="231"/>
      <c r="AA629" s="237" t="s">
        <v>140</v>
      </c>
      <c r="AB629" s="239"/>
      <c r="AC629" s="241" t="s">
        <v>153</v>
      </c>
      <c r="AD629" s="241" t="s">
        <v>153</v>
      </c>
      <c r="AE629" s="241" t="s">
        <v>273</v>
      </c>
      <c r="AF629" s="239"/>
      <c r="AG629" s="237"/>
      <c r="AH629" s="231"/>
      <c r="AI629" s="231"/>
      <c r="AJ629" s="242">
        <f t="shared" ca="1" si="72"/>
        <v>351</v>
      </c>
      <c r="AK629" s="242">
        <f t="shared" ca="1" si="73"/>
        <v>322</v>
      </c>
      <c r="AL629" s="243" t="str">
        <f t="shared" si="74"/>
        <v>No Answer</v>
      </c>
      <c r="AM629" s="244">
        <v>45313</v>
      </c>
      <c r="AN629" s="245">
        <v>45314</v>
      </c>
      <c r="AO629" s="245">
        <v>45327</v>
      </c>
      <c r="AP629" s="245"/>
      <c r="AQ629" s="245"/>
      <c r="AR629" s="246" t="s">
        <v>1763</v>
      </c>
      <c r="AS629" s="245">
        <v>45342</v>
      </c>
      <c r="AT629" s="11" t="s">
        <v>7</v>
      </c>
    </row>
    <row r="630" spans="1:46" s="98" customFormat="1" ht="12" customHeight="1" x14ac:dyDescent="0.35">
      <c r="A630"/>
      <c r="B630" s="231" cm="1">
        <f t="array" ref="B630">+_xlfn.IFS(D630="In Touch - Positive",2,D630="Pending",1,D630="No Answer",4,D630="In Touch - Negative",3)</f>
        <v>4</v>
      </c>
      <c r="C630" s="231" t="s">
        <v>2800</v>
      </c>
      <c r="D630" s="232" t="str">
        <f t="shared" si="75"/>
        <v>No Answer</v>
      </c>
      <c r="E630" s="233" t="s">
        <v>2818</v>
      </c>
      <c r="F630" s="233"/>
      <c r="G630" s="234" t="s">
        <v>326</v>
      </c>
      <c r="H630" s="235" t="s">
        <v>2833</v>
      </c>
      <c r="I630" s="234"/>
      <c r="J630" s="236" t="s">
        <v>274</v>
      </c>
      <c r="K630" s="237" t="s">
        <v>2853</v>
      </c>
      <c r="L630" s="237" t="s">
        <v>2874</v>
      </c>
      <c r="M630" s="237" t="s">
        <v>2874</v>
      </c>
      <c r="N630" s="237"/>
      <c r="O630" s="237"/>
      <c r="P630" s="237"/>
      <c r="Q630" s="237"/>
      <c r="R630" s="231"/>
      <c r="S630" s="238"/>
      <c r="T630" s="234">
        <v>2022</v>
      </c>
      <c r="U630" s="239">
        <v>37.700000000000003</v>
      </c>
      <c r="V630" s="239">
        <v>2.9</v>
      </c>
      <c r="W630" s="248">
        <f t="shared" si="76"/>
        <v>7.6923076923076913E-2</v>
      </c>
      <c r="X630" s="239"/>
      <c r="Y630" s="239"/>
      <c r="Z630" s="231"/>
      <c r="AA630" s="237" t="s">
        <v>140</v>
      </c>
      <c r="AB630" s="239"/>
      <c r="AC630" s="241" t="s">
        <v>153</v>
      </c>
      <c r="AD630" s="241" t="s">
        <v>153</v>
      </c>
      <c r="AE630" s="241" t="s">
        <v>273</v>
      </c>
      <c r="AF630" s="239"/>
      <c r="AG630" s="237"/>
      <c r="AH630" s="231"/>
      <c r="AI630" s="231"/>
      <c r="AJ630" s="242">
        <f t="shared" ca="1" si="72"/>
        <v>351</v>
      </c>
      <c r="AK630" s="242">
        <f t="shared" ca="1" si="73"/>
        <v>322</v>
      </c>
      <c r="AL630" s="243" t="str">
        <f t="shared" si="74"/>
        <v>No Answer</v>
      </c>
      <c r="AM630" s="244">
        <v>45313</v>
      </c>
      <c r="AN630" s="245">
        <v>45314</v>
      </c>
      <c r="AO630" s="245">
        <v>45327</v>
      </c>
      <c r="AP630" s="245"/>
      <c r="AQ630" s="245"/>
      <c r="AR630" s="246" t="s">
        <v>1763</v>
      </c>
      <c r="AS630" s="245">
        <v>45342</v>
      </c>
      <c r="AT630" s="11" t="s">
        <v>7</v>
      </c>
    </row>
    <row r="631" spans="1:46" s="98" customFormat="1" ht="12" customHeight="1" x14ac:dyDescent="0.35">
      <c r="A631"/>
      <c r="B631" s="231" cm="1">
        <f t="array" ref="B631">+_xlfn.IFS(D631="In Touch - Positive",2,D631="Pending",1,D631="No Answer",4,D631="In Touch - Negative",3)</f>
        <v>4</v>
      </c>
      <c r="C631" s="231" t="s">
        <v>2800</v>
      </c>
      <c r="D631" s="232" t="str">
        <f t="shared" si="75"/>
        <v>No Answer</v>
      </c>
      <c r="E631" s="233" t="s">
        <v>2819</v>
      </c>
      <c r="F631" s="233"/>
      <c r="G631" s="234" t="s">
        <v>391</v>
      </c>
      <c r="H631" s="235" t="s">
        <v>2834</v>
      </c>
      <c r="I631" s="234"/>
      <c r="J631" s="236" t="s">
        <v>274</v>
      </c>
      <c r="K631" s="237" t="s">
        <v>2854</v>
      </c>
      <c r="L631" s="237" t="s">
        <v>2875</v>
      </c>
      <c r="M631" s="237" t="s">
        <v>2891</v>
      </c>
      <c r="N631" s="237"/>
      <c r="O631" s="237"/>
      <c r="P631" s="237"/>
      <c r="Q631" s="237"/>
      <c r="R631" s="231"/>
      <c r="S631" s="238"/>
      <c r="T631" s="234">
        <v>2022</v>
      </c>
      <c r="U631" s="239">
        <v>9</v>
      </c>
      <c r="V631" s="239">
        <v>2.8</v>
      </c>
      <c r="W631" s="248">
        <f t="shared" si="76"/>
        <v>0.31111111111111112</v>
      </c>
      <c r="X631" s="239"/>
      <c r="Y631" s="239"/>
      <c r="Z631" s="231"/>
      <c r="AA631" s="237" t="s">
        <v>140</v>
      </c>
      <c r="AB631" s="239"/>
      <c r="AC631" s="241" t="s">
        <v>153</v>
      </c>
      <c r="AD631" s="241" t="s">
        <v>153</v>
      </c>
      <c r="AE631" s="241" t="s">
        <v>273</v>
      </c>
      <c r="AF631" s="239"/>
      <c r="AG631" s="237"/>
      <c r="AH631" s="231"/>
      <c r="AI631" s="231"/>
      <c r="AJ631" s="242">
        <f t="shared" ca="1" si="72"/>
        <v>351</v>
      </c>
      <c r="AK631" s="242">
        <f t="shared" ca="1" si="73"/>
        <v>322</v>
      </c>
      <c r="AL631" s="243" t="str">
        <f t="shared" si="74"/>
        <v>No Answer</v>
      </c>
      <c r="AM631" s="244">
        <v>45313</v>
      </c>
      <c r="AN631" s="245">
        <v>45314</v>
      </c>
      <c r="AO631" s="245">
        <v>45327</v>
      </c>
      <c r="AP631" s="245"/>
      <c r="AQ631" s="245"/>
      <c r="AR631" s="246" t="s">
        <v>1763</v>
      </c>
      <c r="AS631" s="245">
        <v>45342</v>
      </c>
      <c r="AT631" s="11" t="s">
        <v>7</v>
      </c>
    </row>
    <row r="632" spans="1:46" s="98" customFormat="1" ht="12" customHeight="1" x14ac:dyDescent="0.35">
      <c r="A632"/>
      <c r="B632" s="231" cm="1">
        <f t="array" ref="B632">+_xlfn.IFS(D632="In Touch - Positive",2,D632="Pending",1,D632="No Answer",4,D632="In Touch - Negative",3)</f>
        <v>4</v>
      </c>
      <c r="C632" s="231" t="s">
        <v>2800</v>
      </c>
      <c r="D632" s="232" t="str">
        <f t="shared" si="75"/>
        <v>No Answer</v>
      </c>
      <c r="E632" s="233" t="s">
        <v>2820</v>
      </c>
      <c r="F632" s="233"/>
      <c r="G632" s="234"/>
      <c r="H632" s="235" t="s">
        <v>2835</v>
      </c>
      <c r="I632" s="234"/>
      <c r="J632" s="236" t="s">
        <v>2837</v>
      </c>
      <c r="K632" s="237" t="s">
        <v>2855</v>
      </c>
      <c r="L632" s="237" t="s">
        <v>2867</v>
      </c>
      <c r="M632" s="237"/>
      <c r="N632" s="237"/>
      <c r="O632" s="237"/>
      <c r="P632" s="237"/>
      <c r="Q632" s="237"/>
      <c r="R632" s="231"/>
      <c r="S632" s="238"/>
      <c r="T632" s="234">
        <v>2022</v>
      </c>
      <c r="U632" s="239"/>
      <c r="V632" s="239"/>
      <c r="W632" s="248"/>
      <c r="X632" s="239"/>
      <c r="Y632" s="239"/>
      <c r="Z632" s="231"/>
      <c r="AA632" s="237" t="s">
        <v>140</v>
      </c>
      <c r="AB632" s="239"/>
      <c r="AC632" s="241" t="s">
        <v>153</v>
      </c>
      <c r="AD632" s="241" t="s">
        <v>153</v>
      </c>
      <c r="AE632" s="241" t="s">
        <v>273</v>
      </c>
      <c r="AF632" s="239"/>
      <c r="AG632" s="237"/>
      <c r="AH632" s="231"/>
      <c r="AI632" s="231"/>
      <c r="AJ632" s="242">
        <f t="shared" ca="1" si="72"/>
        <v>351</v>
      </c>
      <c r="AK632" s="242">
        <f t="shared" ca="1" si="73"/>
        <v>322</v>
      </c>
      <c r="AL632" s="243" t="str">
        <f t="shared" si="74"/>
        <v>No Answer</v>
      </c>
      <c r="AM632" s="244">
        <v>45313</v>
      </c>
      <c r="AN632" s="245">
        <v>45314</v>
      </c>
      <c r="AO632" s="245">
        <v>45327</v>
      </c>
      <c r="AP632" s="245"/>
      <c r="AQ632" s="245"/>
      <c r="AR632" s="246" t="s">
        <v>1763</v>
      </c>
      <c r="AS632" s="245">
        <v>45342</v>
      </c>
      <c r="AT632" s="11" t="s">
        <v>7</v>
      </c>
    </row>
    <row r="633" spans="1:46" s="98" customFormat="1" ht="12" customHeight="1" x14ac:dyDescent="0.35">
      <c r="A633"/>
      <c r="B633" s="231" cm="1">
        <f t="array" ref="B633">+_xlfn.IFS(D633="In Touch - Positive",2,D633="Pending",1,D633="No Answer",4,D633="In Touch - Negative",3)</f>
        <v>4</v>
      </c>
      <c r="C633" s="231" t="s">
        <v>2800</v>
      </c>
      <c r="D633" s="232" t="str">
        <f t="shared" si="75"/>
        <v>No Answer</v>
      </c>
      <c r="E633" s="233" t="s">
        <v>2822</v>
      </c>
      <c r="F633" s="233"/>
      <c r="G633" s="234"/>
      <c r="H633" s="235" t="s">
        <v>2871</v>
      </c>
      <c r="I633" s="234"/>
      <c r="J633" s="236" t="s">
        <v>2840</v>
      </c>
      <c r="K633" s="237" t="s">
        <v>2857</v>
      </c>
      <c r="L633" s="237" t="s">
        <v>2869</v>
      </c>
      <c r="M633" s="237"/>
      <c r="N633" s="237"/>
      <c r="O633" s="237"/>
      <c r="P633" s="237"/>
      <c r="Q633" s="237"/>
      <c r="R633" s="231"/>
      <c r="S633" s="238"/>
      <c r="T633" s="234">
        <v>2022</v>
      </c>
      <c r="U633" s="239"/>
      <c r="V633" s="239"/>
      <c r="W633" s="248"/>
      <c r="X633" s="239"/>
      <c r="Y633" s="239"/>
      <c r="Z633" s="231"/>
      <c r="AA633" s="237" t="s">
        <v>140</v>
      </c>
      <c r="AB633" s="239"/>
      <c r="AC633" s="241" t="s">
        <v>153</v>
      </c>
      <c r="AD633" s="241" t="s">
        <v>153</v>
      </c>
      <c r="AE633" s="241" t="s">
        <v>273</v>
      </c>
      <c r="AF633" s="239"/>
      <c r="AG633" s="237"/>
      <c r="AH633" s="231"/>
      <c r="AI633" s="231"/>
      <c r="AJ633" s="242">
        <f t="shared" ca="1" si="72"/>
        <v>351</v>
      </c>
      <c r="AK633" s="242">
        <f t="shared" ca="1" si="73"/>
        <v>322</v>
      </c>
      <c r="AL633" s="243" t="str">
        <f t="shared" si="74"/>
        <v>No Answer</v>
      </c>
      <c r="AM633" s="244">
        <v>45313</v>
      </c>
      <c r="AN633" s="245">
        <v>45314</v>
      </c>
      <c r="AO633" s="245">
        <v>45327</v>
      </c>
      <c r="AP633" s="245"/>
      <c r="AQ633" s="245"/>
      <c r="AR633" s="246" t="s">
        <v>1763</v>
      </c>
      <c r="AS633" s="245">
        <v>45342</v>
      </c>
      <c r="AT633" s="11" t="s">
        <v>7</v>
      </c>
    </row>
    <row r="634" spans="1:46" s="98" customFormat="1" ht="12" customHeight="1" x14ac:dyDescent="0.35">
      <c r="A634"/>
      <c r="B634" s="231" cm="1">
        <f t="array" ref="B634">+_xlfn.IFS(D634="In Touch - Positive",2,D634="Pending",1,D634="No Answer",4,D634="In Touch - Negative",3)</f>
        <v>4</v>
      </c>
      <c r="C634" s="231" t="s">
        <v>2800</v>
      </c>
      <c r="D634" s="232" t="str">
        <f t="shared" si="75"/>
        <v>No Answer</v>
      </c>
      <c r="E634" s="233" t="s">
        <v>2823</v>
      </c>
      <c r="F634" s="233"/>
      <c r="G634" s="234"/>
      <c r="H634" s="235"/>
      <c r="I634" s="234"/>
      <c r="J634" s="236" t="s">
        <v>2841</v>
      </c>
      <c r="K634" s="237" t="s">
        <v>2858</v>
      </c>
      <c r="L634" s="237" t="s">
        <v>2870</v>
      </c>
      <c r="M634" s="237"/>
      <c r="N634" s="237"/>
      <c r="O634" s="237"/>
      <c r="P634" s="237"/>
      <c r="Q634" s="237"/>
      <c r="R634" s="231"/>
      <c r="S634" s="238"/>
      <c r="T634" s="234">
        <v>2022</v>
      </c>
      <c r="U634" s="239"/>
      <c r="V634" s="239"/>
      <c r="W634" s="248"/>
      <c r="X634" s="239"/>
      <c r="Y634" s="239"/>
      <c r="Z634" s="231"/>
      <c r="AA634" s="237" t="s">
        <v>140</v>
      </c>
      <c r="AB634" s="239"/>
      <c r="AC634" s="241" t="s">
        <v>153</v>
      </c>
      <c r="AD634" s="241" t="s">
        <v>153</v>
      </c>
      <c r="AE634" s="241" t="s">
        <v>273</v>
      </c>
      <c r="AF634" s="239"/>
      <c r="AG634" s="237"/>
      <c r="AH634" s="231"/>
      <c r="AI634" s="231"/>
      <c r="AJ634" s="242">
        <f t="shared" ca="1" si="72"/>
        <v>351</v>
      </c>
      <c r="AK634" s="242">
        <f t="shared" ca="1" si="73"/>
        <v>322</v>
      </c>
      <c r="AL634" s="243" t="str">
        <f t="shared" si="74"/>
        <v>No Answer</v>
      </c>
      <c r="AM634" s="244">
        <v>45313</v>
      </c>
      <c r="AN634" s="245">
        <v>45314</v>
      </c>
      <c r="AO634" s="245">
        <v>45327</v>
      </c>
      <c r="AP634" s="245"/>
      <c r="AQ634" s="245"/>
      <c r="AR634" s="246" t="s">
        <v>1763</v>
      </c>
      <c r="AS634" s="245">
        <v>45342</v>
      </c>
      <c r="AT634" s="11" t="s">
        <v>7</v>
      </c>
    </row>
    <row r="635" spans="1:46" s="98" customFormat="1" ht="12" customHeight="1" x14ac:dyDescent="0.35">
      <c r="A635"/>
      <c r="B635" s="231" cm="1">
        <f t="array" ref="B635">+_xlfn.IFS(D635="In Touch - Positive",2,D635="Pending",1,D635="No Answer",4,D635="In Touch - Negative",3)</f>
        <v>4</v>
      </c>
      <c r="C635" s="231" t="s">
        <v>2800</v>
      </c>
      <c r="D635" s="232" t="str">
        <f t="shared" si="75"/>
        <v>No Answer</v>
      </c>
      <c r="E635" s="233" t="s">
        <v>2801</v>
      </c>
      <c r="F635" s="233"/>
      <c r="G635" s="234" t="s">
        <v>208</v>
      </c>
      <c r="H635" s="235" t="s">
        <v>2802</v>
      </c>
      <c r="I635" s="234"/>
      <c r="J635" s="236" t="s">
        <v>274</v>
      </c>
      <c r="K635" s="237" t="s">
        <v>2846</v>
      </c>
      <c r="L635" s="237" t="s">
        <v>2803</v>
      </c>
      <c r="M635" s="237"/>
      <c r="N635" s="237"/>
      <c r="O635" s="237"/>
      <c r="P635" s="237"/>
      <c r="Q635" s="237"/>
      <c r="R635" s="231"/>
      <c r="S635" s="238"/>
      <c r="T635" s="234">
        <v>2022</v>
      </c>
      <c r="U635" s="239">
        <v>18.3</v>
      </c>
      <c r="V635" s="239">
        <v>9.5</v>
      </c>
      <c r="W635" s="248">
        <f>+V635/U635</f>
        <v>0.51912568306010931</v>
      </c>
      <c r="X635" s="239"/>
      <c r="Y635" s="239"/>
      <c r="Z635" s="231"/>
      <c r="AA635" s="237" t="s">
        <v>140</v>
      </c>
      <c r="AB635" s="239"/>
      <c r="AC635" s="241" t="s">
        <v>153</v>
      </c>
      <c r="AD635" s="241" t="s">
        <v>153</v>
      </c>
      <c r="AE635" s="241" t="s">
        <v>273</v>
      </c>
      <c r="AF635" s="239"/>
      <c r="AG635" s="237"/>
      <c r="AH635" s="231"/>
      <c r="AI635" s="231"/>
      <c r="AJ635" s="242">
        <f t="shared" ca="1" si="72"/>
        <v>351</v>
      </c>
      <c r="AK635" s="242">
        <f t="shared" ca="1" si="73"/>
        <v>322</v>
      </c>
      <c r="AL635" s="243" t="str">
        <f t="shared" si="74"/>
        <v>No Answer</v>
      </c>
      <c r="AM635" s="244">
        <v>45313</v>
      </c>
      <c r="AN635" s="245">
        <v>45314</v>
      </c>
      <c r="AO635" s="245">
        <v>45327</v>
      </c>
      <c r="AP635" s="38"/>
      <c r="AQ635" s="245"/>
      <c r="AR635" s="246" t="s">
        <v>1763</v>
      </c>
      <c r="AS635" s="245">
        <v>45342</v>
      </c>
      <c r="AT635" s="11" t="s">
        <v>7</v>
      </c>
    </row>
    <row r="636" spans="1:46" s="98" customFormat="1" x14ac:dyDescent="0.3">
      <c r="B636" s="16" cm="1">
        <f t="array" ref="B636">+_xlfn.IFS(D636="In Touch - Positive",2,D636="Pending",1,D636="No Answer",4,D636="In Touch - Negative",3)</f>
        <v>4</v>
      </c>
      <c r="C636" s="16" t="s">
        <v>153</v>
      </c>
      <c r="D636" s="99" t="str">
        <f t="shared" si="75"/>
        <v>No Answer</v>
      </c>
      <c r="E636" s="12" t="s">
        <v>2767</v>
      </c>
      <c r="F636" s="12"/>
      <c r="G636" s="13" t="s">
        <v>259</v>
      </c>
      <c r="H636" s="14"/>
      <c r="I636" s="13"/>
      <c r="J636" s="100" t="s">
        <v>2770</v>
      </c>
      <c r="K636" s="15"/>
      <c r="L636" s="15" t="s">
        <v>2793</v>
      </c>
      <c r="M636" s="15"/>
      <c r="N636" s="15"/>
      <c r="O636" s="15"/>
      <c r="P636" s="15"/>
      <c r="Q636" s="15"/>
      <c r="R636" s="16"/>
      <c r="S636" s="35"/>
      <c r="T636" s="13">
        <v>2022</v>
      </c>
      <c r="U636" s="17">
        <v>27.013400000000001</v>
      </c>
      <c r="V636" s="17">
        <v>3.2243000000000004</v>
      </c>
      <c r="W636" s="248">
        <f>+V636/U636</f>
        <v>0.11935928094945472</v>
      </c>
      <c r="X636" s="17"/>
      <c r="Y636" s="17"/>
      <c r="Z636" s="16"/>
      <c r="AA636" s="15" t="s">
        <v>140</v>
      </c>
      <c r="AB636" s="17"/>
      <c r="AC636" s="21" t="s">
        <v>153</v>
      </c>
      <c r="AD636" s="21" t="s">
        <v>153</v>
      </c>
      <c r="AE636" s="21"/>
      <c r="AF636" s="17"/>
      <c r="AG636" s="15"/>
      <c r="AH636" s="16"/>
      <c r="AI636" s="16"/>
      <c r="AJ636" s="42">
        <f t="shared" ca="1" si="72"/>
        <v>355</v>
      </c>
      <c r="AK636" s="42">
        <f t="shared" ca="1" si="73"/>
        <v>348</v>
      </c>
      <c r="AL636" s="130" t="str">
        <f t="shared" si="74"/>
        <v>No Answer</v>
      </c>
      <c r="AM636" s="37">
        <v>45309</v>
      </c>
      <c r="AN636" s="38">
        <v>45316</v>
      </c>
      <c r="AO636" s="38"/>
      <c r="AP636" s="38"/>
      <c r="AQ636" s="38"/>
      <c r="AR636" s="101" t="s">
        <v>1763</v>
      </c>
      <c r="AS636" s="38">
        <v>45316</v>
      </c>
      <c r="AT636" s="11" t="s">
        <v>7</v>
      </c>
    </row>
    <row r="637" spans="1:46" s="98" customFormat="1" x14ac:dyDescent="0.3">
      <c r="B637" s="16" cm="1">
        <f t="array" ref="B637">+_xlfn.IFS(D637="In Touch - Positive",2,D637="Pending",1,D637="No Answer",4,D637="In Touch - Negative",3)</f>
        <v>4</v>
      </c>
      <c r="C637" s="16" t="s">
        <v>153</v>
      </c>
      <c r="D637" s="99" t="str">
        <f t="shared" si="75"/>
        <v>No Answer</v>
      </c>
      <c r="E637" s="12" t="s">
        <v>2768</v>
      </c>
      <c r="F637" s="12"/>
      <c r="G637" s="13" t="s">
        <v>259</v>
      </c>
      <c r="H637" s="14"/>
      <c r="I637" s="13"/>
      <c r="J637" s="100" t="s">
        <v>2769</v>
      </c>
      <c r="K637" s="15"/>
      <c r="L637" s="15" t="s">
        <v>2794</v>
      </c>
      <c r="M637" s="15"/>
      <c r="N637" s="15"/>
      <c r="O637" s="15"/>
      <c r="P637" s="15"/>
      <c r="Q637" s="15"/>
      <c r="R637" s="16"/>
      <c r="S637" s="35"/>
      <c r="T637" s="13">
        <v>2022</v>
      </c>
      <c r="U637" s="17">
        <v>26.332000000000001</v>
      </c>
      <c r="V637" s="17">
        <v>3.2029999999999998</v>
      </c>
      <c r="W637" s="248">
        <f>+V637/U637</f>
        <v>0.12163907033267506</v>
      </c>
      <c r="X637" s="17"/>
      <c r="Y637" s="17"/>
      <c r="Z637" s="16"/>
      <c r="AA637" s="15" t="s">
        <v>140</v>
      </c>
      <c r="AB637" s="17"/>
      <c r="AC637" s="21" t="s">
        <v>153</v>
      </c>
      <c r="AD637" s="21" t="s">
        <v>153</v>
      </c>
      <c r="AE637" s="21"/>
      <c r="AF637" s="17"/>
      <c r="AG637" s="15"/>
      <c r="AH637" s="16"/>
      <c r="AI637" s="16"/>
      <c r="AJ637" s="42">
        <f t="shared" ca="1" si="72"/>
        <v>355</v>
      </c>
      <c r="AK637" s="42">
        <f t="shared" ca="1" si="73"/>
        <v>348</v>
      </c>
      <c r="AL637" s="130" t="str">
        <f t="shared" si="74"/>
        <v>No Answer</v>
      </c>
      <c r="AM637" s="37">
        <v>45309</v>
      </c>
      <c r="AN637" s="38">
        <v>45316</v>
      </c>
      <c r="AO637" s="38"/>
      <c r="AP637" s="38">
        <v>45328</v>
      </c>
      <c r="AQ637" s="38"/>
      <c r="AR637" s="101" t="s">
        <v>1763</v>
      </c>
      <c r="AS637" s="38">
        <v>45316</v>
      </c>
      <c r="AT637" s="11" t="s">
        <v>7</v>
      </c>
    </row>
    <row r="638" spans="1:46" s="98" customFormat="1" x14ac:dyDescent="0.3">
      <c r="B638" s="16" cm="1">
        <f t="array" ref="B638">+_xlfn.IFS(D638="In Touch - Positive",2,D638="Pending",1,D638="No Answer",4,D638="In Touch - Negative",3)</f>
        <v>4</v>
      </c>
      <c r="C638" s="16" t="s">
        <v>1790</v>
      </c>
      <c r="D638" s="122" t="str">
        <f t="shared" si="75"/>
        <v>No Answer</v>
      </c>
      <c r="E638" s="12" t="s">
        <v>1791</v>
      </c>
      <c r="F638" s="12"/>
      <c r="G638" s="13" t="s">
        <v>103</v>
      </c>
      <c r="H638" s="14"/>
      <c r="I638" s="13"/>
      <c r="J638" s="100" t="s">
        <v>111</v>
      </c>
      <c r="K638" s="15"/>
      <c r="L638" s="15"/>
      <c r="M638" s="15"/>
      <c r="N638" s="15"/>
      <c r="O638" s="15"/>
      <c r="P638" s="15"/>
      <c r="Q638" s="15"/>
      <c r="R638" s="16"/>
      <c r="S638" s="35"/>
      <c r="T638" s="13"/>
      <c r="U638" s="17"/>
      <c r="V638" s="17"/>
      <c r="W638" s="39"/>
      <c r="X638" s="17"/>
      <c r="Y638" s="17"/>
      <c r="Z638" s="16"/>
      <c r="AA638" s="15" t="s">
        <v>140</v>
      </c>
      <c r="AB638" s="17"/>
      <c r="AC638" s="21" t="s">
        <v>153</v>
      </c>
      <c r="AD638" s="21" t="s">
        <v>153</v>
      </c>
      <c r="AE638" s="61" t="s">
        <v>1792</v>
      </c>
      <c r="AF638" s="17"/>
      <c r="AG638" s="15"/>
      <c r="AH638" s="16"/>
      <c r="AI638" s="16"/>
      <c r="AJ638" s="42">
        <f t="shared" ca="1" si="72"/>
        <v>589</v>
      </c>
      <c r="AK638" s="42">
        <f t="shared" ca="1" si="73"/>
        <v>336</v>
      </c>
      <c r="AL638" s="130" t="str">
        <f t="shared" si="74"/>
        <v>No Answer</v>
      </c>
      <c r="AM638" s="37">
        <v>45075</v>
      </c>
      <c r="AN638" s="123">
        <v>45078</v>
      </c>
      <c r="AO638" s="38">
        <v>45187</v>
      </c>
      <c r="AP638" s="38">
        <v>45328</v>
      </c>
      <c r="AQ638" s="38"/>
      <c r="AR638" s="101" t="s">
        <v>1763</v>
      </c>
      <c r="AS638" s="38">
        <v>45328</v>
      </c>
      <c r="AT638" s="11" t="s">
        <v>7</v>
      </c>
    </row>
    <row r="639" spans="1:46" s="98" customFormat="1" x14ac:dyDescent="0.3">
      <c r="A639" s="16"/>
      <c r="B639" s="16" cm="1">
        <f t="array" ref="B639">+_xlfn.IFS(D639="In Touch - Positive",2,D639="Pending",1,D639="No Answer",4,D639="In Touch - Negative",3)</f>
        <v>4</v>
      </c>
      <c r="C639" s="16" t="s">
        <v>1790</v>
      </c>
      <c r="D639" s="122" t="str">
        <f t="shared" si="75"/>
        <v>No Answer</v>
      </c>
      <c r="E639" s="12" t="s">
        <v>1793</v>
      </c>
      <c r="F639" s="12"/>
      <c r="G639" s="13" t="s">
        <v>130</v>
      </c>
      <c r="H639" s="14"/>
      <c r="I639" s="13"/>
      <c r="J639" s="100" t="s">
        <v>111</v>
      </c>
      <c r="K639" s="15"/>
      <c r="L639" s="15"/>
      <c r="M639" s="15"/>
      <c r="N639" s="15"/>
      <c r="O639" s="15"/>
      <c r="P639" s="15"/>
      <c r="Q639" s="15"/>
      <c r="R639" s="16"/>
      <c r="S639" s="35"/>
      <c r="T639" s="13"/>
      <c r="U639" s="17"/>
      <c r="V639" s="17"/>
      <c r="W639" s="39"/>
      <c r="X639" s="17"/>
      <c r="Y639" s="17"/>
      <c r="Z639" s="16"/>
      <c r="AA639" s="15" t="s">
        <v>140</v>
      </c>
      <c r="AB639" s="17"/>
      <c r="AC639" s="21" t="s">
        <v>153</v>
      </c>
      <c r="AD639" s="21" t="s">
        <v>153</v>
      </c>
      <c r="AE639" s="61" t="s">
        <v>1792</v>
      </c>
      <c r="AF639" s="17"/>
      <c r="AG639" s="15"/>
      <c r="AH639" s="16"/>
      <c r="AI639" s="16"/>
      <c r="AJ639" s="42">
        <f t="shared" ca="1" si="72"/>
        <v>589</v>
      </c>
      <c r="AK639" s="42">
        <f t="shared" ca="1" si="73"/>
        <v>336</v>
      </c>
      <c r="AL639" s="130" t="str">
        <f t="shared" si="74"/>
        <v>No Answer</v>
      </c>
      <c r="AM639" s="37">
        <v>45075</v>
      </c>
      <c r="AN639" s="123">
        <v>45078</v>
      </c>
      <c r="AO639" s="38">
        <v>45187</v>
      </c>
      <c r="AP639" s="38">
        <v>45328</v>
      </c>
      <c r="AQ639" s="38"/>
      <c r="AR639" s="101" t="s">
        <v>1763</v>
      </c>
      <c r="AS639" s="38">
        <v>45328</v>
      </c>
      <c r="AT639" s="11" t="s">
        <v>7</v>
      </c>
    </row>
    <row r="640" spans="1:46" s="98" customFormat="1" x14ac:dyDescent="0.3">
      <c r="B640" s="16" cm="1">
        <f t="array" ref="B640">+_xlfn.IFS(D640="In Touch - Positive",2,D640="Pending",1,D640="No Answer",4,D640="In Touch - Negative",3)</f>
        <v>4</v>
      </c>
      <c r="C640" s="16" t="s">
        <v>1790</v>
      </c>
      <c r="D640" s="122" t="str">
        <f t="shared" si="75"/>
        <v>No Answer</v>
      </c>
      <c r="E640" s="12" t="s">
        <v>1795</v>
      </c>
      <c r="F640" s="12"/>
      <c r="G640" s="13" t="s">
        <v>270</v>
      </c>
      <c r="H640" s="14"/>
      <c r="I640" s="13"/>
      <c r="J640" s="100" t="s">
        <v>111</v>
      </c>
      <c r="K640" s="15"/>
      <c r="L640" s="15"/>
      <c r="M640" s="15"/>
      <c r="N640" s="15"/>
      <c r="O640" s="15"/>
      <c r="P640" s="15"/>
      <c r="Q640" s="15"/>
      <c r="R640" s="16"/>
      <c r="S640" s="35"/>
      <c r="T640" s="13"/>
      <c r="U640" s="17"/>
      <c r="V640" s="17"/>
      <c r="W640" s="39"/>
      <c r="X640" s="17"/>
      <c r="Y640" s="17"/>
      <c r="Z640" s="16"/>
      <c r="AA640" s="15" t="s">
        <v>140</v>
      </c>
      <c r="AB640" s="17"/>
      <c r="AC640" s="21" t="s">
        <v>153</v>
      </c>
      <c r="AD640" s="21" t="s">
        <v>153</v>
      </c>
      <c r="AE640" s="61" t="s">
        <v>1792</v>
      </c>
      <c r="AF640" s="17"/>
      <c r="AG640" s="15"/>
      <c r="AH640" s="16"/>
      <c r="AI640" s="16"/>
      <c r="AJ640" s="42">
        <f t="shared" ca="1" si="72"/>
        <v>589</v>
      </c>
      <c r="AK640" s="42">
        <f t="shared" ca="1" si="73"/>
        <v>336</v>
      </c>
      <c r="AL640" s="130" t="str">
        <f t="shared" si="74"/>
        <v>No Answer</v>
      </c>
      <c r="AM640" s="37">
        <v>45075</v>
      </c>
      <c r="AN640" s="123">
        <v>45078</v>
      </c>
      <c r="AO640" s="38">
        <v>45187</v>
      </c>
      <c r="AP640" s="38">
        <v>45328</v>
      </c>
      <c r="AQ640" s="38"/>
      <c r="AR640" s="101" t="s">
        <v>1763</v>
      </c>
      <c r="AS640" s="38">
        <v>45328</v>
      </c>
      <c r="AT640" s="11" t="s">
        <v>7</v>
      </c>
    </row>
    <row r="641" spans="1:46" s="98" customFormat="1" x14ac:dyDescent="0.3">
      <c r="B641" s="16" cm="1">
        <f t="array" ref="B641">+_xlfn.IFS(D641="In Touch - Positive",2,D641="Pending",1,D641="No Answer",4,D641="In Touch - Negative",3)</f>
        <v>4</v>
      </c>
      <c r="C641" s="16" t="s">
        <v>1790</v>
      </c>
      <c r="D641" s="122" t="str">
        <f t="shared" si="75"/>
        <v>No Answer</v>
      </c>
      <c r="E641" s="12" t="s">
        <v>1796</v>
      </c>
      <c r="F641" s="12"/>
      <c r="G641" s="13" t="s">
        <v>208</v>
      </c>
      <c r="H641" s="14"/>
      <c r="I641" s="13"/>
      <c r="J641" s="100" t="s">
        <v>111</v>
      </c>
      <c r="K641" s="15"/>
      <c r="L641" s="15"/>
      <c r="M641" s="15"/>
      <c r="N641" s="15"/>
      <c r="O641" s="15"/>
      <c r="P641" s="15"/>
      <c r="Q641" s="15"/>
      <c r="R641" s="16"/>
      <c r="S641" s="35"/>
      <c r="T641" s="13"/>
      <c r="U641" s="17"/>
      <c r="V641" s="17"/>
      <c r="W641" s="39"/>
      <c r="X641" s="17"/>
      <c r="Y641" s="17"/>
      <c r="Z641" s="16"/>
      <c r="AA641" s="15" t="s">
        <v>140</v>
      </c>
      <c r="AB641" s="17"/>
      <c r="AC641" s="21" t="s">
        <v>153</v>
      </c>
      <c r="AD641" s="21" t="s">
        <v>153</v>
      </c>
      <c r="AE641" s="61" t="s">
        <v>1792</v>
      </c>
      <c r="AF641" s="17"/>
      <c r="AG641" s="15"/>
      <c r="AH641" s="16"/>
      <c r="AI641" s="16"/>
      <c r="AJ641" s="42">
        <f t="shared" ca="1" si="72"/>
        <v>589</v>
      </c>
      <c r="AK641" s="42">
        <f t="shared" ca="1" si="73"/>
        <v>336</v>
      </c>
      <c r="AL641" s="130" t="str">
        <f t="shared" si="74"/>
        <v>No Answer</v>
      </c>
      <c r="AM641" s="37">
        <v>45075</v>
      </c>
      <c r="AN641" s="123">
        <v>45078</v>
      </c>
      <c r="AO641" s="38">
        <v>45187</v>
      </c>
      <c r="AP641" s="38">
        <v>45328</v>
      </c>
      <c r="AQ641" s="38"/>
      <c r="AR641" s="101" t="s">
        <v>1763</v>
      </c>
      <c r="AS641" s="38">
        <v>45328</v>
      </c>
      <c r="AT641" s="11" t="s">
        <v>7</v>
      </c>
    </row>
    <row r="642" spans="1:46" s="98" customFormat="1" x14ac:dyDescent="0.3">
      <c r="A642" s="16"/>
      <c r="B642" s="16" cm="1">
        <f t="array" ref="B642">+_xlfn.IFS(D642="In Touch - Positive",2,D642="Pending",1,D642="No Answer",4,D642="In Touch - Negative",3)</f>
        <v>4</v>
      </c>
      <c r="C642" s="16" t="s">
        <v>1790</v>
      </c>
      <c r="D642" s="122" t="str">
        <f t="shared" si="75"/>
        <v>No Answer</v>
      </c>
      <c r="E642" s="12" t="s">
        <v>1797</v>
      </c>
      <c r="F642" s="12"/>
      <c r="G642" s="13" t="s">
        <v>270</v>
      </c>
      <c r="H642" s="14"/>
      <c r="I642" s="13"/>
      <c r="J642" s="100" t="s">
        <v>111</v>
      </c>
      <c r="K642" s="15"/>
      <c r="L642" s="15"/>
      <c r="M642" s="15"/>
      <c r="N642" s="15"/>
      <c r="O642" s="15"/>
      <c r="P642" s="15"/>
      <c r="Q642" s="15"/>
      <c r="R642" s="16"/>
      <c r="S642" s="35"/>
      <c r="T642" s="13"/>
      <c r="U642" s="17"/>
      <c r="V642" s="17"/>
      <c r="W642" s="39"/>
      <c r="X642" s="17"/>
      <c r="Y642" s="17"/>
      <c r="Z642" s="16"/>
      <c r="AA642" s="15" t="s">
        <v>140</v>
      </c>
      <c r="AB642" s="17"/>
      <c r="AC642" s="21" t="s">
        <v>153</v>
      </c>
      <c r="AD642" s="21" t="s">
        <v>153</v>
      </c>
      <c r="AE642" s="61" t="s">
        <v>1792</v>
      </c>
      <c r="AF642" s="17"/>
      <c r="AG642" s="15"/>
      <c r="AH642" s="16"/>
      <c r="AI642" s="16"/>
      <c r="AJ642" s="42">
        <f t="shared" ca="1" si="72"/>
        <v>589</v>
      </c>
      <c r="AK642" s="42">
        <f t="shared" ca="1" si="73"/>
        <v>336</v>
      </c>
      <c r="AL642" s="130" t="str">
        <f t="shared" si="74"/>
        <v>No Answer</v>
      </c>
      <c r="AM642" s="37">
        <v>45075</v>
      </c>
      <c r="AN642" s="123">
        <v>45078</v>
      </c>
      <c r="AO642" s="38">
        <v>45187</v>
      </c>
      <c r="AP642" s="38">
        <v>45328</v>
      </c>
      <c r="AQ642" s="38"/>
      <c r="AR642" s="101" t="s">
        <v>1763</v>
      </c>
      <c r="AS642" s="38">
        <v>45328</v>
      </c>
      <c r="AT642" s="11" t="s">
        <v>7</v>
      </c>
    </row>
    <row r="643" spans="1:46" s="98" customFormat="1" x14ac:dyDescent="0.3">
      <c r="A643" s="16"/>
      <c r="B643" s="16" cm="1">
        <f t="array" ref="B643">+_xlfn.IFS(D643="In Touch - Positive",2,D643="Pending",1,D643="No Answer",4,D643="In Touch - Negative",3)</f>
        <v>4</v>
      </c>
      <c r="C643" s="16" t="s">
        <v>1790</v>
      </c>
      <c r="D643" s="122" t="str">
        <f t="shared" si="75"/>
        <v>No Answer</v>
      </c>
      <c r="E643" s="12" t="s">
        <v>1799</v>
      </c>
      <c r="F643" s="12"/>
      <c r="G643" s="13" t="s">
        <v>572</v>
      </c>
      <c r="H643" s="14"/>
      <c r="I643" s="13"/>
      <c r="J643" s="100" t="s">
        <v>111</v>
      </c>
      <c r="K643" s="15"/>
      <c r="L643" s="15"/>
      <c r="M643" s="15"/>
      <c r="N643" s="15"/>
      <c r="O643" s="15"/>
      <c r="P643" s="15"/>
      <c r="Q643" s="15"/>
      <c r="R643" s="16"/>
      <c r="S643" s="35"/>
      <c r="T643" s="13"/>
      <c r="U643" s="17"/>
      <c r="V643" s="17"/>
      <c r="W643" s="39"/>
      <c r="X643" s="17"/>
      <c r="Y643" s="17"/>
      <c r="Z643" s="16"/>
      <c r="AA643" s="15" t="s">
        <v>140</v>
      </c>
      <c r="AB643" s="17"/>
      <c r="AC643" s="21" t="s">
        <v>153</v>
      </c>
      <c r="AD643" s="21" t="s">
        <v>153</v>
      </c>
      <c r="AE643" s="61" t="s">
        <v>1792</v>
      </c>
      <c r="AF643" s="17"/>
      <c r="AG643" s="15"/>
      <c r="AH643" s="16"/>
      <c r="AI643" s="16"/>
      <c r="AJ643" s="42">
        <f t="shared" ca="1" si="72"/>
        <v>589</v>
      </c>
      <c r="AK643" s="42">
        <f t="shared" ca="1" si="73"/>
        <v>336</v>
      </c>
      <c r="AL643" s="130" t="str">
        <f t="shared" si="74"/>
        <v>No Answer</v>
      </c>
      <c r="AM643" s="37">
        <v>45075</v>
      </c>
      <c r="AN643" s="123">
        <v>45078</v>
      </c>
      <c r="AO643" s="38">
        <v>45187</v>
      </c>
      <c r="AP643" s="38">
        <v>45328</v>
      </c>
      <c r="AQ643" s="38"/>
      <c r="AR643" s="101" t="s">
        <v>1763</v>
      </c>
      <c r="AS643" s="38">
        <v>45328</v>
      </c>
      <c r="AT643" s="11" t="s">
        <v>7</v>
      </c>
    </row>
    <row r="644" spans="1:46" s="98" customFormat="1" x14ac:dyDescent="0.3">
      <c r="B644" s="16" cm="1">
        <f t="array" ref="B644">+_xlfn.IFS(D644="In Touch - Positive",2,D644="Pending",1,D644="No Answer",4,D644="In Touch - Negative",3)</f>
        <v>4</v>
      </c>
      <c r="C644" s="16" t="s">
        <v>1790</v>
      </c>
      <c r="D644" s="122" t="str">
        <f t="shared" si="75"/>
        <v>No Answer</v>
      </c>
      <c r="E644" s="12" t="s">
        <v>1800</v>
      </c>
      <c r="F644" s="12"/>
      <c r="G644" s="13" t="s">
        <v>103</v>
      </c>
      <c r="H644" s="14"/>
      <c r="I644" s="13"/>
      <c r="J644" s="100" t="s">
        <v>111</v>
      </c>
      <c r="K644" s="15"/>
      <c r="L644" s="15"/>
      <c r="M644" s="15"/>
      <c r="N644" s="15"/>
      <c r="O644" s="15"/>
      <c r="P644" s="15"/>
      <c r="Q644" s="15"/>
      <c r="R644" s="16"/>
      <c r="S644" s="35"/>
      <c r="T644" s="13"/>
      <c r="U644" s="17"/>
      <c r="V644" s="17"/>
      <c r="W644" s="39"/>
      <c r="X644" s="17"/>
      <c r="Y644" s="17"/>
      <c r="Z644" s="16"/>
      <c r="AA644" s="15" t="s">
        <v>140</v>
      </c>
      <c r="AB644" s="17"/>
      <c r="AC644" s="21" t="s">
        <v>153</v>
      </c>
      <c r="AD644" s="21" t="s">
        <v>153</v>
      </c>
      <c r="AE644" s="61" t="s">
        <v>1792</v>
      </c>
      <c r="AF644" s="17"/>
      <c r="AG644" s="15"/>
      <c r="AH644" s="16"/>
      <c r="AI644" s="16"/>
      <c r="AJ644" s="42">
        <f t="shared" ca="1" si="72"/>
        <v>589</v>
      </c>
      <c r="AK644" s="42">
        <f t="shared" ca="1" si="73"/>
        <v>336</v>
      </c>
      <c r="AL644" s="130" t="str">
        <f t="shared" si="74"/>
        <v>No Answer</v>
      </c>
      <c r="AM644" s="37">
        <v>45075</v>
      </c>
      <c r="AN644" s="123">
        <v>45078</v>
      </c>
      <c r="AO644" s="38">
        <v>45187</v>
      </c>
      <c r="AP644" s="38">
        <v>45327</v>
      </c>
      <c r="AQ644" s="38"/>
      <c r="AR644" s="101" t="s">
        <v>1763</v>
      </c>
      <c r="AS644" s="38">
        <v>45328</v>
      </c>
      <c r="AT644" s="11" t="s">
        <v>7</v>
      </c>
    </row>
    <row r="645" spans="1:46" s="98" customFormat="1" x14ac:dyDescent="0.3">
      <c r="B645" s="16" cm="1">
        <f t="array" ref="B645">+_xlfn.IFS(D645="In Touch - Positive",2,D645="Pending",1,D645="No Answer",4,D645="In Touch - Negative",3)</f>
        <v>4</v>
      </c>
      <c r="C645" s="16" t="s">
        <v>1790</v>
      </c>
      <c r="D645" s="122" t="str">
        <f t="shared" si="75"/>
        <v>No Answer</v>
      </c>
      <c r="E645" s="12" t="s">
        <v>1801</v>
      </c>
      <c r="F645" s="12"/>
      <c r="G645" s="13" t="s">
        <v>103</v>
      </c>
      <c r="H645" s="14"/>
      <c r="I645" s="13"/>
      <c r="J645" s="100" t="s">
        <v>111</v>
      </c>
      <c r="K645" s="15"/>
      <c r="L645" s="15"/>
      <c r="M645" s="15"/>
      <c r="N645" s="15"/>
      <c r="O645" s="15"/>
      <c r="P645" s="15"/>
      <c r="Q645" s="15"/>
      <c r="R645" s="16"/>
      <c r="S645" s="35"/>
      <c r="T645" s="13"/>
      <c r="U645" s="17"/>
      <c r="V645" s="17"/>
      <c r="W645" s="39"/>
      <c r="X645" s="17"/>
      <c r="Y645" s="17"/>
      <c r="Z645" s="16"/>
      <c r="AA645" s="15" t="s">
        <v>140</v>
      </c>
      <c r="AB645" s="17"/>
      <c r="AC645" s="21" t="s">
        <v>153</v>
      </c>
      <c r="AD645" s="21" t="s">
        <v>153</v>
      </c>
      <c r="AE645" s="61" t="s">
        <v>1792</v>
      </c>
      <c r="AF645" s="17"/>
      <c r="AG645" s="15"/>
      <c r="AH645" s="16"/>
      <c r="AI645" s="16"/>
      <c r="AJ645" s="42">
        <f t="shared" ca="1" si="72"/>
        <v>589</v>
      </c>
      <c r="AK645" s="42">
        <f t="shared" ca="1" si="73"/>
        <v>337</v>
      </c>
      <c r="AL645" s="130" t="str">
        <f t="shared" si="74"/>
        <v>No Answer</v>
      </c>
      <c r="AM645" s="37">
        <v>45075</v>
      </c>
      <c r="AN645" s="123">
        <v>45078</v>
      </c>
      <c r="AO645" s="38">
        <v>45187</v>
      </c>
      <c r="AP645" s="38">
        <v>45328</v>
      </c>
      <c r="AQ645" s="38"/>
      <c r="AR645" s="101" t="s">
        <v>1763</v>
      </c>
      <c r="AS645" s="38">
        <v>45327</v>
      </c>
      <c r="AT645" s="11" t="s">
        <v>7</v>
      </c>
    </row>
    <row r="646" spans="1:46" s="98" customFormat="1" x14ac:dyDescent="0.3">
      <c r="A646" s="16"/>
      <c r="B646" s="16" cm="1">
        <f t="array" ref="B646">+_xlfn.IFS(D646="In Touch - Positive",2,D646="Pending",1,D646="No Answer",4,D646="In Touch - Negative",3)</f>
        <v>4</v>
      </c>
      <c r="C646" s="16" t="s">
        <v>1790</v>
      </c>
      <c r="D646" s="122" t="str">
        <f t="shared" si="75"/>
        <v>No Answer</v>
      </c>
      <c r="E646" s="12" t="s">
        <v>1803</v>
      </c>
      <c r="F646" s="12"/>
      <c r="G646" s="13" t="s">
        <v>326</v>
      </c>
      <c r="H646" s="14"/>
      <c r="I646" s="13"/>
      <c r="J646" s="100" t="s">
        <v>111</v>
      </c>
      <c r="K646" s="15"/>
      <c r="L646" s="15"/>
      <c r="M646" s="15"/>
      <c r="N646" s="15"/>
      <c r="O646" s="15"/>
      <c r="P646" s="15"/>
      <c r="Q646" s="15"/>
      <c r="R646" s="16"/>
      <c r="S646" s="35"/>
      <c r="T646" s="13"/>
      <c r="U646" s="17"/>
      <c r="V646" s="17"/>
      <c r="W646" s="39"/>
      <c r="X646" s="17"/>
      <c r="Y646" s="17"/>
      <c r="Z646" s="16"/>
      <c r="AA646" s="15" t="s">
        <v>140</v>
      </c>
      <c r="AB646" s="17"/>
      <c r="AC646" s="21" t="s">
        <v>153</v>
      </c>
      <c r="AD646" s="21" t="s">
        <v>153</v>
      </c>
      <c r="AE646" s="61" t="s">
        <v>1792</v>
      </c>
      <c r="AF646" s="17"/>
      <c r="AG646" s="15"/>
      <c r="AH646" s="16"/>
      <c r="AI646" s="16"/>
      <c r="AJ646" s="42">
        <f t="shared" ca="1" si="72"/>
        <v>589</v>
      </c>
      <c r="AK646" s="42">
        <f t="shared" ca="1" si="73"/>
        <v>336</v>
      </c>
      <c r="AL646" s="130" t="str">
        <f t="shared" si="74"/>
        <v>No Answer</v>
      </c>
      <c r="AM646" s="37">
        <v>45075</v>
      </c>
      <c r="AN646" s="123">
        <v>45078</v>
      </c>
      <c r="AO646" s="38">
        <v>45187</v>
      </c>
      <c r="AP646" s="38">
        <v>45328</v>
      </c>
      <c r="AQ646" s="38"/>
      <c r="AR646" s="101" t="s">
        <v>1763</v>
      </c>
      <c r="AS646" s="38">
        <v>45328</v>
      </c>
      <c r="AT646" s="11" t="s">
        <v>7</v>
      </c>
    </row>
    <row r="647" spans="1:46" s="98" customFormat="1" x14ac:dyDescent="0.3">
      <c r="A647" s="16"/>
      <c r="B647" s="16" cm="1">
        <f t="array" ref="B647">+_xlfn.IFS(D647="In Touch - Positive",2,D647="Pending",1,D647="No Answer",4,D647="In Touch - Negative",3)</f>
        <v>4</v>
      </c>
      <c r="C647" s="16" t="s">
        <v>1790</v>
      </c>
      <c r="D647" s="122" t="str">
        <f t="shared" si="75"/>
        <v>No Answer</v>
      </c>
      <c r="E647" s="12" t="s">
        <v>1807</v>
      </c>
      <c r="F647" s="12"/>
      <c r="G647" s="13" t="s">
        <v>103</v>
      </c>
      <c r="H647" s="14"/>
      <c r="I647" s="13"/>
      <c r="J647" s="100" t="s">
        <v>111</v>
      </c>
      <c r="K647" s="15"/>
      <c r="L647" s="15"/>
      <c r="M647" s="15"/>
      <c r="N647" s="15"/>
      <c r="O647" s="15"/>
      <c r="P647" s="15"/>
      <c r="Q647" s="15"/>
      <c r="R647" s="16"/>
      <c r="S647" s="35"/>
      <c r="T647" s="13"/>
      <c r="U647" s="17"/>
      <c r="V647" s="17"/>
      <c r="W647" s="39"/>
      <c r="X647" s="17"/>
      <c r="Y647" s="17"/>
      <c r="Z647" s="16"/>
      <c r="AA647" s="15" t="s">
        <v>140</v>
      </c>
      <c r="AB647" s="17"/>
      <c r="AC647" s="21" t="s">
        <v>153</v>
      </c>
      <c r="AD647" s="21" t="s">
        <v>153</v>
      </c>
      <c r="AE647" s="61" t="s">
        <v>1792</v>
      </c>
      <c r="AF647" s="17"/>
      <c r="AG647" s="15"/>
      <c r="AH647" s="16"/>
      <c r="AI647" s="16"/>
      <c r="AJ647" s="42">
        <f t="shared" ca="1" si="72"/>
        <v>589</v>
      </c>
      <c r="AK647" s="42">
        <f t="shared" ca="1" si="73"/>
        <v>336</v>
      </c>
      <c r="AL647" s="130" t="str">
        <f t="shared" si="74"/>
        <v>No Answer</v>
      </c>
      <c r="AM647" s="37">
        <v>45075</v>
      </c>
      <c r="AN647" s="123">
        <v>45078</v>
      </c>
      <c r="AO647" s="38">
        <v>45187</v>
      </c>
      <c r="AP647" s="38"/>
      <c r="AQ647" s="38"/>
      <c r="AR647" s="101" t="s">
        <v>1763</v>
      </c>
      <c r="AS647" s="38">
        <v>45328</v>
      </c>
      <c r="AT647" s="11" t="s">
        <v>7</v>
      </c>
    </row>
    <row r="648" spans="1:46" s="98" customFormat="1" x14ac:dyDescent="0.3">
      <c r="B648" s="16" cm="1">
        <f t="array" ref="B648">+_xlfn.IFS(D648="In Touch - Positive",2,D648="Pending",1,D648="No Answer",4,D648="In Touch - Negative",3)</f>
        <v>4</v>
      </c>
      <c r="C648" s="16" t="s">
        <v>2745</v>
      </c>
      <c r="D648" s="99" t="str">
        <f t="shared" si="75"/>
        <v>No Answer</v>
      </c>
      <c r="E648" s="12" t="s">
        <v>2752</v>
      </c>
      <c r="F648" s="12"/>
      <c r="G648" s="13" t="s">
        <v>386</v>
      </c>
      <c r="H648" s="14"/>
      <c r="I648" s="13"/>
      <c r="J648" s="100" t="s">
        <v>2772</v>
      </c>
      <c r="K648" s="15"/>
      <c r="L648" s="15" t="s">
        <v>2778</v>
      </c>
      <c r="M648" s="15"/>
      <c r="N648" s="15"/>
      <c r="O648" s="15"/>
      <c r="P648" s="15"/>
      <c r="Q648" s="15"/>
      <c r="R648" s="16"/>
      <c r="S648" s="35"/>
      <c r="T648" s="13">
        <v>2022</v>
      </c>
      <c r="U648" s="17">
        <v>64.305999999999997</v>
      </c>
      <c r="V648" s="17">
        <v>6.3490000000000002</v>
      </c>
      <c r="W648" s="248">
        <f>+V648/U648</f>
        <v>9.8731067085497476E-2</v>
      </c>
      <c r="X648" s="17"/>
      <c r="Y648" s="17"/>
      <c r="Z648" s="16"/>
      <c r="AA648" s="15" t="s">
        <v>140</v>
      </c>
      <c r="AB648" s="17"/>
      <c r="AC648" s="21" t="s">
        <v>153</v>
      </c>
      <c r="AD648" s="21" t="s">
        <v>153</v>
      </c>
      <c r="AE648" s="21"/>
      <c r="AF648" s="17"/>
      <c r="AG648" s="15"/>
      <c r="AH648" s="16"/>
      <c r="AI648" s="16"/>
      <c r="AJ648" s="42">
        <f t="shared" ca="1" si="72"/>
        <v>355</v>
      </c>
      <c r="AK648" s="42">
        <f t="shared" ca="1" si="73"/>
        <v>349</v>
      </c>
      <c r="AL648" s="130" t="str">
        <f t="shared" si="74"/>
        <v>No Answer</v>
      </c>
      <c r="AM648" s="37">
        <v>45309</v>
      </c>
      <c r="AN648" s="38">
        <v>45315</v>
      </c>
      <c r="AO648" s="38"/>
      <c r="AP648" s="38"/>
      <c r="AQ648" s="38"/>
      <c r="AR648" s="101" t="s">
        <v>1763</v>
      </c>
      <c r="AS648" s="38">
        <v>45315</v>
      </c>
      <c r="AT648" s="11" t="s">
        <v>7</v>
      </c>
    </row>
    <row r="649" spans="1:46" s="98" customFormat="1" x14ac:dyDescent="0.3">
      <c r="B649" s="16" cm="1">
        <f t="array" ref="B649">+_xlfn.IFS(D649="In Touch - Positive",2,D649="Pending",1,D649="No Answer",4,D649="In Touch - Negative",3)</f>
        <v>4</v>
      </c>
      <c r="C649" s="16" t="s">
        <v>2745</v>
      </c>
      <c r="D649" s="99" t="str">
        <f t="shared" si="75"/>
        <v>No Answer</v>
      </c>
      <c r="E649" s="12" t="s">
        <v>2757</v>
      </c>
      <c r="F649" s="12"/>
      <c r="G649" s="13" t="s">
        <v>94</v>
      </c>
      <c r="H649" s="14"/>
      <c r="I649" s="13"/>
      <c r="J649" s="100" t="s">
        <v>2772</v>
      </c>
      <c r="K649" s="15"/>
      <c r="L649" s="15" t="s">
        <v>2783</v>
      </c>
      <c r="M649" s="15"/>
      <c r="N649" s="15"/>
      <c r="O649" s="15"/>
      <c r="P649" s="15"/>
      <c r="Q649" s="15"/>
      <c r="R649" s="16"/>
      <c r="S649" s="35"/>
      <c r="T649" s="13">
        <v>2022</v>
      </c>
      <c r="U649" s="17">
        <v>51.744</v>
      </c>
      <c r="V649" s="17">
        <v>4.1429999999999998</v>
      </c>
      <c r="W649" s="248">
        <f>+V649/U649</f>
        <v>8.0067254174397029E-2</v>
      </c>
      <c r="X649" s="17"/>
      <c r="Y649" s="17"/>
      <c r="Z649" s="16"/>
      <c r="AA649" s="15" t="s">
        <v>140</v>
      </c>
      <c r="AB649" s="17"/>
      <c r="AC649" s="21" t="s">
        <v>153</v>
      </c>
      <c r="AD649" s="21" t="s">
        <v>153</v>
      </c>
      <c r="AE649" s="21"/>
      <c r="AF649" s="17"/>
      <c r="AG649" s="15"/>
      <c r="AH649" s="16"/>
      <c r="AI649" s="16"/>
      <c r="AJ649" s="42">
        <f t="shared" ca="1" si="72"/>
        <v>355</v>
      </c>
      <c r="AK649" s="42">
        <f t="shared" ca="1" si="73"/>
        <v>348</v>
      </c>
      <c r="AL649" s="130" t="str">
        <f t="shared" si="74"/>
        <v>No Answer</v>
      </c>
      <c r="AM649" s="37">
        <v>45309</v>
      </c>
      <c r="AN649" s="38"/>
      <c r="AO649" s="38"/>
      <c r="AP649" s="38"/>
      <c r="AQ649" s="38"/>
      <c r="AR649" s="101" t="s">
        <v>1763</v>
      </c>
      <c r="AS649" s="38">
        <v>45316</v>
      </c>
      <c r="AT649" s="11" t="s">
        <v>7</v>
      </c>
    </row>
    <row r="650" spans="1:46" s="98" customFormat="1" x14ac:dyDescent="0.3">
      <c r="B650" s="16" cm="1">
        <f t="array" ref="B650">+_xlfn.IFS(D650="In Touch - Positive",2,D650="Pending",1,D650="No Answer",4,D650="In Touch - Negative",3)</f>
        <v>4</v>
      </c>
      <c r="C650" s="16" t="s">
        <v>78</v>
      </c>
      <c r="D650" s="99" t="str">
        <f t="shared" si="75"/>
        <v>No Answer</v>
      </c>
      <c r="E650" s="12" t="s">
        <v>1786</v>
      </c>
      <c r="F650" s="12"/>
      <c r="G650" s="13" t="s">
        <v>292</v>
      </c>
      <c r="H650" s="14" t="s">
        <v>1787</v>
      </c>
      <c r="I650" s="13"/>
      <c r="J650" s="100" t="s">
        <v>111</v>
      </c>
      <c r="K650" s="15" t="s">
        <v>1788</v>
      </c>
      <c r="L650" s="15" t="s">
        <v>1789</v>
      </c>
      <c r="M650" s="15"/>
      <c r="N650" s="15"/>
      <c r="O650" s="15"/>
      <c r="P650" s="15"/>
      <c r="Q650" s="15"/>
      <c r="R650" s="16"/>
      <c r="S650" s="35"/>
      <c r="T650" s="13"/>
      <c r="U650" s="17"/>
      <c r="V650" s="17"/>
      <c r="W650" s="60"/>
      <c r="X650" s="17"/>
      <c r="Y650" s="17"/>
      <c r="Z650" s="16"/>
      <c r="AA650" s="15" t="s">
        <v>60</v>
      </c>
      <c r="AB650" s="17"/>
      <c r="AC650" s="21" t="s">
        <v>78</v>
      </c>
      <c r="AD650" s="21" t="s">
        <v>78</v>
      </c>
      <c r="AE650" s="61"/>
      <c r="AF650" s="17"/>
      <c r="AG650" s="15"/>
      <c r="AH650" s="16"/>
      <c r="AI650" s="16"/>
      <c r="AJ650" s="42">
        <f t="shared" ca="1" si="72"/>
        <v>659</v>
      </c>
      <c r="AK650" s="42">
        <f t="shared" ca="1" si="73"/>
        <v>459</v>
      </c>
      <c r="AL650" s="130" t="str">
        <f t="shared" si="74"/>
        <v>No Answer</v>
      </c>
      <c r="AM650" s="37">
        <v>45005</v>
      </c>
      <c r="AN650" s="38">
        <v>45205</v>
      </c>
      <c r="AO650" s="38">
        <v>45223</v>
      </c>
      <c r="AP650" s="38"/>
      <c r="AQ650" s="38"/>
      <c r="AR650" s="101" t="s">
        <v>1763</v>
      </c>
      <c r="AS650" s="38">
        <v>45205</v>
      </c>
      <c r="AT650" s="11" t="s">
        <v>7</v>
      </c>
    </row>
    <row r="651" spans="1:46" s="98" customFormat="1" x14ac:dyDescent="0.3">
      <c r="B651" s="16" cm="1">
        <f t="array" ref="B651">+_xlfn.IFS(D651="In Touch - Positive",2,D651="Pending",1,D651="No Answer",4,D651="In Touch - Negative",3)</f>
        <v>4</v>
      </c>
      <c r="C651" s="16" t="s">
        <v>78</v>
      </c>
      <c r="D651" s="99" t="str">
        <f t="shared" si="75"/>
        <v>No Answer</v>
      </c>
      <c r="E651" s="12" t="s">
        <v>1808</v>
      </c>
      <c r="F651" s="12"/>
      <c r="G651" s="13" t="s">
        <v>259</v>
      </c>
      <c r="H651" s="14"/>
      <c r="I651" s="13"/>
      <c r="J651" s="100" t="s">
        <v>111</v>
      </c>
      <c r="K651" s="15" t="s">
        <v>1809</v>
      </c>
      <c r="L651" s="15" t="s">
        <v>1810</v>
      </c>
      <c r="M651" s="15"/>
      <c r="N651" s="15"/>
      <c r="O651" s="15"/>
      <c r="P651" s="15"/>
      <c r="Q651" s="15"/>
      <c r="R651" s="16"/>
      <c r="S651" s="35"/>
      <c r="T651" s="13"/>
      <c r="U651" s="17"/>
      <c r="V651" s="17"/>
      <c r="W651" s="60"/>
      <c r="X651" s="17"/>
      <c r="Y651" s="17"/>
      <c r="Z651" s="16"/>
      <c r="AA651" s="15" t="s">
        <v>60</v>
      </c>
      <c r="AB651" s="17"/>
      <c r="AC651" s="21" t="s">
        <v>78</v>
      </c>
      <c r="AD651" s="21" t="s">
        <v>78</v>
      </c>
      <c r="AE651" s="61"/>
      <c r="AF651" s="17"/>
      <c r="AG651" s="15"/>
      <c r="AH651" s="16"/>
      <c r="AI651" s="16"/>
      <c r="AJ651" s="42">
        <f t="shared" ca="1" si="72"/>
        <v>652</v>
      </c>
      <c r="AK651" s="42">
        <f t="shared" ca="1" si="73"/>
        <v>652</v>
      </c>
      <c r="AL651" s="130" t="str">
        <f t="shared" si="74"/>
        <v>No Answer</v>
      </c>
      <c r="AM651" s="37">
        <v>45012</v>
      </c>
      <c r="AN651" s="38"/>
      <c r="AO651" s="38"/>
      <c r="AP651" s="38"/>
      <c r="AQ651" s="38"/>
      <c r="AR651" s="101" t="s">
        <v>1763</v>
      </c>
      <c r="AS651" s="38">
        <f>+AM651</f>
        <v>45012</v>
      </c>
      <c r="AT651" s="11" t="s">
        <v>7</v>
      </c>
    </row>
    <row r="652" spans="1:46" s="98" customFormat="1" x14ac:dyDescent="0.3">
      <c r="A652" s="16"/>
      <c r="B652" s="16" cm="1">
        <f t="array" ref="B652">+_xlfn.IFS(D652="In Touch - Positive",2,D652="Pending",1,D652="No Answer",4,D652="In Touch - Negative",3)</f>
        <v>4</v>
      </c>
      <c r="C652" s="16" t="s">
        <v>78</v>
      </c>
      <c r="D652" s="99" t="str">
        <f t="shared" si="75"/>
        <v>No Answer</v>
      </c>
      <c r="E652" s="12" t="s">
        <v>1786</v>
      </c>
      <c r="F652" s="12"/>
      <c r="G652" s="13" t="s">
        <v>292</v>
      </c>
      <c r="H652" s="14" t="s">
        <v>1787</v>
      </c>
      <c r="I652" s="13"/>
      <c r="J652" s="100" t="s">
        <v>111</v>
      </c>
      <c r="K652" s="15" t="s">
        <v>1788</v>
      </c>
      <c r="L652" s="15" t="s">
        <v>1789</v>
      </c>
      <c r="M652" s="15"/>
      <c r="N652" s="15"/>
      <c r="O652" s="15"/>
      <c r="P652" s="15"/>
      <c r="Q652" s="15"/>
      <c r="R652" s="16"/>
      <c r="S652" s="35"/>
      <c r="T652" s="13"/>
      <c r="U652" s="17"/>
      <c r="V652" s="17"/>
      <c r="W652" s="60"/>
      <c r="X652" s="17"/>
      <c r="Y652" s="17"/>
      <c r="Z652" s="16"/>
      <c r="AA652" s="15" t="s">
        <v>60</v>
      </c>
      <c r="AB652" s="17"/>
      <c r="AC652" s="21" t="s">
        <v>78</v>
      </c>
      <c r="AD652" s="21" t="s">
        <v>78</v>
      </c>
      <c r="AE652" s="61"/>
      <c r="AF652" s="17"/>
      <c r="AG652" s="15"/>
      <c r="AH652" s="16"/>
      <c r="AI652" s="16"/>
      <c r="AJ652" s="42">
        <f t="shared" ref="AJ652:AJ715" ca="1" si="77">+TODAY()-AM652</f>
        <v>659</v>
      </c>
      <c r="AK652" s="42">
        <f t="shared" ref="AK652:AK715" ca="1" si="78">+TODAY()-AS652</f>
        <v>459</v>
      </c>
      <c r="AL652" s="130" t="str">
        <f t="shared" ref="AL652:AL715" si="79">+IF(D652="Pending",COUNTA(AM652:AQ652)/5,D652)</f>
        <v>No Answer</v>
      </c>
      <c r="AM652" s="37">
        <v>45005</v>
      </c>
      <c r="AN652" s="38">
        <v>45205</v>
      </c>
      <c r="AO652" s="38">
        <v>45223</v>
      </c>
      <c r="AP652" s="38"/>
      <c r="AQ652" s="38"/>
      <c r="AR652" s="101" t="s">
        <v>1763</v>
      </c>
      <c r="AS652" s="38">
        <v>45205</v>
      </c>
      <c r="AT652" s="11" t="s">
        <v>7</v>
      </c>
    </row>
    <row r="653" spans="1:46" s="98" customFormat="1" ht="12" customHeight="1" x14ac:dyDescent="0.3">
      <c r="B653" s="16" cm="1">
        <f t="array" ref="B653">+_xlfn.IFS(D653="In Touch - Positive",2,D653="Pending",1,D653="No Answer",4,D653="In Touch - Negative",3)</f>
        <v>4</v>
      </c>
      <c r="C653" s="16" t="s">
        <v>1768</v>
      </c>
      <c r="D653" s="99" t="str">
        <f t="shared" si="75"/>
        <v>No Answer</v>
      </c>
      <c r="E653" s="12" t="s">
        <v>1769</v>
      </c>
      <c r="F653" s="12"/>
      <c r="G653" s="13"/>
      <c r="H653" s="13"/>
      <c r="I653" s="13"/>
      <c r="J653" s="127"/>
      <c r="K653" s="15"/>
      <c r="L653" s="15"/>
      <c r="M653" s="15"/>
      <c r="N653" s="15"/>
      <c r="O653" s="15"/>
      <c r="P653" s="15"/>
      <c r="Q653" s="15"/>
      <c r="R653" s="16"/>
      <c r="S653" s="35"/>
      <c r="T653" s="13"/>
      <c r="U653" s="17"/>
      <c r="V653" s="17"/>
      <c r="W653" s="60"/>
      <c r="X653" s="17"/>
      <c r="Y653" s="17"/>
      <c r="Z653" s="16"/>
      <c r="AA653" s="15" t="s">
        <v>140</v>
      </c>
      <c r="AB653" s="17"/>
      <c r="AC653" s="21" t="s">
        <v>153</v>
      </c>
      <c r="AD653" s="21" t="s">
        <v>153</v>
      </c>
      <c r="AE653" s="21" t="s">
        <v>155</v>
      </c>
      <c r="AF653" s="17"/>
      <c r="AG653" s="15"/>
      <c r="AH653" s="16"/>
      <c r="AI653" s="16"/>
      <c r="AJ653" s="42">
        <f t="shared" ca="1" si="77"/>
        <v>475</v>
      </c>
      <c r="AK653" s="42">
        <f t="shared" ca="1" si="78"/>
        <v>470</v>
      </c>
      <c r="AL653" s="130" t="str">
        <f t="shared" si="79"/>
        <v>No Answer</v>
      </c>
      <c r="AM653" s="37">
        <v>45189</v>
      </c>
      <c r="AN653" s="38">
        <v>45195</v>
      </c>
      <c r="AO653" s="38"/>
      <c r="AP653" s="38"/>
      <c r="AQ653" s="38"/>
      <c r="AR653" s="101" t="s">
        <v>1763</v>
      </c>
      <c r="AS653" s="38">
        <v>45194</v>
      </c>
      <c r="AT653" s="11" t="s">
        <v>7</v>
      </c>
    </row>
    <row r="654" spans="1:46" s="98" customFormat="1" x14ac:dyDescent="0.3">
      <c r="A654" s="16"/>
      <c r="B654" s="140" cm="1">
        <f t="array" ref="B654">+_xlfn.IFS(D654="In Touch - Positive",2,D654="Pending",1,D654="No Answer",4,D654="In Touch - Negative",3)</f>
        <v>4</v>
      </c>
      <c r="C654" s="140" t="s">
        <v>2539</v>
      </c>
      <c r="D654" s="99" t="str">
        <f t="shared" si="75"/>
        <v>No Answer</v>
      </c>
      <c r="E654" s="141" t="s">
        <v>2526</v>
      </c>
      <c r="F654" s="141"/>
      <c r="G654" s="13" t="s">
        <v>208</v>
      </c>
      <c r="H654" s="14" t="s">
        <v>2559</v>
      </c>
      <c r="I654" s="13">
        <v>466991</v>
      </c>
      <c r="J654" s="100" t="s">
        <v>779</v>
      </c>
      <c r="K654" s="15" t="s">
        <v>2541</v>
      </c>
      <c r="L654" s="15" t="s">
        <v>2583</v>
      </c>
      <c r="M654" s="15"/>
      <c r="N654" s="15"/>
      <c r="O654" s="15"/>
      <c r="P654" s="15"/>
      <c r="Q654" s="15"/>
      <c r="R654" s="16"/>
      <c r="S654" s="35"/>
      <c r="T654" s="13">
        <v>2022</v>
      </c>
      <c r="U654" s="17">
        <v>7.4740000000000002</v>
      </c>
      <c r="V654" s="17">
        <v>0.34399999999999997</v>
      </c>
      <c r="W654" s="39">
        <f t="shared" ref="W654:W666" si="80">+V654/U654</f>
        <v>4.6026224244046024E-2</v>
      </c>
      <c r="X654" s="17">
        <v>0.123</v>
      </c>
      <c r="Y654" s="17" t="s">
        <v>236</v>
      </c>
      <c r="Z654" s="16"/>
      <c r="AA654" s="15" t="s">
        <v>140</v>
      </c>
      <c r="AB654" s="17"/>
      <c r="AC654" s="21" t="s">
        <v>153</v>
      </c>
      <c r="AD654" s="21" t="s">
        <v>153</v>
      </c>
      <c r="AE654" s="142" t="s">
        <v>154</v>
      </c>
      <c r="AF654" s="17"/>
      <c r="AG654" s="15"/>
      <c r="AH654" s="16"/>
      <c r="AI654" s="16"/>
      <c r="AJ654" s="42">
        <f t="shared" ca="1" si="77"/>
        <v>425</v>
      </c>
      <c r="AK654" s="42">
        <f t="shared" ca="1" si="78"/>
        <v>425</v>
      </c>
      <c r="AL654" s="130" t="str">
        <f t="shared" si="79"/>
        <v>No Answer</v>
      </c>
      <c r="AM654" s="37">
        <v>45239</v>
      </c>
      <c r="AN654" s="38">
        <v>45258</v>
      </c>
      <c r="AO654" s="38">
        <v>45309</v>
      </c>
      <c r="AP654" s="38"/>
      <c r="AQ654" s="38"/>
      <c r="AR654" s="101" t="s">
        <v>1763</v>
      </c>
      <c r="AS654" s="38">
        <v>45239</v>
      </c>
      <c r="AT654" s="11" t="s">
        <v>7</v>
      </c>
    </row>
    <row r="655" spans="1:46" s="98" customFormat="1" x14ac:dyDescent="0.3">
      <c r="A655" s="16"/>
      <c r="B655" s="140" cm="1">
        <f t="array" ref="B655">+_xlfn.IFS(D655="In Touch - Positive",2,D655="Pending",1,D655="No Answer",4,D655="In Touch - Negative",3)</f>
        <v>4</v>
      </c>
      <c r="C655" s="140" t="s">
        <v>2539</v>
      </c>
      <c r="D655" s="99" t="str">
        <f t="shared" si="75"/>
        <v>No Answer</v>
      </c>
      <c r="E655" s="141" t="s">
        <v>2527</v>
      </c>
      <c r="F655" s="141"/>
      <c r="G655" s="13" t="s">
        <v>103</v>
      </c>
      <c r="H655" s="14" t="s">
        <v>2558</v>
      </c>
      <c r="I655" s="13">
        <v>620100</v>
      </c>
      <c r="J655" s="100" t="s">
        <v>779</v>
      </c>
      <c r="K655" s="15" t="s">
        <v>2542</v>
      </c>
      <c r="L655" s="15" t="s">
        <v>2584</v>
      </c>
      <c r="M655" s="15"/>
      <c r="N655" s="15"/>
      <c r="O655" s="15"/>
      <c r="P655" s="15"/>
      <c r="Q655" s="15"/>
      <c r="R655" s="16"/>
      <c r="S655" s="35"/>
      <c r="T655" s="13">
        <v>2022</v>
      </c>
      <c r="U655" s="17">
        <v>3.3079999999999998</v>
      </c>
      <c r="V655" s="17">
        <v>-0.39900000000000002</v>
      </c>
      <c r="W655" s="39">
        <f t="shared" si="80"/>
        <v>-0.12061668681983073</v>
      </c>
      <c r="X655" s="17">
        <v>-0.52600000000000002</v>
      </c>
      <c r="Y655" s="17">
        <v>-2.073</v>
      </c>
      <c r="Z655" s="16"/>
      <c r="AA655" s="15" t="s">
        <v>140</v>
      </c>
      <c r="AB655" s="17"/>
      <c r="AC655" s="21" t="s">
        <v>153</v>
      </c>
      <c r="AD655" s="21" t="s">
        <v>153</v>
      </c>
      <c r="AE655" s="142" t="s">
        <v>154</v>
      </c>
      <c r="AF655" s="17"/>
      <c r="AG655" s="15"/>
      <c r="AH655" s="16"/>
      <c r="AI655" s="16"/>
      <c r="AJ655" s="42">
        <f t="shared" ca="1" si="77"/>
        <v>425</v>
      </c>
      <c r="AK655" s="42">
        <f t="shared" ca="1" si="78"/>
        <v>425</v>
      </c>
      <c r="AL655" s="130" t="str">
        <f t="shared" si="79"/>
        <v>No Answer</v>
      </c>
      <c r="AM655" s="37">
        <v>45239</v>
      </c>
      <c r="AN655" s="38">
        <v>45258</v>
      </c>
      <c r="AO655" s="38">
        <v>45309</v>
      </c>
      <c r="AP655" s="38"/>
      <c r="AQ655" s="38"/>
      <c r="AR655" s="101" t="s">
        <v>1763</v>
      </c>
      <c r="AS655" s="38">
        <v>45239</v>
      </c>
      <c r="AT655" s="11" t="s">
        <v>7</v>
      </c>
    </row>
    <row r="656" spans="1:46" s="98" customFormat="1" ht="12" customHeight="1" x14ac:dyDescent="0.3">
      <c r="B656" s="140" cm="1">
        <f t="array" ref="B656">+_xlfn.IFS(D656="In Touch - Positive",2,D656="Pending",1,D656="No Answer",4,D656="In Touch - Negative",3)</f>
        <v>4</v>
      </c>
      <c r="C656" s="140" t="s">
        <v>2539</v>
      </c>
      <c r="D656" s="99" t="str">
        <f t="shared" si="75"/>
        <v>No Answer</v>
      </c>
      <c r="E656" s="141" t="s">
        <v>2528</v>
      </c>
      <c r="F656" s="141"/>
      <c r="G656" s="13" t="s">
        <v>159</v>
      </c>
      <c r="H656" s="14" t="s">
        <v>2557</v>
      </c>
      <c r="I656" s="13">
        <v>282991</v>
      </c>
      <c r="J656" s="100" t="s">
        <v>779</v>
      </c>
      <c r="K656" s="15" t="s">
        <v>2543</v>
      </c>
      <c r="L656" s="15" t="s">
        <v>2585</v>
      </c>
      <c r="M656" s="15"/>
      <c r="N656" s="15"/>
      <c r="O656" s="15"/>
      <c r="P656" s="15"/>
      <c r="Q656" s="15"/>
      <c r="R656" s="16"/>
      <c r="S656" s="35"/>
      <c r="T656" s="13">
        <v>2022</v>
      </c>
      <c r="U656" s="17">
        <v>0.36499999999999999</v>
      </c>
      <c r="V656" s="17">
        <v>1.7000000000000001E-2</v>
      </c>
      <c r="W656" s="39">
        <f t="shared" si="80"/>
        <v>4.6575342465753428E-2</v>
      </c>
      <c r="X656" s="17">
        <v>8.0000000000000002E-3</v>
      </c>
      <c r="Y656" s="17" t="s">
        <v>236</v>
      </c>
      <c r="Z656" s="16"/>
      <c r="AA656" s="15" t="s">
        <v>140</v>
      </c>
      <c r="AB656" s="17"/>
      <c r="AC656" s="21" t="s">
        <v>153</v>
      </c>
      <c r="AD656" s="21" t="s">
        <v>153</v>
      </c>
      <c r="AE656" s="142" t="s">
        <v>154</v>
      </c>
      <c r="AF656" s="17"/>
      <c r="AG656" s="15"/>
      <c r="AH656" s="16"/>
      <c r="AI656" s="16"/>
      <c r="AJ656" s="42">
        <f t="shared" ca="1" si="77"/>
        <v>425</v>
      </c>
      <c r="AK656" s="42">
        <f t="shared" ca="1" si="78"/>
        <v>425</v>
      </c>
      <c r="AL656" s="130" t="str">
        <f t="shared" si="79"/>
        <v>No Answer</v>
      </c>
      <c r="AM656" s="37">
        <v>45239</v>
      </c>
      <c r="AN656" s="38">
        <v>45258</v>
      </c>
      <c r="AO656" s="38">
        <v>45309</v>
      </c>
      <c r="AP656" s="38"/>
      <c r="AQ656" s="38"/>
      <c r="AR656" s="101" t="s">
        <v>1763</v>
      </c>
      <c r="AS656" s="38">
        <v>45239</v>
      </c>
      <c r="AT656" s="11" t="s">
        <v>7</v>
      </c>
    </row>
    <row r="657" spans="1:46" s="98" customFormat="1" x14ac:dyDescent="0.3">
      <c r="A657" s="16"/>
      <c r="B657" s="140" cm="1">
        <f t="array" ref="B657">+_xlfn.IFS(D657="In Touch - Positive",2,D657="Pending",1,D657="No Answer",4,D657="In Touch - Negative",3)</f>
        <v>4</v>
      </c>
      <c r="C657" s="140" t="s">
        <v>2539</v>
      </c>
      <c r="D657" s="99" t="str">
        <f t="shared" si="75"/>
        <v>No Answer</v>
      </c>
      <c r="E657" s="12" t="s">
        <v>2587</v>
      </c>
      <c r="F657" s="12"/>
      <c r="G657" s="13" t="s">
        <v>1362</v>
      </c>
      <c r="H657" s="14" t="s">
        <v>2560</v>
      </c>
      <c r="I657" s="13">
        <v>263029</v>
      </c>
      <c r="J657" s="100" t="s">
        <v>779</v>
      </c>
      <c r="K657" s="15" t="s">
        <v>2544</v>
      </c>
      <c r="L657" s="15" t="s">
        <v>2586</v>
      </c>
      <c r="M657" s="15"/>
      <c r="N657" s="15"/>
      <c r="O657" s="15"/>
      <c r="P657" s="15"/>
      <c r="Q657" s="15"/>
      <c r="R657" s="16"/>
      <c r="S657" s="35"/>
      <c r="T657" s="13">
        <v>2022</v>
      </c>
      <c r="U657" s="17">
        <v>3.1659999999999999</v>
      </c>
      <c r="V657" s="17">
        <v>0.19</v>
      </c>
      <c r="W657" s="39">
        <f t="shared" si="80"/>
        <v>6.0012634238787117E-2</v>
      </c>
      <c r="X657" s="17">
        <v>8.1000000000000003E-2</v>
      </c>
      <c r="Y657" s="17">
        <v>-0.187</v>
      </c>
      <c r="Z657" s="16"/>
      <c r="AA657" s="15" t="s">
        <v>140</v>
      </c>
      <c r="AB657" s="17"/>
      <c r="AC657" s="21" t="s">
        <v>153</v>
      </c>
      <c r="AD657" s="21" t="s">
        <v>153</v>
      </c>
      <c r="AE657" s="142" t="s">
        <v>154</v>
      </c>
      <c r="AF657" s="17"/>
      <c r="AG657" s="15"/>
      <c r="AH657" s="16"/>
      <c r="AI657" s="16"/>
      <c r="AJ657" s="42">
        <f t="shared" ca="1" si="77"/>
        <v>425</v>
      </c>
      <c r="AK657" s="42">
        <f t="shared" ca="1" si="78"/>
        <v>425</v>
      </c>
      <c r="AL657" s="130" t="str">
        <f t="shared" si="79"/>
        <v>No Answer</v>
      </c>
      <c r="AM657" s="37">
        <v>45239</v>
      </c>
      <c r="AN657" s="38">
        <v>45258</v>
      </c>
      <c r="AO657" s="38">
        <v>45309</v>
      </c>
      <c r="AP657" s="38"/>
      <c r="AQ657" s="38"/>
      <c r="AR657" s="101" t="s">
        <v>1763</v>
      </c>
      <c r="AS657" s="38">
        <v>45239</v>
      </c>
      <c r="AT657" s="11" t="s">
        <v>7</v>
      </c>
    </row>
    <row r="658" spans="1:46" s="98" customFormat="1" x14ac:dyDescent="0.3">
      <c r="A658" s="16"/>
      <c r="B658" s="140" cm="1">
        <f t="array" ref="B658">+_xlfn.IFS(D658="In Touch - Positive",2,D658="Pending",1,D658="No Answer",4,D658="In Touch - Negative",3)</f>
        <v>4</v>
      </c>
      <c r="C658" s="140" t="s">
        <v>2539</v>
      </c>
      <c r="D658" s="99" t="str">
        <f t="shared" si="75"/>
        <v>No Answer</v>
      </c>
      <c r="E658" s="141" t="s">
        <v>2529</v>
      </c>
      <c r="F658" s="141"/>
      <c r="G658" s="13" t="s">
        <v>68</v>
      </c>
      <c r="H658" s="14" t="s">
        <v>2561</v>
      </c>
      <c r="I658" s="13">
        <v>466999</v>
      </c>
      <c r="J658" s="100" t="s">
        <v>779</v>
      </c>
      <c r="K658" s="15" t="s">
        <v>2545</v>
      </c>
      <c r="L658" s="15" t="s">
        <v>2588</v>
      </c>
      <c r="M658" s="15"/>
      <c r="N658" s="15"/>
      <c r="O658" s="15"/>
      <c r="P658" s="15"/>
      <c r="Q658" s="15"/>
      <c r="R658" s="16"/>
      <c r="S658" s="35"/>
      <c r="T658" s="13">
        <v>2022</v>
      </c>
      <c r="U658" s="17">
        <v>4.9710000000000001</v>
      </c>
      <c r="V658" s="17">
        <v>0.13500000000000001</v>
      </c>
      <c r="W658" s="60">
        <f t="shared" si="80"/>
        <v>2.715751357875679E-2</v>
      </c>
      <c r="X658" s="17">
        <v>3.0000000000000001E-3</v>
      </c>
      <c r="Y658" s="17">
        <v>-0.23599999999999999</v>
      </c>
      <c r="Z658" s="16"/>
      <c r="AA658" s="15" t="s">
        <v>140</v>
      </c>
      <c r="AB658" s="17"/>
      <c r="AC658" s="21" t="s">
        <v>153</v>
      </c>
      <c r="AD658" s="21" t="s">
        <v>153</v>
      </c>
      <c r="AE658" s="142" t="s">
        <v>154</v>
      </c>
      <c r="AF658" s="17"/>
      <c r="AG658" s="15"/>
      <c r="AH658" s="16"/>
      <c r="AI658" s="16"/>
      <c r="AJ658" s="42">
        <f t="shared" ca="1" si="77"/>
        <v>425</v>
      </c>
      <c r="AK658" s="42">
        <f t="shared" ca="1" si="78"/>
        <v>425</v>
      </c>
      <c r="AL658" s="130" t="str">
        <f t="shared" si="79"/>
        <v>No Answer</v>
      </c>
      <c r="AM658" s="37">
        <v>45239</v>
      </c>
      <c r="AN658" s="38">
        <v>45258</v>
      </c>
      <c r="AO658" s="38">
        <v>45309</v>
      </c>
      <c r="AP658" s="38"/>
      <c r="AQ658" s="38"/>
      <c r="AR658" s="101" t="s">
        <v>1763</v>
      </c>
      <c r="AS658" s="38">
        <v>45239</v>
      </c>
      <c r="AT658" s="11" t="s">
        <v>7</v>
      </c>
    </row>
    <row r="659" spans="1:46" s="98" customFormat="1" x14ac:dyDescent="0.3">
      <c r="A659" s="16"/>
      <c r="B659" s="140" cm="1">
        <f t="array" ref="B659">+_xlfn.IFS(D659="In Touch - Positive",2,D659="Pending",1,D659="No Answer",4,D659="In Touch - Negative",3)</f>
        <v>4</v>
      </c>
      <c r="C659" s="140" t="s">
        <v>2539</v>
      </c>
      <c r="D659" s="99" t="str">
        <f t="shared" si="75"/>
        <v>No Answer</v>
      </c>
      <c r="E659" s="141" t="s">
        <v>2531</v>
      </c>
      <c r="F659" s="141"/>
      <c r="G659" s="13" t="s">
        <v>166</v>
      </c>
      <c r="H659" s="14" t="s">
        <v>2563</v>
      </c>
      <c r="I659" s="13">
        <v>702209</v>
      </c>
      <c r="J659" s="100" t="s">
        <v>779</v>
      </c>
      <c r="K659" s="15" t="s">
        <v>2547</v>
      </c>
      <c r="L659" s="15" t="s">
        <v>2591</v>
      </c>
      <c r="M659" s="15"/>
      <c r="N659" s="15"/>
      <c r="O659" s="15"/>
      <c r="P659" s="15"/>
      <c r="Q659" s="15"/>
      <c r="R659" s="16"/>
      <c r="S659" s="35"/>
      <c r="T659" s="13">
        <v>2022</v>
      </c>
      <c r="U659" s="17">
        <v>2.6760000000000002</v>
      </c>
      <c r="V659" s="17">
        <v>0.625</v>
      </c>
      <c r="W659" s="60">
        <f t="shared" si="80"/>
        <v>0.2335575485799701</v>
      </c>
      <c r="X659" s="17">
        <v>0.317</v>
      </c>
      <c r="Y659" s="17">
        <v>1.544</v>
      </c>
      <c r="Z659" s="16"/>
      <c r="AA659" s="15" t="s">
        <v>140</v>
      </c>
      <c r="AB659" s="17"/>
      <c r="AC659" s="21" t="s">
        <v>153</v>
      </c>
      <c r="AD659" s="21" t="s">
        <v>153</v>
      </c>
      <c r="AE659" s="142" t="s">
        <v>154</v>
      </c>
      <c r="AF659" s="17"/>
      <c r="AG659" s="15"/>
      <c r="AH659" s="16"/>
      <c r="AI659" s="16"/>
      <c r="AJ659" s="42">
        <f t="shared" ca="1" si="77"/>
        <v>425</v>
      </c>
      <c r="AK659" s="42">
        <f t="shared" ca="1" si="78"/>
        <v>425</v>
      </c>
      <c r="AL659" s="130" t="str">
        <f t="shared" si="79"/>
        <v>No Answer</v>
      </c>
      <c r="AM659" s="37">
        <v>45239</v>
      </c>
      <c r="AN659" s="38">
        <v>45259</v>
      </c>
      <c r="AO659" s="38">
        <v>45309</v>
      </c>
      <c r="AP659" s="38"/>
      <c r="AQ659" s="38"/>
      <c r="AR659" s="101" t="s">
        <v>1763</v>
      </c>
      <c r="AS659" s="38">
        <v>45239</v>
      </c>
      <c r="AT659" s="11" t="s">
        <v>7</v>
      </c>
    </row>
    <row r="660" spans="1:46" s="98" customFormat="1" x14ac:dyDescent="0.3">
      <c r="A660" s="16"/>
      <c r="B660" s="140" cm="1">
        <f t="array" ref="B660">+_xlfn.IFS(D660="In Touch - Positive",2,D660="Pending",1,D660="No Answer",4,D660="In Touch - Negative",3)</f>
        <v>4</v>
      </c>
      <c r="C660" s="140" t="s">
        <v>2539</v>
      </c>
      <c r="D660" s="99" t="str">
        <f t="shared" si="75"/>
        <v>No Answer</v>
      </c>
      <c r="E660" s="144" t="s">
        <v>2592</v>
      </c>
      <c r="F660" s="144"/>
      <c r="G660" s="13" t="s">
        <v>2540</v>
      </c>
      <c r="H660" s="145" t="s">
        <v>2564</v>
      </c>
      <c r="I660" s="13">
        <v>383220</v>
      </c>
      <c r="J660" s="100" t="s">
        <v>779</v>
      </c>
      <c r="K660" s="15" t="s">
        <v>2548</v>
      </c>
      <c r="L660" s="15" t="s">
        <v>2593</v>
      </c>
      <c r="M660" s="15"/>
      <c r="N660" s="15"/>
      <c r="O660" s="15"/>
      <c r="P660" s="15"/>
      <c r="Q660" s="15"/>
      <c r="R660" s="16"/>
      <c r="S660" s="35"/>
      <c r="T660" s="13">
        <v>2022</v>
      </c>
      <c r="U660" s="17">
        <v>16.649000000000001</v>
      </c>
      <c r="V660" s="17">
        <v>2.0720000000000001</v>
      </c>
      <c r="W660" s="60">
        <f t="shared" si="80"/>
        <v>0.12445191903417623</v>
      </c>
      <c r="X660" s="17">
        <v>0.66400000000000003</v>
      </c>
      <c r="Y660" s="17">
        <v>6.0890000000000004</v>
      </c>
      <c r="Z660" s="16"/>
      <c r="AA660" s="15" t="s">
        <v>140</v>
      </c>
      <c r="AB660" s="17"/>
      <c r="AC660" s="21" t="s">
        <v>153</v>
      </c>
      <c r="AD660" s="21" t="s">
        <v>153</v>
      </c>
      <c r="AE660" s="142" t="s">
        <v>154</v>
      </c>
      <c r="AF660" s="17"/>
      <c r="AG660" s="15"/>
      <c r="AH660" s="16"/>
      <c r="AI660" s="16"/>
      <c r="AJ660" s="42">
        <f t="shared" ca="1" si="77"/>
        <v>425</v>
      </c>
      <c r="AK660" s="42">
        <f t="shared" ca="1" si="78"/>
        <v>425</v>
      </c>
      <c r="AL660" s="130" t="str">
        <f t="shared" si="79"/>
        <v>No Answer</v>
      </c>
      <c r="AM660" s="37">
        <v>45239</v>
      </c>
      <c r="AN660" s="38">
        <v>45259</v>
      </c>
      <c r="AO660" s="38">
        <v>45309</v>
      </c>
      <c r="AP660" s="38"/>
      <c r="AQ660" s="38"/>
      <c r="AR660" s="101" t="s">
        <v>1763</v>
      </c>
      <c r="AS660" s="38">
        <v>45239</v>
      </c>
      <c r="AT660" s="11" t="s">
        <v>7</v>
      </c>
    </row>
    <row r="661" spans="1:46" s="98" customFormat="1" x14ac:dyDescent="0.3">
      <c r="A661" s="16"/>
      <c r="B661" s="140" cm="1">
        <f t="array" ref="B661">+_xlfn.IFS(D661="In Touch - Positive",2,D661="Pending",1,D661="No Answer",4,D661="In Touch - Negative",3)</f>
        <v>4</v>
      </c>
      <c r="C661" s="140" t="s">
        <v>2539</v>
      </c>
      <c r="D661" s="99" t="str">
        <f t="shared" ref="D661:D724" si="81">+AR661</f>
        <v>No Answer</v>
      </c>
      <c r="E661" s="141" t="s">
        <v>2532</v>
      </c>
      <c r="F661" s="141"/>
      <c r="G661" s="13" t="s">
        <v>166</v>
      </c>
      <c r="H661" s="14" t="s">
        <v>2565</v>
      </c>
      <c r="I661" s="13">
        <v>265110</v>
      </c>
      <c r="J661" s="100" t="s">
        <v>779</v>
      </c>
      <c r="K661" s="15" t="s">
        <v>2549</v>
      </c>
      <c r="L661" s="15" t="s">
        <v>2589</v>
      </c>
      <c r="M661" s="15"/>
      <c r="N661" s="15"/>
      <c r="O661" s="15"/>
      <c r="P661" s="15"/>
      <c r="Q661" s="15"/>
      <c r="R661" s="16"/>
      <c r="S661" s="35"/>
      <c r="T661" s="13">
        <v>2022</v>
      </c>
      <c r="U661" s="17">
        <v>0.312</v>
      </c>
      <c r="V661" s="17"/>
      <c r="W661" s="60">
        <f t="shared" si="80"/>
        <v>0</v>
      </c>
      <c r="X661" s="17"/>
      <c r="Y661" s="17"/>
      <c r="Z661" s="16"/>
      <c r="AA661" s="15" t="s">
        <v>140</v>
      </c>
      <c r="AB661" s="17"/>
      <c r="AC661" s="21" t="s">
        <v>153</v>
      </c>
      <c r="AD661" s="21" t="s">
        <v>153</v>
      </c>
      <c r="AE661" s="142" t="s">
        <v>154</v>
      </c>
      <c r="AF661" s="17"/>
      <c r="AG661" s="15"/>
      <c r="AH661" s="16"/>
      <c r="AI661" s="16"/>
      <c r="AJ661" s="42">
        <f t="shared" ca="1" si="77"/>
        <v>425</v>
      </c>
      <c r="AK661" s="42">
        <f t="shared" ca="1" si="78"/>
        <v>425</v>
      </c>
      <c r="AL661" s="130" t="str">
        <f t="shared" si="79"/>
        <v>No Answer</v>
      </c>
      <c r="AM661" s="37">
        <v>45239</v>
      </c>
      <c r="AN661" s="38">
        <v>45258</v>
      </c>
      <c r="AO661" s="38">
        <v>45309</v>
      </c>
      <c r="AP661" s="38"/>
      <c r="AQ661" s="38"/>
      <c r="AR661" s="101" t="s">
        <v>1763</v>
      </c>
      <c r="AS661" s="38">
        <v>45239</v>
      </c>
      <c r="AT661" s="11" t="s">
        <v>7</v>
      </c>
    </row>
    <row r="662" spans="1:46" s="98" customFormat="1" x14ac:dyDescent="0.3">
      <c r="A662" s="16"/>
      <c r="B662" s="140" cm="1">
        <f t="array" ref="B662">+_xlfn.IFS(D662="In Touch - Positive",2,D662="Pending",1,D662="No Answer",4,D662="In Touch - Negative",3)</f>
        <v>4</v>
      </c>
      <c r="C662" s="140" t="s">
        <v>2539</v>
      </c>
      <c r="D662" s="99" t="str">
        <f t="shared" si="81"/>
        <v>No Answer</v>
      </c>
      <c r="E662" s="141" t="s">
        <v>2533</v>
      </c>
      <c r="F662" s="141"/>
      <c r="G662" s="13" t="s">
        <v>292</v>
      </c>
      <c r="H662" s="14" t="s">
        <v>2566</v>
      </c>
      <c r="I662" s="13">
        <v>773999</v>
      </c>
      <c r="J662" s="100" t="s">
        <v>779</v>
      </c>
      <c r="K662" s="15" t="s">
        <v>2594</v>
      </c>
      <c r="L662" s="15" t="s">
        <v>2595</v>
      </c>
      <c r="M662" s="15"/>
      <c r="N662" s="15"/>
      <c r="O662" s="15"/>
      <c r="P662" s="15"/>
      <c r="Q662" s="15"/>
      <c r="R662" s="16"/>
      <c r="S662" s="35"/>
      <c r="T662" s="13">
        <v>2022</v>
      </c>
      <c r="U662" s="17">
        <v>2.2709999999999999</v>
      </c>
      <c r="V662" s="17">
        <v>0.46700000000000003</v>
      </c>
      <c r="W662" s="60">
        <f t="shared" si="80"/>
        <v>0.20563628357551741</v>
      </c>
      <c r="X662" s="17">
        <v>0.27100000000000002</v>
      </c>
      <c r="Y662" s="17">
        <v>-0.379</v>
      </c>
      <c r="Z662" s="16"/>
      <c r="AA662" s="15" t="s">
        <v>140</v>
      </c>
      <c r="AB662" s="17"/>
      <c r="AC662" s="21" t="s">
        <v>153</v>
      </c>
      <c r="AD662" s="21" t="s">
        <v>153</v>
      </c>
      <c r="AE662" s="142" t="s">
        <v>154</v>
      </c>
      <c r="AF662" s="17"/>
      <c r="AG662" s="15"/>
      <c r="AH662" s="16"/>
      <c r="AI662" s="16"/>
      <c r="AJ662" s="42">
        <f t="shared" ca="1" si="77"/>
        <v>425</v>
      </c>
      <c r="AK662" s="42">
        <f t="shared" ca="1" si="78"/>
        <v>425</v>
      </c>
      <c r="AL662" s="130" t="str">
        <f t="shared" si="79"/>
        <v>No Answer</v>
      </c>
      <c r="AM662" s="37">
        <v>45239</v>
      </c>
      <c r="AN662" s="38">
        <v>45259</v>
      </c>
      <c r="AO662" s="38">
        <v>45309</v>
      </c>
      <c r="AP662" s="38"/>
      <c r="AQ662" s="38"/>
      <c r="AR662" s="101" t="s">
        <v>1763</v>
      </c>
      <c r="AS662" s="38">
        <v>45239</v>
      </c>
      <c r="AT662" s="11" t="s">
        <v>7</v>
      </c>
    </row>
    <row r="663" spans="1:46" s="98" customFormat="1" x14ac:dyDescent="0.3">
      <c r="A663" s="16"/>
      <c r="B663" s="140" cm="1">
        <f t="array" ref="B663">+_xlfn.IFS(D663="In Touch - Positive",2,D663="Pending",1,D663="No Answer",4,D663="In Touch - Negative",3)</f>
        <v>4</v>
      </c>
      <c r="C663" s="140" t="s">
        <v>2539</v>
      </c>
      <c r="D663" s="99" t="str">
        <f t="shared" si="81"/>
        <v>No Answer</v>
      </c>
      <c r="E663" s="141" t="s">
        <v>2534</v>
      </c>
      <c r="F663" s="141"/>
      <c r="G663" s="13" t="s">
        <v>103</v>
      </c>
      <c r="H663" s="14" t="s">
        <v>2567</v>
      </c>
      <c r="I663" s="13">
        <v>469000</v>
      </c>
      <c r="J663" s="100" t="s">
        <v>779</v>
      </c>
      <c r="K663" s="15" t="s">
        <v>2550</v>
      </c>
      <c r="L663" s="15" t="s">
        <v>2596</v>
      </c>
      <c r="M663" s="15"/>
      <c r="N663" s="15"/>
      <c r="O663" s="15"/>
      <c r="P663" s="15"/>
      <c r="Q663" s="15"/>
      <c r="R663" s="16"/>
      <c r="S663" s="35"/>
      <c r="T663" s="13">
        <v>2022</v>
      </c>
      <c r="U663" s="17">
        <v>100.866</v>
      </c>
      <c r="V663" s="17">
        <v>12.308999999999999</v>
      </c>
      <c r="W663" s="60">
        <f t="shared" si="80"/>
        <v>0.12203319255249538</v>
      </c>
      <c r="X663" s="17">
        <v>7.1929999999999996</v>
      </c>
      <c r="Y663" s="17">
        <v>12.616</v>
      </c>
      <c r="Z663" s="16"/>
      <c r="AA663" s="15" t="s">
        <v>140</v>
      </c>
      <c r="AB663" s="17"/>
      <c r="AC663" s="21" t="s">
        <v>153</v>
      </c>
      <c r="AD663" s="21" t="s">
        <v>153</v>
      </c>
      <c r="AE663" s="142" t="s">
        <v>154</v>
      </c>
      <c r="AF663" s="17"/>
      <c r="AG663" s="15"/>
      <c r="AH663" s="16"/>
      <c r="AI663" s="16"/>
      <c r="AJ663" s="42">
        <f t="shared" ca="1" si="77"/>
        <v>425</v>
      </c>
      <c r="AK663" s="42">
        <f t="shared" ca="1" si="78"/>
        <v>425</v>
      </c>
      <c r="AL663" s="130" t="str">
        <f t="shared" si="79"/>
        <v>No Answer</v>
      </c>
      <c r="AM663" s="37">
        <v>45239</v>
      </c>
      <c r="AN663" s="38">
        <v>45259</v>
      </c>
      <c r="AO663" s="38">
        <v>45309</v>
      </c>
      <c r="AP663" s="38"/>
      <c r="AQ663" s="38"/>
      <c r="AR663" s="101" t="s">
        <v>1763</v>
      </c>
      <c r="AS663" s="38">
        <v>45239</v>
      </c>
      <c r="AT663" s="11" t="s">
        <v>7</v>
      </c>
    </row>
    <row r="664" spans="1:46" s="98" customFormat="1" x14ac:dyDescent="0.3">
      <c r="A664" s="16"/>
      <c r="B664" s="140" cm="1">
        <f t="array" ref="B664">+_xlfn.IFS(D664="In Touch - Positive",2,D664="Pending",1,D664="No Answer",4,D664="In Touch - Negative",3)</f>
        <v>4</v>
      </c>
      <c r="C664" s="140" t="s">
        <v>2539</v>
      </c>
      <c r="D664" s="99" t="str">
        <f t="shared" si="81"/>
        <v>No Answer</v>
      </c>
      <c r="E664" s="144" t="s">
        <v>2597</v>
      </c>
      <c r="F664" s="144"/>
      <c r="G664" s="13" t="s">
        <v>159</v>
      </c>
      <c r="H664" s="14" t="s">
        <v>2568</v>
      </c>
      <c r="I664" s="13">
        <v>280000</v>
      </c>
      <c r="J664" s="100" t="s">
        <v>779</v>
      </c>
      <c r="K664" s="15" t="s">
        <v>2551</v>
      </c>
      <c r="L664" s="15" t="s">
        <v>2598</v>
      </c>
      <c r="M664" s="15"/>
      <c r="N664" s="15"/>
      <c r="O664" s="15"/>
      <c r="P664" s="15"/>
      <c r="Q664" s="15"/>
      <c r="R664" s="16"/>
      <c r="S664" s="35"/>
      <c r="T664" s="13">
        <v>2022</v>
      </c>
      <c r="U664" s="17">
        <v>19.533000000000001</v>
      </c>
      <c r="V664" s="17">
        <v>0.56799999999999995</v>
      </c>
      <c r="W664" s="60">
        <f t="shared" si="80"/>
        <v>2.9078994522090815E-2</v>
      </c>
      <c r="X664" s="17">
        <v>0.246</v>
      </c>
      <c r="Y664" s="17">
        <v>1.224</v>
      </c>
      <c r="Z664" s="16"/>
      <c r="AA664" s="15" t="s">
        <v>140</v>
      </c>
      <c r="AB664" s="17"/>
      <c r="AC664" s="21" t="s">
        <v>153</v>
      </c>
      <c r="AD664" s="21" t="s">
        <v>153</v>
      </c>
      <c r="AE664" s="142" t="s">
        <v>154</v>
      </c>
      <c r="AF664" s="17"/>
      <c r="AG664" s="15"/>
      <c r="AH664" s="16"/>
      <c r="AI664" s="16"/>
      <c r="AJ664" s="42">
        <f t="shared" ca="1" si="77"/>
        <v>425</v>
      </c>
      <c r="AK664" s="42">
        <f t="shared" ca="1" si="78"/>
        <v>425</v>
      </c>
      <c r="AL664" s="130" t="str">
        <f t="shared" si="79"/>
        <v>No Answer</v>
      </c>
      <c r="AM664" s="37">
        <v>45239</v>
      </c>
      <c r="AN664" s="38">
        <v>45259</v>
      </c>
      <c r="AO664" s="38">
        <v>45309</v>
      </c>
      <c r="AP664" s="38"/>
      <c r="AQ664" s="38"/>
      <c r="AR664" s="101" t="s">
        <v>1763</v>
      </c>
      <c r="AS664" s="38">
        <v>45239</v>
      </c>
      <c r="AT664" s="11" t="s">
        <v>7</v>
      </c>
    </row>
    <row r="665" spans="1:46" s="98" customFormat="1" x14ac:dyDescent="0.3">
      <c r="A665" s="16"/>
      <c r="B665" s="140" cm="1">
        <f t="array" ref="B665">+_xlfn.IFS(D665="In Touch - Positive",2,D665="Pending",1,D665="No Answer",4,D665="In Touch - Negative",3)</f>
        <v>4</v>
      </c>
      <c r="C665" s="140" t="s">
        <v>2539</v>
      </c>
      <c r="D665" s="99" t="str">
        <f t="shared" si="81"/>
        <v>No Answer</v>
      </c>
      <c r="E665" s="141" t="s">
        <v>2570</v>
      </c>
      <c r="F665" s="141"/>
      <c r="G665" s="13" t="s">
        <v>103</v>
      </c>
      <c r="H665" s="14" t="s">
        <v>2571</v>
      </c>
      <c r="I665" s="13">
        <v>749099</v>
      </c>
      <c r="J665" s="100" t="s">
        <v>779</v>
      </c>
      <c r="K665" s="15" t="s">
        <v>2553</v>
      </c>
      <c r="L665" s="15" t="s">
        <v>2600</v>
      </c>
      <c r="M665" s="15"/>
      <c r="N665" s="15"/>
      <c r="O665" s="15"/>
      <c r="P665" s="15"/>
      <c r="Q665" s="15"/>
      <c r="R665" s="16"/>
      <c r="S665" s="35"/>
      <c r="T665" s="13">
        <v>2022</v>
      </c>
      <c r="U665" s="17">
        <v>1.772</v>
      </c>
      <c r="V665" s="17">
        <v>0.255</v>
      </c>
      <c r="W665" s="60">
        <f t="shared" si="80"/>
        <v>0.14390519187358916</v>
      </c>
      <c r="X665" s="17">
        <v>0.83</v>
      </c>
      <c r="Y665" s="17">
        <v>-5.6000000000000001E-2</v>
      </c>
      <c r="Z665" s="16"/>
      <c r="AA665" s="15" t="s">
        <v>140</v>
      </c>
      <c r="AB665" s="17"/>
      <c r="AC665" s="21" t="s">
        <v>153</v>
      </c>
      <c r="AD665" s="21" t="s">
        <v>153</v>
      </c>
      <c r="AE665" s="142" t="s">
        <v>154</v>
      </c>
      <c r="AF665" s="17"/>
      <c r="AG665" s="15"/>
      <c r="AH665" s="16"/>
      <c r="AI665" s="16"/>
      <c r="AJ665" s="42">
        <f t="shared" ca="1" si="77"/>
        <v>425</v>
      </c>
      <c r="AK665" s="42">
        <f t="shared" ca="1" si="78"/>
        <v>425</v>
      </c>
      <c r="AL665" s="130" t="str">
        <f t="shared" si="79"/>
        <v>No Answer</v>
      </c>
      <c r="AM665" s="37">
        <v>45239</v>
      </c>
      <c r="AN665" s="38">
        <v>45259</v>
      </c>
      <c r="AO665" s="38">
        <v>45309</v>
      </c>
      <c r="AP665" s="38"/>
      <c r="AQ665" s="38"/>
      <c r="AR665" s="101" t="s">
        <v>1763</v>
      </c>
      <c r="AS665" s="38">
        <v>45239</v>
      </c>
      <c r="AT665" s="11" t="s">
        <v>7</v>
      </c>
    </row>
    <row r="666" spans="1:46" s="98" customFormat="1" x14ac:dyDescent="0.3">
      <c r="A666" s="16"/>
      <c r="B666" s="140" cm="1">
        <f t="array" ref="B666">+_xlfn.IFS(D666="In Touch - Positive",2,D666="Pending",1,D666="No Answer",4,D666="In Touch - Negative",3)</f>
        <v>4</v>
      </c>
      <c r="C666" s="140" t="s">
        <v>2539</v>
      </c>
      <c r="D666" s="99" t="str">
        <f t="shared" si="81"/>
        <v>No Answer</v>
      </c>
      <c r="E666" s="141" t="s">
        <v>2536</v>
      </c>
      <c r="F666" s="141"/>
      <c r="G666" s="13" t="s">
        <v>1362</v>
      </c>
      <c r="H666" s="14" t="s">
        <v>2572</v>
      </c>
      <c r="I666" s="143">
        <v>162910</v>
      </c>
      <c r="J666" s="100" t="s">
        <v>779</v>
      </c>
      <c r="K666" s="15" t="s">
        <v>2554</v>
      </c>
      <c r="L666" s="15" t="s">
        <v>2601</v>
      </c>
      <c r="M666" s="15"/>
      <c r="N666" s="15"/>
      <c r="O666" s="15"/>
      <c r="P666" s="15"/>
      <c r="Q666" s="15"/>
      <c r="R666" s="16"/>
      <c r="S666" s="35"/>
      <c r="T666" s="13">
        <v>2022</v>
      </c>
      <c r="U666" s="17">
        <v>12.342000000000001</v>
      </c>
      <c r="V666" s="17">
        <v>2.5099999999999998</v>
      </c>
      <c r="W666" s="60">
        <f t="shared" si="80"/>
        <v>0.20337060444012314</v>
      </c>
      <c r="X666" s="17">
        <v>1.1559999999999999</v>
      </c>
      <c r="Y666" s="17">
        <v>6.6319999999999997</v>
      </c>
      <c r="Z666" s="16"/>
      <c r="AA666" s="15" t="s">
        <v>140</v>
      </c>
      <c r="AB666" s="17"/>
      <c r="AC666" s="21" t="s">
        <v>153</v>
      </c>
      <c r="AD666" s="21" t="s">
        <v>153</v>
      </c>
      <c r="AE666" s="142" t="s">
        <v>154</v>
      </c>
      <c r="AF666" s="17"/>
      <c r="AG666" s="15"/>
      <c r="AH666" s="16"/>
      <c r="AI666" s="16"/>
      <c r="AJ666" s="42">
        <f t="shared" ca="1" si="77"/>
        <v>425</v>
      </c>
      <c r="AK666" s="42">
        <f t="shared" ca="1" si="78"/>
        <v>425</v>
      </c>
      <c r="AL666" s="130" t="str">
        <f t="shared" si="79"/>
        <v>No Answer</v>
      </c>
      <c r="AM666" s="37">
        <v>45239</v>
      </c>
      <c r="AN666" s="38">
        <v>45259</v>
      </c>
      <c r="AO666" s="38">
        <v>45309</v>
      </c>
      <c r="AP666" s="38"/>
      <c r="AQ666" s="38"/>
      <c r="AR666" s="101" t="s">
        <v>1763</v>
      </c>
      <c r="AS666" s="38">
        <v>45239</v>
      </c>
      <c r="AT666" s="11" t="s">
        <v>7</v>
      </c>
    </row>
    <row r="667" spans="1:46" s="98" customFormat="1" x14ac:dyDescent="0.3">
      <c r="A667" s="16"/>
      <c r="B667" s="140" cm="1">
        <f t="array" ref="B667">+_xlfn.IFS(D667="In Touch - Positive",2,D667="Pending",1,D667="No Answer",4,D667="In Touch - Negative",3)</f>
        <v>4</v>
      </c>
      <c r="C667" s="140" t="s">
        <v>2539</v>
      </c>
      <c r="D667" s="99" t="str">
        <f t="shared" si="81"/>
        <v>No Answer</v>
      </c>
      <c r="E667" s="141" t="s">
        <v>2537</v>
      </c>
      <c r="F667" s="141"/>
      <c r="G667" s="13" t="s">
        <v>1446</v>
      </c>
      <c r="H667" s="14" t="s">
        <v>2573</v>
      </c>
      <c r="I667" s="13">
        <v>721909</v>
      </c>
      <c r="J667" s="100" t="s">
        <v>779</v>
      </c>
      <c r="K667" s="15" t="s">
        <v>2555</v>
      </c>
      <c r="L667" s="15" t="s">
        <v>2602</v>
      </c>
      <c r="M667" s="15"/>
      <c r="N667" s="15"/>
      <c r="O667" s="15"/>
      <c r="P667" s="15"/>
      <c r="Q667" s="15"/>
      <c r="R667" s="16"/>
      <c r="S667" s="35"/>
      <c r="T667" s="13">
        <v>2022</v>
      </c>
      <c r="U667" s="17">
        <v>0.04</v>
      </c>
      <c r="V667" s="17"/>
      <c r="W667" s="60"/>
      <c r="X667" s="17"/>
      <c r="Y667" s="17"/>
      <c r="Z667" s="16"/>
      <c r="AA667" s="15" t="s">
        <v>140</v>
      </c>
      <c r="AB667" s="17"/>
      <c r="AC667" s="21" t="s">
        <v>153</v>
      </c>
      <c r="AD667" s="21" t="s">
        <v>153</v>
      </c>
      <c r="AE667" s="142" t="s">
        <v>154</v>
      </c>
      <c r="AF667" s="17"/>
      <c r="AG667" s="15"/>
      <c r="AH667" s="16"/>
      <c r="AI667" s="16"/>
      <c r="AJ667" s="42">
        <f t="shared" ca="1" si="77"/>
        <v>425</v>
      </c>
      <c r="AK667" s="42">
        <f t="shared" ca="1" si="78"/>
        <v>425</v>
      </c>
      <c r="AL667" s="130" t="str">
        <f t="shared" si="79"/>
        <v>No Answer</v>
      </c>
      <c r="AM667" s="37">
        <v>45239</v>
      </c>
      <c r="AN667" s="38">
        <v>45259</v>
      </c>
      <c r="AO667" s="38">
        <v>45309</v>
      </c>
      <c r="AP667" s="38"/>
      <c r="AQ667" s="38"/>
      <c r="AR667" s="101" t="s">
        <v>1763</v>
      </c>
      <c r="AS667" s="38">
        <v>45239</v>
      </c>
      <c r="AT667" s="11" t="s">
        <v>7</v>
      </c>
    </row>
    <row r="668" spans="1:46" s="98" customFormat="1" x14ac:dyDescent="0.3">
      <c r="A668" s="16"/>
      <c r="B668" s="140" cm="1">
        <f t="array" ref="B668">+_xlfn.IFS(D668="In Touch - Positive",2,D668="Pending",1,D668="No Answer",4,D668="In Touch - Negative",3)</f>
        <v>4</v>
      </c>
      <c r="C668" s="140" t="s">
        <v>2539</v>
      </c>
      <c r="D668" s="99" t="str">
        <f t="shared" si="81"/>
        <v>No Answer</v>
      </c>
      <c r="E668" s="141" t="s">
        <v>2538</v>
      </c>
      <c r="F668" s="141"/>
      <c r="G668" s="13" t="s">
        <v>508</v>
      </c>
      <c r="H668" s="14" t="s">
        <v>2574</v>
      </c>
      <c r="I668" s="13">
        <v>390009</v>
      </c>
      <c r="J668" s="100" t="s">
        <v>779</v>
      </c>
      <c r="K668" s="15" t="s">
        <v>2556</v>
      </c>
      <c r="L668" s="15" t="s">
        <v>2603</v>
      </c>
      <c r="M668" s="15"/>
      <c r="N668" s="15"/>
      <c r="O668" s="15"/>
      <c r="P668" s="15"/>
      <c r="Q668" s="15"/>
      <c r="R668" s="16"/>
      <c r="S668" s="35"/>
      <c r="T668" s="13">
        <v>2022</v>
      </c>
      <c r="U668" s="17">
        <v>0</v>
      </c>
      <c r="V668" s="17"/>
      <c r="W668" s="60"/>
      <c r="X668" s="17"/>
      <c r="Y668" s="17"/>
      <c r="Z668" s="16"/>
      <c r="AA668" s="15" t="s">
        <v>140</v>
      </c>
      <c r="AB668" s="17"/>
      <c r="AC668" s="21" t="s">
        <v>153</v>
      </c>
      <c r="AD668" s="21" t="s">
        <v>153</v>
      </c>
      <c r="AE668" s="142" t="s">
        <v>154</v>
      </c>
      <c r="AF668" s="17"/>
      <c r="AG668" s="15"/>
      <c r="AH668" s="16"/>
      <c r="AI668" s="16"/>
      <c r="AJ668" s="42">
        <f t="shared" ca="1" si="77"/>
        <v>425</v>
      </c>
      <c r="AK668" s="42">
        <f t="shared" ca="1" si="78"/>
        <v>425</v>
      </c>
      <c r="AL668" s="130" t="str">
        <f t="shared" si="79"/>
        <v>No Answer</v>
      </c>
      <c r="AM668" s="37">
        <v>45239</v>
      </c>
      <c r="AN668" s="38">
        <v>45259</v>
      </c>
      <c r="AO668" s="38">
        <v>45309</v>
      </c>
      <c r="AP668" s="38">
        <v>45299</v>
      </c>
      <c r="AQ668" s="38"/>
      <c r="AR668" s="101" t="s">
        <v>1763</v>
      </c>
      <c r="AS668" s="38">
        <v>45239</v>
      </c>
      <c r="AT668" s="11" t="s">
        <v>7</v>
      </c>
    </row>
    <row r="669" spans="1:46" s="98" customFormat="1" x14ac:dyDescent="0.3">
      <c r="B669" s="140" cm="1">
        <f t="array" ref="B669">+_xlfn.IFS(D669="In Touch - Positive",2,D669="Pending",1,D669="No Answer",4,D669="In Touch - Negative",3)</f>
        <v>4</v>
      </c>
      <c r="C669" s="16" t="s">
        <v>2613</v>
      </c>
      <c r="D669" s="99" t="str">
        <f t="shared" si="81"/>
        <v>No Answer</v>
      </c>
      <c r="E669" s="141" t="s">
        <v>2652</v>
      </c>
      <c r="F669" s="141"/>
      <c r="G669" s="13" t="s">
        <v>103</v>
      </c>
      <c r="H669" s="14"/>
      <c r="I669" s="13"/>
      <c r="J669" s="100" t="s">
        <v>2623</v>
      </c>
      <c r="K669" s="15" t="s">
        <v>2622</v>
      </c>
      <c r="L669" s="15"/>
      <c r="M669" s="15"/>
      <c r="N669" s="15"/>
      <c r="O669" s="15"/>
      <c r="P669" s="15"/>
      <c r="Q669" s="15"/>
      <c r="R669" s="16"/>
      <c r="S669" s="35"/>
      <c r="T669" s="13"/>
      <c r="U669" s="17"/>
      <c r="V669" s="17"/>
      <c r="W669" s="60"/>
      <c r="X669" s="17"/>
      <c r="Y669" s="17"/>
      <c r="Z669" s="16"/>
      <c r="AA669" s="15" t="s">
        <v>140</v>
      </c>
      <c r="AB669" s="17"/>
      <c r="AC669" s="21" t="s">
        <v>61</v>
      </c>
      <c r="AD669" s="21" t="s">
        <v>61</v>
      </c>
      <c r="AE669" s="21" t="s">
        <v>128</v>
      </c>
      <c r="AF669" s="17"/>
      <c r="AG669" s="15"/>
      <c r="AH669" s="16"/>
      <c r="AI669" s="16"/>
      <c r="AJ669" s="42">
        <f t="shared" ca="1" si="77"/>
        <v>400</v>
      </c>
      <c r="AK669" s="42">
        <f t="shared" ca="1" si="78"/>
        <v>365</v>
      </c>
      <c r="AL669" s="130" t="str">
        <f t="shared" si="79"/>
        <v>No Answer</v>
      </c>
      <c r="AM669" s="37">
        <v>45264</v>
      </c>
      <c r="AN669" s="38">
        <v>45264</v>
      </c>
      <c r="AO669" s="38">
        <v>45271</v>
      </c>
      <c r="AP669" s="290" t="s">
        <v>65</v>
      </c>
      <c r="AQ669" s="38"/>
      <c r="AR669" s="101" t="s">
        <v>1763</v>
      </c>
      <c r="AS669" s="38">
        <v>45299</v>
      </c>
      <c r="AT669" s="11" t="s">
        <v>7</v>
      </c>
    </row>
    <row r="670" spans="1:46" s="98" customFormat="1" x14ac:dyDescent="0.3">
      <c r="A670" s="16"/>
      <c r="B670" s="231" cm="1">
        <f t="array" ref="B670">+_xlfn.IFS(D670="In Touch - Positive",2,D670="Pending",1,D670="No Answer",4,D670="In Touch - Negative",3)</f>
        <v>4</v>
      </c>
      <c r="C670" s="231" t="s">
        <v>213</v>
      </c>
      <c r="D670" s="232" t="str">
        <f t="shared" si="81"/>
        <v>No Answer</v>
      </c>
      <c r="E670" s="233" t="s">
        <v>2795</v>
      </c>
      <c r="F670" s="233"/>
      <c r="G670" s="234" t="s">
        <v>326</v>
      </c>
      <c r="H670" s="235"/>
      <c r="I670" s="234"/>
      <c r="J670" s="236" t="s">
        <v>1821</v>
      </c>
      <c r="K670" s="237" t="s">
        <v>2796</v>
      </c>
      <c r="L670" s="237" t="s">
        <v>2797</v>
      </c>
      <c r="M670" s="237"/>
      <c r="N670" s="237"/>
      <c r="O670" s="237"/>
      <c r="P670" s="237"/>
      <c r="Q670" s="237"/>
      <c r="R670" s="231"/>
      <c r="S670" s="238"/>
      <c r="T670" s="234"/>
      <c r="U670" s="239"/>
      <c r="V670" s="239"/>
      <c r="W670" s="240"/>
      <c r="X670" s="239"/>
      <c r="Y670" s="239"/>
      <c r="Z670" s="231"/>
      <c r="AA670" s="237" t="s">
        <v>140</v>
      </c>
      <c r="AB670" s="239"/>
      <c r="AC670" s="241" t="s">
        <v>78</v>
      </c>
      <c r="AD670" s="241" t="s">
        <v>78</v>
      </c>
      <c r="AE670" s="241" t="s">
        <v>128</v>
      </c>
      <c r="AF670" s="239"/>
      <c r="AG670" s="237"/>
      <c r="AH670" s="231"/>
      <c r="AI670" s="231"/>
      <c r="AJ670" s="242">
        <f t="shared" ca="1" si="77"/>
        <v>360</v>
      </c>
      <c r="AK670" s="242">
        <f t="shared" ca="1" si="78"/>
        <v>354</v>
      </c>
      <c r="AL670" s="243" t="str">
        <f t="shared" si="79"/>
        <v>No Answer</v>
      </c>
      <c r="AM670" s="244">
        <v>45304</v>
      </c>
      <c r="AN670" s="245">
        <v>45304</v>
      </c>
      <c r="AO670" s="245">
        <v>45310</v>
      </c>
      <c r="AP670" s="38" t="s">
        <v>65</v>
      </c>
      <c r="AQ670" s="290" t="s">
        <v>65</v>
      </c>
      <c r="AR670" s="246" t="s">
        <v>1763</v>
      </c>
      <c r="AS670" s="245">
        <v>45310</v>
      </c>
      <c r="AT670" s="11" t="s">
        <v>7</v>
      </c>
    </row>
    <row r="671" spans="1:46" s="98" customFormat="1" x14ac:dyDescent="0.3">
      <c r="A671" s="16"/>
      <c r="B671" s="150" cm="1">
        <f t="array" ref="B671">+_xlfn.IFS(D671="In Touch - Positive",2,D671="Pending",1,D671="No Answer",4,D671="In Touch - Negative",3)</f>
        <v>4</v>
      </c>
      <c r="C671" s="16" t="s">
        <v>213</v>
      </c>
      <c r="D671" s="99" t="str">
        <f t="shared" si="81"/>
        <v>No Answer</v>
      </c>
      <c r="E671" s="141" t="s">
        <v>2670</v>
      </c>
      <c r="F671" s="141"/>
      <c r="G671" s="13" t="s">
        <v>2030</v>
      </c>
      <c r="H671" s="14"/>
      <c r="I671" s="13"/>
      <c r="J671" s="100" t="s">
        <v>1821</v>
      </c>
      <c r="K671" s="15" t="s">
        <v>2680</v>
      </c>
      <c r="L671" s="15"/>
      <c r="M671" s="15"/>
      <c r="N671" s="15"/>
      <c r="O671" s="15"/>
      <c r="P671" s="15"/>
      <c r="Q671" s="15"/>
      <c r="R671" s="16"/>
      <c r="S671" s="35"/>
      <c r="T671" s="13"/>
      <c r="U671" s="17"/>
      <c r="V671" s="17"/>
      <c r="W671" s="60"/>
      <c r="X671" s="17"/>
      <c r="Y671" s="17"/>
      <c r="Z671" s="16"/>
      <c r="AA671" s="15" t="s">
        <v>140</v>
      </c>
      <c r="AB671" s="17"/>
      <c r="AC671" s="21" t="s">
        <v>78</v>
      </c>
      <c r="AD671" s="21" t="s">
        <v>78</v>
      </c>
      <c r="AE671" s="21" t="s">
        <v>128</v>
      </c>
      <c r="AF671" s="17"/>
      <c r="AG671" s="15"/>
      <c r="AH671" s="16"/>
      <c r="AI671" s="16"/>
      <c r="AJ671" s="42">
        <f t="shared" ca="1" si="77"/>
        <v>365</v>
      </c>
      <c r="AK671" s="42">
        <f t="shared" ca="1" si="78"/>
        <v>357</v>
      </c>
      <c r="AL671" s="130" t="str">
        <f t="shared" si="79"/>
        <v>No Answer</v>
      </c>
      <c r="AM671" s="37">
        <v>45299</v>
      </c>
      <c r="AN671" s="38">
        <v>45299</v>
      </c>
      <c r="AO671" s="38">
        <v>45307</v>
      </c>
      <c r="AP671" s="38" t="s">
        <v>65</v>
      </c>
      <c r="AQ671" s="38" t="s">
        <v>2940</v>
      </c>
      <c r="AR671" s="101" t="s">
        <v>1763</v>
      </c>
      <c r="AS671" s="38">
        <v>45307</v>
      </c>
      <c r="AT671" s="11" t="s">
        <v>7</v>
      </c>
    </row>
    <row r="672" spans="1:46" s="98" customFormat="1" x14ac:dyDescent="0.3">
      <c r="A672" s="16"/>
      <c r="B672" s="150" cm="1">
        <f t="array" ref="B672">+_xlfn.IFS(D672="In Touch - Positive",2,D672="Pending",1,D672="No Answer",4,D672="In Touch - Negative",3)</f>
        <v>4</v>
      </c>
      <c r="C672" s="16" t="s">
        <v>213</v>
      </c>
      <c r="D672" s="99" t="str">
        <f t="shared" si="81"/>
        <v>No Answer</v>
      </c>
      <c r="E672" s="141" t="s">
        <v>2671</v>
      </c>
      <c r="F672" s="141"/>
      <c r="G672" s="13" t="s">
        <v>634</v>
      </c>
      <c r="H672" s="14"/>
      <c r="I672" s="13"/>
      <c r="J672" s="100" t="s">
        <v>1821</v>
      </c>
      <c r="K672" s="15" t="s">
        <v>2680</v>
      </c>
      <c r="L672" s="15"/>
      <c r="M672" s="15"/>
      <c r="N672" s="15"/>
      <c r="O672" s="15"/>
      <c r="P672" s="15"/>
      <c r="Q672" s="15"/>
      <c r="R672" s="16"/>
      <c r="S672" s="35"/>
      <c r="T672" s="13"/>
      <c r="U672" s="17"/>
      <c r="V672" s="17"/>
      <c r="W672" s="60"/>
      <c r="X672" s="17"/>
      <c r="Y672" s="17"/>
      <c r="Z672" s="16"/>
      <c r="AA672" s="15" t="s">
        <v>140</v>
      </c>
      <c r="AB672" s="17"/>
      <c r="AC672" s="21" t="s">
        <v>78</v>
      </c>
      <c r="AD672" s="21" t="s">
        <v>78</v>
      </c>
      <c r="AE672" s="21" t="s">
        <v>128</v>
      </c>
      <c r="AF672" s="17"/>
      <c r="AG672" s="15"/>
      <c r="AH672" s="16"/>
      <c r="AI672" s="16"/>
      <c r="AJ672" s="42">
        <f t="shared" ca="1" si="77"/>
        <v>365</v>
      </c>
      <c r="AK672" s="42">
        <f t="shared" ca="1" si="78"/>
        <v>357</v>
      </c>
      <c r="AL672" s="130" t="str">
        <f t="shared" si="79"/>
        <v>No Answer</v>
      </c>
      <c r="AM672" s="37">
        <v>45299</v>
      </c>
      <c r="AN672" s="38">
        <v>45299</v>
      </c>
      <c r="AO672" s="38">
        <v>45307</v>
      </c>
      <c r="AP672" s="38">
        <v>45299</v>
      </c>
      <c r="AQ672" s="38" t="s">
        <v>65</v>
      </c>
      <c r="AR672" s="101" t="s">
        <v>1763</v>
      </c>
      <c r="AS672" s="38">
        <v>45307</v>
      </c>
      <c r="AT672" s="11" t="s">
        <v>7</v>
      </c>
    </row>
    <row r="673" spans="1:46" s="98" customFormat="1" x14ac:dyDescent="0.3">
      <c r="A673" s="231"/>
      <c r="B673" s="150" cm="1">
        <f t="array" ref="B673">+_xlfn.IFS(D673="In Touch - Positive",2,D673="Pending",1,D673="No Answer",4,D673="In Touch - Negative",3)</f>
        <v>4</v>
      </c>
      <c r="C673" s="16" t="s">
        <v>2613</v>
      </c>
      <c r="D673" s="99" t="str">
        <f t="shared" si="81"/>
        <v>No Answer</v>
      </c>
      <c r="E673" s="141" t="s">
        <v>2647</v>
      </c>
      <c r="F673" s="141"/>
      <c r="G673" s="13" t="s">
        <v>2679</v>
      </c>
      <c r="H673" s="14"/>
      <c r="I673" s="13"/>
      <c r="J673" s="100" t="s">
        <v>2623</v>
      </c>
      <c r="K673" s="15" t="s">
        <v>2622</v>
      </c>
      <c r="L673" s="15"/>
      <c r="M673" s="15"/>
      <c r="N673" s="15"/>
      <c r="O673" s="15"/>
      <c r="P673" s="15"/>
      <c r="Q673" s="15"/>
      <c r="R673" s="16"/>
      <c r="S673" s="35"/>
      <c r="T673" s="13"/>
      <c r="U673" s="17"/>
      <c r="V673" s="17"/>
      <c r="W673" s="60"/>
      <c r="X673" s="17"/>
      <c r="Y673" s="17"/>
      <c r="Z673" s="16"/>
      <c r="AA673" s="15" t="s">
        <v>140</v>
      </c>
      <c r="AB673" s="17"/>
      <c r="AC673" s="21" t="s">
        <v>61</v>
      </c>
      <c r="AD673" s="21" t="s">
        <v>61</v>
      </c>
      <c r="AE673" s="21" t="s">
        <v>128</v>
      </c>
      <c r="AF673" s="17"/>
      <c r="AG673" s="15"/>
      <c r="AH673" s="16"/>
      <c r="AI673" s="16"/>
      <c r="AJ673" s="42">
        <f t="shared" ca="1" si="77"/>
        <v>400</v>
      </c>
      <c r="AK673" s="42">
        <f t="shared" ca="1" si="78"/>
        <v>357</v>
      </c>
      <c r="AL673" s="130" t="str">
        <f t="shared" si="79"/>
        <v>No Answer</v>
      </c>
      <c r="AM673" s="37">
        <v>45264</v>
      </c>
      <c r="AN673" s="38">
        <v>45265</v>
      </c>
      <c r="AO673" s="38">
        <v>45271</v>
      </c>
      <c r="AP673" s="38">
        <v>45299</v>
      </c>
      <c r="AQ673" s="38"/>
      <c r="AR673" s="101" t="s">
        <v>1763</v>
      </c>
      <c r="AS673" s="38">
        <v>45307</v>
      </c>
      <c r="AT673" s="247" t="s">
        <v>7</v>
      </c>
    </row>
    <row r="674" spans="1:46" s="98" customFormat="1" x14ac:dyDescent="0.3">
      <c r="A674" s="16"/>
      <c r="B674" s="140" cm="1">
        <f t="array" ref="B674">+_xlfn.IFS(D674="In Touch - Positive",2,D674="Pending",1,D674="No Answer",4,D674="In Touch - Negative",3)</f>
        <v>4</v>
      </c>
      <c r="C674" s="16" t="s">
        <v>2613</v>
      </c>
      <c r="D674" s="99" t="str">
        <f t="shared" si="81"/>
        <v>No Answer</v>
      </c>
      <c r="E674" s="141" t="s">
        <v>2651</v>
      </c>
      <c r="F674" s="141"/>
      <c r="G674" s="13" t="s">
        <v>2656</v>
      </c>
      <c r="H674" s="14"/>
      <c r="I674" s="13"/>
      <c r="J674" s="100" t="s">
        <v>2623</v>
      </c>
      <c r="K674" s="15" t="s">
        <v>2622</v>
      </c>
      <c r="L674" s="15"/>
      <c r="M674" s="15"/>
      <c r="N674" s="15"/>
      <c r="O674" s="15"/>
      <c r="P674" s="15"/>
      <c r="Q674" s="15"/>
      <c r="R674" s="16"/>
      <c r="S674" s="35"/>
      <c r="T674" s="13"/>
      <c r="U674" s="17"/>
      <c r="V674" s="17"/>
      <c r="W674" s="60"/>
      <c r="X674" s="17"/>
      <c r="Y674" s="17"/>
      <c r="Z674" s="16"/>
      <c r="AA674" s="15" t="s">
        <v>140</v>
      </c>
      <c r="AB674" s="17"/>
      <c r="AC674" s="21" t="s">
        <v>61</v>
      </c>
      <c r="AD674" s="21" t="s">
        <v>61</v>
      </c>
      <c r="AE674" s="21" t="s">
        <v>128</v>
      </c>
      <c r="AF674" s="17"/>
      <c r="AG674" s="15"/>
      <c r="AH674" s="16"/>
      <c r="AI674" s="16"/>
      <c r="AJ674" s="42">
        <f t="shared" ca="1" si="77"/>
        <v>400</v>
      </c>
      <c r="AK674" s="42">
        <f t="shared" ca="1" si="78"/>
        <v>357</v>
      </c>
      <c r="AL674" s="130" t="str">
        <f t="shared" si="79"/>
        <v>No Answer</v>
      </c>
      <c r="AM674" s="37">
        <v>45264</v>
      </c>
      <c r="AN674" s="38">
        <v>45265</v>
      </c>
      <c r="AO674" s="38">
        <v>45271</v>
      </c>
      <c r="AP674" s="38"/>
      <c r="AQ674" s="38"/>
      <c r="AR674" s="101" t="s">
        <v>1763</v>
      </c>
      <c r="AS674" s="38">
        <v>45307</v>
      </c>
      <c r="AT674" s="11" t="s">
        <v>7</v>
      </c>
    </row>
    <row r="675" spans="1:46" s="98" customFormat="1" x14ac:dyDescent="0.3">
      <c r="A675" s="16"/>
      <c r="B675" s="16" cm="1">
        <f t="array" ref="B675">+_xlfn.IFS(D675="In Touch - Positive",2,D675="Pending",1,D675="No Answer",4,D675="In Touch - Negative",3)</f>
        <v>4</v>
      </c>
      <c r="C675" s="16" t="s">
        <v>1790</v>
      </c>
      <c r="D675" s="122" t="str">
        <f t="shared" si="81"/>
        <v>No Answer</v>
      </c>
      <c r="E675" s="12" t="s">
        <v>1794</v>
      </c>
      <c r="F675" s="12"/>
      <c r="G675" s="13" t="s">
        <v>308</v>
      </c>
      <c r="H675" s="14"/>
      <c r="I675" s="13"/>
      <c r="J675" s="100" t="s">
        <v>111</v>
      </c>
      <c r="K675" s="15"/>
      <c r="L675" s="15"/>
      <c r="M675" s="15"/>
      <c r="N675" s="15"/>
      <c r="O675" s="15"/>
      <c r="P675" s="15"/>
      <c r="Q675" s="15"/>
      <c r="R675" s="16"/>
      <c r="S675" s="35"/>
      <c r="T675" s="13"/>
      <c r="U675" s="17"/>
      <c r="V675" s="17"/>
      <c r="W675" s="39"/>
      <c r="X675" s="17"/>
      <c r="Y675" s="17"/>
      <c r="Z675" s="16"/>
      <c r="AA675" s="15" t="s">
        <v>140</v>
      </c>
      <c r="AB675" s="17"/>
      <c r="AC675" s="21" t="s">
        <v>153</v>
      </c>
      <c r="AD675" s="21" t="s">
        <v>153</v>
      </c>
      <c r="AE675" s="61" t="s">
        <v>1792</v>
      </c>
      <c r="AF675" s="17"/>
      <c r="AG675" s="15"/>
      <c r="AH675" s="16"/>
      <c r="AI675" s="16"/>
      <c r="AJ675" s="42">
        <f t="shared" ca="1" si="77"/>
        <v>589</v>
      </c>
      <c r="AK675" s="42">
        <f t="shared" ca="1" si="78"/>
        <v>477</v>
      </c>
      <c r="AL675" s="130" t="str">
        <f t="shared" si="79"/>
        <v>No Answer</v>
      </c>
      <c r="AM675" s="37">
        <v>45075</v>
      </c>
      <c r="AN675" s="123">
        <v>45078</v>
      </c>
      <c r="AO675" s="38">
        <v>45187</v>
      </c>
      <c r="AP675" s="38"/>
      <c r="AQ675" s="38"/>
      <c r="AR675" s="101" t="s">
        <v>1763</v>
      </c>
      <c r="AS675" s="38">
        <v>45187</v>
      </c>
      <c r="AT675" s="11" t="s">
        <v>7</v>
      </c>
    </row>
    <row r="676" spans="1:46" s="98" customFormat="1" x14ac:dyDescent="0.3">
      <c r="A676" s="16"/>
      <c r="B676" s="16" cm="1">
        <f t="array" ref="B676">+_xlfn.IFS(D676="In Touch - Positive",2,D676="Pending",1,D676="No Answer",4,D676="In Touch - Negative",3)</f>
        <v>4</v>
      </c>
      <c r="C676" s="16" t="s">
        <v>1790</v>
      </c>
      <c r="D676" s="122" t="str">
        <f t="shared" si="81"/>
        <v>No Answer</v>
      </c>
      <c r="E676" s="12" t="s">
        <v>1798</v>
      </c>
      <c r="F676" s="12"/>
      <c r="G676" s="13" t="s">
        <v>270</v>
      </c>
      <c r="H676" s="14"/>
      <c r="I676" s="13"/>
      <c r="J676" s="100" t="s">
        <v>111</v>
      </c>
      <c r="K676" s="15"/>
      <c r="L676" s="15"/>
      <c r="M676" s="15"/>
      <c r="N676" s="15"/>
      <c r="O676" s="15"/>
      <c r="P676" s="15"/>
      <c r="Q676" s="15"/>
      <c r="R676" s="16"/>
      <c r="S676" s="35"/>
      <c r="T676" s="13"/>
      <c r="U676" s="17"/>
      <c r="V676" s="17"/>
      <c r="W676" s="39"/>
      <c r="X676" s="17"/>
      <c r="Y676" s="17"/>
      <c r="Z676" s="16"/>
      <c r="AA676" s="15" t="s">
        <v>140</v>
      </c>
      <c r="AB676" s="17"/>
      <c r="AC676" s="21" t="s">
        <v>153</v>
      </c>
      <c r="AD676" s="21" t="s">
        <v>153</v>
      </c>
      <c r="AE676" s="61" t="s">
        <v>1792</v>
      </c>
      <c r="AF676" s="17"/>
      <c r="AG676" s="15"/>
      <c r="AH676" s="16"/>
      <c r="AI676" s="16"/>
      <c r="AJ676" s="42">
        <f t="shared" ca="1" si="77"/>
        <v>589</v>
      </c>
      <c r="AK676" s="42">
        <f t="shared" ca="1" si="78"/>
        <v>477</v>
      </c>
      <c r="AL676" s="130" t="str">
        <f t="shared" si="79"/>
        <v>No Answer</v>
      </c>
      <c r="AM676" s="37">
        <v>45075</v>
      </c>
      <c r="AN676" s="123">
        <v>45078</v>
      </c>
      <c r="AO676" s="38">
        <v>45187</v>
      </c>
      <c r="AP676" s="38"/>
      <c r="AQ676" s="38"/>
      <c r="AR676" s="101" t="s">
        <v>1763</v>
      </c>
      <c r="AS676" s="38">
        <v>45187</v>
      </c>
      <c r="AT676" s="11" t="s">
        <v>7</v>
      </c>
    </row>
    <row r="677" spans="1:46" s="98" customFormat="1" x14ac:dyDescent="0.3">
      <c r="A677" s="16"/>
      <c r="B677" s="16" cm="1">
        <f t="array" ref="B677">+_xlfn.IFS(D677="In Touch - Positive",2,D677="Pending",1,D677="No Answer",4,D677="In Touch - Negative",3)</f>
        <v>4</v>
      </c>
      <c r="C677" s="16" t="s">
        <v>1790</v>
      </c>
      <c r="D677" s="122" t="str">
        <f t="shared" si="81"/>
        <v>No Answer</v>
      </c>
      <c r="E677" s="12" t="s">
        <v>1802</v>
      </c>
      <c r="F677" s="12"/>
      <c r="G677" s="13" t="s">
        <v>226</v>
      </c>
      <c r="H677" s="14"/>
      <c r="I677" s="13"/>
      <c r="J677" s="100" t="s">
        <v>111</v>
      </c>
      <c r="K677" s="15"/>
      <c r="L677" s="15"/>
      <c r="M677" s="15"/>
      <c r="N677" s="15"/>
      <c r="O677" s="15"/>
      <c r="P677" s="15"/>
      <c r="Q677" s="15"/>
      <c r="R677" s="16"/>
      <c r="S677" s="35"/>
      <c r="T677" s="13"/>
      <c r="U677" s="17"/>
      <c r="V677" s="17"/>
      <c r="W677" s="39"/>
      <c r="X677" s="17"/>
      <c r="Y677" s="17"/>
      <c r="Z677" s="16"/>
      <c r="AA677" s="15" t="s">
        <v>140</v>
      </c>
      <c r="AB677" s="17"/>
      <c r="AC677" s="21" t="s">
        <v>153</v>
      </c>
      <c r="AD677" s="21" t="s">
        <v>153</v>
      </c>
      <c r="AE677" s="61" t="s">
        <v>1792</v>
      </c>
      <c r="AF677" s="17"/>
      <c r="AG677" s="15"/>
      <c r="AH677" s="16"/>
      <c r="AI677" s="16"/>
      <c r="AJ677" s="42">
        <f t="shared" ca="1" si="77"/>
        <v>589</v>
      </c>
      <c r="AK677" s="42">
        <f t="shared" ca="1" si="78"/>
        <v>477</v>
      </c>
      <c r="AL677" s="130" t="str">
        <f t="shared" si="79"/>
        <v>No Answer</v>
      </c>
      <c r="AM677" s="37">
        <v>45075</v>
      </c>
      <c r="AN677" s="123">
        <v>45078</v>
      </c>
      <c r="AO677" s="38">
        <v>45187</v>
      </c>
      <c r="AP677" s="38" t="s">
        <v>65</v>
      </c>
      <c r="AQ677" s="38"/>
      <c r="AR677" s="101" t="s">
        <v>1763</v>
      </c>
      <c r="AS677" s="38">
        <v>45187</v>
      </c>
      <c r="AT677" s="11" t="s">
        <v>7</v>
      </c>
    </row>
    <row r="678" spans="1:46" s="98" customFormat="1" x14ac:dyDescent="0.3">
      <c r="A678" s="97"/>
      <c r="B678" s="16" cm="1">
        <f t="array" ref="B678">+_xlfn.IFS(D678="In Touch - Positive",2,D678="Pending",1,D678="No Answer",4,D678="In Touch - Negative",3)</f>
        <v>4</v>
      </c>
      <c r="C678" s="16" t="s">
        <v>1964</v>
      </c>
      <c r="D678" s="99" t="str">
        <f t="shared" si="81"/>
        <v>No Answer</v>
      </c>
      <c r="E678" s="12" t="s">
        <v>2074</v>
      </c>
      <c r="F678" s="12"/>
      <c r="G678" s="13" t="s">
        <v>226</v>
      </c>
      <c r="H678" s="15"/>
      <c r="I678" s="13"/>
      <c r="J678" s="100" t="s">
        <v>111</v>
      </c>
      <c r="K678" s="15" t="s">
        <v>2075</v>
      </c>
      <c r="L678" s="15"/>
      <c r="M678" s="15"/>
      <c r="N678" s="15"/>
      <c r="O678" s="15"/>
      <c r="P678" s="15"/>
      <c r="Q678" s="15"/>
      <c r="R678" s="16"/>
      <c r="S678" s="35"/>
      <c r="T678" s="13"/>
      <c r="U678" s="17"/>
      <c r="V678" s="17"/>
      <c r="W678" s="60"/>
      <c r="X678" s="17"/>
      <c r="Y678" s="17"/>
      <c r="Z678" s="16"/>
      <c r="AA678" s="15" t="s">
        <v>140</v>
      </c>
      <c r="AB678" s="17"/>
      <c r="AC678" s="21" t="s">
        <v>61</v>
      </c>
      <c r="AD678" s="21" t="s">
        <v>61</v>
      </c>
      <c r="AE678" s="21" t="s">
        <v>62</v>
      </c>
      <c r="AF678" s="17"/>
      <c r="AG678" s="15"/>
      <c r="AH678" s="16"/>
      <c r="AI678" s="16"/>
      <c r="AJ678" s="42">
        <f t="shared" ca="1" si="77"/>
        <v>461</v>
      </c>
      <c r="AK678" s="42">
        <f t="shared" ca="1" si="78"/>
        <v>459</v>
      </c>
      <c r="AL678" s="130" t="str">
        <f t="shared" si="79"/>
        <v>No Answer</v>
      </c>
      <c r="AM678" s="37">
        <v>45203</v>
      </c>
      <c r="AN678" s="38">
        <v>45211</v>
      </c>
      <c r="AO678" s="38">
        <v>45245</v>
      </c>
      <c r="AP678" s="38" t="s">
        <v>65</v>
      </c>
      <c r="AQ678" s="38" t="s">
        <v>65</v>
      </c>
      <c r="AR678" s="101" t="s">
        <v>1763</v>
      </c>
      <c r="AS678" s="38">
        <v>45205</v>
      </c>
      <c r="AT678" s="11" t="s">
        <v>7</v>
      </c>
    </row>
    <row r="679" spans="1:46" s="98" customFormat="1" x14ac:dyDescent="0.3">
      <c r="A679" s="97"/>
      <c r="B679" s="16" cm="1">
        <f t="array" ref="B679">+_xlfn.IFS(D679="In Touch - Positive",2,D679="Pending",1,D679="No Answer",4,D679="In Touch - Negative",3)</f>
        <v>4</v>
      </c>
      <c r="C679" s="16" t="s">
        <v>1849</v>
      </c>
      <c r="D679" s="122" t="str">
        <f t="shared" si="81"/>
        <v>No Answer</v>
      </c>
      <c r="E679" s="12" t="s">
        <v>2077</v>
      </c>
      <c r="F679" s="12"/>
      <c r="G679" s="13" t="s">
        <v>147</v>
      </c>
      <c r="H679" s="13"/>
      <c r="I679" s="13"/>
      <c r="J679" s="100" t="s">
        <v>111</v>
      </c>
      <c r="K679" s="15"/>
      <c r="L679" s="15"/>
      <c r="M679" s="15"/>
      <c r="N679" s="15"/>
      <c r="O679" s="15"/>
      <c r="P679" s="15"/>
      <c r="Q679" s="15"/>
      <c r="R679" s="16"/>
      <c r="S679" s="35"/>
      <c r="T679" s="13"/>
      <c r="U679" s="17"/>
      <c r="V679" s="17"/>
      <c r="W679" s="39"/>
      <c r="X679" s="17"/>
      <c r="Y679" s="17"/>
      <c r="Z679" s="16"/>
      <c r="AA679" s="15" t="s">
        <v>140</v>
      </c>
      <c r="AB679" s="17"/>
      <c r="AC679" s="21" t="s">
        <v>78</v>
      </c>
      <c r="AD679" s="21" t="s">
        <v>78</v>
      </c>
      <c r="AE679" s="61" t="s">
        <v>62</v>
      </c>
      <c r="AF679" s="17"/>
      <c r="AG679" s="15"/>
      <c r="AH679" s="16"/>
      <c r="AI679" s="16"/>
      <c r="AJ679" s="42">
        <f t="shared" ca="1" si="77"/>
        <v>495</v>
      </c>
      <c r="AK679" s="42">
        <f t="shared" ca="1" si="78"/>
        <v>494</v>
      </c>
      <c r="AL679" s="130" t="str">
        <f t="shared" si="79"/>
        <v>No Answer</v>
      </c>
      <c r="AM679" s="37">
        <v>45169</v>
      </c>
      <c r="AN679" s="38">
        <v>45170</v>
      </c>
      <c r="AO679" s="38" t="s">
        <v>65</v>
      </c>
      <c r="AP679" s="38" t="s">
        <v>65</v>
      </c>
      <c r="AQ679" s="38"/>
      <c r="AR679" s="101" t="s">
        <v>1763</v>
      </c>
      <c r="AS679" s="38">
        <v>45170</v>
      </c>
      <c r="AT679" s="11" t="s">
        <v>7</v>
      </c>
    </row>
    <row r="680" spans="1:46" s="98" customFormat="1" x14ac:dyDescent="0.3">
      <c r="B680" s="16" cm="1">
        <f t="array" ref="B680">+_xlfn.IFS(D680="In Touch - Positive",2,D680="Pending",1,D680="No Answer",4,D680="In Touch - Negative",3)</f>
        <v>4</v>
      </c>
      <c r="C680" s="16" t="s">
        <v>1849</v>
      </c>
      <c r="D680" s="122" t="str">
        <f t="shared" si="81"/>
        <v>No Answer</v>
      </c>
      <c r="E680" s="12" t="s">
        <v>443</v>
      </c>
      <c r="F680" s="12"/>
      <c r="G680" s="13" t="s">
        <v>444</v>
      </c>
      <c r="H680" s="13"/>
      <c r="I680" s="13"/>
      <c r="J680" s="100" t="s">
        <v>111</v>
      </c>
      <c r="K680" s="15"/>
      <c r="L680" s="15"/>
      <c r="M680" s="15"/>
      <c r="N680" s="15"/>
      <c r="O680" s="15"/>
      <c r="P680" s="15"/>
      <c r="Q680" s="15"/>
      <c r="R680" s="16"/>
      <c r="S680" s="35"/>
      <c r="T680" s="13"/>
      <c r="U680" s="17"/>
      <c r="V680" s="17"/>
      <c r="W680" s="39"/>
      <c r="X680" s="17"/>
      <c r="Y680" s="17"/>
      <c r="Z680" s="16"/>
      <c r="AA680" s="15" t="s">
        <v>140</v>
      </c>
      <c r="AB680" s="17"/>
      <c r="AC680" s="21" t="s">
        <v>78</v>
      </c>
      <c r="AD680" s="21" t="s">
        <v>78</v>
      </c>
      <c r="AE680" s="61" t="s">
        <v>62</v>
      </c>
      <c r="AF680" s="17"/>
      <c r="AG680" s="15"/>
      <c r="AH680" s="16"/>
      <c r="AI680" s="16"/>
      <c r="AJ680" s="42">
        <f t="shared" ca="1" si="77"/>
        <v>495</v>
      </c>
      <c r="AK680" s="42">
        <f t="shared" ca="1" si="78"/>
        <v>494</v>
      </c>
      <c r="AL680" s="130" t="str">
        <f t="shared" si="79"/>
        <v>No Answer</v>
      </c>
      <c r="AM680" s="37">
        <v>45169</v>
      </c>
      <c r="AN680" s="38">
        <v>45170</v>
      </c>
      <c r="AO680" s="38" t="s">
        <v>65</v>
      </c>
      <c r="AP680" s="38" t="s">
        <v>65</v>
      </c>
      <c r="AQ680" s="38"/>
      <c r="AR680" s="101" t="s">
        <v>1763</v>
      </c>
      <c r="AS680" s="38">
        <v>45170</v>
      </c>
      <c r="AT680" s="11" t="s">
        <v>7</v>
      </c>
    </row>
    <row r="681" spans="1:46" s="98" customFormat="1" ht="12" customHeight="1" x14ac:dyDescent="0.3">
      <c r="B681" s="16" cm="1">
        <f t="array" ref="B681">+_xlfn.IFS(D681="In Touch - Positive",2,D681="Pending",1,D681="No Answer",4,D681="In Touch - Negative",3)</f>
        <v>4</v>
      </c>
      <c r="C681" s="16" t="s">
        <v>1849</v>
      </c>
      <c r="D681" s="122" t="str">
        <f t="shared" si="81"/>
        <v>No Answer</v>
      </c>
      <c r="E681" s="12" t="s">
        <v>381</v>
      </c>
      <c r="F681" s="12"/>
      <c r="G681" s="13" t="s">
        <v>137</v>
      </c>
      <c r="H681" s="13"/>
      <c r="I681" s="13"/>
      <c r="J681" s="100" t="s">
        <v>111</v>
      </c>
      <c r="K681" s="15"/>
      <c r="L681" s="15"/>
      <c r="M681" s="15"/>
      <c r="N681" s="15"/>
      <c r="O681" s="15"/>
      <c r="P681" s="15"/>
      <c r="Q681" s="15"/>
      <c r="R681" s="16"/>
      <c r="S681" s="35"/>
      <c r="T681" s="13"/>
      <c r="U681" s="17"/>
      <c r="V681" s="17"/>
      <c r="W681" s="39"/>
      <c r="X681" s="17"/>
      <c r="Y681" s="17"/>
      <c r="Z681" s="16"/>
      <c r="AA681" s="15" t="s">
        <v>140</v>
      </c>
      <c r="AB681" s="17"/>
      <c r="AC681" s="21" t="s">
        <v>78</v>
      </c>
      <c r="AD681" s="21" t="s">
        <v>78</v>
      </c>
      <c r="AE681" s="61" t="s">
        <v>62</v>
      </c>
      <c r="AF681" s="17"/>
      <c r="AG681" s="15"/>
      <c r="AH681" s="16"/>
      <c r="AI681" s="16"/>
      <c r="AJ681" s="42">
        <f t="shared" ca="1" si="77"/>
        <v>495</v>
      </c>
      <c r="AK681" s="42">
        <f t="shared" ca="1" si="78"/>
        <v>494</v>
      </c>
      <c r="AL681" s="130" t="str">
        <f t="shared" si="79"/>
        <v>No Answer</v>
      </c>
      <c r="AM681" s="37">
        <v>45169</v>
      </c>
      <c r="AN681" s="38">
        <v>45170</v>
      </c>
      <c r="AO681" s="38" t="s">
        <v>65</v>
      </c>
      <c r="AP681" s="38" t="s">
        <v>65</v>
      </c>
      <c r="AQ681" s="38"/>
      <c r="AR681" s="101" t="s">
        <v>1763</v>
      </c>
      <c r="AS681" s="38">
        <v>45170</v>
      </c>
      <c r="AT681" s="11" t="s">
        <v>7</v>
      </c>
    </row>
    <row r="682" spans="1:46" s="98" customFormat="1" x14ac:dyDescent="0.3">
      <c r="B682" s="16" cm="1">
        <f t="array" ref="B682">+_xlfn.IFS(D682="In Touch - Positive",2,D682="Pending",1,D682="No Answer",4,D682="In Touch - Negative",3)</f>
        <v>4</v>
      </c>
      <c r="C682" s="16" t="s">
        <v>1849</v>
      </c>
      <c r="D682" s="122" t="str">
        <f t="shared" si="81"/>
        <v>No Answer</v>
      </c>
      <c r="E682" s="12" t="s">
        <v>2078</v>
      </c>
      <c r="F682" s="12"/>
      <c r="G682" s="13" t="s">
        <v>371</v>
      </c>
      <c r="H682" s="13"/>
      <c r="I682" s="13"/>
      <c r="J682" s="100" t="s">
        <v>111</v>
      </c>
      <c r="K682" s="15"/>
      <c r="L682" s="15"/>
      <c r="M682" s="15"/>
      <c r="N682" s="15"/>
      <c r="O682" s="15"/>
      <c r="P682" s="15"/>
      <c r="Q682" s="15"/>
      <c r="R682" s="16"/>
      <c r="S682" s="35"/>
      <c r="T682" s="13"/>
      <c r="U682" s="17"/>
      <c r="V682" s="17"/>
      <c r="W682" s="39"/>
      <c r="X682" s="17"/>
      <c r="Y682" s="17"/>
      <c r="Z682" s="16"/>
      <c r="AA682" s="15" t="s">
        <v>140</v>
      </c>
      <c r="AB682" s="17"/>
      <c r="AC682" s="21" t="s">
        <v>78</v>
      </c>
      <c r="AD682" s="21" t="s">
        <v>78</v>
      </c>
      <c r="AE682" s="61" t="s">
        <v>62</v>
      </c>
      <c r="AF682" s="17"/>
      <c r="AG682" s="15"/>
      <c r="AH682" s="16"/>
      <c r="AI682" s="16"/>
      <c r="AJ682" s="42">
        <f t="shared" ca="1" si="77"/>
        <v>495</v>
      </c>
      <c r="AK682" s="42">
        <f t="shared" ca="1" si="78"/>
        <v>494</v>
      </c>
      <c r="AL682" s="130" t="str">
        <f t="shared" si="79"/>
        <v>No Answer</v>
      </c>
      <c r="AM682" s="37">
        <v>45169</v>
      </c>
      <c r="AN682" s="38">
        <v>45170</v>
      </c>
      <c r="AO682" s="38" t="s">
        <v>65</v>
      </c>
      <c r="AP682" s="38" t="s">
        <v>65</v>
      </c>
      <c r="AQ682" s="38"/>
      <c r="AR682" s="101" t="s">
        <v>1763</v>
      </c>
      <c r="AS682" s="38">
        <v>45170</v>
      </c>
      <c r="AT682" s="11" t="s">
        <v>7</v>
      </c>
    </row>
    <row r="683" spans="1:46" s="98" customFormat="1" x14ac:dyDescent="0.3">
      <c r="B683" s="16" cm="1">
        <f t="array" ref="B683">+_xlfn.IFS(D683="In Touch - Positive",2,D683="Pending",1,D683="No Answer",4,D683="In Touch - Negative",3)</f>
        <v>4</v>
      </c>
      <c r="C683" s="16" t="s">
        <v>1849</v>
      </c>
      <c r="D683" s="122" t="str">
        <f t="shared" si="81"/>
        <v>No Answer</v>
      </c>
      <c r="E683" s="12" t="s">
        <v>2079</v>
      </c>
      <c r="F683" s="12"/>
      <c r="G683" s="13" t="s">
        <v>103</v>
      </c>
      <c r="H683" s="13"/>
      <c r="I683" s="13"/>
      <c r="J683" s="100" t="s">
        <v>111</v>
      </c>
      <c r="K683" s="15"/>
      <c r="L683" s="15"/>
      <c r="M683" s="15"/>
      <c r="N683" s="15"/>
      <c r="O683" s="15"/>
      <c r="P683" s="15"/>
      <c r="Q683" s="15"/>
      <c r="R683" s="16"/>
      <c r="S683" s="35"/>
      <c r="T683" s="13"/>
      <c r="U683" s="17"/>
      <c r="V683" s="17"/>
      <c r="W683" s="39"/>
      <c r="X683" s="17"/>
      <c r="Y683" s="17"/>
      <c r="Z683" s="16"/>
      <c r="AA683" s="15" t="s">
        <v>140</v>
      </c>
      <c r="AB683" s="17"/>
      <c r="AC683" s="21" t="s">
        <v>78</v>
      </c>
      <c r="AD683" s="21" t="s">
        <v>78</v>
      </c>
      <c r="AE683" s="61" t="s">
        <v>62</v>
      </c>
      <c r="AF683" s="17"/>
      <c r="AG683" s="15"/>
      <c r="AH683" s="16"/>
      <c r="AI683" s="16"/>
      <c r="AJ683" s="42">
        <f t="shared" ca="1" si="77"/>
        <v>495</v>
      </c>
      <c r="AK683" s="42">
        <f t="shared" ca="1" si="78"/>
        <v>494</v>
      </c>
      <c r="AL683" s="130" t="str">
        <f t="shared" si="79"/>
        <v>No Answer</v>
      </c>
      <c r="AM683" s="37">
        <v>45169</v>
      </c>
      <c r="AN683" s="38">
        <v>45170</v>
      </c>
      <c r="AO683" s="38" t="s">
        <v>65</v>
      </c>
      <c r="AP683" s="38" t="s">
        <v>65</v>
      </c>
      <c r="AQ683" s="38"/>
      <c r="AR683" s="101" t="s">
        <v>1763</v>
      </c>
      <c r="AS683" s="38">
        <v>45170</v>
      </c>
      <c r="AT683" s="11" t="s">
        <v>7</v>
      </c>
    </row>
    <row r="684" spans="1:46" s="98" customFormat="1" x14ac:dyDescent="0.3">
      <c r="B684" s="16" cm="1">
        <f t="array" ref="B684">+_xlfn.IFS(D684="In Touch - Positive",2,D684="Pending",1,D684="No Answer",4,D684="In Touch - Negative",3)</f>
        <v>4</v>
      </c>
      <c r="C684" s="16" t="s">
        <v>1849</v>
      </c>
      <c r="D684" s="122" t="str">
        <f t="shared" si="81"/>
        <v>No Answer</v>
      </c>
      <c r="E684" s="12" t="s">
        <v>2080</v>
      </c>
      <c r="F684" s="12"/>
      <c r="G684" s="13" t="s">
        <v>572</v>
      </c>
      <c r="H684" s="13"/>
      <c r="I684" s="13"/>
      <c r="J684" s="100" t="s">
        <v>111</v>
      </c>
      <c r="K684" s="15"/>
      <c r="L684" s="15"/>
      <c r="M684" s="15"/>
      <c r="N684" s="15"/>
      <c r="O684" s="15"/>
      <c r="P684" s="15"/>
      <c r="Q684" s="15"/>
      <c r="R684" s="16"/>
      <c r="S684" s="35"/>
      <c r="T684" s="13"/>
      <c r="U684" s="17"/>
      <c r="V684" s="17"/>
      <c r="W684" s="39"/>
      <c r="X684" s="17"/>
      <c r="Y684" s="17"/>
      <c r="Z684" s="16"/>
      <c r="AA684" s="15" t="s">
        <v>140</v>
      </c>
      <c r="AB684" s="17"/>
      <c r="AC684" s="21" t="s">
        <v>78</v>
      </c>
      <c r="AD684" s="21" t="s">
        <v>78</v>
      </c>
      <c r="AE684" s="61" t="s">
        <v>62</v>
      </c>
      <c r="AF684" s="17"/>
      <c r="AG684" s="15"/>
      <c r="AH684" s="16"/>
      <c r="AI684" s="16"/>
      <c r="AJ684" s="42">
        <f t="shared" ca="1" si="77"/>
        <v>495</v>
      </c>
      <c r="AK684" s="42">
        <f t="shared" ca="1" si="78"/>
        <v>494</v>
      </c>
      <c r="AL684" s="130" t="str">
        <f t="shared" si="79"/>
        <v>No Answer</v>
      </c>
      <c r="AM684" s="37">
        <v>45169</v>
      </c>
      <c r="AN684" s="38">
        <v>45170</v>
      </c>
      <c r="AO684" s="38" t="s">
        <v>65</v>
      </c>
      <c r="AP684" s="38" t="s">
        <v>65</v>
      </c>
      <c r="AQ684" s="38"/>
      <c r="AR684" s="101" t="s">
        <v>1763</v>
      </c>
      <c r="AS684" s="38">
        <v>45170</v>
      </c>
      <c r="AT684" s="11" t="s">
        <v>7</v>
      </c>
    </row>
    <row r="685" spans="1:46" s="98" customFormat="1" x14ac:dyDescent="0.3">
      <c r="A685" s="16"/>
      <c r="B685" s="16" cm="1">
        <f t="array" ref="B685">+_xlfn.IFS(D685="In Touch - Positive",2,D685="Pending",1,D685="No Answer",4,D685="In Touch - Negative",3)</f>
        <v>4</v>
      </c>
      <c r="C685" s="16" t="s">
        <v>1849</v>
      </c>
      <c r="D685" s="122" t="str">
        <f t="shared" si="81"/>
        <v>No Answer</v>
      </c>
      <c r="E685" s="12" t="s">
        <v>2081</v>
      </c>
      <c r="F685" s="12"/>
      <c r="G685" s="13" t="s">
        <v>137</v>
      </c>
      <c r="H685" s="13"/>
      <c r="I685" s="13"/>
      <c r="J685" s="100" t="s">
        <v>111</v>
      </c>
      <c r="K685" s="15"/>
      <c r="L685" s="15"/>
      <c r="M685" s="15"/>
      <c r="N685" s="15"/>
      <c r="O685" s="15"/>
      <c r="P685" s="15"/>
      <c r="Q685" s="15"/>
      <c r="R685" s="16"/>
      <c r="S685" s="35"/>
      <c r="T685" s="13"/>
      <c r="U685" s="17"/>
      <c r="V685" s="17"/>
      <c r="W685" s="39"/>
      <c r="X685" s="17"/>
      <c r="Y685" s="17"/>
      <c r="Z685" s="16"/>
      <c r="AA685" s="15" t="s">
        <v>140</v>
      </c>
      <c r="AB685" s="17"/>
      <c r="AC685" s="21" t="s">
        <v>78</v>
      </c>
      <c r="AD685" s="21" t="s">
        <v>78</v>
      </c>
      <c r="AE685" s="61" t="s">
        <v>62</v>
      </c>
      <c r="AF685" s="17"/>
      <c r="AG685" s="15"/>
      <c r="AH685" s="16"/>
      <c r="AI685" s="16"/>
      <c r="AJ685" s="42">
        <f t="shared" ca="1" si="77"/>
        <v>495</v>
      </c>
      <c r="AK685" s="42">
        <f t="shared" ca="1" si="78"/>
        <v>494</v>
      </c>
      <c r="AL685" s="130" t="str">
        <f t="shared" si="79"/>
        <v>No Answer</v>
      </c>
      <c r="AM685" s="37">
        <v>45169</v>
      </c>
      <c r="AN685" s="38">
        <v>45170</v>
      </c>
      <c r="AO685" s="38" t="s">
        <v>65</v>
      </c>
      <c r="AP685" s="38" t="s">
        <v>65</v>
      </c>
      <c r="AQ685" s="38"/>
      <c r="AR685" s="101" t="s">
        <v>1763</v>
      </c>
      <c r="AS685" s="38">
        <v>45170</v>
      </c>
      <c r="AT685" s="11" t="s">
        <v>7</v>
      </c>
    </row>
    <row r="686" spans="1:46" s="98" customFormat="1" x14ac:dyDescent="0.3">
      <c r="B686" s="16" cm="1">
        <f t="array" ref="B686">+_xlfn.IFS(D686="In Touch - Positive",2,D686="Pending",1,D686="No Answer",4,D686="In Touch - Negative",3)</f>
        <v>4</v>
      </c>
      <c r="C686" s="16" t="s">
        <v>1849</v>
      </c>
      <c r="D686" s="122" t="str">
        <f t="shared" si="81"/>
        <v>No Answer</v>
      </c>
      <c r="E686" s="12" t="s">
        <v>385</v>
      </c>
      <c r="F686" s="12"/>
      <c r="G686" s="13" t="s">
        <v>386</v>
      </c>
      <c r="H686" s="13"/>
      <c r="I686" s="13"/>
      <c r="J686" s="100" t="s">
        <v>111</v>
      </c>
      <c r="K686" s="15"/>
      <c r="L686" s="15"/>
      <c r="M686" s="15"/>
      <c r="N686" s="15"/>
      <c r="O686" s="15"/>
      <c r="P686" s="15"/>
      <c r="Q686" s="15"/>
      <c r="R686" s="16"/>
      <c r="S686" s="35"/>
      <c r="T686" s="13"/>
      <c r="U686" s="17"/>
      <c r="V686" s="17"/>
      <c r="W686" s="39"/>
      <c r="X686" s="17"/>
      <c r="Y686" s="17"/>
      <c r="Z686" s="16"/>
      <c r="AA686" s="15" t="s">
        <v>140</v>
      </c>
      <c r="AB686" s="17"/>
      <c r="AC686" s="21" t="s">
        <v>78</v>
      </c>
      <c r="AD686" s="21" t="s">
        <v>78</v>
      </c>
      <c r="AE686" s="61" t="s">
        <v>62</v>
      </c>
      <c r="AF686" s="17"/>
      <c r="AG686" s="15"/>
      <c r="AH686" s="16"/>
      <c r="AI686" s="16"/>
      <c r="AJ686" s="42">
        <f t="shared" ca="1" si="77"/>
        <v>495</v>
      </c>
      <c r="AK686" s="42">
        <f t="shared" ca="1" si="78"/>
        <v>494</v>
      </c>
      <c r="AL686" s="130" t="str">
        <f t="shared" si="79"/>
        <v>No Answer</v>
      </c>
      <c r="AM686" s="37">
        <v>45169</v>
      </c>
      <c r="AN686" s="38">
        <v>45170</v>
      </c>
      <c r="AO686" s="38" t="s">
        <v>65</v>
      </c>
      <c r="AP686" s="38" t="s">
        <v>65</v>
      </c>
      <c r="AQ686" s="38"/>
      <c r="AR686" s="101" t="s">
        <v>1763</v>
      </c>
      <c r="AS686" s="38">
        <v>45170</v>
      </c>
      <c r="AT686" s="11" t="s">
        <v>7</v>
      </c>
    </row>
    <row r="687" spans="1:46" s="98" customFormat="1" x14ac:dyDescent="0.3">
      <c r="A687" s="16"/>
      <c r="B687" s="16" cm="1">
        <f t="array" ref="B687">+_xlfn.IFS(D687="In Touch - Positive",2,D687="Pending",1,D687="No Answer",4,D687="In Touch - Negative",3)</f>
        <v>4</v>
      </c>
      <c r="C687" s="16" t="s">
        <v>1849</v>
      </c>
      <c r="D687" s="122" t="str">
        <f t="shared" si="81"/>
        <v>No Answer</v>
      </c>
      <c r="E687" s="12" t="s">
        <v>2082</v>
      </c>
      <c r="F687" s="12"/>
      <c r="G687" s="13" t="s">
        <v>822</v>
      </c>
      <c r="H687" s="13"/>
      <c r="I687" s="13"/>
      <c r="J687" s="100" t="s">
        <v>111</v>
      </c>
      <c r="K687" s="15"/>
      <c r="L687" s="15"/>
      <c r="M687" s="15"/>
      <c r="N687" s="15"/>
      <c r="O687" s="15"/>
      <c r="P687" s="15"/>
      <c r="Q687" s="15"/>
      <c r="R687" s="16"/>
      <c r="S687" s="35"/>
      <c r="T687" s="13"/>
      <c r="U687" s="17"/>
      <c r="V687" s="17"/>
      <c r="W687" s="39"/>
      <c r="X687" s="17"/>
      <c r="Y687" s="17"/>
      <c r="Z687" s="16"/>
      <c r="AA687" s="15" t="s">
        <v>140</v>
      </c>
      <c r="AB687" s="17"/>
      <c r="AC687" s="21" t="s">
        <v>78</v>
      </c>
      <c r="AD687" s="21" t="s">
        <v>78</v>
      </c>
      <c r="AE687" s="61" t="s">
        <v>62</v>
      </c>
      <c r="AF687" s="17"/>
      <c r="AG687" s="15"/>
      <c r="AH687" s="16"/>
      <c r="AI687" s="16"/>
      <c r="AJ687" s="42">
        <f t="shared" ca="1" si="77"/>
        <v>495</v>
      </c>
      <c r="AK687" s="42">
        <f t="shared" ca="1" si="78"/>
        <v>494</v>
      </c>
      <c r="AL687" s="130" t="str">
        <f t="shared" si="79"/>
        <v>No Answer</v>
      </c>
      <c r="AM687" s="37">
        <v>45169</v>
      </c>
      <c r="AN687" s="38">
        <v>45170</v>
      </c>
      <c r="AO687" s="38" t="s">
        <v>65</v>
      </c>
      <c r="AP687" s="38"/>
      <c r="AQ687" s="38"/>
      <c r="AR687" s="101" t="s">
        <v>1763</v>
      </c>
      <c r="AS687" s="38">
        <v>45170</v>
      </c>
      <c r="AT687" s="11" t="s">
        <v>7</v>
      </c>
    </row>
    <row r="688" spans="1:46" s="98" customFormat="1" x14ac:dyDescent="0.3">
      <c r="A688" s="16"/>
      <c r="B688" s="16" cm="1">
        <f t="array" ref="B688">+_xlfn.IFS(D688="In Touch - Positive",2,D688="Pending",1,D688="No Answer",4,D688="In Touch - Negative",3)</f>
        <v>4</v>
      </c>
      <c r="C688" s="16" t="s">
        <v>213</v>
      </c>
      <c r="D688" s="99" t="str">
        <f t="shared" si="81"/>
        <v>No Answer</v>
      </c>
      <c r="E688" s="12" t="s">
        <v>2083</v>
      </c>
      <c r="F688" s="12"/>
      <c r="G688" s="13" t="s">
        <v>572</v>
      </c>
      <c r="H688" s="14"/>
      <c r="I688" s="13"/>
      <c r="J688" s="15" t="s">
        <v>1821</v>
      </c>
      <c r="K688" s="15" t="s">
        <v>1822</v>
      </c>
      <c r="L688" s="15"/>
      <c r="M688" s="15"/>
      <c r="N688" s="15"/>
      <c r="O688" s="15"/>
      <c r="P688" s="15"/>
      <c r="Q688" s="15"/>
      <c r="R688" s="16"/>
      <c r="S688" s="35"/>
      <c r="T688" s="13"/>
      <c r="U688" s="17"/>
      <c r="V688" s="17"/>
      <c r="W688" s="60"/>
      <c r="X688" s="17"/>
      <c r="Y688" s="17"/>
      <c r="Z688" s="16"/>
      <c r="AA688" s="15" t="s">
        <v>140</v>
      </c>
      <c r="AB688" s="17"/>
      <c r="AC688" s="21" t="s">
        <v>78</v>
      </c>
      <c r="AD688" s="21" t="s">
        <v>78</v>
      </c>
      <c r="AE688" s="21" t="s">
        <v>86</v>
      </c>
      <c r="AF688" s="17"/>
      <c r="AG688" s="15"/>
      <c r="AH688" s="16"/>
      <c r="AI688" s="16"/>
      <c r="AJ688" s="42">
        <f t="shared" ca="1" si="77"/>
        <v>464</v>
      </c>
      <c r="AK688" s="42">
        <f t="shared" ca="1" si="78"/>
        <v>442</v>
      </c>
      <c r="AL688" s="130" t="str">
        <f t="shared" si="79"/>
        <v>No Answer</v>
      </c>
      <c r="AM688" s="37">
        <v>45200</v>
      </c>
      <c r="AN688" s="38">
        <v>45202</v>
      </c>
      <c r="AO688" s="38"/>
      <c r="AP688" s="38"/>
      <c r="AQ688" s="38"/>
      <c r="AR688" s="101" t="s">
        <v>1763</v>
      </c>
      <c r="AS688" s="38">
        <v>45222</v>
      </c>
      <c r="AT688" s="11" t="s">
        <v>7</v>
      </c>
    </row>
    <row r="689" spans="1:46" s="98" customFormat="1" x14ac:dyDescent="0.3">
      <c r="B689" s="16" cm="1">
        <f t="array" ref="B689">+_xlfn.IFS(D689="In Touch - Positive",2,D689="Pending",1,D689="No Answer",4,D689="In Touch - Negative",3)</f>
        <v>4</v>
      </c>
      <c r="C689" s="16" t="s">
        <v>213</v>
      </c>
      <c r="D689" s="99" t="str">
        <f t="shared" si="81"/>
        <v>No Answer</v>
      </c>
      <c r="E689" s="12" t="s">
        <v>2084</v>
      </c>
      <c r="F689" s="12"/>
      <c r="G689" s="13" t="s">
        <v>103</v>
      </c>
      <c r="H689" s="14"/>
      <c r="I689" s="13"/>
      <c r="J689" s="15" t="s">
        <v>1821</v>
      </c>
      <c r="K689" s="15" t="s">
        <v>1822</v>
      </c>
      <c r="L689" s="15"/>
      <c r="M689" s="15"/>
      <c r="N689" s="15"/>
      <c r="O689" s="15"/>
      <c r="P689" s="15"/>
      <c r="Q689" s="15"/>
      <c r="R689" s="16"/>
      <c r="S689" s="35"/>
      <c r="T689" s="13"/>
      <c r="U689" s="17"/>
      <c r="V689" s="17"/>
      <c r="W689" s="60"/>
      <c r="X689" s="17"/>
      <c r="Y689" s="17"/>
      <c r="Z689" s="16"/>
      <c r="AA689" s="15" t="s">
        <v>140</v>
      </c>
      <c r="AB689" s="17"/>
      <c r="AC689" s="21" t="s">
        <v>78</v>
      </c>
      <c r="AD689" s="21" t="s">
        <v>78</v>
      </c>
      <c r="AE689" s="21" t="s">
        <v>86</v>
      </c>
      <c r="AF689" s="17"/>
      <c r="AG689" s="15"/>
      <c r="AH689" s="16"/>
      <c r="AI689" s="16"/>
      <c r="AJ689" s="42">
        <f t="shared" ca="1" si="77"/>
        <v>464</v>
      </c>
      <c r="AK689" s="42">
        <f t="shared" ca="1" si="78"/>
        <v>442</v>
      </c>
      <c r="AL689" s="130" t="str">
        <f t="shared" si="79"/>
        <v>No Answer</v>
      </c>
      <c r="AM689" s="37">
        <v>45200</v>
      </c>
      <c r="AN689" s="38">
        <v>45202</v>
      </c>
      <c r="AO689" s="38"/>
      <c r="AP689" s="38"/>
      <c r="AQ689" s="38"/>
      <c r="AR689" s="101" t="s">
        <v>1763</v>
      </c>
      <c r="AS689" s="38">
        <v>45222</v>
      </c>
      <c r="AT689" s="11" t="s">
        <v>7</v>
      </c>
    </row>
    <row r="690" spans="1:46" s="98" customFormat="1" x14ac:dyDescent="0.3">
      <c r="B690" s="16" cm="1">
        <f t="array" ref="B690">+_xlfn.IFS(D690="In Touch - Positive",2,D690="Pending",1,D690="No Answer",4,D690="In Touch - Negative",3)</f>
        <v>4</v>
      </c>
      <c r="C690" s="16" t="s">
        <v>213</v>
      </c>
      <c r="D690" s="99" t="str">
        <f t="shared" si="81"/>
        <v>No Answer</v>
      </c>
      <c r="E690" s="12" t="s">
        <v>2085</v>
      </c>
      <c r="F690" s="12"/>
      <c r="G690" s="13" t="s">
        <v>444</v>
      </c>
      <c r="H690" s="14"/>
      <c r="I690" s="13"/>
      <c r="J690" s="15" t="s">
        <v>1821</v>
      </c>
      <c r="K690" s="15" t="s">
        <v>1822</v>
      </c>
      <c r="L690" s="15"/>
      <c r="M690" s="15"/>
      <c r="N690" s="15"/>
      <c r="O690" s="15"/>
      <c r="P690" s="15"/>
      <c r="Q690" s="15"/>
      <c r="R690" s="16"/>
      <c r="S690" s="35"/>
      <c r="T690" s="13"/>
      <c r="U690" s="17"/>
      <c r="V690" s="17"/>
      <c r="W690" s="60"/>
      <c r="X690" s="17"/>
      <c r="Y690" s="17"/>
      <c r="Z690" s="16"/>
      <c r="AA690" s="15" t="s">
        <v>140</v>
      </c>
      <c r="AB690" s="17"/>
      <c r="AC690" s="21" t="s">
        <v>78</v>
      </c>
      <c r="AD690" s="21" t="s">
        <v>78</v>
      </c>
      <c r="AE690" s="21" t="s">
        <v>86</v>
      </c>
      <c r="AF690" s="17"/>
      <c r="AG690" s="15"/>
      <c r="AH690" s="16"/>
      <c r="AI690" s="16"/>
      <c r="AJ690" s="42">
        <f t="shared" ca="1" si="77"/>
        <v>464</v>
      </c>
      <c r="AK690" s="42">
        <f t="shared" ca="1" si="78"/>
        <v>442</v>
      </c>
      <c r="AL690" s="130" t="str">
        <f t="shared" si="79"/>
        <v>No Answer</v>
      </c>
      <c r="AM690" s="37">
        <v>45200</v>
      </c>
      <c r="AN690" s="38">
        <v>45202</v>
      </c>
      <c r="AO690" s="38"/>
      <c r="AP690" s="38"/>
      <c r="AQ690" s="38"/>
      <c r="AR690" s="101" t="s">
        <v>1763</v>
      </c>
      <c r="AS690" s="38">
        <v>45222</v>
      </c>
      <c r="AT690" s="11" t="s">
        <v>7</v>
      </c>
    </row>
    <row r="691" spans="1:46" s="98" customFormat="1" x14ac:dyDescent="0.3">
      <c r="B691" s="16" cm="1">
        <f t="array" ref="B691">+_xlfn.IFS(D691="In Touch - Positive",2,D691="Pending",1,D691="No Answer",4,D691="In Touch - Negative",3)</f>
        <v>4</v>
      </c>
      <c r="C691" s="16" t="s">
        <v>213</v>
      </c>
      <c r="D691" s="99" t="str">
        <f t="shared" si="81"/>
        <v>No Answer</v>
      </c>
      <c r="E691" s="12" t="s">
        <v>2086</v>
      </c>
      <c r="F691" s="12"/>
      <c r="G691" s="13" t="s">
        <v>278</v>
      </c>
      <c r="H691" s="14"/>
      <c r="I691" s="13"/>
      <c r="J691" s="15" t="s">
        <v>1821</v>
      </c>
      <c r="K691" s="15" t="s">
        <v>1822</v>
      </c>
      <c r="L691" s="15"/>
      <c r="M691" s="15"/>
      <c r="N691" s="15"/>
      <c r="O691" s="15"/>
      <c r="P691" s="15"/>
      <c r="Q691" s="15"/>
      <c r="R691" s="16"/>
      <c r="S691" s="35"/>
      <c r="T691" s="13"/>
      <c r="U691" s="17"/>
      <c r="V691" s="17"/>
      <c r="W691" s="60"/>
      <c r="X691" s="17"/>
      <c r="Y691" s="17"/>
      <c r="Z691" s="16"/>
      <c r="AA691" s="15" t="s">
        <v>140</v>
      </c>
      <c r="AB691" s="17"/>
      <c r="AC691" s="21" t="s">
        <v>78</v>
      </c>
      <c r="AD691" s="21" t="s">
        <v>78</v>
      </c>
      <c r="AE691" s="21" t="s">
        <v>86</v>
      </c>
      <c r="AF691" s="17"/>
      <c r="AG691" s="15"/>
      <c r="AH691" s="16"/>
      <c r="AI691" s="16"/>
      <c r="AJ691" s="42">
        <f t="shared" ca="1" si="77"/>
        <v>464</v>
      </c>
      <c r="AK691" s="42">
        <f t="shared" ca="1" si="78"/>
        <v>442</v>
      </c>
      <c r="AL691" s="130" t="str">
        <f t="shared" si="79"/>
        <v>No Answer</v>
      </c>
      <c r="AM691" s="37">
        <v>45200</v>
      </c>
      <c r="AN691" s="38">
        <v>45202</v>
      </c>
      <c r="AO691" s="38"/>
      <c r="AP691" s="38"/>
      <c r="AQ691" s="38"/>
      <c r="AR691" s="101" t="s">
        <v>1763</v>
      </c>
      <c r="AS691" s="38">
        <v>45222</v>
      </c>
      <c r="AT691" s="11" t="s">
        <v>7</v>
      </c>
    </row>
    <row r="692" spans="1:46" s="98" customFormat="1" x14ac:dyDescent="0.3">
      <c r="A692" s="16"/>
      <c r="B692" s="16" cm="1">
        <f t="array" ref="B692">+_xlfn.IFS(D692="In Touch - Positive",2,D692="Pending",1,D692="No Answer",4,D692="In Touch - Negative",3)</f>
        <v>4</v>
      </c>
      <c r="C692" s="16" t="s">
        <v>213</v>
      </c>
      <c r="D692" s="99" t="str">
        <f t="shared" si="81"/>
        <v>No Answer</v>
      </c>
      <c r="E692" s="12" t="s">
        <v>2087</v>
      </c>
      <c r="F692" s="12"/>
      <c r="G692" s="13" t="s">
        <v>271</v>
      </c>
      <c r="H692" s="14"/>
      <c r="I692" s="13"/>
      <c r="J692" s="15" t="s">
        <v>1821</v>
      </c>
      <c r="K692" s="15" t="s">
        <v>1822</v>
      </c>
      <c r="L692" s="15"/>
      <c r="M692" s="15"/>
      <c r="N692" s="15"/>
      <c r="O692" s="15"/>
      <c r="P692" s="15"/>
      <c r="Q692" s="15"/>
      <c r="R692" s="16"/>
      <c r="S692" s="35"/>
      <c r="T692" s="13"/>
      <c r="U692" s="17"/>
      <c r="V692" s="17"/>
      <c r="W692" s="60"/>
      <c r="X692" s="17"/>
      <c r="Y692" s="17"/>
      <c r="Z692" s="16"/>
      <c r="AA692" s="15" t="s">
        <v>140</v>
      </c>
      <c r="AB692" s="17"/>
      <c r="AC692" s="21" t="s">
        <v>78</v>
      </c>
      <c r="AD692" s="21" t="s">
        <v>78</v>
      </c>
      <c r="AE692" s="21" t="s">
        <v>86</v>
      </c>
      <c r="AF692" s="17"/>
      <c r="AG692" s="15"/>
      <c r="AH692" s="16"/>
      <c r="AI692" s="16"/>
      <c r="AJ692" s="42">
        <f t="shared" ca="1" si="77"/>
        <v>464</v>
      </c>
      <c r="AK692" s="42">
        <f t="shared" ca="1" si="78"/>
        <v>442</v>
      </c>
      <c r="AL692" s="130" t="str">
        <f t="shared" si="79"/>
        <v>No Answer</v>
      </c>
      <c r="AM692" s="37">
        <v>45200</v>
      </c>
      <c r="AN692" s="38">
        <v>45202</v>
      </c>
      <c r="AO692" s="38"/>
      <c r="AP692" s="38"/>
      <c r="AQ692" s="38"/>
      <c r="AR692" s="101" t="s">
        <v>1763</v>
      </c>
      <c r="AS692" s="38">
        <v>45222</v>
      </c>
      <c r="AT692" s="11" t="s">
        <v>7</v>
      </c>
    </row>
    <row r="693" spans="1:46" s="98" customFormat="1" x14ac:dyDescent="0.3">
      <c r="A693" s="16"/>
      <c r="B693" s="16" cm="1">
        <f t="array" ref="B693">+_xlfn.IFS(D693="In Touch - Positive",2,D693="Pending",1,D693="No Answer",4,D693="In Touch - Negative",3)</f>
        <v>4</v>
      </c>
      <c r="C693" s="16" t="s">
        <v>213</v>
      </c>
      <c r="D693" s="99" t="str">
        <f t="shared" si="81"/>
        <v>No Answer</v>
      </c>
      <c r="E693" s="12" t="s">
        <v>2088</v>
      </c>
      <c r="F693" s="12"/>
      <c r="G693" s="13" t="s">
        <v>91</v>
      </c>
      <c r="H693" s="14"/>
      <c r="I693" s="13"/>
      <c r="J693" s="15" t="s">
        <v>1821</v>
      </c>
      <c r="K693" s="15" t="s">
        <v>2089</v>
      </c>
      <c r="L693" s="15"/>
      <c r="M693" s="15"/>
      <c r="N693" s="15"/>
      <c r="O693" s="15"/>
      <c r="P693" s="15"/>
      <c r="Q693" s="15"/>
      <c r="R693" s="16"/>
      <c r="S693" s="35"/>
      <c r="T693" s="13"/>
      <c r="U693" s="17"/>
      <c r="V693" s="17"/>
      <c r="W693" s="60"/>
      <c r="X693" s="17"/>
      <c r="Y693" s="17"/>
      <c r="Z693" s="16"/>
      <c r="AA693" s="15" t="s">
        <v>140</v>
      </c>
      <c r="AB693" s="17"/>
      <c r="AC693" s="21" t="s">
        <v>78</v>
      </c>
      <c r="AD693" s="21" t="s">
        <v>78</v>
      </c>
      <c r="AE693" s="21" t="s">
        <v>86</v>
      </c>
      <c r="AF693" s="17"/>
      <c r="AG693" s="15"/>
      <c r="AH693" s="16"/>
      <c r="AI693" s="16"/>
      <c r="AJ693" s="42">
        <f t="shared" ca="1" si="77"/>
        <v>464</v>
      </c>
      <c r="AK693" s="42">
        <f t="shared" ca="1" si="78"/>
        <v>462</v>
      </c>
      <c r="AL693" s="130" t="str">
        <f t="shared" si="79"/>
        <v>No Answer</v>
      </c>
      <c r="AM693" s="37">
        <v>45200</v>
      </c>
      <c r="AN693" s="38">
        <v>45202</v>
      </c>
      <c r="AO693" s="38"/>
      <c r="AP693" s="38"/>
      <c r="AQ693" s="38"/>
      <c r="AR693" s="101" t="s">
        <v>1763</v>
      </c>
      <c r="AS693" s="38">
        <v>45202</v>
      </c>
      <c r="AT693" s="11" t="s">
        <v>7</v>
      </c>
    </row>
    <row r="694" spans="1:46" s="98" customFormat="1" x14ac:dyDescent="0.3">
      <c r="B694" s="16" cm="1">
        <f t="array" ref="B694">+_xlfn.IFS(D694="In Touch - Positive",2,D694="Pending",1,D694="No Answer",4,D694="In Touch - Negative",3)</f>
        <v>4</v>
      </c>
      <c r="C694" s="16" t="s">
        <v>213</v>
      </c>
      <c r="D694" s="99" t="str">
        <f t="shared" si="81"/>
        <v>No Answer</v>
      </c>
      <c r="E694" s="12" t="s">
        <v>2090</v>
      </c>
      <c r="F694" s="12"/>
      <c r="G694" s="13" t="s">
        <v>2076</v>
      </c>
      <c r="H694" s="14"/>
      <c r="I694" s="13"/>
      <c r="J694" s="15" t="s">
        <v>1821</v>
      </c>
      <c r="K694" s="15" t="s">
        <v>1822</v>
      </c>
      <c r="L694" s="15"/>
      <c r="M694" s="15"/>
      <c r="N694" s="15"/>
      <c r="O694" s="15"/>
      <c r="P694" s="15"/>
      <c r="Q694" s="15"/>
      <c r="R694" s="16"/>
      <c r="S694" s="35"/>
      <c r="T694" s="13"/>
      <c r="U694" s="17"/>
      <c r="V694" s="17"/>
      <c r="W694" s="60"/>
      <c r="X694" s="17"/>
      <c r="Y694" s="17"/>
      <c r="Z694" s="16"/>
      <c r="AA694" s="15" t="s">
        <v>140</v>
      </c>
      <c r="AB694" s="17"/>
      <c r="AC694" s="21" t="s">
        <v>78</v>
      </c>
      <c r="AD694" s="21" t="s">
        <v>78</v>
      </c>
      <c r="AE694" s="21" t="s">
        <v>86</v>
      </c>
      <c r="AF694" s="17"/>
      <c r="AG694" s="15"/>
      <c r="AH694" s="16"/>
      <c r="AI694" s="16"/>
      <c r="AJ694" s="42">
        <f t="shared" ca="1" si="77"/>
        <v>464</v>
      </c>
      <c r="AK694" s="42">
        <f t="shared" ca="1" si="78"/>
        <v>462</v>
      </c>
      <c r="AL694" s="130" t="str">
        <f t="shared" si="79"/>
        <v>No Answer</v>
      </c>
      <c r="AM694" s="37">
        <v>45200</v>
      </c>
      <c r="AN694" s="38">
        <v>45202</v>
      </c>
      <c r="AO694" s="38"/>
      <c r="AP694" s="38" t="s">
        <v>65</v>
      </c>
      <c r="AQ694" s="38"/>
      <c r="AR694" s="101" t="s">
        <v>1763</v>
      </c>
      <c r="AS694" s="38">
        <v>45202</v>
      </c>
      <c r="AT694" s="11" t="s">
        <v>7</v>
      </c>
    </row>
    <row r="695" spans="1:46" s="98" customFormat="1" x14ac:dyDescent="0.3">
      <c r="B695" s="16" cm="1">
        <f t="array" ref="B695">+_xlfn.IFS(D695="In Touch - Positive",2,D695="Pending",1,D695="No Answer",4,D695="In Touch - Negative",3)</f>
        <v>4</v>
      </c>
      <c r="C695" s="16" t="s">
        <v>1831</v>
      </c>
      <c r="D695" s="99" t="str">
        <f t="shared" si="81"/>
        <v>No Answer</v>
      </c>
      <c r="E695" s="12" t="s">
        <v>2091</v>
      </c>
      <c r="F695" s="12"/>
      <c r="G695" s="13" t="s">
        <v>232</v>
      </c>
      <c r="H695" s="14"/>
      <c r="I695" s="13"/>
      <c r="J695" s="100" t="s">
        <v>202</v>
      </c>
      <c r="K695" s="15" t="s">
        <v>2092</v>
      </c>
      <c r="L695" s="15"/>
      <c r="M695" s="15"/>
      <c r="N695" s="15"/>
      <c r="O695" s="15"/>
      <c r="P695" s="15"/>
      <c r="Q695" s="15"/>
      <c r="R695" s="16"/>
      <c r="S695" s="35"/>
      <c r="T695" s="13"/>
      <c r="U695" s="17"/>
      <c r="V695" s="17"/>
      <c r="W695" s="60"/>
      <c r="X695" s="17"/>
      <c r="Y695" s="17"/>
      <c r="Z695" s="16"/>
      <c r="AA695" s="15" t="s">
        <v>140</v>
      </c>
      <c r="AB695" s="17"/>
      <c r="AC695" s="21" t="s">
        <v>78</v>
      </c>
      <c r="AD695" s="21" t="s">
        <v>78</v>
      </c>
      <c r="AE695" s="21" t="s">
        <v>128</v>
      </c>
      <c r="AF695" s="17"/>
      <c r="AG695" s="15"/>
      <c r="AH695" s="16"/>
      <c r="AI695" s="16"/>
      <c r="AJ695" s="42">
        <f t="shared" ca="1" si="77"/>
        <v>477</v>
      </c>
      <c r="AK695" s="42">
        <f t="shared" ca="1" si="78"/>
        <v>470</v>
      </c>
      <c r="AL695" s="130" t="str">
        <f t="shared" si="79"/>
        <v>No Answer</v>
      </c>
      <c r="AM695" s="37">
        <v>45187</v>
      </c>
      <c r="AN695" s="38">
        <v>45188</v>
      </c>
      <c r="AO695" s="38">
        <v>45194</v>
      </c>
      <c r="AP695" s="38" t="s">
        <v>65</v>
      </c>
      <c r="AQ695" s="38" t="s">
        <v>65</v>
      </c>
      <c r="AR695" s="101" t="s">
        <v>1763</v>
      </c>
      <c r="AS695" s="38">
        <v>45194</v>
      </c>
      <c r="AT695" s="11" t="s">
        <v>7</v>
      </c>
    </row>
    <row r="696" spans="1:46" s="98" customFormat="1" x14ac:dyDescent="0.3">
      <c r="B696" s="16" cm="1">
        <f t="array" ref="B696">+_xlfn.IFS(D696="In Touch - Positive",2,D696="Pending",1,D696="No Answer",4,D696="In Touch - Negative",3)</f>
        <v>4</v>
      </c>
      <c r="C696" s="16" t="s">
        <v>1831</v>
      </c>
      <c r="D696" s="99" t="str">
        <f t="shared" si="81"/>
        <v>No Answer</v>
      </c>
      <c r="E696" s="12" t="s">
        <v>2093</v>
      </c>
      <c r="F696" s="12"/>
      <c r="G696" s="13" t="s">
        <v>103</v>
      </c>
      <c r="H696" s="14"/>
      <c r="I696" s="13"/>
      <c r="J696" s="100" t="s">
        <v>202</v>
      </c>
      <c r="K696" s="15" t="s">
        <v>2094</v>
      </c>
      <c r="L696" s="15"/>
      <c r="M696" s="15"/>
      <c r="N696" s="15"/>
      <c r="O696" s="15"/>
      <c r="P696" s="15"/>
      <c r="Q696" s="15"/>
      <c r="R696" s="16"/>
      <c r="S696" s="35"/>
      <c r="T696" s="13"/>
      <c r="U696" s="17"/>
      <c r="V696" s="17"/>
      <c r="W696" s="60"/>
      <c r="X696" s="17"/>
      <c r="Y696" s="17"/>
      <c r="Z696" s="16"/>
      <c r="AA696" s="15" t="s">
        <v>140</v>
      </c>
      <c r="AB696" s="17"/>
      <c r="AC696" s="21" t="s">
        <v>78</v>
      </c>
      <c r="AD696" s="21" t="s">
        <v>78</v>
      </c>
      <c r="AE696" s="21" t="s">
        <v>128</v>
      </c>
      <c r="AF696" s="17"/>
      <c r="AG696" s="15"/>
      <c r="AH696" s="16"/>
      <c r="AI696" s="16"/>
      <c r="AJ696" s="42">
        <f t="shared" ca="1" si="77"/>
        <v>477</v>
      </c>
      <c r="AK696" s="42">
        <f t="shared" ca="1" si="78"/>
        <v>475</v>
      </c>
      <c r="AL696" s="130" t="str">
        <f t="shared" si="79"/>
        <v>No Answer</v>
      </c>
      <c r="AM696" s="37">
        <v>45187</v>
      </c>
      <c r="AN696" s="38">
        <v>45189</v>
      </c>
      <c r="AO696" s="38">
        <v>45195</v>
      </c>
      <c r="AP696" s="38">
        <v>45198</v>
      </c>
      <c r="AQ696" s="38" t="s">
        <v>65</v>
      </c>
      <c r="AR696" s="101" t="s">
        <v>1763</v>
      </c>
      <c r="AS696" s="38">
        <v>45189</v>
      </c>
      <c r="AT696" s="11" t="s">
        <v>7</v>
      </c>
    </row>
    <row r="697" spans="1:46" s="98" customFormat="1" x14ac:dyDescent="0.3">
      <c r="A697" s="16"/>
      <c r="B697" s="16" cm="1">
        <f t="array" ref="B697">+_xlfn.IFS(D697="In Touch - Positive",2,D697="Pending",1,D697="No Answer",4,D697="In Touch - Negative",3)</f>
        <v>4</v>
      </c>
      <c r="C697" s="16" t="s">
        <v>213</v>
      </c>
      <c r="D697" s="99" t="str">
        <f t="shared" si="81"/>
        <v>No Answer</v>
      </c>
      <c r="E697" s="12" t="s">
        <v>2095</v>
      </c>
      <c r="F697" s="12"/>
      <c r="G697" s="13" t="s">
        <v>103</v>
      </c>
      <c r="H697" s="14"/>
      <c r="I697" s="13"/>
      <c r="J697" s="15" t="s">
        <v>927</v>
      </c>
      <c r="K697" s="15" t="s">
        <v>2096</v>
      </c>
      <c r="L697" s="15"/>
      <c r="M697" s="15"/>
      <c r="N697" s="15"/>
      <c r="O697" s="15"/>
      <c r="P697" s="15"/>
      <c r="Q697" s="15"/>
      <c r="R697" s="16"/>
      <c r="S697" s="35"/>
      <c r="T697" s="13"/>
      <c r="U697" s="17"/>
      <c r="V697" s="17"/>
      <c r="W697" s="60"/>
      <c r="X697" s="17"/>
      <c r="Y697" s="17"/>
      <c r="Z697" s="16"/>
      <c r="AA697" s="15" t="s">
        <v>140</v>
      </c>
      <c r="AB697" s="17"/>
      <c r="AC697" s="21" t="s">
        <v>78</v>
      </c>
      <c r="AD697" s="21" t="s">
        <v>78</v>
      </c>
      <c r="AE697" s="21" t="s">
        <v>86</v>
      </c>
      <c r="AF697" s="17"/>
      <c r="AG697" s="15"/>
      <c r="AH697" s="16"/>
      <c r="AI697" s="16"/>
      <c r="AJ697" s="42">
        <f t="shared" ca="1" si="77"/>
        <v>484</v>
      </c>
      <c r="AK697" s="42">
        <f t="shared" ca="1" si="78"/>
        <v>477</v>
      </c>
      <c r="AL697" s="130" t="str">
        <f t="shared" si="79"/>
        <v>No Answer</v>
      </c>
      <c r="AM697" s="37">
        <v>45180</v>
      </c>
      <c r="AN697" s="38">
        <v>45181</v>
      </c>
      <c r="AO697" s="38">
        <v>45187</v>
      </c>
      <c r="AP697" s="38">
        <v>45198</v>
      </c>
      <c r="AQ697" s="38"/>
      <c r="AR697" s="101" t="s">
        <v>1763</v>
      </c>
      <c r="AS697" s="38">
        <v>45187</v>
      </c>
      <c r="AT697" s="11" t="s">
        <v>7</v>
      </c>
    </row>
    <row r="698" spans="1:46" s="98" customFormat="1" x14ac:dyDescent="0.3">
      <c r="A698" s="16"/>
      <c r="B698" s="16" cm="1">
        <f t="array" ref="B698">+_xlfn.IFS(D698="In Touch - Positive",2,D698="Pending",1,D698="No Answer",4,D698="In Touch - Negative",3)</f>
        <v>4</v>
      </c>
      <c r="C698" s="16" t="s">
        <v>213</v>
      </c>
      <c r="D698" s="99" t="str">
        <f t="shared" si="81"/>
        <v>No Answer</v>
      </c>
      <c r="E698" s="12" t="s">
        <v>2097</v>
      </c>
      <c r="F698" s="12"/>
      <c r="G698" s="13" t="s">
        <v>103</v>
      </c>
      <c r="H698" s="14"/>
      <c r="I698" s="13"/>
      <c r="J698" s="100" t="s">
        <v>132</v>
      </c>
      <c r="K698" s="15" t="s">
        <v>2098</v>
      </c>
      <c r="L698" s="15"/>
      <c r="M698" s="15"/>
      <c r="N698" s="15"/>
      <c r="O698" s="15"/>
      <c r="P698" s="15"/>
      <c r="Q698" s="15"/>
      <c r="R698" s="16"/>
      <c r="S698" s="35"/>
      <c r="T698" s="13"/>
      <c r="U698" s="17"/>
      <c r="V698" s="17"/>
      <c r="W698" s="60"/>
      <c r="X698" s="17"/>
      <c r="Y698" s="17"/>
      <c r="Z698" s="16"/>
      <c r="AA698" s="15" t="s">
        <v>140</v>
      </c>
      <c r="AB698" s="17"/>
      <c r="AC698" s="21" t="s">
        <v>78</v>
      </c>
      <c r="AD698" s="21" t="s">
        <v>78</v>
      </c>
      <c r="AE698" s="21" t="s">
        <v>86</v>
      </c>
      <c r="AF698" s="17"/>
      <c r="AG698" s="15"/>
      <c r="AH698" s="16"/>
      <c r="AI698" s="16"/>
      <c r="AJ698" s="42">
        <f t="shared" ca="1" si="77"/>
        <v>498</v>
      </c>
      <c r="AK698" s="42">
        <f t="shared" ca="1" si="78"/>
        <v>477</v>
      </c>
      <c r="AL698" s="130" t="str">
        <f t="shared" si="79"/>
        <v>No Answer</v>
      </c>
      <c r="AM698" s="37">
        <v>45166</v>
      </c>
      <c r="AN698" s="38">
        <v>45181</v>
      </c>
      <c r="AO698" s="38">
        <v>45187</v>
      </c>
      <c r="AP698" s="38"/>
      <c r="AQ698" s="38"/>
      <c r="AR698" s="101" t="s">
        <v>1763</v>
      </c>
      <c r="AS698" s="38">
        <v>45187</v>
      </c>
      <c r="AT698" s="11" t="s">
        <v>7</v>
      </c>
    </row>
    <row r="699" spans="1:46" s="98" customFormat="1" x14ac:dyDescent="0.3">
      <c r="B699" s="16" cm="1">
        <f t="array" ref="B699">+_xlfn.IFS(D699="In Touch - Positive",2,D699="Pending",1,D699="No Answer",4,D699="In Touch - Negative",3)</f>
        <v>4</v>
      </c>
      <c r="C699" s="16" t="s">
        <v>1010</v>
      </c>
      <c r="D699" s="99" t="str">
        <f t="shared" si="81"/>
        <v>No Answer</v>
      </c>
      <c r="E699" s="12" t="s">
        <v>2099</v>
      </c>
      <c r="F699" s="12"/>
      <c r="G699" s="13" t="s">
        <v>103</v>
      </c>
      <c r="H699" s="14"/>
      <c r="I699" s="13"/>
      <c r="J699" s="100" t="s">
        <v>1835</v>
      </c>
      <c r="K699" s="15"/>
      <c r="L699" s="15"/>
      <c r="M699" s="15"/>
      <c r="N699" s="15"/>
      <c r="O699" s="15"/>
      <c r="P699" s="15"/>
      <c r="Q699" s="15"/>
      <c r="R699" s="16"/>
      <c r="S699" s="35"/>
      <c r="T699" s="13"/>
      <c r="U699" s="17"/>
      <c r="V699" s="17"/>
      <c r="W699" s="39"/>
      <c r="X699" s="17"/>
      <c r="Y699" s="17"/>
      <c r="Z699" s="16"/>
      <c r="AA699" s="15" t="s">
        <v>140</v>
      </c>
      <c r="AB699" s="17"/>
      <c r="AC699" s="21" t="s">
        <v>153</v>
      </c>
      <c r="AD699" s="21" t="s">
        <v>153</v>
      </c>
      <c r="AE699" s="61" t="s">
        <v>1792</v>
      </c>
      <c r="AF699" s="17"/>
      <c r="AG699" s="15"/>
      <c r="AH699" s="16"/>
      <c r="AI699" s="16"/>
      <c r="AJ699" s="42">
        <f t="shared" ca="1" si="77"/>
        <v>589</v>
      </c>
      <c r="AK699" s="42">
        <f t="shared" ca="1" si="78"/>
        <v>477</v>
      </c>
      <c r="AL699" s="130" t="str">
        <f t="shared" si="79"/>
        <v>No Answer</v>
      </c>
      <c r="AM699" s="37">
        <v>45075</v>
      </c>
      <c r="AN699" s="123">
        <v>45187</v>
      </c>
      <c r="AO699" s="38"/>
      <c r="AP699" s="38">
        <v>45189</v>
      </c>
      <c r="AQ699" s="38"/>
      <c r="AR699" s="101" t="s">
        <v>1763</v>
      </c>
      <c r="AS699" s="38">
        <v>45187</v>
      </c>
      <c r="AT699" s="11" t="s">
        <v>7</v>
      </c>
    </row>
    <row r="700" spans="1:46" s="98" customFormat="1" x14ac:dyDescent="0.3">
      <c r="B700" s="16" cm="1">
        <f t="array" ref="B700">+_xlfn.IFS(D700="In Touch - Positive",2,D700="Pending",1,D700="No Answer",4,D700="In Touch - Negative",3)</f>
        <v>4</v>
      </c>
      <c r="C700" s="16" t="s">
        <v>213</v>
      </c>
      <c r="D700" s="99" t="str">
        <f t="shared" si="81"/>
        <v>No Answer</v>
      </c>
      <c r="E700" s="12" t="s">
        <v>2100</v>
      </c>
      <c r="F700" s="12"/>
      <c r="G700" s="13" t="s">
        <v>103</v>
      </c>
      <c r="H700" s="14"/>
      <c r="I700" s="13"/>
      <c r="J700" s="100" t="s">
        <v>433</v>
      </c>
      <c r="K700" s="15" t="s">
        <v>2101</v>
      </c>
      <c r="L700" s="15"/>
      <c r="M700" s="15"/>
      <c r="N700" s="15"/>
      <c r="O700" s="15"/>
      <c r="P700" s="15"/>
      <c r="Q700" s="15"/>
      <c r="R700" s="16"/>
      <c r="S700" s="35"/>
      <c r="T700" s="13"/>
      <c r="U700" s="17"/>
      <c r="V700" s="17"/>
      <c r="W700" s="60"/>
      <c r="X700" s="17"/>
      <c r="Y700" s="17"/>
      <c r="Z700" s="16"/>
      <c r="AA700" s="15" t="s">
        <v>140</v>
      </c>
      <c r="AB700" s="17"/>
      <c r="AC700" s="21" t="s">
        <v>78</v>
      </c>
      <c r="AD700" s="21" t="s">
        <v>78</v>
      </c>
      <c r="AE700" s="21" t="s">
        <v>86</v>
      </c>
      <c r="AF700" s="17"/>
      <c r="AG700" s="15"/>
      <c r="AH700" s="16"/>
      <c r="AI700" s="16"/>
      <c r="AJ700" s="42">
        <f t="shared" ca="1" si="77"/>
        <v>484</v>
      </c>
      <c r="AK700" s="42">
        <f t="shared" ca="1" si="78"/>
        <v>477</v>
      </c>
      <c r="AL700" s="130" t="str">
        <f t="shared" si="79"/>
        <v>No Answer</v>
      </c>
      <c r="AM700" s="37">
        <v>45180</v>
      </c>
      <c r="AN700" s="38">
        <v>45181</v>
      </c>
      <c r="AO700" s="38">
        <v>45187</v>
      </c>
      <c r="AP700" s="38"/>
      <c r="AQ700" s="38" t="s">
        <v>65</v>
      </c>
      <c r="AR700" s="101" t="s">
        <v>1763</v>
      </c>
      <c r="AS700" s="38">
        <v>45187</v>
      </c>
      <c r="AT700" s="11" t="s">
        <v>7</v>
      </c>
    </row>
    <row r="701" spans="1:46" s="98" customFormat="1" x14ac:dyDescent="0.3">
      <c r="A701" s="16"/>
      <c r="B701" s="16" cm="1">
        <f t="array" ref="B701">+_xlfn.IFS(D701="In Touch - Positive",2,D701="Pending",1,D701="No Answer",4,D701="In Touch - Negative",3)</f>
        <v>4</v>
      </c>
      <c r="C701" s="16" t="s">
        <v>213</v>
      </c>
      <c r="D701" s="99" t="str">
        <f t="shared" si="81"/>
        <v>No Answer</v>
      </c>
      <c r="E701" s="12" t="s">
        <v>2102</v>
      </c>
      <c r="F701" s="12"/>
      <c r="G701" s="13" t="s">
        <v>130</v>
      </c>
      <c r="H701" s="14"/>
      <c r="I701" s="13"/>
      <c r="J701" s="100" t="s">
        <v>132</v>
      </c>
      <c r="K701" s="15" t="s">
        <v>2098</v>
      </c>
      <c r="L701" s="15"/>
      <c r="M701" s="15"/>
      <c r="N701" s="15"/>
      <c r="O701" s="15"/>
      <c r="P701" s="15"/>
      <c r="Q701" s="15"/>
      <c r="R701" s="16"/>
      <c r="S701" s="35"/>
      <c r="T701" s="13"/>
      <c r="U701" s="17"/>
      <c r="V701" s="17"/>
      <c r="W701" s="60"/>
      <c r="X701" s="17"/>
      <c r="Y701" s="17"/>
      <c r="Z701" s="16"/>
      <c r="AA701" s="15" t="s">
        <v>140</v>
      </c>
      <c r="AB701" s="17"/>
      <c r="AC701" s="21" t="s">
        <v>78</v>
      </c>
      <c r="AD701" s="21" t="s">
        <v>78</v>
      </c>
      <c r="AE701" s="21" t="s">
        <v>86</v>
      </c>
      <c r="AF701" s="17" t="s">
        <v>2103</v>
      </c>
      <c r="AG701" s="15"/>
      <c r="AH701" s="16"/>
      <c r="AI701" s="16"/>
      <c r="AJ701" s="42">
        <f t="shared" ca="1" si="77"/>
        <v>498</v>
      </c>
      <c r="AK701" s="42">
        <f t="shared" ca="1" si="78"/>
        <v>477</v>
      </c>
      <c r="AL701" s="130" t="str">
        <f t="shared" si="79"/>
        <v>No Answer</v>
      </c>
      <c r="AM701" s="37">
        <v>45166</v>
      </c>
      <c r="AN701" s="38">
        <v>45181</v>
      </c>
      <c r="AO701" s="38">
        <v>45187</v>
      </c>
      <c r="AP701" s="38"/>
      <c r="AQ701" s="38"/>
      <c r="AR701" s="101" t="s">
        <v>1763</v>
      </c>
      <c r="AS701" s="38">
        <v>45187</v>
      </c>
      <c r="AT701" s="11" t="s">
        <v>7</v>
      </c>
    </row>
    <row r="702" spans="1:46" s="98" customFormat="1" ht="12" customHeight="1" x14ac:dyDescent="0.3">
      <c r="B702" s="16" cm="1">
        <f t="array" ref="B702">+_xlfn.IFS(D702="In Touch - Positive",2,D702="Pending",1,D702="No Answer",4,D702="In Touch - Negative",3)</f>
        <v>4</v>
      </c>
      <c r="C702" s="16" t="s">
        <v>1010</v>
      </c>
      <c r="D702" s="99" t="str">
        <f t="shared" si="81"/>
        <v>No Answer</v>
      </c>
      <c r="E702" s="12" t="s">
        <v>2104</v>
      </c>
      <c r="F702" s="12"/>
      <c r="G702" s="13" t="s">
        <v>428</v>
      </c>
      <c r="H702" s="14"/>
      <c r="I702" s="13"/>
      <c r="J702" s="100" t="s">
        <v>377</v>
      </c>
      <c r="K702" s="15"/>
      <c r="L702" s="15"/>
      <c r="M702" s="15"/>
      <c r="N702" s="15"/>
      <c r="O702" s="15"/>
      <c r="P702" s="15"/>
      <c r="Q702" s="15"/>
      <c r="R702" s="16"/>
      <c r="S702" s="35"/>
      <c r="T702" s="13"/>
      <c r="U702" s="17"/>
      <c r="V702" s="17"/>
      <c r="W702" s="39"/>
      <c r="X702" s="17"/>
      <c r="Y702" s="17"/>
      <c r="Z702" s="16"/>
      <c r="AA702" s="15" t="s">
        <v>140</v>
      </c>
      <c r="AB702" s="17"/>
      <c r="AC702" s="21" t="s">
        <v>153</v>
      </c>
      <c r="AD702" s="21" t="s">
        <v>153</v>
      </c>
      <c r="AE702" s="61" t="s">
        <v>1792</v>
      </c>
      <c r="AF702" s="17"/>
      <c r="AG702" s="15"/>
      <c r="AH702" s="16"/>
      <c r="AI702" s="16"/>
      <c r="AJ702" s="42">
        <f t="shared" ca="1" si="77"/>
        <v>589</v>
      </c>
      <c r="AK702" s="42">
        <f t="shared" ca="1" si="78"/>
        <v>477</v>
      </c>
      <c r="AL702" s="130" t="str">
        <f t="shared" si="79"/>
        <v>No Answer</v>
      </c>
      <c r="AM702" s="37">
        <v>45075</v>
      </c>
      <c r="AN702" s="123">
        <v>45187</v>
      </c>
      <c r="AO702" s="38"/>
      <c r="AP702" s="38"/>
      <c r="AQ702" s="38"/>
      <c r="AR702" s="101" t="s">
        <v>1763</v>
      </c>
      <c r="AS702" s="38">
        <v>45187</v>
      </c>
      <c r="AT702" s="11" t="s">
        <v>7</v>
      </c>
    </row>
    <row r="703" spans="1:46" s="98" customFormat="1" x14ac:dyDescent="0.3">
      <c r="A703" s="97"/>
      <c r="B703" s="16" cm="1">
        <f t="array" ref="B703">+_xlfn.IFS(D703="In Touch - Positive",2,D703="Pending",1,D703="No Answer",4,D703="In Touch - Negative",3)</f>
        <v>4</v>
      </c>
      <c r="C703" s="16" t="s">
        <v>1010</v>
      </c>
      <c r="D703" s="99" t="str">
        <f t="shared" si="81"/>
        <v>No Answer</v>
      </c>
      <c r="E703" s="12" t="s">
        <v>2105</v>
      </c>
      <c r="F703" s="12"/>
      <c r="G703" s="13" t="s">
        <v>572</v>
      </c>
      <c r="H703" s="14"/>
      <c r="I703" s="13"/>
      <c r="J703" s="100" t="s">
        <v>1835</v>
      </c>
      <c r="K703" s="15"/>
      <c r="L703" s="15"/>
      <c r="M703" s="15"/>
      <c r="N703" s="15"/>
      <c r="O703" s="15"/>
      <c r="P703" s="15"/>
      <c r="Q703" s="15"/>
      <c r="R703" s="16"/>
      <c r="S703" s="35"/>
      <c r="T703" s="13"/>
      <c r="U703" s="17"/>
      <c r="V703" s="17"/>
      <c r="W703" s="39"/>
      <c r="X703" s="17"/>
      <c r="Y703" s="17"/>
      <c r="Z703" s="16"/>
      <c r="AA703" s="15" t="s">
        <v>140</v>
      </c>
      <c r="AB703" s="17"/>
      <c r="AC703" s="21" t="s">
        <v>153</v>
      </c>
      <c r="AD703" s="21" t="s">
        <v>153</v>
      </c>
      <c r="AE703" s="61" t="s">
        <v>1792</v>
      </c>
      <c r="AF703" s="17"/>
      <c r="AG703" s="15"/>
      <c r="AH703" s="16"/>
      <c r="AI703" s="16"/>
      <c r="AJ703" s="42">
        <f t="shared" ca="1" si="77"/>
        <v>589</v>
      </c>
      <c r="AK703" s="42">
        <f t="shared" ca="1" si="78"/>
        <v>477</v>
      </c>
      <c r="AL703" s="130" t="str">
        <f t="shared" si="79"/>
        <v>No Answer</v>
      </c>
      <c r="AM703" s="37">
        <v>45075</v>
      </c>
      <c r="AN703" s="123">
        <v>45187</v>
      </c>
      <c r="AO703" s="38"/>
      <c r="AP703" s="38"/>
      <c r="AQ703" s="38"/>
      <c r="AR703" s="101" t="s">
        <v>1763</v>
      </c>
      <c r="AS703" s="38">
        <v>45187</v>
      </c>
      <c r="AT703" s="11" t="s">
        <v>7</v>
      </c>
    </row>
    <row r="704" spans="1:46" s="98" customFormat="1" x14ac:dyDescent="0.3">
      <c r="A704" s="16"/>
      <c r="B704" s="16" cm="1">
        <f t="array" ref="B704">+_xlfn.IFS(D704="In Touch - Positive",2,D704="Pending",1,D704="No Answer",4,D704="In Touch - Negative",3)</f>
        <v>4</v>
      </c>
      <c r="C704" s="16" t="s">
        <v>1010</v>
      </c>
      <c r="D704" s="99" t="str">
        <f t="shared" si="81"/>
        <v>No Answer</v>
      </c>
      <c r="E704" s="12" t="s">
        <v>2106</v>
      </c>
      <c r="F704" s="12"/>
      <c r="G704" s="13" t="s">
        <v>428</v>
      </c>
      <c r="H704" s="14"/>
      <c r="I704" s="13"/>
      <c r="J704" s="100" t="s">
        <v>377</v>
      </c>
      <c r="K704" s="15"/>
      <c r="L704" s="15"/>
      <c r="M704" s="15"/>
      <c r="N704" s="15"/>
      <c r="O704" s="15"/>
      <c r="P704" s="15"/>
      <c r="Q704" s="15"/>
      <c r="R704" s="16"/>
      <c r="S704" s="35"/>
      <c r="T704" s="13"/>
      <c r="U704" s="17"/>
      <c r="V704" s="17"/>
      <c r="W704" s="39"/>
      <c r="X704" s="17"/>
      <c r="Y704" s="17"/>
      <c r="Z704" s="16"/>
      <c r="AA704" s="15" t="s">
        <v>140</v>
      </c>
      <c r="AB704" s="17"/>
      <c r="AC704" s="21" t="s">
        <v>153</v>
      </c>
      <c r="AD704" s="21" t="s">
        <v>153</v>
      </c>
      <c r="AE704" s="61" t="s">
        <v>1792</v>
      </c>
      <c r="AF704" s="17"/>
      <c r="AG704" s="15"/>
      <c r="AH704" s="16"/>
      <c r="AI704" s="16"/>
      <c r="AJ704" s="42">
        <f t="shared" ca="1" si="77"/>
        <v>589</v>
      </c>
      <c r="AK704" s="42">
        <f t="shared" ca="1" si="78"/>
        <v>477</v>
      </c>
      <c r="AL704" s="130" t="str">
        <f t="shared" si="79"/>
        <v>No Answer</v>
      </c>
      <c r="AM704" s="37">
        <v>45075</v>
      </c>
      <c r="AN704" s="38">
        <v>45187</v>
      </c>
      <c r="AO704" s="38"/>
      <c r="AP704" s="38"/>
      <c r="AQ704" s="38"/>
      <c r="AR704" s="101" t="s">
        <v>1763</v>
      </c>
      <c r="AS704" s="38">
        <v>45187</v>
      </c>
      <c r="AT704" s="11" t="s">
        <v>7</v>
      </c>
    </row>
    <row r="705" spans="1:46" s="98" customFormat="1" x14ac:dyDescent="0.3">
      <c r="A705" s="16"/>
      <c r="B705" s="16" cm="1">
        <f t="array" ref="B705">+_xlfn.IFS(D705="In Touch - Positive",2,D705="Pending",1,D705="No Answer",4,D705="In Touch - Negative",3)</f>
        <v>4</v>
      </c>
      <c r="C705" s="16" t="s">
        <v>1010</v>
      </c>
      <c r="D705" s="99" t="str">
        <f t="shared" si="81"/>
        <v>No Answer</v>
      </c>
      <c r="E705" s="12" t="s">
        <v>2107</v>
      </c>
      <c r="F705" s="12"/>
      <c r="G705" s="13" t="s">
        <v>924</v>
      </c>
      <c r="H705" s="14"/>
      <c r="I705" s="13"/>
      <c r="J705" s="100" t="s">
        <v>377</v>
      </c>
      <c r="K705" s="15"/>
      <c r="L705" s="15"/>
      <c r="M705" s="15"/>
      <c r="N705" s="15"/>
      <c r="O705" s="15"/>
      <c r="P705" s="15"/>
      <c r="Q705" s="15"/>
      <c r="R705" s="16"/>
      <c r="S705" s="35"/>
      <c r="T705" s="13"/>
      <c r="U705" s="17"/>
      <c r="V705" s="17"/>
      <c r="W705" s="39"/>
      <c r="X705" s="17"/>
      <c r="Y705" s="17"/>
      <c r="Z705" s="16"/>
      <c r="AA705" s="15" t="s">
        <v>140</v>
      </c>
      <c r="AB705" s="17"/>
      <c r="AC705" s="21" t="s">
        <v>153</v>
      </c>
      <c r="AD705" s="21" t="s">
        <v>153</v>
      </c>
      <c r="AE705" s="61" t="s">
        <v>1792</v>
      </c>
      <c r="AF705" s="17"/>
      <c r="AG705" s="15"/>
      <c r="AH705" s="16"/>
      <c r="AI705" s="16"/>
      <c r="AJ705" s="42">
        <f t="shared" ca="1" si="77"/>
        <v>589</v>
      </c>
      <c r="AK705" s="42">
        <f t="shared" ca="1" si="78"/>
        <v>477</v>
      </c>
      <c r="AL705" s="130" t="str">
        <f t="shared" si="79"/>
        <v>No Answer</v>
      </c>
      <c r="AM705" s="37">
        <v>45075</v>
      </c>
      <c r="AN705" s="38">
        <v>45187</v>
      </c>
      <c r="AO705" s="38"/>
      <c r="AP705" s="38"/>
      <c r="AQ705" s="38"/>
      <c r="AR705" s="101" t="s">
        <v>1763</v>
      </c>
      <c r="AS705" s="38">
        <v>45187</v>
      </c>
      <c r="AT705" s="11" t="s">
        <v>7</v>
      </c>
    </row>
    <row r="706" spans="1:46" s="98" customFormat="1" x14ac:dyDescent="0.3">
      <c r="A706" s="16"/>
      <c r="B706" s="16" cm="1">
        <f t="array" ref="B706">+_xlfn.IFS(D706="In Touch - Positive",2,D706="Pending",1,D706="No Answer",4,D706="In Touch - Negative",3)</f>
        <v>4</v>
      </c>
      <c r="C706" s="16" t="s">
        <v>1010</v>
      </c>
      <c r="D706" s="99" t="str">
        <f t="shared" si="81"/>
        <v>No Answer</v>
      </c>
      <c r="E706" s="12" t="s">
        <v>2108</v>
      </c>
      <c r="F706" s="12"/>
      <c r="G706" s="13" t="s">
        <v>308</v>
      </c>
      <c r="H706" s="14"/>
      <c r="I706" s="13"/>
      <c r="J706" s="100" t="s">
        <v>377</v>
      </c>
      <c r="K706" s="15"/>
      <c r="L706" s="15"/>
      <c r="M706" s="15"/>
      <c r="N706" s="15"/>
      <c r="O706" s="15"/>
      <c r="P706" s="15"/>
      <c r="Q706" s="15"/>
      <c r="R706" s="16"/>
      <c r="S706" s="35"/>
      <c r="T706" s="13"/>
      <c r="U706" s="17"/>
      <c r="V706" s="17"/>
      <c r="W706" s="39"/>
      <c r="X706" s="17"/>
      <c r="Y706" s="17"/>
      <c r="Z706" s="16"/>
      <c r="AA706" s="15" t="s">
        <v>140</v>
      </c>
      <c r="AB706" s="17"/>
      <c r="AC706" s="21" t="s">
        <v>153</v>
      </c>
      <c r="AD706" s="21" t="s">
        <v>153</v>
      </c>
      <c r="AE706" s="61" t="s">
        <v>1792</v>
      </c>
      <c r="AF706" s="17"/>
      <c r="AG706" s="15"/>
      <c r="AH706" s="16"/>
      <c r="AI706" s="16"/>
      <c r="AJ706" s="42">
        <f t="shared" ca="1" si="77"/>
        <v>589</v>
      </c>
      <c r="AK706" s="42">
        <f t="shared" ca="1" si="78"/>
        <v>477</v>
      </c>
      <c r="AL706" s="130" t="str">
        <f t="shared" si="79"/>
        <v>No Answer</v>
      </c>
      <c r="AM706" s="37">
        <v>45075</v>
      </c>
      <c r="AN706" s="38">
        <v>45187</v>
      </c>
      <c r="AO706" s="38"/>
      <c r="AP706" s="38"/>
      <c r="AQ706" s="38"/>
      <c r="AR706" s="101" t="s">
        <v>1763</v>
      </c>
      <c r="AS706" s="38">
        <v>45187</v>
      </c>
      <c r="AT706" s="11" t="s">
        <v>7</v>
      </c>
    </row>
    <row r="707" spans="1:46" s="98" customFormat="1" x14ac:dyDescent="0.3">
      <c r="A707" s="16"/>
      <c r="B707" s="16" cm="1">
        <f t="array" ref="B707">+_xlfn.IFS(D707="In Touch - Positive",2,D707="Pending",1,D707="No Answer",4,D707="In Touch - Negative",3)</f>
        <v>4</v>
      </c>
      <c r="C707" s="16" t="s">
        <v>1010</v>
      </c>
      <c r="D707" s="99" t="str">
        <f t="shared" si="81"/>
        <v>No Answer</v>
      </c>
      <c r="E707" s="12" t="s">
        <v>2109</v>
      </c>
      <c r="F707" s="12"/>
      <c r="G707" s="13" t="s">
        <v>1446</v>
      </c>
      <c r="H707" s="14"/>
      <c r="I707" s="13"/>
      <c r="J707" s="100" t="s">
        <v>377</v>
      </c>
      <c r="K707" s="15"/>
      <c r="L707" s="15"/>
      <c r="M707" s="15"/>
      <c r="N707" s="15"/>
      <c r="O707" s="15"/>
      <c r="P707" s="15"/>
      <c r="Q707" s="15"/>
      <c r="R707" s="16"/>
      <c r="S707" s="35"/>
      <c r="T707" s="13"/>
      <c r="U707" s="17"/>
      <c r="V707" s="17"/>
      <c r="W707" s="39"/>
      <c r="X707" s="17"/>
      <c r="Y707" s="17"/>
      <c r="Z707" s="16"/>
      <c r="AA707" s="15" t="s">
        <v>140</v>
      </c>
      <c r="AB707" s="17"/>
      <c r="AC707" s="21" t="s">
        <v>153</v>
      </c>
      <c r="AD707" s="21" t="s">
        <v>153</v>
      </c>
      <c r="AE707" s="61" t="s">
        <v>1792</v>
      </c>
      <c r="AF707" s="17"/>
      <c r="AG707" s="15"/>
      <c r="AH707" s="16"/>
      <c r="AI707" s="16"/>
      <c r="AJ707" s="42">
        <f t="shared" ca="1" si="77"/>
        <v>589</v>
      </c>
      <c r="AK707" s="42">
        <f t="shared" ca="1" si="78"/>
        <v>477</v>
      </c>
      <c r="AL707" s="130" t="str">
        <f t="shared" si="79"/>
        <v>No Answer</v>
      </c>
      <c r="AM707" s="37">
        <v>45075</v>
      </c>
      <c r="AN707" s="38">
        <v>45187</v>
      </c>
      <c r="AO707" s="38"/>
      <c r="AP707" s="38"/>
      <c r="AQ707" s="38"/>
      <c r="AR707" s="101" t="s">
        <v>1763</v>
      </c>
      <c r="AS707" s="38">
        <v>45187</v>
      </c>
      <c r="AT707" s="11" t="s">
        <v>7</v>
      </c>
    </row>
    <row r="708" spans="1:46" s="98" customFormat="1" x14ac:dyDescent="0.3">
      <c r="A708" s="16"/>
      <c r="B708" s="16" cm="1">
        <f t="array" ref="B708">+_xlfn.IFS(D708="In Touch - Positive",2,D708="Pending",1,D708="No Answer",4,D708="In Touch - Negative",3)</f>
        <v>4</v>
      </c>
      <c r="C708" s="16" t="s">
        <v>1010</v>
      </c>
      <c r="D708" s="99" t="str">
        <f t="shared" si="81"/>
        <v>No Answer</v>
      </c>
      <c r="E708" s="12" t="s">
        <v>2110</v>
      </c>
      <c r="F708" s="12"/>
      <c r="G708" s="13" t="s">
        <v>333</v>
      </c>
      <c r="H708" s="14"/>
      <c r="I708" s="13"/>
      <c r="J708" s="100" t="s">
        <v>377</v>
      </c>
      <c r="K708" s="15"/>
      <c r="L708" s="15"/>
      <c r="M708" s="15"/>
      <c r="N708" s="15"/>
      <c r="O708" s="15"/>
      <c r="P708" s="15"/>
      <c r="Q708" s="15"/>
      <c r="R708" s="16"/>
      <c r="S708" s="35"/>
      <c r="T708" s="13"/>
      <c r="U708" s="17"/>
      <c r="V708" s="17"/>
      <c r="W708" s="39"/>
      <c r="X708" s="17"/>
      <c r="Y708" s="17"/>
      <c r="Z708" s="16"/>
      <c r="AA708" s="15" t="s">
        <v>140</v>
      </c>
      <c r="AB708" s="17"/>
      <c r="AC708" s="21" t="s">
        <v>153</v>
      </c>
      <c r="AD708" s="21" t="s">
        <v>153</v>
      </c>
      <c r="AE708" s="61" t="s">
        <v>1792</v>
      </c>
      <c r="AF708" s="17"/>
      <c r="AG708" s="15"/>
      <c r="AH708" s="16"/>
      <c r="AI708" s="16"/>
      <c r="AJ708" s="42">
        <f t="shared" ca="1" si="77"/>
        <v>589</v>
      </c>
      <c r="AK708" s="42">
        <f t="shared" ca="1" si="78"/>
        <v>477</v>
      </c>
      <c r="AL708" s="130" t="str">
        <f t="shared" si="79"/>
        <v>No Answer</v>
      </c>
      <c r="AM708" s="37">
        <v>45075</v>
      </c>
      <c r="AN708" s="38">
        <v>45187</v>
      </c>
      <c r="AO708" s="38"/>
      <c r="AP708" s="38"/>
      <c r="AQ708" s="38"/>
      <c r="AR708" s="101" t="s">
        <v>1763</v>
      </c>
      <c r="AS708" s="38">
        <v>45187</v>
      </c>
      <c r="AT708" s="11" t="s">
        <v>7</v>
      </c>
    </row>
    <row r="709" spans="1:46" s="98" customFormat="1" x14ac:dyDescent="0.3">
      <c r="A709" s="16"/>
      <c r="B709" s="16" cm="1">
        <f t="array" ref="B709">+_xlfn.IFS(D709="In Touch - Positive",2,D709="Pending",1,D709="No Answer",4,D709="In Touch - Negative",3)</f>
        <v>4</v>
      </c>
      <c r="C709" s="16" t="s">
        <v>1850</v>
      </c>
      <c r="D709" s="99" t="str">
        <f t="shared" si="81"/>
        <v>No Answer</v>
      </c>
      <c r="E709" s="12" t="s">
        <v>2111</v>
      </c>
      <c r="F709" s="12"/>
      <c r="G709" s="13" t="s">
        <v>463</v>
      </c>
      <c r="H709" s="14" t="s">
        <v>2112</v>
      </c>
      <c r="I709" s="13"/>
      <c r="J709" s="100" t="s">
        <v>111</v>
      </c>
      <c r="K709" s="15" t="s">
        <v>2113</v>
      </c>
      <c r="L709" s="15"/>
      <c r="M709" s="15"/>
      <c r="N709" s="15"/>
      <c r="O709" s="15"/>
      <c r="P709" s="15"/>
      <c r="Q709" s="15"/>
      <c r="R709" s="16"/>
      <c r="S709" s="35"/>
      <c r="T709" s="13">
        <v>2021</v>
      </c>
      <c r="U709" s="17">
        <v>9.0259999999999998</v>
      </c>
      <c r="V709" s="17">
        <v>1.8740000000000001</v>
      </c>
      <c r="W709" s="39">
        <f>+V709/U709</f>
        <v>0.20762242410813209</v>
      </c>
      <c r="X709" s="17"/>
      <c r="Y709" s="17">
        <v>-0.28999999999999998</v>
      </c>
      <c r="Z709" s="16"/>
      <c r="AA709" s="15" t="s">
        <v>140</v>
      </c>
      <c r="AB709" s="17"/>
      <c r="AC709" s="21" t="s">
        <v>78</v>
      </c>
      <c r="AD709" s="21" t="s">
        <v>78</v>
      </c>
      <c r="AE709" s="61" t="s">
        <v>62</v>
      </c>
      <c r="AF709" s="17"/>
      <c r="AG709" s="15"/>
      <c r="AH709" s="16"/>
      <c r="AI709" s="16"/>
      <c r="AJ709" s="42">
        <f t="shared" ca="1" si="77"/>
        <v>589</v>
      </c>
      <c r="AK709" s="42">
        <f t="shared" ca="1" si="78"/>
        <v>582</v>
      </c>
      <c r="AL709" s="130" t="str">
        <f t="shared" si="79"/>
        <v>No Answer</v>
      </c>
      <c r="AM709" s="37">
        <v>45075</v>
      </c>
      <c r="AN709" s="38">
        <v>45082</v>
      </c>
      <c r="AO709" s="38"/>
      <c r="AP709" s="38"/>
      <c r="AQ709" s="38"/>
      <c r="AR709" s="101" t="s">
        <v>1763</v>
      </c>
      <c r="AS709" s="38">
        <v>45082</v>
      </c>
      <c r="AT709" s="11" t="s">
        <v>7</v>
      </c>
    </row>
    <row r="710" spans="1:46" s="98" customFormat="1" x14ac:dyDescent="0.3">
      <c r="A710" s="16"/>
      <c r="B710" s="16" cm="1">
        <f t="array" ref="B710">+_xlfn.IFS(D710="In Touch - Positive",2,D710="Pending",1,D710="No Answer",4,D710="In Touch - Negative",3)</f>
        <v>4</v>
      </c>
      <c r="C710" s="16" t="s">
        <v>1790</v>
      </c>
      <c r="D710" s="122" t="str">
        <f t="shared" si="81"/>
        <v>No Answer</v>
      </c>
      <c r="E710" s="12" t="s">
        <v>2114</v>
      </c>
      <c r="F710" s="12"/>
      <c r="G710" s="13" t="s">
        <v>103</v>
      </c>
      <c r="H710" s="14"/>
      <c r="I710" s="13"/>
      <c r="J710" s="100" t="s">
        <v>111</v>
      </c>
      <c r="K710" s="15"/>
      <c r="L710" s="15"/>
      <c r="M710" s="15"/>
      <c r="N710" s="15"/>
      <c r="O710" s="15"/>
      <c r="P710" s="15"/>
      <c r="Q710" s="15"/>
      <c r="R710" s="16"/>
      <c r="S710" s="35"/>
      <c r="T710" s="13"/>
      <c r="U710" s="17"/>
      <c r="V710" s="17"/>
      <c r="W710" s="39"/>
      <c r="X710" s="17"/>
      <c r="Y710" s="17"/>
      <c r="Z710" s="16"/>
      <c r="AA710" s="15" t="s">
        <v>140</v>
      </c>
      <c r="AB710" s="17"/>
      <c r="AC710" s="21" t="s">
        <v>153</v>
      </c>
      <c r="AD710" s="21" t="s">
        <v>153</v>
      </c>
      <c r="AE710" s="61" t="s">
        <v>1792</v>
      </c>
      <c r="AF710" s="17"/>
      <c r="AG710" s="15"/>
      <c r="AH710" s="16"/>
      <c r="AI710" s="16"/>
      <c r="AJ710" s="42">
        <f t="shared" ca="1" si="77"/>
        <v>589</v>
      </c>
      <c r="AK710" s="42">
        <f t="shared" ca="1" si="78"/>
        <v>586</v>
      </c>
      <c r="AL710" s="130" t="str">
        <f t="shared" si="79"/>
        <v>No Answer</v>
      </c>
      <c r="AM710" s="37">
        <v>45075</v>
      </c>
      <c r="AN710" s="123">
        <v>45078</v>
      </c>
      <c r="AO710" s="38"/>
      <c r="AP710" s="38"/>
      <c r="AQ710" s="38"/>
      <c r="AR710" s="101" t="s">
        <v>1763</v>
      </c>
      <c r="AS710" s="38">
        <v>45078</v>
      </c>
      <c r="AT710" s="11" t="s">
        <v>7</v>
      </c>
    </row>
    <row r="711" spans="1:46" s="98" customFormat="1" x14ac:dyDescent="0.3">
      <c r="A711" s="16"/>
      <c r="B711" s="16" cm="1">
        <f t="array" ref="B711">+_xlfn.IFS(D711="In Touch - Positive",2,D711="Pending",1,D711="No Answer",4,D711="In Touch - Negative",3)</f>
        <v>4</v>
      </c>
      <c r="C711" s="16" t="s">
        <v>1850</v>
      </c>
      <c r="D711" s="99" t="str">
        <f t="shared" si="81"/>
        <v>No Answer</v>
      </c>
      <c r="E711" s="12" t="s">
        <v>2115</v>
      </c>
      <c r="F711" s="12"/>
      <c r="G711" s="13" t="s">
        <v>226</v>
      </c>
      <c r="H711" s="14" t="s">
        <v>2116</v>
      </c>
      <c r="I711" s="13"/>
      <c r="J711" s="100" t="s">
        <v>111</v>
      </c>
      <c r="K711" s="15" t="s">
        <v>2117</v>
      </c>
      <c r="L711" s="15"/>
      <c r="M711" s="15"/>
      <c r="N711" s="15"/>
      <c r="O711" s="15"/>
      <c r="P711" s="15"/>
      <c r="Q711" s="15"/>
      <c r="R711" s="16"/>
      <c r="S711" s="35"/>
      <c r="T711" s="13">
        <v>2021</v>
      </c>
      <c r="U711" s="17">
        <v>256.39999999999998</v>
      </c>
      <c r="V711" s="17">
        <v>22.039000000000001</v>
      </c>
      <c r="W711" s="39">
        <f>+V711/U711</f>
        <v>8.5955538221528877E-2</v>
      </c>
      <c r="X711" s="17"/>
      <c r="Y711" s="17">
        <v>115</v>
      </c>
      <c r="Z711" s="16"/>
      <c r="AA711" s="15" t="s">
        <v>140</v>
      </c>
      <c r="AB711" s="17"/>
      <c r="AC711" s="21" t="s">
        <v>78</v>
      </c>
      <c r="AD711" s="21" t="s">
        <v>78</v>
      </c>
      <c r="AE711" s="61" t="s">
        <v>62</v>
      </c>
      <c r="AF711" s="17"/>
      <c r="AG711" s="15"/>
      <c r="AH711" s="16"/>
      <c r="AI711" s="16"/>
      <c r="AJ711" s="42">
        <f t="shared" ca="1" si="77"/>
        <v>589</v>
      </c>
      <c r="AK711" s="42">
        <f t="shared" ca="1" si="78"/>
        <v>589</v>
      </c>
      <c r="AL711" s="130" t="str">
        <f t="shared" si="79"/>
        <v>No Answer</v>
      </c>
      <c r="AM711" s="37">
        <v>45075</v>
      </c>
      <c r="AN711" s="38"/>
      <c r="AO711" s="38"/>
      <c r="AP711" s="38"/>
      <c r="AQ711" s="38"/>
      <c r="AR711" s="101" t="s">
        <v>1763</v>
      </c>
      <c r="AS711" s="38">
        <v>45075</v>
      </c>
      <c r="AT711" s="11" t="s">
        <v>7</v>
      </c>
    </row>
    <row r="712" spans="1:46" s="98" customFormat="1" x14ac:dyDescent="0.3">
      <c r="A712" s="97"/>
      <c r="B712" s="16" cm="1">
        <f t="array" ref="B712">+_xlfn.IFS(D712="In Touch - Positive",2,D712="Pending",1,D712="No Answer",4,D712="In Touch - Negative",3)</f>
        <v>4</v>
      </c>
      <c r="C712" s="16" t="s">
        <v>2118</v>
      </c>
      <c r="D712" s="99" t="str">
        <f t="shared" si="81"/>
        <v>No Answer</v>
      </c>
      <c r="E712" s="12" t="s">
        <v>2119</v>
      </c>
      <c r="F712" s="12"/>
      <c r="G712" s="13" t="s">
        <v>103</v>
      </c>
      <c r="H712" s="14" t="s">
        <v>2120</v>
      </c>
      <c r="I712" s="13"/>
      <c r="J712" s="100" t="s">
        <v>111</v>
      </c>
      <c r="K712" s="15" t="s">
        <v>2121</v>
      </c>
      <c r="L712" s="15"/>
      <c r="M712" s="15"/>
      <c r="N712" s="15"/>
      <c r="O712" s="15"/>
      <c r="P712" s="15"/>
      <c r="Q712" s="15"/>
      <c r="R712" s="16"/>
      <c r="S712" s="35"/>
      <c r="T712" s="13"/>
      <c r="U712" s="17"/>
      <c r="V712" s="17"/>
      <c r="W712" s="60"/>
      <c r="X712" s="17"/>
      <c r="Y712" s="17"/>
      <c r="Z712" s="16"/>
      <c r="AA712" s="15" t="s">
        <v>140</v>
      </c>
      <c r="AB712" s="17"/>
      <c r="AC712" s="21" t="s">
        <v>78</v>
      </c>
      <c r="AD712" s="21" t="s">
        <v>78</v>
      </c>
      <c r="AE712" s="61" t="s">
        <v>128</v>
      </c>
      <c r="AF712" s="17"/>
      <c r="AG712" s="15"/>
      <c r="AH712" s="16"/>
      <c r="AI712" s="16"/>
      <c r="AJ712" s="42">
        <f t="shared" ca="1" si="77"/>
        <v>634</v>
      </c>
      <c r="AK712" s="42">
        <f t="shared" ca="1" si="78"/>
        <v>593</v>
      </c>
      <c r="AL712" s="130" t="str">
        <f t="shared" si="79"/>
        <v>No Answer</v>
      </c>
      <c r="AM712" s="37">
        <v>45030</v>
      </c>
      <c r="AN712" s="38">
        <v>45061</v>
      </c>
      <c r="AO712" s="38">
        <v>45071</v>
      </c>
      <c r="AP712" s="38">
        <v>45069</v>
      </c>
      <c r="AQ712" s="38"/>
      <c r="AR712" s="101" t="s">
        <v>1763</v>
      </c>
      <c r="AS712" s="38">
        <v>45071</v>
      </c>
      <c r="AT712" s="11" t="s">
        <v>7</v>
      </c>
    </row>
    <row r="713" spans="1:46" s="98" customFormat="1" x14ac:dyDescent="0.3">
      <c r="B713" s="16" cm="1">
        <f t="array" ref="B713">+_xlfn.IFS(D713="In Touch - Positive",2,D713="Pending",1,D713="No Answer",4,D713="In Touch - Negative",3)</f>
        <v>4</v>
      </c>
      <c r="C713" s="16" t="s">
        <v>1864</v>
      </c>
      <c r="D713" s="99" t="str">
        <f t="shared" si="81"/>
        <v>No Answer</v>
      </c>
      <c r="E713" s="12" t="s">
        <v>2122</v>
      </c>
      <c r="F713" s="12"/>
      <c r="G713" s="13" t="s">
        <v>166</v>
      </c>
      <c r="H713" s="14"/>
      <c r="I713" s="13"/>
      <c r="J713" s="100" t="s">
        <v>57</v>
      </c>
      <c r="K713" s="15" t="s">
        <v>2123</v>
      </c>
      <c r="L713" s="15" t="s">
        <v>2124</v>
      </c>
      <c r="M713" s="15"/>
      <c r="N713" s="15"/>
      <c r="O713" s="15"/>
      <c r="P713" s="15"/>
      <c r="Q713" s="15"/>
      <c r="R713" s="16"/>
      <c r="S713" s="35"/>
      <c r="T713" s="13"/>
      <c r="U713" s="17"/>
      <c r="V713" s="17"/>
      <c r="W713" s="39"/>
      <c r="X713" s="17"/>
      <c r="Y713" s="17"/>
      <c r="Z713" s="16"/>
      <c r="AA713" s="15" t="s">
        <v>140</v>
      </c>
      <c r="AB713" s="17"/>
      <c r="AC713" s="21" t="s">
        <v>61</v>
      </c>
      <c r="AD713" s="21" t="s">
        <v>61</v>
      </c>
      <c r="AE713" s="61" t="s">
        <v>128</v>
      </c>
      <c r="AF713" s="17"/>
      <c r="AG713" s="15"/>
      <c r="AH713" s="16"/>
      <c r="AI713" s="16"/>
      <c r="AJ713" s="42">
        <f t="shared" ca="1" si="77"/>
        <v>749</v>
      </c>
      <c r="AK713" s="42">
        <f t="shared" ca="1" si="78"/>
        <v>595</v>
      </c>
      <c r="AL713" s="130" t="str">
        <f t="shared" si="79"/>
        <v>No Answer</v>
      </c>
      <c r="AM713" s="37">
        <v>44915</v>
      </c>
      <c r="AN713" s="38">
        <v>44945</v>
      </c>
      <c r="AO713" s="38">
        <v>45065</v>
      </c>
      <c r="AP713" s="38"/>
      <c r="AQ713" s="38"/>
      <c r="AR713" s="101" t="s">
        <v>1763</v>
      </c>
      <c r="AS713" s="38">
        <v>45069</v>
      </c>
      <c r="AT713" s="11" t="s">
        <v>7</v>
      </c>
    </row>
    <row r="714" spans="1:46" s="98" customFormat="1" x14ac:dyDescent="0.3">
      <c r="A714" s="97"/>
      <c r="B714" s="16" cm="1">
        <f t="array" ref="B714">+_xlfn.IFS(D714="In Touch - Positive",2,D714="Pending",1,D714="No Answer",4,D714="In Touch - Negative",3)</f>
        <v>4</v>
      </c>
      <c r="C714" s="16" t="s">
        <v>83</v>
      </c>
      <c r="D714" s="99" t="str">
        <f t="shared" si="81"/>
        <v>No Answer</v>
      </c>
      <c r="E714" s="99" t="s">
        <v>2125</v>
      </c>
      <c r="F714" s="99"/>
      <c r="G714" s="13" t="s">
        <v>68</v>
      </c>
      <c r="H714" s="14"/>
      <c r="I714" s="13"/>
      <c r="J714" s="100" t="s">
        <v>2126</v>
      </c>
      <c r="K714" s="15" t="s">
        <v>507</v>
      </c>
      <c r="L714" s="15"/>
      <c r="M714" s="15"/>
      <c r="N714" s="15"/>
      <c r="O714" s="15"/>
      <c r="P714" s="15"/>
      <c r="Q714" s="15"/>
      <c r="R714" s="16"/>
      <c r="S714" s="35"/>
      <c r="T714" s="13"/>
      <c r="U714" s="17"/>
      <c r="V714" s="17"/>
      <c r="W714" s="39"/>
      <c r="X714" s="17"/>
      <c r="Y714" s="17"/>
      <c r="Z714" s="16"/>
      <c r="AA714" s="15" t="s">
        <v>140</v>
      </c>
      <c r="AB714" s="17"/>
      <c r="AC714" s="21" t="s">
        <v>78</v>
      </c>
      <c r="AD714" s="21" t="s">
        <v>78</v>
      </c>
      <c r="AE714" s="61" t="s">
        <v>86</v>
      </c>
      <c r="AF714" s="17"/>
      <c r="AG714" s="15"/>
      <c r="AH714" s="16"/>
      <c r="AI714" s="16"/>
      <c r="AJ714" s="42">
        <f t="shared" ca="1" si="77"/>
        <v>596</v>
      </c>
      <c r="AK714" s="42">
        <f t="shared" ca="1" si="78"/>
        <v>596</v>
      </c>
      <c r="AL714" s="130" t="str">
        <f t="shared" si="79"/>
        <v>No Answer</v>
      </c>
      <c r="AM714" s="37">
        <v>45068</v>
      </c>
      <c r="AN714" s="38">
        <v>45091</v>
      </c>
      <c r="AO714" s="38">
        <v>45097</v>
      </c>
      <c r="AP714" s="38"/>
      <c r="AQ714" s="38"/>
      <c r="AR714" s="101" t="s">
        <v>1763</v>
      </c>
      <c r="AS714" s="38">
        <v>45068</v>
      </c>
      <c r="AT714" s="11" t="s">
        <v>7</v>
      </c>
    </row>
    <row r="715" spans="1:46" s="98" customFormat="1" x14ac:dyDescent="0.3">
      <c r="A715" s="16"/>
      <c r="B715" s="16" cm="1">
        <f t="array" ref="B715">+_xlfn.IFS(D715="In Touch - Positive",2,D715="Pending",1,D715="No Answer",4,D715="In Touch - Negative",3)</f>
        <v>4</v>
      </c>
      <c r="C715" s="16" t="s">
        <v>83</v>
      </c>
      <c r="D715" s="99" t="str">
        <f t="shared" si="81"/>
        <v>No Answer</v>
      </c>
      <c r="E715" s="99" t="s">
        <v>2127</v>
      </c>
      <c r="F715" s="99"/>
      <c r="G715" s="13" t="s">
        <v>508</v>
      </c>
      <c r="H715" s="14"/>
      <c r="I715" s="13"/>
      <c r="J715" s="100" t="s">
        <v>2126</v>
      </c>
      <c r="K715" s="15" t="s">
        <v>507</v>
      </c>
      <c r="L715" s="15"/>
      <c r="M715" s="15"/>
      <c r="N715" s="15"/>
      <c r="O715" s="15"/>
      <c r="P715" s="15"/>
      <c r="Q715" s="15"/>
      <c r="R715" s="16"/>
      <c r="S715" s="35"/>
      <c r="T715" s="13"/>
      <c r="U715" s="17"/>
      <c r="V715" s="17"/>
      <c r="W715" s="39"/>
      <c r="X715" s="17"/>
      <c r="Y715" s="17"/>
      <c r="Z715" s="16"/>
      <c r="AA715" s="15" t="s">
        <v>140</v>
      </c>
      <c r="AB715" s="17"/>
      <c r="AC715" s="21" t="s">
        <v>78</v>
      </c>
      <c r="AD715" s="21" t="s">
        <v>78</v>
      </c>
      <c r="AE715" s="61" t="s">
        <v>86</v>
      </c>
      <c r="AF715" s="17"/>
      <c r="AG715" s="15"/>
      <c r="AH715" s="16"/>
      <c r="AI715" s="16"/>
      <c r="AJ715" s="42">
        <f t="shared" ca="1" si="77"/>
        <v>596</v>
      </c>
      <c r="AK715" s="42">
        <f t="shared" ca="1" si="78"/>
        <v>596</v>
      </c>
      <c r="AL715" s="130" t="str">
        <f t="shared" si="79"/>
        <v>No Answer</v>
      </c>
      <c r="AM715" s="37">
        <v>45068</v>
      </c>
      <c r="AN715" s="38">
        <v>45091</v>
      </c>
      <c r="AO715" s="38">
        <v>45097</v>
      </c>
      <c r="AP715" s="38"/>
      <c r="AQ715" s="38"/>
      <c r="AR715" s="101" t="s">
        <v>1763</v>
      </c>
      <c r="AS715" s="38">
        <v>45068</v>
      </c>
      <c r="AT715" s="11" t="s">
        <v>7</v>
      </c>
    </row>
    <row r="716" spans="1:46" s="98" customFormat="1" x14ac:dyDescent="0.3">
      <c r="B716" s="16" cm="1">
        <f t="array" ref="B716">+_xlfn.IFS(D716="In Touch - Positive",2,D716="Pending",1,D716="No Answer",4,D716="In Touch - Negative",3)</f>
        <v>4</v>
      </c>
      <c r="C716" s="16" t="s">
        <v>83</v>
      </c>
      <c r="D716" s="99" t="str">
        <f t="shared" si="81"/>
        <v>No Answer</v>
      </c>
      <c r="E716" s="99" t="s">
        <v>2128</v>
      </c>
      <c r="F716" s="99"/>
      <c r="G716" s="13" t="s">
        <v>2129</v>
      </c>
      <c r="H716" s="14"/>
      <c r="I716" s="13"/>
      <c r="J716" s="100" t="s">
        <v>2126</v>
      </c>
      <c r="K716" s="15" t="s">
        <v>507</v>
      </c>
      <c r="L716" s="15"/>
      <c r="M716" s="15"/>
      <c r="N716" s="15"/>
      <c r="O716" s="15"/>
      <c r="P716" s="15"/>
      <c r="Q716" s="15"/>
      <c r="R716" s="16"/>
      <c r="S716" s="35"/>
      <c r="T716" s="13"/>
      <c r="U716" s="17"/>
      <c r="V716" s="17"/>
      <c r="W716" s="39"/>
      <c r="X716" s="17"/>
      <c r="Y716" s="17"/>
      <c r="Z716" s="16"/>
      <c r="AA716" s="15" t="s">
        <v>140</v>
      </c>
      <c r="AB716" s="17"/>
      <c r="AC716" s="21" t="s">
        <v>78</v>
      </c>
      <c r="AD716" s="21" t="s">
        <v>78</v>
      </c>
      <c r="AE716" s="61" t="s">
        <v>86</v>
      </c>
      <c r="AF716" s="17"/>
      <c r="AG716" s="15"/>
      <c r="AH716" s="16"/>
      <c r="AI716" s="16"/>
      <c r="AJ716" s="42">
        <f t="shared" ref="AJ716:AJ779" ca="1" si="82">+TODAY()-AM716</f>
        <v>596</v>
      </c>
      <c r="AK716" s="42">
        <f t="shared" ref="AK716:AK779" ca="1" si="83">+TODAY()-AS716</f>
        <v>596</v>
      </c>
      <c r="AL716" s="130" t="str">
        <f t="shared" ref="AL716:AL779" si="84">+IF(D716="Pending",COUNTA(AM716:AQ716)/5,D716)</f>
        <v>No Answer</v>
      </c>
      <c r="AM716" s="37">
        <v>45068</v>
      </c>
      <c r="AN716" s="38"/>
      <c r="AO716" s="38"/>
      <c r="AP716" s="38">
        <v>45069</v>
      </c>
      <c r="AQ716" s="38"/>
      <c r="AR716" s="101" t="s">
        <v>1763</v>
      </c>
      <c r="AS716" s="38">
        <v>45068</v>
      </c>
      <c r="AT716" s="11" t="s">
        <v>7</v>
      </c>
    </row>
    <row r="717" spans="1:46" s="98" customFormat="1" x14ac:dyDescent="0.3">
      <c r="A717" s="16"/>
      <c r="B717" s="16" cm="1">
        <f t="array" ref="B717">+_xlfn.IFS(D717="In Touch - Positive",2,D717="Pending",1,D717="No Answer",4,D717="In Touch - Negative",3)</f>
        <v>4</v>
      </c>
      <c r="C717" s="16" t="s">
        <v>1864</v>
      </c>
      <c r="D717" s="99" t="str">
        <f t="shared" si="81"/>
        <v>No Answer</v>
      </c>
      <c r="E717" s="12" t="s">
        <v>2130</v>
      </c>
      <c r="F717" s="12"/>
      <c r="G717" s="13" t="s">
        <v>103</v>
      </c>
      <c r="H717" s="14"/>
      <c r="I717" s="13"/>
      <c r="J717" s="100" t="s">
        <v>57</v>
      </c>
      <c r="K717" s="15" t="s">
        <v>2131</v>
      </c>
      <c r="L717" s="15" t="s">
        <v>2132</v>
      </c>
      <c r="M717" s="15"/>
      <c r="N717" s="15"/>
      <c r="O717" s="15"/>
      <c r="P717" s="15"/>
      <c r="Q717" s="15"/>
      <c r="R717" s="16"/>
      <c r="S717" s="35"/>
      <c r="T717" s="13"/>
      <c r="U717" s="17"/>
      <c r="V717" s="17"/>
      <c r="W717" s="39"/>
      <c r="X717" s="17"/>
      <c r="Y717" s="17"/>
      <c r="Z717" s="16"/>
      <c r="AA717" s="15" t="s">
        <v>140</v>
      </c>
      <c r="AB717" s="17"/>
      <c r="AC717" s="21" t="s">
        <v>61</v>
      </c>
      <c r="AD717" s="21" t="s">
        <v>61</v>
      </c>
      <c r="AE717" s="61" t="s">
        <v>128</v>
      </c>
      <c r="AF717" s="17"/>
      <c r="AG717" s="15"/>
      <c r="AH717" s="16"/>
      <c r="AI717" s="16"/>
      <c r="AJ717" s="42">
        <f t="shared" ca="1" si="82"/>
        <v>749</v>
      </c>
      <c r="AK717" s="42">
        <f t="shared" ca="1" si="83"/>
        <v>599</v>
      </c>
      <c r="AL717" s="130" t="str">
        <f t="shared" si="84"/>
        <v>No Answer</v>
      </c>
      <c r="AM717" s="37">
        <v>44915</v>
      </c>
      <c r="AN717" s="38">
        <v>44945</v>
      </c>
      <c r="AO717" s="38">
        <v>45065</v>
      </c>
      <c r="AP717" s="38">
        <v>45069</v>
      </c>
      <c r="AQ717" s="38"/>
      <c r="AR717" s="101" t="s">
        <v>1763</v>
      </c>
      <c r="AS717" s="38">
        <v>45065</v>
      </c>
      <c r="AT717" s="11" t="s">
        <v>7</v>
      </c>
    </row>
    <row r="718" spans="1:46" s="98" customFormat="1" x14ac:dyDescent="0.3">
      <c r="B718" s="16" cm="1">
        <f t="array" ref="B718">+_xlfn.IFS(D718="In Touch - Positive",2,D718="Pending",1,D718="No Answer",4,D718="In Touch - Negative",3)</f>
        <v>4</v>
      </c>
      <c r="C718" s="16" t="s">
        <v>1864</v>
      </c>
      <c r="D718" s="99" t="str">
        <f t="shared" si="81"/>
        <v>No Answer</v>
      </c>
      <c r="E718" s="12" t="s">
        <v>2133</v>
      </c>
      <c r="F718" s="12"/>
      <c r="G718" s="13" t="s">
        <v>326</v>
      </c>
      <c r="H718" s="14"/>
      <c r="I718" s="13"/>
      <c r="J718" s="100" t="s">
        <v>57</v>
      </c>
      <c r="K718" s="15" t="s">
        <v>559</v>
      </c>
      <c r="L718" s="15" t="s">
        <v>2134</v>
      </c>
      <c r="M718" s="15"/>
      <c r="N718" s="15"/>
      <c r="O718" s="15"/>
      <c r="P718" s="15"/>
      <c r="Q718" s="15"/>
      <c r="R718" s="16"/>
      <c r="S718" s="35"/>
      <c r="T718" s="13"/>
      <c r="U718" s="17"/>
      <c r="V718" s="17"/>
      <c r="W718" s="39"/>
      <c r="X718" s="17"/>
      <c r="Y718" s="17"/>
      <c r="Z718" s="16"/>
      <c r="AA718" s="15" t="s">
        <v>140</v>
      </c>
      <c r="AB718" s="17"/>
      <c r="AC718" s="21" t="s">
        <v>61</v>
      </c>
      <c r="AD718" s="21" t="s">
        <v>61</v>
      </c>
      <c r="AE718" s="61" t="s">
        <v>128</v>
      </c>
      <c r="AF718" s="17"/>
      <c r="AG718" s="15"/>
      <c r="AH718" s="16"/>
      <c r="AI718" s="16"/>
      <c r="AJ718" s="42">
        <f t="shared" ca="1" si="82"/>
        <v>749</v>
      </c>
      <c r="AK718" s="42">
        <f t="shared" ca="1" si="83"/>
        <v>599</v>
      </c>
      <c r="AL718" s="130" t="str">
        <f t="shared" si="84"/>
        <v>No Answer</v>
      </c>
      <c r="AM718" s="37">
        <v>44915</v>
      </c>
      <c r="AN718" s="38">
        <v>44945</v>
      </c>
      <c r="AO718" s="38">
        <v>45065</v>
      </c>
      <c r="AP718" s="38"/>
      <c r="AQ718" s="38"/>
      <c r="AR718" s="101" t="s">
        <v>1763</v>
      </c>
      <c r="AS718" s="38">
        <v>45065</v>
      </c>
      <c r="AT718" s="11" t="s">
        <v>7</v>
      </c>
    </row>
    <row r="719" spans="1:46" s="98" customFormat="1" x14ac:dyDescent="0.3">
      <c r="B719" s="16" cm="1">
        <f t="array" ref="B719">+_xlfn.IFS(D719="In Touch - Positive",2,D719="Pending",1,D719="No Answer",4,D719="In Touch - Negative",3)</f>
        <v>4</v>
      </c>
      <c r="C719" s="16" t="s">
        <v>1982</v>
      </c>
      <c r="D719" s="99" t="str">
        <f t="shared" si="81"/>
        <v>No Answer</v>
      </c>
      <c r="E719" s="12" t="s">
        <v>2135</v>
      </c>
      <c r="F719" s="12"/>
      <c r="G719" s="13" t="s">
        <v>174</v>
      </c>
      <c r="H719" s="14"/>
      <c r="I719" s="13"/>
      <c r="J719" s="100" t="s">
        <v>111</v>
      </c>
      <c r="K719" s="15" t="s">
        <v>2136</v>
      </c>
      <c r="L719" s="15"/>
      <c r="M719" s="15"/>
      <c r="N719" s="15"/>
      <c r="O719" s="15"/>
      <c r="P719" s="15"/>
      <c r="Q719" s="15"/>
      <c r="R719" s="16"/>
      <c r="S719" s="35"/>
      <c r="T719" s="13"/>
      <c r="U719" s="17"/>
      <c r="V719" s="17"/>
      <c r="W719" s="39"/>
      <c r="X719" s="17"/>
      <c r="Y719" s="17"/>
      <c r="Z719" s="16"/>
      <c r="AA719" s="15" t="s">
        <v>140</v>
      </c>
      <c r="AB719" s="17"/>
      <c r="AC719" s="21" t="s">
        <v>61</v>
      </c>
      <c r="AD719" s="21" t="s">
        <v>61</v>
      </c>
      <c r="AE719" s="61" t="s">
        <v>86</v>
      </c>
      <c r="AF719" s="17"/>
      <c r="AG719" s="15"/>
      <c r="AH719" s="16"/>
      <c r="AI719" s="16"/>
      <c r="AJ719" s="42">
        <f t="shared" ca="1" si="82"/>
        <v>631</v>
      </c>
      <c r="AK719" s="42">
        <f t="shared" ca="1" si="83"/>
        <v>609</v>
      </c>
      <c r="AL719" s="130" t="str">
        <f t="shared" si="84"/>
        <v>No Answer</v>
      </c>
      <c r="AM719" s="37">
        <v>45033</v>
      </c>
      <c r="AN719" s="38">
        <v>45040</v>
      </c>
      <c r="AO719" s="38">
        <v>45055</v>
      </c>
      <c r="AP719" s="38"/>
      <c r="AQ719" s="38"/>
      <c r="AR719" s="101" t="s">
        <v>1763</v>
      </c>
      <c r="AS719" s="38">
        <v>45055</v>
      </c>
      <c r="AT719" s="11" t="s">
        <v>7</v>
      </c>
    </row>
    <row r="720" spans="1:46" s="98" customFormat="1" x14ac:dyDescent="0.3">
      <c r="A720" s="16"/>
      <c r="B720" s="16" cm="1">
        <f t="array" ref="B720">+_xlfn.IFS(D720="In Touch - Positive",2,D720="Pending",1,D720="No Answer",4,D720="In Touch - Negative",3)</f>
        <v>4</v>
      </c>
      <c r="C720" s="16" t="s">
        <v>1982</v>
      </c>
      <c r="D720" s="99" t="str">
        <f t="shared" si="81"/>
        <v>No Answer</v>
      </c>
      <c r="E720" s="12" t="s">
        <v>2137</v>
      </c>
      <c r="F720" s="12"/>
      <c r="G720" s="13" t="s">
        <v>924</v>
      </c>
      <c r="H720" s="14"/>
      <c r="I720" s="13"/>
      <c r="J720" s="100" t="s">
        <v>111</v>
      </c>
      <c r="K720" s="15" t="s">
        <v>2138</v>
      </c>
      <c r="L720" s="15"/>
      <c r="M720" s="15"/>
      <c r="N720" s="15"/>
      <c r="O720" s="15"/>
      <c r="P720" s="15"/>
      <c r="Q720" s="15"/>
      <c r="R720" s="16"/>
      <c r="S720" s="35"/>
      <c r="T720" s="13"/>
      <c r="U720" s="17"/>
      <c r="V720" s="17"/>
      <c r="W720" s="39"/>
      <c r="X720" s="17"/>
      <c r="Y720" s="17"/>
      <c r="Z720" s="16"/>
      <c r="AA720" s="15" t="s">
        <v>140</v>
      </c>
      <c r="AB720" s="17"/>
      <c r="AC720" s="21" t="s">
        <v>61</v>
      </c>
      <c r="AD720" s="21" t="s">
        <v>61</v>
      </c>
      <c r="AE720" s="61" t="s">
        <v>86</v>
      </c>
      <c r="AF720" s="17"/>
      <c r="AG720" s="15"/>
      <c r="AH720" s="16"/>
      <c r="AI720" s="16"/>
      <c r="AJ720" s="42">
        <f t="shared" ca="1" si="82"/>
        <v>631</v>
      </c>
      <c r="AK720" s="42">
        <f t="shared" ca="1" si="83"/>
        <v>609</v>
      </c>
      <c r="AL720" s="130" t="str">
        <f t="shared" si="84"/>
        <v>No Answer</v>
      </c>
      <c r="AM720" s="37">
        <v>45033</v>
      </c>
      <c r="AN720" s="38">
        <v>45040</v>
      </c>
      <c r="AO720" s="38">
        <v>45055</v>
      </c>
      <c r="AP720" s="38"/>
      <c r="AQ720" s="38"/>
      <c r="AR720" s="101" t="s">
        <v>1763</v>
      </c>
      <c r="AS720" s="38">
        <v>45055</v>
      </c>
      <c r="AT720" s="11" t="s">
        <v>7</v>
      </c>
    </row>
    <row r="721" spans="1:46" s="98" customFormat="1" x14ac:dyDescent="0.3">
      <c r="A721" s="16"/>
      <c r="B721" s="16" cm="1">
        <f t="array" ref="B721">+_xlfn.IFS(D721="In Touch - Positive",2,D721="Pending",1,D721="No Answer",4,D721="In Touch - Negative",3)</f>
        <v>4</v>
      </c>
      <c r="C721" s="16" t="s">
        <v>1982</v>
      </c>
      <c r="D721" s="99" t="str">
        <f t="shared" si="81"/>
        <v>No Answer</v>
      </c>
      <c r="E721" s="12" t="s">
        <v>2139</v>
      </c>
      <c r="F721" s="12"/>
      <c r="G721" s="13" t="s">
        <v>103</v>
      </c>
      <c r="H721" s="14"/>
      <c r="I721" s="13"/>
      <c r="J721" s="100" t="s">
        <v>111</v>
      </c>
      <c r="K721" s="15" t="s">
        <v>2140</v>
      </c>
      <c r="L721" s="15"/>
      <c r="M721" s="15"/>
      <c r="N721" s="15"/>
      <c r="O721" s="15"/>
      <c r="P721" s="15"/>
      <c r="Q721" s="15"/>
      <c r="R721" s="16"/>
      <c r="S721" s="35"/>
      <c r="T721" s="13"/>
      <c r="U721" s="17"/>
      <c r="V721" s="17"/>
      <c r="W721" s="39"/>
      <c r="X721" s="17"/>
      <c r="Y721" s="17"/>
      <c r="Z721" s="16"/>
      <c r="AA721" s="15" t="s">
        <v>140</v>
      </c>
      <c r="AB721" s="17"/>
      <c r="AC721" s="21" t="s">
        <v>61</v>
      </c>
      <c r="AD721" s="21" t="s">
        <v>61</v>
      </c>
      <c r="AE721" s="61" t="s">
        <v>86</v>
      </c>
      <c r="AF721" s="17"/>
      <c r="AG721" s="15"/>
      <c r="AH721" s="16"/>
      <c r="AI721" s="16"/>
      <c r="AJ721" s="42">
        <f t="shared" ca="1" si="82"/>
        <v>631</v>
      </c>
      <c r="AK721" s="42">
        <f t="shared" ca="1" si="83"/>
        <v>609</v>
      </c>
      <c r="AL721" s="130" t="str">
        <f t="shared" si="84"/>
        <v>No Answer</v>
      </c>
      <c r="AM721" s="37">
        <v>45033</v>
      </c>
      <c r="AN721" s="38">
        <v>45040</v>
      </c>
      <c r="AO721" s="38">
        <v>45055</v>
      </c>
      <c r="AP721" s="38"/>
      <c r="AQ721" s="38"/>
      <c r="AR721" s="101" t="s">
        <v>1763</v>
      </c>
      <c r="AS721" s="38">
        <v>45055</v>
      </c>
      <c r="AT721" s="11" t="s">
        <v>7</v>
      </c>
    </row>
    <row r="722" spans="1:46" s="98" customFormat="1" x14ac:dyDescent="0.3">
      <c r="B722" s="16" cm="1">
        <f t="array" ref="B722">+_xlfn.IFS(D722="In Touch - Positive",2,D722="Pending",1,D722="No Answer",4,D722="In Touch - Negative",3)</f>
        <v>4</v>
      </c>
      <c r="C722" s="16" t="s">
        <v>1982</v>
      </c>
      <c r="D722" s="99" t="str">
        <f t="shared" si="81"/>
        <v>No Answer</v>
      </c>
      <c r="E722" s="12" t="s">
        <v>2141</v>
      </c>
      <c r="F722" s="12"/>
      <c r="G722" s="13" t="s">
        <v>1286</v>
      </c>
      <c r="H722" s="14"/>
      <c r="I722" s="13"/>
      <c r="J722" s="100" t="s">
        <v>111</v>
      </c>
      <c r="K722" s="15" t="s">
        <v>2142</v>
      </c>
      <c r="L722" s="15"/>
      <c r="M722" s="15"/>
      <c r="N722" s="15"/>
      <c r="O722" s="15"/>
      <c r="P722" s="15"/>
      <c r="Q722" s="15"/>
      <c r="R722" s="16"/>
      <c r="S722" s="35"/>
      <c r="T722" s="13"/>
      <c r="U722" s="17"/>
      <c r="V722" s="17"/>
      <c r="W722" s="39"/>
      <c r="X722" s="17"/>
      <c r="Y722" s="17"/>
      <c r="Z722" s="16"/>
      <c r="AA722" s="15" t="s">
        <v>140</v>
      </c>
      <c r="AB722" s="17"/>
      <c r="AC722" s="21" t="s">
        <v>61</v>
      </c>
      <c r="AD722" s="21" t="s">
        <v>61</v>
      </c>
      <c r="AE722" s="61" t="s">
        <v>86</v>
      </c>
      <c r="AF722" s="17"/>
      <c r="AG722" s="15"/>
      <c r="AH722" s="16"/>
      <c r="AI722" s="16"/>
      <c r="AJ722" s="42">
        <f t="shared" ca="1" si="82"/>
        <v>631</v>
      </c>
      <c r="AK722" s="42">
        <f t="shared" ca="1" si="83"/>
        <v>631</v>
      </c>
      <c r="AL722" s="130" t="str">
        <f t="shared" si="84"/>
        <v>No Answer</v>
      </c>
      <c r="AM722" s="37">
        <v>45033</v>
      </c>
      <c r="AN722" s="38"/>
      <c r="AO722" s="38"/>
      <c r="AP722" s="38"/>
      <c r="AQ722" s="38"/>
      <c r="AR722" s="101" t="s">
        <v>1763</v>
      </c>
      <c r="AS722" s="38">
        <v>45033</v>
      </c>
      <c r="AT722" s="11" t="s">
        <v>7</v>
      </c>
    </row>
    <row r="723" spans="1:46" s="98" customFormat="1" x14ac:dyDescent="0.3">
      <c r="B723" s="16" cm="1">
        <f t="array" ref="B723">+_xlfn.IFS(D723="In Touch - Positive",2,D723="Pending",1,D723="No Answer",4,D723="In Touch - Negative",3)</f>
        <v>4</v>
      </c>
      <c r="C723" s="16" t="s">
        <v>1982</v>
      </c>
      <c r="D723" s="99" t="str">
        <f t="shared" si="81"/>
        <v>No Answer</v>
      </c>
      <c r="E723" s="12" t="s">
        <v>2143</v>
      </c>
      <c r="F723" s="12"/>
      <c r="G723" s="13" t="s">
        <v>822</v>
      </c>
      <c r="H723" s="14"/>
      <c r="I723" s="13"/>
      <c r="J723" s="100" t="s">
        <v>111</v>
      </c>
      <c r="K723" s="15" t="s">
        <v>2144</v>
      </c>
      <c r="L723" s="15"/>
      <c r="M723" s="15"/>
      <c r="N723" s="15"/>
      <c r="O723" s="15"/>
      <c r="P723" s="15"/>
      <c r="Q723" s="15"/>
      <c r="R723" s="16"/>
      <c r="S723" s="35"/>
      <c r="T723" s="13"/>
      <c r="U723" s="17"/>
      <c r="V723" s="17"/>
      <c r="W723" s="39"/>
      <c r="X723" s="17"/>
      <c r="Y723" s="17"/>
      <c r="Z723" s="16"/>
      <c r="AA723" s="15" t="s">
        <v>140</v>
      </c>
      <c r="AB723" s="17"/>
      <c r="AC723" s="21" t="s">
        <v>61</v>
      </c>
      <c r="AD723" s="21" t="s">
        <v>61</v>
      </c>
      <c r="AE723" s="61" t="s">
        <v>86</v>
      </c>
      <c r="AF723" s="17"/>
      <c r="AG723" s="15"/>
      <c r="AH723" s="16"/>
      <c r="AI723" s="16"/>
      <c r="AJ723" s="42">
        <f t="shared" ca="1" si="82"/>
        <v>631</v>
      </c>
      <c r="AK723" s="42">
        <f t="shared" ca="1" si="83"/>
        <v>631</v>
      </c>
      <c r="AL723" s="130" t="str">
        <f t="shared" si="84"/>
        <v>No Answer</v>
      </c>
      <c r="AM723" s="37">
        <v>45033</v>
      </c>
      <c r="AN723" s="38"/>
      <c r="AO723" s="38"/>
      <c r="AP723" s="38"/>
      <c r="AQ723" s="38"/>
      <c r="AR723" s="101" t="s">
        <v>1763</v>
      </c>
      <c r="AS723" s="38">
        <v>45033</v>
      </c>
      <c r="AT723" s="11" t="s">
        <v>7</v>
      </c>
    </row>
    <row r="724" spans="1:46" s="98" customFormat="1" x14ac:dyDescent="0.3">
      <c r="A724" s="97"/>
      <c r="B724" s="16" cm="1">
        <f t="array" ref="B724">+_xlfn.IFS(D724="In Touch - Positive",2,D724="Pending",1,D724="No Answer",4,D724="In Touch - Negative",3)</f>
        <v>4</v>
      </c>
      <c r="C724" s="16" t="s">
        <v>1864</v>
      </c>
      <c r="D724" s="99" t="str">
        <f t="shared" si="81"/>
        <v>No Answer</v>
      </c>
      <c r="E724" s="12" t="s">
        <v>2145</v>
      </c>
      <c r="F724" s="12"/>
      <c r="G724" s="13" t="s">
        <v>1195</v>
      </c>
      <c r="H724" s="14" t="s">
        <v>2146</v>
      </c>
      <c r="I724" s="13"/>
      <c r="J724" s="100" t="s">
        <v>57</v>
      </c>
      <c r="K724" s="15" t="s">
        <v>2147</v>
      </c>
      <c r="L724" s="15"/>
      <c r="M724" s="15"/>
      <c r="N724" s="15"/>
      <c r="O724" s="15"/>
      <c r="P724" s="15"/>
      <c r="Q724" s="15"/>
      <c r="R724" s="16"/>
      <c r="S724" s="35"/>
      <c r="T724" s="13">
        <v>2021</v>
      </c>
      <c r="U724" s="17">
        <v>1.8535170000000001</v>
      </c>
      <c r="V724" s="17">
        <v>1.181305</v>
      </c>
      <c r="W724" s="39">
        <f>V724/U724</f>
        <v>0.63733162415019662</v>
      </c>
      <c r="X724" s="17">
        <v>0.84956699999999996</v>
      </c>
      <c r="Y724" s="17">
        <v>-0.87885500000000005</v>
      </c>
      <c r="Z724" s="16"/>
      <c r="AA724" s="15" t="s">
        <v>140</v>
      </c>
      <c r="AB724" s="17"/>
      <c r="AC724" s="21" t="s">
        <v>61</v>
      </c>
      <c r="AD724" s="21" t="s">
        <v>61</v>
      </c>
      <c r="AE724" s="61" t="s">
        <v>128</v>
      </c>
      <c r="AF724" s="17"/>
      <c r="AG724" s="15"/>
      <c r="AH724" s="16"/>
      <c r="AI724" s="16"/>
      <c r="AJ724" s="42">
        <f t="shared" ca="1" si="82"/>
        <v>749</v>
      </c>
      <c r="AK724" s="42">
        <f t="shared" ca="1" si="83"/>
        <v>644</v>
      </c>
      <c r="AL724" s="130" t="str">
        <f t="shared" si="84"/>
        <v>No Answer</v>
      </c>
      <c r="AM724" s="37">
        <v>44915</v>
      </c>
      <c r="AN724" s="38">
        <v>45013</v>
      </c>
      <c r="AO724" s="38">
        <v>45020</v>
      </c>
      <c r="AP724" s="38"/>
      <c r="AQ724" s="38"/>
      <c r="AR724" s="101" t="s">
        <v>1763</v>
      </c>
      <c r="AS724" s="38">
        <v>45020</v>
      </c>
      <c r="AT724" s="11" t="s">
        <v>7</v>
      </c>
    </row>
    <row r="725" spans="1:46" s="98" customFormat="1" x14ac:dyDescent="0.3">
      <c r="A725" s="97"/>
      <c r="B725" s="16" cm="1">
        <f t="array" ref="B725">+_xlfn.IFS(D725="In Touch - Positive",2,D725="Pending",1,D725="No Answer",4,D725="In Touch - Negative",3)</f>
        <v>4</v>
      </c>
      <c r="C725" s="16" t="s">
        <v>1864</v>
      </c>
      <c r="D725" s="99" t="str">
        <f t="shared" ref="D725:D788" si="85">+AR725</f>
        <v>No Answer</v>
      </c>
      <c r="E725" s="12" t="s">
        <v>2148</v>
      </c>
      <c r="F725" s="12"/>
      <c r="G725" s="13" t="s">
        <v>677</v>
      </c>
      <c r="H725" s="14" t="s">
        <v>2149</v>
      </c>
      <c r="I725" s="13"/>
      <c r="J725" s="100" t="s">
        <v>57</v>
      </c>
      <c r="K725" s="15" t="s">
        <v>2150</v>
      </c>
      <c r="L725" s="15"/>
      <c r="M725" s="15"/>
      <c r="N725" s="15"/>
      <c r="O725" s="15"/>
      <c r="P725" s="15"/>
      <c r="Q725" s="15"/>
      <c r="R725" s="16"/>
      <c r="S725" s="35"/>
      <c r="T725" s="13">
        <v>2021</v>
      </c>
      <c r="U725" s="17">
        <v>5.1883660000000003</v>
      </c>
      <c r="V725" s="17">
        <v>1.761334</v>
      </c>
      <c r="W725" s="39">
        <f>V725/U725</f>
        <v>0.33947759275270861</v>
      </c>
      <c r="X725" s="17">
        <v>0.34536800000000001</v>
      </c>
      <c r="Y725" s="17">
        <v>-0.270453</v>
      </c>
      <c r="Z725" s="16"/>
      <c r="AA725" s="15" t="s">
        <v>140</v>
      </c>
      <c r="AB725" s="17"/>
      <c r="AC725" s="21" t="s">
        <v>61</v>
      </c>
      <c r="AD725" s="21" t="s">
        <v>61</v>
      </c>
      <c r="AE725" s="61" t="s">
        <v>128</v>
      </c>
      <c r="AF725" s="17"/>
      <c r="AG725" s="15"/>
      <c r="AH725" s="16"/>
      <c r="AI725" s="16"/>
      <c r="AJ725" s="42">
        <f t="shared" ca="1" si="82"/>
        <v>749</v>
      </c>
      <c r="AK725" s="42">
        <f t="shared" ca="1" si="83"/>
        <v>644</v>
      </c>
      <c r="AL725" s="130" t="str">
        <f t="shared" si="84"/>
        <v>No Answer</v>
      </c>
      <c r="AM725" s="37">
        <v>44915</v>
      </c>
      <c r="AN725" s="38">
        <v>45013</v>
      </c>
      <c r="AO725" s="38">
        <v>45020</v>
      </c>
      <c r="AP725" s="38"/>
      <c r="AQ725" s="38"/>
      <c r="AR725" s="101" t="s">
        <v>1763</v>
      </c>
      <c r="AS725" s="38">
        <v>45020</v>
      </c>
      <c r="AT725" s="11" t="s">
        <v>7</v>
      </c>
    </row>
    <row r="726" spans="1:46" s="98" customFormat="1" x14ac:dyDescent="0.3">
      <c r="B726" s="16" cm="1">
        <f t="array" ref="B726">+_xlfn.IFS(D726="In Touch - Positive",2,D726="Pending",1,D726="No Answer",4,D726="In Touch - Negative",3)</f>
        <v>4</v>
      </c>
      <c r="C726" s="16"/>
      <c r="D726" s="99" t="str">
        <f t="shared" si="85"/>
        <v>No Answer</v>
      </c>
      <c r="E726" s="12" t="s">
        <v>2151</v>
      </c>
      <c r="F726" s="12"/>
      <c r="G726" s="13" t="s">
        <v>308</v>
      </c>
      <c r="H726" s="14"/>
      <c r="I726" s="13"/>
      <c r="J726" s="100" t="s">
        <v>267</v>
      </c>
      <c r="K726" s="15" t="s">
        <v>2152</v>
      </c>
      <c r="L726" s="15" t="s">
        <v>2153</v>
      </c>
      <c r="M726" s="15"/>
      <c r="N726" s="15"/>
      <c r="O726" s="15"/>
      <c r="P726" s="15"/>
      <c r="Q726" s="15"/>
      <c r="R726" s="16"/>
      <c r="S726" s="35"/>
      <c r="T726" s="13"/>
      <c r="U726" s="17"/>
      <c r="V726" s="17"/>
      <c r="W726" s="60"/>
      <c r="X726" s="17"/>
      <c r="Y726" s="17"/>
      <c r="Z726" s="16"/>
      <c r="AA726" s="15" t="s">
        <v>140</v>
      </c>
      <c r="AB726" s="17"/>
      <c r="AC726" s="21" t="s">
        <v>86</v>
      </c>
      <c r="AD726" s="21" t="s">
        <v>78</v>
      </c>
      <c r="AE726" s="21" t="s">
        <v>86</v>
      </c>
      <c r="AF726" s="17"/>
      <c r="AG726" s="15"/>
      <c r="AH726" s="16"/>
      <c r="AI726" s="16"/>
      <c r="AJ726" s="42">
        <f t="shared" ca="1" si="82"/>
        <v>659</v>
      </c>
      <c r="AK726" s="42">
        <f t="shared" ca="1" si="83"/>
        <v>649</v>
      </c>
      <c r="AL726" s="130" t="str">
        <f t="shared" si="84"/>
        <v>No Answer</v>
      </c>
      <c r="AM726" s="37">
        <v>45005</v>
      </c>
      <c r="AN726" s="38">
        <v>45008</v>
      </c>
      <c r="AO726" s="38">
        <v>45015</v>
      </c>
      <c r="AP726" s="38"/>
      <c r="AQ726" s="38"/>
      <c r="AR726" s="101" t="s">
        <v>1763</v>
      </c>
      <c r="AS726" s="38">
        <v>45015</v>
      </c>
      <c r="AT726" s="11" t="s">
        <v>7</v>
      </c>
    </row>
    <row r="727" spans="1:46" s="98" customFormat="1" x14ac:dyDescent="0.3">
      <c r="A727" s="97"/>
      <c r="B727" s="16" cm="1">
        <f t="array" ref="B727">+_xlfn.IFS(D727="In Touch - Positive",2,D727="Pending",1,D727="No Answer",4,D727="In Touch - Negative",3)</f>
        <v>4</v>
      </c>
      <c r="C727" s="16"/>
      <c r="D727" s="99" t="str">
        <f t="shared" si="85"/>
        <v>No Answer</v>
      </c>
      <c r="E727" s="12" t="s">
        <v>2154</v>
      </c>
      <c r="F727" s="12"/>
      <c r="G727" s="13" t="s">
        <v>308</v>
      </c>
      <c r="H727" s="14"/>
      <c r="I727" s="13"/>
      <c r="J727" s="100" t="s">
        <v>267</v>
      </c>
      <c r="K727" s="15" t="s">
        <v>1988</v>
      </c>
      <c r="L727" s="15" t="s">
        <v>2155</v>
      </c>
      <c r="M727" s="15"/>
      <c r="N727" s="15"/>
      <c r="O727" s="15"/>
      <c r="P727" s="15"/>
      <c r="Q727" s="15"/>
      <c r="R727" s="16"/>
      <c r="S727" s="35"/>
      <c r="T727" s="13"/>
      <c r="U727" s="17"/>
      <c r="V727" s="17"/>
      <c r="W727" s="60"/>
      <c r="X727" s="17"/>
      <c r="Y727" s="17"/>
      <c r="Z727" s="16"/>
      <c r="AA727" s="15" t="s">
        <v>140</v>
      </c>
      <c r="AB727" s="17"/>
      <c r="AC727" s="21" t="s">
        <v>86</v>
      </c>
      <c r="AD727" s="21" t="s">
        <v>78</v>
      </c>
      <c r="AE727" s="21" t="s">
        <v>86</v>
      </c>
      <c r="AF727" s="17"/>
      <c r="AG727" s="15"/>
      <c r="AH727" s="16"/>
      <c r="AI727" s="16"/>
      <c r="AJ727" s="42">
        <f t="shared" ca="1" si="82"/>
        <v>659</v>
      </c>
      <c r="AK727" s="42">
        <f t="shared" ca="1" si="83"/>
        <v>649</v>
      </c>
      <c r="AL727" s="130" t="str">
        <f t="shared" si="84"/>
        <v>No Answer</v>
      </c>
      <c r="AM727" s="37">
        <v>45005</v>
      </c>
      <c r="AN727" s="38">
        <v>45008</v>
      </c>
      <c r="AO727" s="38">
        <v>45015</v>
      </c>
      <c r="AP727" s="38"/>
      <c r="AQ727" s="38"/>
      <c r="AR727" s="101" t="s">
        <v>1763</v>
      </c>
      <c r="AS727" s="38">
        <v>45015</v>
      </c>
      <c r="AT727" s="11" t="s">
        <v>7</v>
      </c>
    </row>
    <row r="728" spans="1:46" s="98" customFormat="1" x14ac:dyDescent="0.3">
      <c r="A728" s="16"/>
      <c r="B728" s="16" cm="1">
        <f t="array" ref="B728">+_xlfn.IFS(D728="In Touch - Positive",2,D728="Pending",1,D728="No Answer",4,D728="In Touch - Negative",3)</f>
        <v>4</v>
      </c>
      <c r="C728" s="16"/>
      <c r="D728" s="99" t="str">
        <f t="shared" si="85"/>
        <v>No Answer</v>
      </c>
      <c r="E728" s="12" t="s">
        <v>2156</v>
      </c>
      <c r="F728" s="12"/>
      <c r="G728" s="13" t="s">
        <v>371</v>
      </c>
      <c r="H728" s="14"/>
      <c r="I728" s="13"/>
      <c r="J728" s="100" t="s">
        <v>111</v>
      </c>
      <c r="K728" s="15" t="s">
        <v>2070</v>
      </c>
      <c r="L728" s="15" t="s">
        <v>2157</v>
      </c>
      <c r="M728" s="15"/>
      <c r="N728" s="15"/>
      <c r="O728" s="15"/>
      <c r="P728" s="15"/>
      <c r="Q728" s="15"/>
      <c r="R728" s="16"/>
      <c r="S728" s="35"/>
      <c r="T728" s="13"/>
      <c r="U728" s="17"/>
      <c r="V728" s="17"/>
      <c r="W728" s="60"/>
      <c r="X728" s="17"/>
      <c r="Y728" s="17"/>
      <c r="Z728" s="16"/>
      <c r="AA728" s="15" t="s">
        <v>140</v>
      </c>
      <c r="AB728" s="17"/>
      <c r="AC728" s="21" t="s">
        <v>86</v>
      </c>
      <c r="AD728" s="21" t="s">
        <v>78</v>
      </c>
      <c r="AE728" s="21" t="s">
        <v>86</v>
      </c>
      <c r="AF728" s="17"/>
      <c r="AG728" s="15"/>
      <c r="AH728" s="16"/>
      <c r="AI728" s="16"/>
      <c r="AJ728" s="42">
        <f t="shared" ca="1" si="82"/>
        <v>659</v>
      </c>
      <c r="AK728" s="42">
        <f t="shared" ca="1" si="83"/>
        <v>649</v>
      </c>
      <c r="AL728" s="130" t="str">
        <f t="shared" si="84"/>
        <v>No Answer</v>
      </c>
      <c r="AM728" s="37">
        <v>45005</v>
      </c>
      <c r="AN728" s="38">
        <v>45008</v>
      </c>
      <c r="AO728" s="38">
        <v>45015</v>
      </c>
      <c r="AP728" s="38"/>
      <c r="AQ728" s="38"/>
      <c r="AR728" s="101" t="s">
        <v>1763</v>
      </c>
      <c r="AS728" s="38">
        <v>45015</v>
      </c>
      <c r="AT728" s="11" t="s">
        <v>7</v>
      </c>
    </row>
    <row r="729" spans="1:46" s="98" customFormat="1" x14ac:dyDescent="0.3">
      <c r="A729" s="16"/>
      <c r="B729" s="16" cm="1">
        <f t="array" ref="B729">+_xlfn.IFS(D729="In Touch - Positive",2,D729="Pending",1,D729="No Answer",4,D729="In Touch - Negative",3)</f>
        <v>4</v>
      </c>
      <c r="C729" s="16" t="s">
        <v>1940</v>
      </c>
      <c r="D729" s="99" t="str">
        <f t="shared" si="85"/>
        <v>No Answer</v>
      </c>
      <c r="E729" s="12" t="s">
        <v>2158</v>
      </c>
      <c r="F729" s="12"/>
      <c r="G729" s="13" t="s">
        <v>68</v>
      </c>
      <c r="H729" s="14" t="s">
        <v>2159</v>
      </c>
      <c r="I729" s="13"/>
      <c r="J729" s="13"/>
      <c r="K729" s="15"/>
      <c r="L729" s="15"/>
      <c r="M729" s="15"/>
      <c r="N729" s="15"/>
      <c r="O729" s="15"/>
      <c r="P729" s="15"/>
      <c r="Q729" s="15"/>
      <c r="R729" s="16"/>
      <c r="S729" s="35"/>
      <c r="T729" s="13"/>
      <c r="U729" s="17"/>
      <c r="V729" s="17"/>
      <c r="W729" s="60"/>
      <c r="X729" s="17"/>
      <c r="Y729" s="17"/>
      <c r="Z729" s="16"/>
      <c r="AA729" s="15" t="s">
        <v>140</v>
      </c>
      <c r="AB729" s="17"/>
      <c r="AC729" s="21" t="s">
        <v>86</v>
      </c>
      <c r="AD729" s="21" t="s">
        <v>61</v>
      </c>
      <c r="AE729" s="61" t="s">
        <v>86</v>
      </c>
      <c r="AF729" s="17"/>
      <c r="AG729" s="15"/>
      <c r="AH729" s="16"/>
      <c r="AI729" s="16"/>
      <c r="AJ729" s="42">
        <f t="shared" ca="1" si="82"/>
        <v>673</v>
      </c>
      <c r="AK729" s="42">
        <f t="shared" ca="1" si="83"/>
        <v>649</v>
      </c>
      <c r="AL729" s="130" t="str">
        <f t="shared" si="84"/>
        <v>No Answer</v>
      </c>
      <c r="AM729" s="37">
        <v>44991</v>
      </c>
      <c r="AN729" s="38">
        <v>45002</v>
      </c>
      <c r="AO729" s="38">
        <v>45015</v>
      </c>
      <c r="AP729" s="38"/>
      <c r="AQ729" s="38"/>
      <c r="AR729" s="101" t="s">
        <v>1763</v>
      </c>
      <c r="AS729" s="38">
        <v>45015</v>
      </c>
      <c r="AT729" s="11" t="s">
        <v>7</v>
      </c>
    </row>
    <row r="730" spans="1:46" s="98" customFormat="1" x14ac:dyDescent="0.3">
      <c r="B730" s="16" cm="1">
        <f t="array" ref="B730">+_xlfn.IFS(D730="In Touch - Positive",2,D730="Pending",1,D730="No Answer",4,D730="In Touch - Negative",3)</f>
        <v>4</v>
      </c>
      <c r="C730" s="16" t="s">
        <v>1940</v>
      </c>
      <c r="D730" s="99" t="str">
        <f t="shared" si="85"/>
        <v>No Answer</v>
      </c>
      <c r="E730" s="12" t="s">
        <v>2160</v>
      </c>
      <c r="F730" s="12"/>
      <c r="G730" s="13" t="s">
        <v>554</v>
      </c>
      <c r="H730" s="14" t="s">
        <v>2161</v>
      </c>
      <c r="I730" s="13"/>
      <c r="J730" s="13"/>
      <c r="K730" s="15"/>
      <c r="L730" s="15"/>
      <c r="M730" s="15"/>
      <c r="N730" s="15"/>
      <c r="O730" s="15"/>
      <c r="P730" s="15"/>
      <c r="Q730" s="15"/>
      <c r="R730" s="16"/>
      <c r="S730" s="35"/>
      <c r="T730" s="13"/>
      <c r="U730" s="17"/>
      <c r="V730" s="17"/>
      <c r="W730" s="60"/>
      <c r="X730" s="17"/>
      <c r="Y730" s="17"/>
      <c r="Z730" s="16"/>
      <c r="AA730" s="15" t="s">
        <v>140</v>
      </c>
      <c r="AB730" s="17"/>
      <c r="AC730" s="21" t="s">
        <v>86</v>
      </c>
      <c r="AD730" s="21" t="s">
        <v>61</v>
      </c>
      <c r="AE730" s="61" t="s">
        <v>86</v>
      </c>
      <c r="AF730" s="17"/>
      <c r="AG730" s="15"/>
      <c r="AH730" s="16"/>
      <c r="AI730" s="16"/>
      <c r="AJ730" s="42">
        <f t="shared" ca="1" si="82"/>
        <v>673</v>
      </c>
      <c r="AK730" s="42">
        <f t="shared" ca="1" si="83"/>
        <v>649</v>
      </c>
      <c r="AL730" s="130" t="str">
        <f t="shared" si="84"/>
        <v>No Answer</v>
      </c>
      <c r="AM730" s="37">
        <v>44991</v>
      </c>
      <c r="AN730" s="38">
        <v>45002</v>
      </c>
      <c r="AO730" s="38">
        <v>45015</v>
      </c>
      <c r="AP730" s="38"/>
      <c r="AQ730" s="38"/>
      <c r="AR730" s="101" t="s">
        <v>1763</v>
      </c>
      <c r="AS730" s="38">
        <v>45015</v>
      </c>
      <c r="AT730" s="11" t="s">
        <v>7</v>
      </c>
    </row>
    <row r="731" spans="1:46" s="98" customFormat="1" ht="12" customHeight="1" x14ac:dyDescent="0.3">
      <c r="B731" s="16" cm="1">
        <f t="array" ref="B731">+_xlfn.IFS(D731="In Touch - Positive",2,D731="Pending",1,D731="No Answer",4,D731="In Touch - Negative",3)</f>
        <v>4</v>
      </c>
      <c r="C731" s="16" t="s">
        <v>1940</v>
      </c>
      <c r="D731" s="99" t="str">
        <f t="shared" si="85"/>
        <v>No Answer</v>
      </c>
      <c r="E731" s="12" t="s">
        <v>2162</v>
      </c>
      <c r="F731" s="12"/>
      <c r="G731" s="13" t="s">
        <v>68</v>
      </c>
      <c r="H731" s="14" t="s">
        <v>2163</v>
      </c>
      <c r="I731" s="13"/>
      <c r="J731" s="13"/>
      <c r="K731" s="15"/>
      <c r="L731" s="15"/>
      <c r="M731" s="15"/>
      <c r="N731" s="15"/>
      <c r="O731" s="15"/>
      <c r="P731" s="15"/>
      <c r="Q731" s="15"/>
      <c r="R731" s="16"/>
      <c r="S731" s="35"/>
      <c r="T731" s="13"/>
      <c r="U731" s="17"/>
      <c r="V731" s="17"/>
      <c r="W731" s="60"/>
      <c r="X731" s="17"/>
      <c r="Y731" s="17"/>
      <c r="Z731" s="16"/>
      <c r="AA731" s="15" t="s">
        <v>140</v>
      </c>
      <c r="AB731" s="17"/>
      <c r="AC731" s="21" t="s">
        <v>86</v>
      </c>
      <c r="AD731" s="21" t="s">
        <v>61</v>
      </c>
      <c r="AE731" s="61" t="s">
        <v>86</v>
      </c>
      <c r="AF731" s="17"/>
      <c r="AG731" s="15"/>
      <c r="AH731" s="16"/>
      <c r="AI731" s="16"/>
      <c r="AJ731" s="42">
        <f t="shared" ca="1" si="82"/>
        <v>673</v>
      </c>
      <c r="AK731" s="42">
        <f t="shared" ca="1" si="83"/>
        <v>649</v>
      </c>
      <c r="AL731" s="130" t="str">
        <f t="shared" si="84"/>
        <v>No Answer</v>
      </c>
      <c r="AM731" s="37">
        <v>44991</v>
      </c>
      <c r="AN731" s="38">
        <v>45002</v>
      </c>
      <c r="AO731" s="38">
        <v>45015</v>
      </c>
      <c r="AP731" s="38"/>
      <c r="AQ731" s="38"/>
      <c r="AR731" s="101" t="s">
        <v>1763</v>
      </c>
      <c r="AS731" s="38">
        <v>45015</v>
      </c>
      <c r="AT731" s="11" t="s">
        <v>7</v>
      </c>
    </row>
    <row r="732" spans="1:46" s="98" customFormat="1" x14ac:dyDescent="0.3">
      <c r="B732" s="16" cm="1">
        <f t="array" ref="B732">+_xlfn.IFS(D732="In Touch - Positive",2,D732="Pending",1,D732="No Answer",4,D732="In Touch - Negative",3)</f>
        <v>4</v>
      </c>
      <c r="C732" s="16" t="s">
        <v>1940</v>
      </c>
      <c r="D732" s="99" t="str">
        <f t="shared" si="85"/>
        <v>No Answer</v>
      </c>
      <c r="E732" s="12" t="s">
        <v>2164</v>
      </c>
      <c r="F732" s="12"/>
      <c r="G732" s="13" t="s">
        <v>68</v>
      </c>
      <c r="H732" s="14" t="s">
        <v>2165</v>
      </c>
      <c r="I732" s="13"/>
      <c r="J732" s="13"/>
      <c r="K732" s="15"/>
      <c r="L732" s="15"/>
      <c r="M732" s="15"/>
      <c r="N732" s="15"/>
      <c r="O732" s="15"/>
      <c r="P732" s="15"/>
      <c r="Q732" s="15"/>
      <c r="R732" s="16"/>
      <c r="S732" s="35"/>
      <c r="T732" s="13"/>
      <c r="U732" s="17"/>
      <c r="V732" s="17"/>
      <c r="W732" s="60"/>
      <c r="X732" s="17"/>
      <c r="Y732" s="17"/>
      <c r="Z732" s="16"/>
      <c r="AA732" s="15" t="s">
        <v>140</v>
      </c>
      <c r="AB732" s="17"/>
      <c r="AC732" s="21" t="s">
        <v>86</v>
      </c>
      <c r="AD732" s="21" t="s">
        <v>61</v>
      </c>
      <c r="AE732" s="61" t="s">
        <v>86</v>
      </c>
      <c r="AF732" s="17"/>
      <c r="AG732" s="15"/>
      <c r="AH732" s="16"/>
      <c r="AI732" s="16"/>
      <c r="AJ732" s="42">
        <f t="shared" ca="1" si="82"/>
        <v>673</v>
      </c>
      <c r="AK732" s="42">
        <f t="shared" ca="1" si="83"/>
        <v>649</v>
      </c>
      <c r="AL732" s="130" t="str">
        <f t="shared" si="84"/>
        <v>No Answer</v>
      </c>
      <c r="AM732" s="37">
        <v>44991</v>
      </c>
      <c r="AN732" s="38">
        <v>45002</v>
      </c>
      <c r="AO732" s="38">
        <v>45015</v>
      </c>
      <c r="AP732" s="38"/>
      <c r="AQ732" s="38"/>
      <c r="AR732" s="101" t="s">
        <v>1763</v>
      </c>
      <c r="AS732" s="38">
        <v>45015</v>
      </c>
      <c r="AT732" s="11" t="s">
        <v>7</v>
      </c>
    </row>
    <row r="733" spans="1:46" s="98" customFormat="1" x14ac:dyDescent="0.3">
      <c r="B733" s="16" cm="1">
        <f t="array" ref="B733">+_xlfn.IFS(D733="In Touch - Positive",2,D733="Pending",1,D733="No Answer",4,D733="In Touch - Negative",3)</f>
        <v>4</v>
      </c>
      <c r="C733" s="16" t="s">
        <v>1864</v>
      </c>
      <c r="D733" s="99" t="str">
        <f t="shared" si="85"/>
        <v>No Answer</v>
      </c>
      <c r="E733" s="12" t="s">
        <v>2166</v>
      </c>
      <c r="F733" s="12"/>
      <c r="G733" s="13" t="s">
        <v>103</v>
      </c>
      <c r="H733" s="14" t="s">
        <v>2167</v>
      </c>
      <c r="I733" s="13"/>
      <c r="J733" s="100" t="s">
        <v>57</v>
      </c>
      <c r="K733" s="15" t="s">
        <v>2168</v>
      </c>
      <c r="L733" s="15"/>
      <c r="M733" s="15"/>
      <c r="N733" s="15"/>
      <c r="O733" s="15"/>
      <c r="P733" s="15"/>
      <c r="Q733" s="15"/>
      <c r="R733" s="16"/>
      <c r="S733" s="35"/>
      <c r="T733" s="13">
        <v>2021</v>
      </c>
      <c r="U733" s="17">
        <v>1.8535170000000001</v>
      </c>
      <c r="V733" s="17">
        <v>1.181305</v>
      </c>
      <c r="W733" s="39">
        <f t="shared" ref="W733:W764" si="86">V733/U733</f>
        <v>0.63733162415019662</v>
      </c>
      <c r="X733" s="17">
        <v>0.84956699999999996</v>
      </c>
      <c r="Y733" s="17">
        <v>-0.87885500000000005</v>
      </c>
      <c r="Z733" s="16"/>
      <c r="AA733" s="15" t="s">
        <v>140</v>
      </c>
      <c r="AB733" s="17"/>
      <c r="AC733" s="21" t="s">
        <v>61</v>
      </c>
      <c r="AD733" s="21" t="s">
        <v>61</v>
      </c>
      <c r="AE733" s="61" t="s">
        <v>128</v>
      </c>
      <c r="AF733" s="17"/>
      <c r="AG733" s="15"/>
      <c r="AH733" s="16"/>
      <c r="AI733" s="16"/>
      <c r="AJ733" s="42">
        <f t="shared" ca="1" si="82"/>
        <v>749</v>
      </c>
      <c r="AK733" s="42">
        <f t="shared" ca="1" si="83"/>
        <v>651</v>
      </c>
      <c r="AL733" s="130" t="str">
        <f t="shared" si="84"/>
        <v>No Answer</v>
      </c>
      <c r="AM733" s="37">
        <v>44915</v>
      </c>
      <c r="AN733" s="38">
        <v>45013</v>
      </c>
      <c r="AO733" s="38"/>
      <c r="AP733" s="38"/>
      <c r="AQ733" s="38"/>
      <c r="AR733" s="101" t="s">
        <v>1763</v>
      </c>
      <c r="AS733" s="38">
        <v>45013</v>
      </c>
      <c r="AT733" s="11" t="s">
        <v>7</v>
      </c>
    </row>
    <row r="734" spans="1:46" s="98" customFormat="1" x14ac:dyDescent="0.3">
      <c r="A734" s="16"/>
      <c r="B734" s="16" cm="1">
        <f t="array" ref="B734">+_xlfn.IFS(D734="In Touch - Positive",2,D734="Pending",1,D734="No Answer",4,D734="In Touch - Negative",3)</f>
        <v>4</v>
      </c>
      <c r="C734" s="16" t="s">
        <v>1864</v>
      </c>
      <c r="D734" s="99" t="str">
        <f t="shared" si="85"/>
        <v>No Answer</v>
      </c>
      <c r="E734" s="12" t="s">
        <v>2169</v>
      </c>
      <c r="F734" s="12"/>
      <c r="G734" s="13" t="s">
        <v>226</v>
      </c>
      <c r="H734" s="14" t="s">
        <v>2170</v>
      </c>
      <c r="I734" s="13"/>
      <c r="J734" s="100" t="s">
        <v>57</v>
      </c>
      <c r="K734" s="15" t="s">
        <v>2171</v>
      </c>
      <c r="L734" s="15"/>
      <c r="M734" s="15"/>
      <c r="N734" s="15"/>
      <c r="O734" s="15"/>
      <c r="P734" s="15"/>
      <c r="Q734" s="15"/>
      <c r="R734" s="16"/>
      <c r="S734" s="35"/>
      <c r="T734" s="13">
        <v>2021</v>
      </c>
      <c r="U734" s="17">
        <v>1.325618</v>
      </c>
      <c r="V734" s="17">
        <v>0.58291899999999996</v>
      </c>
      <c r="W734" s="39">
        <f t="shared" si="86"/>
        <v>0.43973376945696269</v>
      </c>
      <c r="X734" s="17">
        <v>0.40363600000000005</v>
      </c>
      <c r="Y734" s="17" t="s">
        <v>236</v>
      </c>
      <c r="Z734" s="16"/>
      <c r="AA734" s="15" t="s">
        <v>140</v>
      </c>
      <c r="AB734" s="17"/>
      <c r="AC734" s="21" t="s">
        <v>61</v>
      </c>
      <c r="AD734" s="21" t="s">
        <v>61</v>
      </c>
      <c r="AE734" s="61" t="s">
        <v>128</v>
      </c>
      <c r="AF734" s="17"/>
      <c r="AG734" s="15"/>
      <c r="AH734" s="16"/>
      <c r="AI734" s="16"/>
      <c r="AJ734" s="42">
        <f t="shared" ca="1" si="82"/>
        <v>749</v>
      </c>
      <c r="AK734" s="42">
        <f t="shared" ca="1" si="83"/>
        <v>651</v>
      </c>
      <c r="AL734" s="130" t="str">
        <f t="shared" si="84"/>
        <v>No Answer</v>
      </c>
      <c r="AM734" s="37">
        <v>44915</v>
      </c>
      <c r="AN734" s="38">
        <v>45013</v>
      </c>
      <c r="AO734" s="38"/>
      <c r="AP734" s="38"/>
      <c r="AQ734" s="38"/>
      <c r="AR734" s="101" t="s">
        <v>1763</v>
      </c>
      <c r="AS734" s="38">
        <v>45013</v>
      </c>
      <c r="AT734" s="11" t="s">
        <v>7</v>
      </c>
    </row>
    <row r="735" spans="1:46" s="98" customFormat="1" x14ac:dyDescent="0.3">
      <c r="A735" s="16"/>
      <c r="B735" s="16" cm="1">
        <f t="array" ref="B735">+_xlfn.IFS(D735="In Touch - Positive",2,D735="Pending",1,D735="No Answer",4,D735="In Touch - Negative",3)</f>
        <v>4</v>
      </c>
      <c r="C735" s="16" t="s">
        <v>1864</v>
      </c>
      <c r="D735" s="99" t="str">
        <f t="shared" si="85"/>
        <v>No Answer</v>
      </c>
      <c r="E735" s="12" t="s">
        <v>2172</v>
      </c>
      <c r="F735" s="12"/>
      <c r="G735" s="13" t="s">
        <v>2173</v>
      </c>
      <c r="H735" s="14" t="s">
        <v>2174</v>
      </c>
      <c r="I735" s="13"/>
      <c r="J735" s="100" t="s">
        <v>57</v>
      </c>
      <c r="K735" s="15" t="s">
        <v>1880</v>
      </c>
      <c r="L735" s="15"/>
      <c r="M735" s="15"/>
      <c r="N735" s="15"/>
      <c r="O735" s="15"/>
      <c r="P735" s="15"/>
      <c r="Q735" s="15"/>
      <c r="R735" s="16"/>
      <c r="S735" s="35"/>
      <c r="T735" s="13">
        <v>2020</v>
      </c>
      <c r="U735" s="17">
        <v>3.0689489999999999</v>
      </c>
      <c r="V735" s="17">
        <v>0.60239799999999999</v>
      </c>
      <c r="W735" s="39">
        <f t="shared" si="86"/>
        <v>0.19628804519071513</v>
      </c>
      <c r="X735" s="17">
        <v>0.151673</v>
      </c>
      <c r="Y735" s="17">
        <v>2.2182710000000001</v>
      </c>
      <c r="Z735" s="16"/>
      <c r="AA735" s="15" t="s">
        <v>140</v>
      </c>
      <c r="AB735" s="17"/>
      <c r="AC735" s="21" t="s">
        <v>61</v>
      </c>
      <c r="AD735" s="21" t="s">
        <v>61</v>
      </c>
      <c r="AE735" s="61" t="s">
        <v>128</v>
      </c>
      <c r="AF735" s="17"/>
      <c r="AG735" s="15"/>
      <c r="AH735" s="16"/>
      <c r="AI735" s="16"/>
      <c r="AJ735" s="42">
        <f t="shared" ca="1" si="82"/>
        <v>749</v>
      </c>
      <c r="AK735" s="42">
        <f t="shared" ca="1" si="83"/>
        <v>659</v>
      </c>
      <c r="AL735" s="130" t="str">
        <f t="shared" si="84"/>
        <v>No Answer</v>
      </c>
      <c r="AM735" s="37">
        <v>44915</v>
      </c>
      <c r="AN735" s="38">
        <v>44992</v>
      </c>
      <c r="AO735" s="38">
        <v>45005</v>
      </c>
      <c r="AP735" s="38"/>
      <c r="AQ735" s="38"/>
      <c r="AR735" s="101" t="s">
        <v>1763</v>
      </c>
      <c r="AS735" s="38">
        <v>45005</v>
      </c>
      <c r="AT735" s="11" t="s">
        <v>7</v>
      </c>
    </row>
    <row r="736" spans="1:46" s="98" customFormat="1" x14ac:dyDescent="0.3">
      <c r="A736" s="16"/>
      <c r="B736" s="16" cm="1">
        <f t="array" ref="B736">+_xlfn.IFS(D736="In Touch - Positive",2,D736="Pending",1,D736="No Answer",4,D736="In Touch - Negative",3)</f>
        <v>4</v>
      </c>
      <c r="C736" s="16" t="s">
        <v>1864</v>
      </c>
      <c r="D736" s="99" t="str">
        <f t="shared" si="85"/>
        <v>No Answer</v>
      </c>
      <c r="E736" s="12" t="s">
        <v>2175</v>
      </c>
      <c r="F736" s="12"/>
      <c r="G736" s="13" t="s">
        <v>2173</v>
      </c>
      <c r="H736" s="14" t="s">
        <v>2176</v>
      </c>
      <c r="I736" s="13"/>
      <c r="J736" s="100" t="s">
        <v>57</v>
      </c>
      <c r="K736" s="15" t="s">
        <v>2177</v>
      </c>
      <c r="L736" s="15"/>
      <c r="M736" s="15"/>
      <c r="N736" s="15"/>
      <c r="O736" s="15"/>
      <c r="P736" s="15"/>
      <c r="Q736" s="15"/>
      <c r="R736" s="16"/>
      <c r="S736" s="35"/>
      <c r="T736" s="13">
        <v>2021</v>
      </c>
      <c r="U736" s="17">
        <v>1.893545</v>
      </c>
      <c r="V736" s="17">
        <v>0.99406399999999995</v>
      </c>
      <c r="W736" s="39">
        <f t="shared" si="86"/>
        <v>0.52497511281749309</v>
      </c>
      <c r="X736" s="17">
        <v>0.32941000000000004</v>
      </c>
      <c r="Y736" s="17">
        <v>1.5245280000000001</v>
      </c>
      <c r="Z736" s="16"/>
      <c r="AA736" s="15" t="s">
        <v>140</v>
      </c>
      <c r="AB736" s="17"/>
      <c r="AC736" s="21" t="s">
        <v>61</v>
      </c>
      <c r="AD736" s="21" t="s">
        <v>61</v>
      </c>
      <c r="AE736" s="61" t="s">
        <v>128</v>
      </c>
      <c r="AF736" s="17"/>
      <c r="AG736" s="15"/>
      <c r="AH736" s="16"/>
      <c r="AI736" s="16"/>
      <c r="AJ736" s="42">
        <f t="shared" ca="1" si="82"/>
        <v>749</v>
      </c>
      <c r="AK736" s="42">
        <f t="shared" ca="1" si="83"/>
        <v>659</v>
      </c>
      <c r="AL736" s="130" t="str">
        <f t="shared" si="84"/>
        <v>No Answer</v>
      </c>
      <c r="AM736" s="37">
        <v>44915</v>
      </c>
      <c r="AN736" s="38">
        <v>44992</v>
      </c>
      <c r="AO736" s="38">
        <v>45005</v>
      </c>
      <c r="AP736" s="38"/>
      <c r="AQ736" s="38"/>
      <c r="AR736" s="101" t="s">
        <v>1763</v>
      </c>
      <c r="AS736" s="38">
        <v>45005</v>
      </c>
      <c r="AT736" s="11" t="s">
        <v>7</v>
      </c>
    </row>
    <row r="737" spans="1:46" s="98" customFormat="1" x14ac:dyDescent="0.3">
      <c r="A737" s="16"/>
      <c r="B737" s="16" cm="1">
        <f t="array" ref="B737">+_xlfn.IFS(D737="In Touch - Positive",2,D737="Pending",1,D737="No Answer",4,D737="In Touch - Negative",3)</f>
        <v>4</v>
      </c>
      <c r="C737" s="16" t="s">
        <v>1864</v>
      </c>
      <c r="D737" s="99" t="str">
        <f t="shared" si="85"/>
        <v>No Answer</v>
      </c>
      <c r="E737" s="12" t="s">
        <v>2178</v>
      </c>
      <c r="F737" s="12"/>
      <c r="G737" s="13" t="s">
        <v>677</v>
      </c>
      <c r="H737" s="14" t="s">
        <v>2179</v>
      </c>
      <c r="I737" s="13"/>
      <c r="J737" s="100" t="s">
        <v>57</v>
      </c>
      <c r="K737" s="15" t="s">
        <v>2018</v>
      </c>
      <c r="L737" s="15"/>
      <c r="M737" s="15"/>
      <c r="N737" s="15"/>
      <c r="O737" s="15"/>
      <c r="P737" s="15"/>
      <c r="Q737" s="15"/>
      <c r="R737" s="16"/>
      <c r="S737" s="35"/>
      <c r="T737" s="13">
        <v>2021</v>
      </c>
      <c r="U737" s="17">
        <v>1.463454</v>
      </c>
      <c r="V737" s="17">
        <v>0.75160499999999997</v>
      </c>
      <c r="W737" s="39">
        <f t="shared" si="86"/>
        <v>0.51358293461905868</v>
      </c>
      <c r="X737" s="17">
        <v>0.53217700000000001</v>
      </c>
      <c r="Y737" s="17">
        <v>-3.5050999999999999E-2</v>
      </c>
      <c r="Z737" s="16"/>
      <c r="AA737" s="15" t="s">
        <v>140</v>
      </c>
      <c r="AB737" s="17"/>
      <c r="AC737" s="21" t="s">
        <v>61</v>
      </c>
      <c r="AD737" s="21" t="s">
        <v>61</v>
      </c>
      <c r="AE737" s="61" t="s">
        <v>128</v>
      </c>
      <c r="AF737" s="17"/>
      <c r="AG737" s="15"/>
      <c r="AH737" s="16"/>
      <c r="AI737" s="16"/>
      <c r="AJ737" s="42">
        <f t="shared" ca="1" si="82"/>
        <v>749</v>
      </c>
      <c r="AK737" s="42">
        <f t="shared" ca="1" si="83"/>
        <v>659</v>
      </c>
      <c r="AL737" s="130" t="str">
        <f t="shared" si="84"/>
        <v>No Answer</v>
      </c>
      <c r="AM737" s="37">
        <v>44915</v>
      </c>
      <c r="AN737" s="38">
        <v>44992</v>
      </c>
      <c r="AO737" s="38">
        <v>45005</v>
      </c>
      <c r="AP737" s="38"/>
      <c r="AQ737" s="38"/>
      <c r="AR737" s="101" t="s">
        <v>1763</v>
      </c>
      <c r="AS737" s="38">
        <v>45005</v>
      </c>
      <c r="AT737" s="11" t="s">
        <v>7</v>
      </c>
    </row>
    <row r="738" spans="1:46" s="98" customFormat="1" x14ac:dyDescent="0.3">
      <c r="A738" s="16"/>
      <c r="B738" s="16" cm="1">
        <f t="array" ref="B738">+_xlfn.IFS(D738="In Touch - Positive",2,D738="Pending",1,D738="No Answer",4,D738="In Touch - Negative",3)</f>
        <v>4</v>
      </c>
      <c r="C738" s="16" t="s">
        <v>1864</v>
      </c>
      <c r="D738" s="99" t="str">
        <f t="shared" si="85"/>
        <v>No Answer</v>
      </c>
      <c r="E738" s="12" t="s">
        <v>2180</v>
      </c>
      <c r="F738" s="12"/>
      <c r="G738" s="13" t="s">
        <v>103</v>
      </c>
      <c r="H738" s="14" t="s">
        <v>2181</v>
      </c>
      <c r="I738" s="13"/>
      <c r="J738" s="100" t="s">
        <v>57</v>
      </c>
      <c r="K738" s="15" t="s">
        <v>2182</v>
      </c>
      <c r="L738" s="15"/>
      <c r="M738" s="15"/>
      <c r="N738" s="15"/>
      <c r="O738" s="15"/>
      <c r="P738" s="15"/>
      <c r="Q738" s="15"/>
      <c r="R738" s="16"/>
      <c r="S738" s="35"/>
      <c r="T738" s="13">
        <v>2021</v>
      </c>
      <c r="U738" s="17">
        <v>1.7097020000000001</v>
      </c>
      <c r="V738" s="17">
        <v>0.70893300000000004</v>
      </c>
      <c r="W738" s="39">
        <f t="shared" si="86"/>
        <v>0.41465296291400489</v>
      </c>
      <c r="X738" s="17">
        <v>0.43954100000000002</v>
      </c>
      <c r="Y738" s="17">
        <v>-0.75680399999999992</v>
      </c>
      <c r="Z738" s="16"/>
      <c r="AA738" s="15" t="s">
        <v>140</v>
      </c>
      <c r="AB738" s="17"/>
      <c r="AC738" s="21" t="s">
        <v>61</v>
      </c>
      <c r="AD738" s="21" t="s">
        <v>61</v>
      </c>
      <c r="AE738" s="61" t="s">
        <v>128</v>
      </c>
      <c r="AF738" s="17"/>
      <c r="AG738" s="15"/>
      <c r="AH738" s="16"/>
      <c r="AI738" s="16"/>
      <c r="AJ738" s="42">
        <f t="shared" ca="1" si="82"/>
        <v>749</v>
      </c>
      <c r="AK738" s="42">
        <f t="shared" ca="1" si="83"/>
        <v>659</v>
      </c>
      <c r="AL738" s="130" t="str">
        <f t="shared" si="84"/>
        <v>No Answer</v>
      </c>
      <c r="AM738" s="37">
        <v>44915</v>
      </c>
      <c r="AN738" s="38">
        <v>44992</v>
      </c>
      <c r="AO738" s="38">
        <v>45005</v>
      </c>
      <c r="AP738" s="38"/>
      <c r="AQ738" s="38"/>
      <c r="AR738" s="101" t="s">
        <v>1763</v>
      </c>
      <c r="AS738" s="38">
        <v>45005</v>
      </c>
      <c r="AT738" s="11" t="s">
        <v>7</v>
      </c>
    </row>
    <row r="739" spans="1:46" s="98" customFormat="1" x14ac:dyDescent="0.3">
      <c r="A739" s="16"/>
      <c r="B739" s="16" cm="1">
        <f t="array" ref="B739">+_xlfn.IFS(D739="In Touch - Positive",2,D739="Pending",1,D739="No Answer",4,D739="In Touch - Negative",3)</f>
        <v>4</v>
      </c>
      <c r="C739" s="16" t="s">
        <v>1864</v>
      </c>
      <c r="D739" s="99" t="str">
        <f t="shared" si="85"/>
        <v>No Answer</v>
      </c>
      <c r="E739" s="12" t="s">
        <v>2183</v>
      </c>
      <c r="F739" s="12"/>
      <c r="G739" s="13" t="s">
        <v>208</v>
      </c>
      <c r="H739" s="14" t="s">
        <v>2184</v>
      </c>
      <c r="I739" s="13"/>
      <c r="J739" s="100" t="s">
        <v>57</v>
      </c>
      <c r="K739" s="15" t="s">
        <v>1881</v>
      </c>
      <c r="L739" s="15"/>
      <c r="M739" s="15"/>
      <c r="N739" s="15"/>
      <c r="O739" s="15"/>
      <c r="P739" s="15"/>
      <c r="Q739" s="15"/>
      <c r="R739" s="16"/>
      <c r="S739" s="35"/>
      <c r="T739" s="13">
        <v>2021</v>
      </c>
      <c r="U739" s="17">
        <v>2.4273639999999999</v>
      </c>
      <c r="V739" s="17">
        <v>0.70761300000000005</v>
      </c>
      <c r="W739" s="39">
        <f t="shared" si="86"/>
        <v>0.29151499321898161</v>
      </c>
      <c r="X739" s="17">
        <v>0.50554299999999996</v>
      </c>
      <c r="Y739" s="17" t="s">
        <v>236</v>
      </c>
      <c r="Z739" s="16"/>
      <c r="AA739" s="15" t="s">
        <v>140</v>
      </c>
      <c r="AB739" s="17"/>
      <c r="AC739" s="21" t="s">
        <v>61</v>
      </c>
      <c r="AD739" s="21" t="s">
        <v>61</v>
      </c>
      <c r="AE739" s="61" t="s">
        <v>128</v>
      </c>
      <c r="AF739" s="17"/>
      <c r="AG739" s="15"/>
      <c r="AH739" s="16"/>
      <c r="AI739" s="16"/>
      <c r="AJ739" s="42">
        <f t="shared" ca="1" si="82"/>
        <v>749</v>
      </c>
      <c r="AK739" s="42">
        <f t="shared" ca="1" si="83"/>
        <v>659</v>
      </c>
      <c r="AL739" s="130" t="str">
        <f t="shared" si="84"/>
        <v>No Answer</v>
      </c>
      <c r="AM739" s="37">
        <v>44915</v>
      </c>
      <c r="AN739" s="38">
        <v>44992</v>
      </c>
      <c r="AO739" s="38">
        <v>45005</v>
      </c>
      <c r="AP739" s="38"/>
      <c r="AQ739" s="38"/>
      <c r="AR739" s="101" t="s">
        <v>1763</v>
      </c>
      <c r="AS739" s="38">
        <v>45005</v>
      </c>
      <c r="AT739" s="11" t="s">
        <v>7</v>
      </c>
    </row>
    <row r="740" spans="1:46" s="98" customFormat="1" ht="12" customHeight="1" x14ac:dyDescent="0.3">
      <c r="A740" s="16"/>
      <c r="B740" s="16" cm="1">
        <f t="array" ref="B740">+_xlfn.IFS(D740="In Touch - Positive",2,D740="Pending",1,D740="No Answer",4,D740="In Touch - Negative",3)</f>
        <v>4</v>
      </c>
      <c r="C740" s="16" t="s">
        <v>1864</v>
      </c>
      <c r="D740" s="99" t="str">
        <f t="shared" si="85"/>
        <v>No Answer</v>
      </c>
      <c r="E740" s="12" t="s">
        <v>2185</v>
      </c>
      <c r="F740" s="12"/>
      <c r="G740" s="13" t="s">
        <v>1159</v>
      </c>
      <c r="H740" s="14" t="s">
        <v>2186</v>
      </c>
      <c r="I740" s="13"/>
      <c r="J740" s="100" t="s">
        <v>57</v>
      </c>
      <c r="K740" s="15" t="s">
        <v>2187</v>
      </c>
      <c r="L740" s="15"/>
      <c r="M740" s="15"/>
      <c r="N740" s="15"/>
      <c r="O740" s="15"/>
      <c r="P740" s="15"/>
      <c r="Q740" s="15"/>
      <c r="R740" s="16"/>
      <c r="S740" s="35"/>
      <c r="T740" s="13">
        <v>2021</v>
      </c>
      <c r="U740" s="17">
        <v>2.2073299999999998</v>
      </c>
      <c r="V740" s="17">
        <v>0.60823400000000005</v>
      </c>
      <c r="W740" s="39">
        <f t="shared" si="86"/>
        <v>0.2755519111324542</v>
      </c>
      <c r="X740" s="17">
        <v>0.371423</v>
      </c>
      <c r="Y740" s="17">
        <v>-0.11194499999999999</v>
      </c>
      <c r="Z740" s="16"/>
      <c r="AA740" s="15" t="s">
        <v>140</v>
      </c>
      <c r="AB740" s="17"/>
      <c r="AC740" s="21" t="s">
        <v>61</v>
      </c>
      <c r="AD740" s="21" t="s">
        <v>61</v>
      </c>
      <c r="AE740" s="61" t="s">
        <v>128</v>
      </c>
      <c r="AF740" s="17"/>
      <c r="AG740" s="15"/>
      <c r="AH740" s="16"/>
      <c r="AI740" s="16"/>
      <c r="AJ740" s="42">
        <f t="shared" ca="1" si="82"/>
        <v>749</v>
      </c>
      <c r="AK740" s="42">
        <f t="shared" ca="1" si="83"/>
        <v>659</v>
      </c>
      <c r="AL740" s="130" t="str">
        <f t="shared" si="84"/>
        <v>No Answer</v>
      </c>
      <c r="AM740" s="37">
        <v>44915</v>
      </c>
      <c r="AN740" s="38">
        <v>44992</v>
      </c>
      <c r="AO740" s="38">
        <v>45005</v>
      </c>
      <c r="AP740" s="38"/>
      <c r="AQ740" s="38"/>
      <c r="AR740" s="101" t="s">
        <v>1763</v>
      </c>
      <c r="AS740" s="38">
        <v>45005</v>
      </c>
      <c r="AT740" s="11" t="s">
        <v>7</v>
      </c>
    </row>
    <row r="741" spans="1:46" s="98" customFormat="1" x14ac:dyDescent="0.3">
      <c r="B741" s="16" cm="1">
        <f t="array" ref="B741">+_xlfn.IFS(D741="In Touch - Positive",2,D741="Pending",1,D741="No Answer",4,D741="In Touch - Negative",3)</f>
        <v>4</v>
      </c>
      <c r="C741" s="16" t="s">
        <v>1864</v>
      </c>
      <c r="D741" s="99" t="str">
        <f t="shared" si="85"/>
        <v>No Answer</v>
      </c>
      <c r="E741" s="12" t="s">
        <v>2188</v>
      </c>
      <c r="F741" s="12"/>
      <c r="G741" s="13" t="s">
        <v>166</v>
      </c>
      <c r="H741" s="14" t="s">
        <v>2189</v>
      </c>
      <c r="I741" s="13"/>
      <c r="J741" s="100" t="s">
        <v>57</v>
      </c>
      <c r="K741" s="15" t="s">
        <v>2190</v>
      </c>
      <c r="L741" s="15"/>
      <c r="M741" s="15"/>
      <c r="N741" s="15"/>
      <c r="O741" s="15"/>
      <c r="P741" s="15"/>
      <c r="Q741" s="15"/>
      <c r="R741" s="16"/>
      <c r="S741" s="35"/>
      <c r="T741" s="13">
        <v>2021</v>
      </c>
      <c r="U741" s="17">
        <v>2.2343670000000002</v>
      </c>
      <c r="V741" s="17">
        <v>0.596441</v>
      </c>
      <c r="W741" s="39">
        <f t="shared" si="86"/>
        <v>0.26693958512634675</v>
      </c>
      <c r="X741" s="17">
        <v>0.36365399999999998</v>
      </c>
      <c r="Y741" s="17">
        <v>-0.35496300000000003</v>
      </c>
      <c r="Z741" s="16"/>
      <c r="AA741" s="15" t="s">
        <v>140</v>
      </c>
      <c r="AB741" s="17"/>
      <c r="AC741" s="21" t="s">
        <v>61</v>
      </c>
      <c r="AD741" s="21" t="s">
        <v>61</v>
      </c>
      <c r="AE741" s="61" t="s">
        <v>128</v>
      </c>
      <c r="AF741" s="17"/>
      <c r="AG741" s="15"/>
      <c r="AH741" s="16"/>
      <c r="AI741" s="16"/>
      <c r="AJ741" s="42">
        <f t="shared" ca="1" si="82"/>
        <v>749</v>
      </c>
      <c r="AK741" s="42">
        <f t="shared" ca="1" si="83"/>
        <v>659</v>
      </c>
      <c r="AL741" s="130" t="str">
        <f t="shared" si="84"/>
        <v>No Answer</v>
      </c>
      <c r="AM741" s="37">
        <v>44915</v>
      </c>
      <c r="AN741" s="38">
        <v>44992</v>
      </c>
      <c r="AO741" s="38">
        <v>45005</v>
      </c>
      <c r="AP741" s="38"/>
      <c r="AQ741" s="38"/>
      <c r="AR741" s="101" t="s">
        <v>1763</v>
      </c>
      <c r="AS741" s="38">
        <v>45005</v>
      </c>
      <c r="AT741" s="11" t="s">
        <v>7</v>
      </c>
    </row>
    <row r="742" spans="1:46" s="98" customFormat="1" x14ac:dyDescent="0.3">
      <c r="A742" s="16"/>
      <c r="B742" s="16" cm="1">
        <f t="array" ref="B742">+_xlfn.IFS(D742="In Touch - Positive",2,D742="Pending",1,D742="No Answer",4,D742="In Touch - Negative",3)</f>
        <v>4</v>
      </c>
      <c r="C742" s="16" t="s">
        <v>1864</v>
      </c>
      <c r="D742" s="99" t="str">
        <f t="shared" si="85"/>
        <v>No Answer</v>
      </c>
      <c r="E742" s="12" t="s">
        <v>2191</v>
      </c>
      <c r="F742" s="12"/>
      <c r="G742" s="13" t="s">
        <v>677</v>
      </c>
      <c r="H742" s="14" t="s">
        <v>2192</v>
      </c>
      <c r="I742" s="13"/>
      <c r="J742" s="100" t="s">
        <v>57</v>
      </c>
      <c r="K742" s="15" t="s">
        <v>1880</v>
      </c>
      <c r="L742" s="15"/>
      <c r="M742" s="15"/>
      <c r="N742" s="15"/>
      <c r="O742" s="15"/>
      <c r="P742" s="15"/>
      <c r="Q742" s="15"/>
      <c r="R742" s="16"/>
      <c r="S742" s="35"/>
      <c r="T742" s="13">
        <v>2021</v>
      </c>
      <c r="U742" s="17">
        <v>7.9474999999999998</v>
      </c>
      <c r="V742" s="17">
        <v>0.58246799999999999</v>
      </c>
      <c r="W742" s="39">
        <f t="shared" si="86"/>
        <v>7.3289462094998425E-2</v>
      </c>
      <c r="X742" s="17">
        <v>0.12302800000000001</v>
      </c>
      <c r="Y742" s="17">
        <v>-0.397924</v>
      </c>
      <c r="Z742" s="16"/>
      <c r="AA742" s="15" t="s">
        <v>140</v>
      </c>
      <c r="AB742" s="17"/>
      <c r="AC742" s="21" t="s">
        <v>61</v>
      </c>
      <c r="AD742" s="21" t="s">
        <v>61</v>
      </c>
      <c r="AE742" s="61" t="s">
        <v>128</v>
      </c>
      <c r="AF742" s="17"/>
      <c r="AG742" s="15"/>
      <c r="AH742" s="16"/>
      <c r="AI742" s="16"/>
      <c r="AJ742" s="42">
        <f t="shared" ca="1" si="82"/>
        <v>749</v>
      </c>
      <c r="AK742" s="42">
        <f t="shared" ca="1" si="83"/>
        <v>659</v>
      </c>
      <c r="AL742" s="130" t="str">
        <f t="shared" si="84"/>
        <v>No Answer</v>
      </c>
      <c r="AM742" s="37">
        <v>44915</v>
      </c>
      <c r="AN742" s="38">
        <v>44992</v>
      </c>
      <c r="AO742" s="38">
        <v>45005</v>
      </c>
      <c r="AP742" s="38"/>
      <c r="AQ742" s="38"/>
      <c r="AR742" s="101" t="s">
        <v>1763</v>
      </c>
      <c r="AS742" s="38">
        <v>45005</v>
      </c>
      <c r="AT742" s="11" t="s">
        <v>7</v>
      </c>
    </row>
    <row r="743" spans="1:46" s="98" customFormat="1" x14ac:dyDescent="0.3">
      <c r="A743" s="16"/>
      <c r="B743" s="16" cm="1">
        <f t="array" ref="B743">+_xlfn.IFS(D743="In Touch - Positive",2,D743="Pending",1,D743="No Answer",4,D743="In Touch - Negative",3)</f>
        <v>4</v>
      </c>
      <c r="C743" s="16" t="s">
        <v>1864</v>
      </c>
      <c r="D743" s="99" t="str">
        <f t="shared" si="85"/>
        <v>No Answer</v>
      </c>
      <c r="E743" s="12" t="s">
        <v>2193</v>
      </c>
      <c r="F743" s="12"/>
      <c r="G743" s="13" t="s">
        <v>166</v>
      </c>
      <c r="H743" s="14" t="s">
        <v>2194</v>
      </c>
      <c r="I743" s="13"/>
      <c r="J743" s="100" t="s">
        <v>57</v>
      </c>
      <c r="K743" s="15" t="s">
        <v>2195</v>
      </c>
      <c r="L743" s="15"/>
      <c r="M743" s="15"/>
      <c r="N743" s="15"/>
      <c r="O743" s="15"/>
      <c r="P743" s="15"/>
      <c r="Q743" s="15"/>
      <c r="R743" s="16"/>
      <c r="S743" s="35"/>
      <c r="T743" s="13">
        <v>2021</v>
      </c>
      <c r="U743" s="17">
        <v>2.1117560000000002</v>
      </c>
      <c r="V743" s="17">
        <v>0.58024100000000001</v>
      </c>
      <c r="W743" s="39">
        <f t="shared" si="86"/>
        <v>0.27476706589208222</v>
      </c>
      <c r="X743" s="17">
        <v>0.37306499999999998</v>
      </c>
      <c r="Y743" s="17" t="s">
        <v>236</v>
      </c>
      <c r="Z743" s="16"/>
      <c r="AA743" s="15" t="s">
        <v>140</v>
      </c>
      <c r="AB743" s="17"/>
      <c r="AC743" s="21" t="s">
        <v>61</v>
      </c>
      <c r="AD743" s="21" t="s">
        <v>61</v>
      </c>
      <c r="AE743" s="61" t="s">
        <v>128</v>
      </c>
      <c r="AF743" s="17"/>
      <c r="AG743" s="15"/>
      <c r="AH743" s="16"/>
      <c r="AI743" s="16"/>
      <c r="AJ743" s="42">
        <f t="shared" ca="1" si="82"/>
        <v>749</v>
      </c>
      <c r="AK743" s="42">
        <f t="shared" ca="1" si="83"/>
        <v>659</v>
      </c>
      <c r="AL743" s="130" t="str">
        <f t="shared" si="84"/>
        <v>No Answer</v>
      </c>
      <c r="AM743" s="37">
        <v>44915</v>
      </c>
      <c r="AN743" s="38">
        <v>44992</v>
      </c>
      <c r="AO743" s="38">
        <v>45005</v>
      </c>
      <c r="AP743" s="38"/>
      <c r="AQ743" s="38"/>
      <c r="AR743" s="101" t="s">
        <v>1763</v>
      </c>
      <c r="AS743" s="38">
        <v>45005</v>
      </c>
      <c r="AT743" s="11" t="s">
        <v>7</v>
      </c>
    </row>
    <row r="744" spans="1:46" s="98" customFormat="1" x14ac:dyDescent="0.3">
      <c r="A744" s="16"/>
      <c r="B744" s="16" cm="1">
        <f t="array" ref="B744">+_xlfn.IFS(D744="In Touch - Positive",2,D744="Pending",1,D744="No Answer",4,D744="In Touch - Negative",3)</f>
        <v>4</v>
      </c>
      <c r="C744" s="16" t="s">
        <v>1864</v>
      </c>
      <c r="D744" s="99" t="str">
        <f t="shared" si="85"/>
        <v>No Answer</v>
      </c>
      <c r="E744" s="12" t="s">
        <v>2196</v>
      </c>
      <c r="F744" s="12"/>
      <c r="G744" s="13" t="s">
        <v>2197</v>
      </c>
      <c r="H744" s="14" t="s">
        <v>2198</v>
      </c>
      <c r="I744" s="13"/>
      <c r="J744" s="100" t="s">
        <v>57</v>
      </c>
      <c r="K744" s="15" t="s">
        <v>2018</v>
      </c>
      <c r="L744" s="15"/>
      <c r="M744" s="15"/>
      <c r="N744" s="15"/>
      <c r="O744" s="15"/>
      <c r="P744" s="15"/>
      <c r="Q744" s="15"/>
      <c r="R744" s="16"/>
      <c r="S744" s="35"/>
      <c r="T744" s="13">
        <v>2021</v>
      </c>
      <c r="U744" s="17">
        <v>0.57106599999999996</v>
      </c>
      <c r="V744" s="17">
        <v>0.52706200000000003</v>
      </c>
      <c r="W744" s="39">
        <f t="shared" si="86"/>
        <v>0.92294410803654925</v>
      </c>
      <c r="X744" s="17">
        <v>0.30951000000000001</v>
      </c>
      <c r="Y744" s="17">
        <v>0.22991399999999998</v>
      </c>
      <c r="Z744" s="16"/>
      <c r="AA744" s="15" t="s">
        <v>140</v>
      </c>
      <c r="AB744" s="17"/>
      <c r="AC744" s="21" t="s">
        <v>61</v>
      </c>
      <c r="AD744" s="21" t="s">
        <v>61</v>
      </c>
      <c r="AE744" s="61" t="s">
        <v>128</v>
      </c>
      <c r="AF744" s="17"/>
      <c r="AG744" s="15"/>
      <c r="AH744" s="16"/>
      <c r="AI744" s="16"/>
      <c r="AJ744" s="42">
        <f t="shared" ca="1" si="82"/>
        <v>749</v>
      </c>
      <c r="AK744" s="42">
        <f t="shared" ca="1" si="83"/>
        <v>659</v>
      </c>
      <c r="AL744" s="130" t="str">
        <f t="shared" si="84"/>
        <v>No Answer</v>
      </c>
      <c r="AM744" s="37">
        <v>44915</v>
      </c>
      <c r="AN744" s="38">
        <v>44992</v>
      </c>
      <c r="AO744" s="38">
        <v>45005</v>
      </c>
      <c r="AP744" s="38"/>
      <c r="AQ744" s="38"/>
      <c r="AR744" s="101" t="s">
        <v>1763</v>
      </c>
      <c r="AS744" s="38">
        <v>45005</v>
      </c>
      <c r="AT744" s="11" t="s">
        <v>7</v>
      </c>
    </row>
    <row r="745" spans="1:46" s="98" customFormat="1" x14ac:dyDescent="0.3">
      <c r="A745" s="16"/>
      <c r="B745" s="16" cm="1">
        <f t="array" ref="B745">+_xlfn.IFS(D745="In Touch - Positive",2,D745="Pending",1,D745="No Answer",4,D745="In Touch - Negative",3)</f>
        <v>4</v>
      </c>
      <c r="C745" s="16" t="s">
        <v>1864</v>
      </c>
      <c r="D745" s="99" t="str">
        <f t="shared" si="85"/>
        <v>No Answer</v>
      </c>
      <c r="E745" s="12" t="s">
        <v>2199</v>
      </c>
      <c r="F745" s="12"/>
      <c r="G745" s="13" t="s">
        <v>2200</v>
      </c>
      <c r="H745" s="14" t="s">
        <v>2201</v>
      </c>
      <c r="I745" s="13"/>
      <c r="J745" s="100" t="s">
        <v>57</v>
      </c>
      <c r="K745" s="15" t="s">
        <v>2018</v>
      </c>
      <c r="L745" s="15"/>
      <c r="M745" s="15"/>
      <c r="N745" s="15"/>
      <c r="O745" s="15"/>
      <c r="P745" s="15"/>
      <c r="Q745" s="15"/>
      <c r="R745" s="16"/>
      <c r="S745" s="35"/>
      <c r="T745" s="13">
        <v>2021</v>
      </c>
      <c r="U745" s="17">
        <v>1.4266319999999999</v>
      </c>
      <c r="V745" s="17">
        <v>0.455206</v>
      </c>
      <c r="W745" s="39">
        <f t="shared" si="86"/>
        <v>0.31907737945034181</v>
      </c>
      <c r="X745" s="17">
        <v>0.29849700000000001</v>
      </c>
      <c r="Y745" s="17">
        <v>-0.33067099999999999</v>
      </c>
      <c r="Z745" s="16"/>
      <c r="AA745" s="15" t="s">
        <v>140</v>
      </c>
      <c r="AB745" s="17"/>
      <c r="AC745" s="21" t="s">
        <v>61</v>
      </c>
      <c r="AD745" s="21" t="s">
        <v>61</v>
      </c>
      <c r="AE745" s="61" t="s">
        <v>128</v>
      </c>
      <c r="AF745" s="17"/>
      <c r="AG745" s="15"/>
      <c r="AH745" s="16"/>
      <c r="AI745" s="16"/>
      <c r="AJ745" s="42">
        <f t="shared" ca="1" si="82"/>
        <v>749</v>
      </c>
      <c r="AK745" s="42">
        <f t="shared" ca="1" si="83"/>
        <v>659</v>
      </c>
      <c r="AL745" s="130" t="str">
        <f t="shared" si="84"/>
        <v>No Answer</v>
      </c>
      <c r="AM745" s="37">
        <v>44915</v>
      </c>
      <c r="AN745" s="38">
        <v>44992</v>
      </c>
      <c r="AO745" s="38">
        <v>45005</v>
      </c>
      <c r="AP745" s="38"/>
      <c r="AQ745" s="38"/>
      <c r="AR745" s="101" t="s">
        <v>1763</v>
      </c>
      <c r="AS745" s="38">
        <v>45005</v>
      </c>
      <c r="AT745" s="11" t="s">
        <v>7</v>
      </c>
    </row>
    <row r="746" spans="1:46" s="98" customFormat="1" x14ac:dyDescent="0.3">
      <c r="A746" s="16"/>
      <c r="B746" s="16" cm="1">
        <f t="array" ref="B746">+_xlfn.IFS(D746="In Touch - Positive",2,D746="Pending",1,D746="No Answer",4,D746="In Touch - Negative",3)</f>
        <v>4</v>
      </c>
      <c r="C746" s="16" t="s">
        <v>1864</v>
      </c>
      <c r="D746" s="99" t="str">
        <f t="shared" si="85"/>
        <v>No Answer</v>
      </c>
      <c r="E746" s="12" t="s">
        <v>2202</v>
      </c>
      <c r="F746" s="12"/>
      <c r="G746" s="13" t="s">
        <v>130</v>
      </c>
      <c r="H746" s="14" t="s">
        <v>2203</v>
      </c>
      <c r="I746" s="13"/>
      <c r="J746" s="100" t="s">
        <v>57</v>
      </c>
      <c r="K746" s="15" t="s">
        <v>2204</v>
      </c>
      <c r="L746" s="15"/>
      <c r="M746" s="15"/>
      <c r="N746" s="15"/>
      <c r="O746" s="15"/>
      <c r="P746" s="15"/>
      <c r="Q746" s="15"/>
      <c r="R746" s="16"/>
      <c r="S746" s="35"/>
      <c r="T746" s="13">
        <v>2021</v>
      </c>
      <c r="U746" s="17">
        <v>1.293563</v>
      </c>
      <c r="V746" s="17">
        <v>0.51986900000000003</v>
      </c>
      <c r="W746" s="39">
        <f t="shared" si="86"/>
        <v>0.40188920060329497</v>
      </c>
      <c r="X746" s="17">
        <v>0.37215699999999996</v>
      </c>
      <c r="Y746" s="17">
        <v>-0.180175</v>
      </c>
      <c r="Z746" s="16"/>
      <c r="AA746" s="15" t="s">
        <v>140</v>
      </c>
      <c r="AB746" s="17"/>
      <c r="AC746" s="21" t="s">
        <v>61</v>
      </c>
      <c r="AD746" s="21" t="s">
        <v>61</v>
      </c>
      <c r="AE746" s="61" t="s">
        <v>128</v>
      </c>
      <c r="AF746" s="17"/>
      <c r="AG746" s="15"/>
      <c r="AH746" s="16"/>
      <c r="AI746" s="16"/>
      <c r="AJ746" s="42">
        <f t="shared" ca="1" si="82"/>
        <v>749</v>
      </c>
      <c r="AK746" s="42">
        <f t="shared" ca="1" si="83"/>
        <v>659</v>
      </c>
      <c r="AL746" s="130" t="str">
        <f t="shared" si="84"/>
        <v>No Answer</v>
      </c>
      <c r="AM746" s="37">
        <v>44915</v>
      </c>
      <c r="AN746" s="38">
        <v>44992</v>
      </c>
      <c r="AO746" s="38">
        <v>45005</v>
      </c>
      <c r="AP746" s="38"/>
      <c r="AQ746" s="38"/>
      <c r="AR746" s="101" t="s">
        <v>1763</v>
      </c>
      <c r="AS746" s="38">
        <v>45005</v>
      </c>
      <c r="AT746" s="11" t="s">
        <v>7</v>
      </c>
    </row>
    <row r="747" spans="1:46" s="98" customFormat="1" x14ac:dyDescent="0.3">
      <c r="A747" s="16"/>
      <c r="B747" s="16" cm="1">
        <f t="array" ref="B747">+_xlfn.IFS(D747="In Touch - Positive",2,D747="Pending",1,D747="No Answer",4,D747="In Touch - Negative",3)</f>
        <v>4</v>
      </c>
      <c r="C747" s="16" t="s">
        <v>1864</v>
      </c>
      <c r="D747" s="99" t="str">
        <f t="shared" si="85"/>
        <v>No Answer</v>
      </c>
      <c r="E747" s="12" t="s">
        <v>2205</v>
      </c>
      <c r="F747" s="12"/>
      <c r="G747" s="13" t="s">
        <v>68</v>
      </c>
      <c r="H747" s="14" t="s">
        <v>2206</v>
      </c>
      <c r="I747" s="13"/>
      <c r="J747" s="100" t="s">
        <v>57</v>
      </c>
      <c r="K747" s="15" t="s">
        <v>1881</v>
      </c>
      <c r="L747" s="15"/>
      <c r="M747" s="15"/>
      <c r="N747" s="15"/>
      <c r="O747" s="15"/>
      <c r="P747" s="15"/>
      <c r="Q747" s="15"/>
      <c r="R747" s="16"/>
      <c r="S747" s="35"/>
      <c r="T747" s="13">
        <v>2021</v>
      </c>
      <c r="U747" s="17">
        <v>4.7400310000000001</v>
      </c>
      <c r="V747" s="17">
        <v>0.556697</v>
      </c>
      <c r="W747" s="39">
        <f t="shared" si="86"/>
        <v>0.11744585636676215</v>
      </c>
      <c r="X747" s="17">
        <v>0.30187700000000001</v>
      </c>
      <c r="Y747" s="17">
        <v>-3.5782440000000002</v>
      </c>
      <c r="Z747" s="16"/>
      <c r="AA747" s="15" t="s">
        <v>140</v>
      </c>
      <c r="AB747" s="17"/>
      <c r="AC747" s="21" t="s">
        <v>61</v>
      </c>
      <c r="AD747" s="21" t="s">
        <v>61</v>
      </c>
      <c r="AE747" s="61" t="s">
        <v>128</v>
      </c>
      <c r="AF747" s="17"/>
      <c r="AG747" s="15"/>
      <c r="AH747" s="16"/>
      <c r="AI747" s="16"/>
      <c r="AJ747" s="42">
        <f t="shared" ca="1" si="82"/>
        <v>749</v>
      </c>
      <c r="AK747" s="42">
        <f t="shared" ca="1" si="83"/>
        <v>659</v>
      </c>
      <c r="AL747" s="130" t="str">
        <f t="shared" si="84"/>
        <v>No Answer</v>
      </c>
      <c r="AM747" s="37">
        <v>44915</v>
      </c>
      <c r="AN747" s="38">
        <v>44992</v>
      </c>
      <c r="AO747" s="38">
        <v>45005</v>
      </c>
      <c r="AP747" s="38"/>
      <c r="AQ747" s="38"/>
      <c r="AR747" s="101" t="s">
        <v>1763</v>
      </c>
      <c r="AS747" s="38">
        <v>45005</v>
      </c>
      <c r="AT747" s="11" t="s">
        <v>7</v>
      </c>
    </row>
    <row r="748" spans="1:46" s="98" customFormat="1" x14ac:dyDescent="0.3">
      <c r="A748" s="16"/>
      <c r="B748" s="16" cm="1">
        <f t="array" ref="B748">+_xlfn.IFS(D748="In Touch - Positive",2,D748="Pending",1,D748="No Answer",4,D748="In Touch - Negative",3)</f>
        <v>4</v>
      </c>
      <c r="C748" s="16" t="s">
        <v>1864</v>
      </c>
      <c r="D748" s="99" t="str">
        <f t="shared" si="85"/>
        <v>No Answer</v>
      </c>
      <c r="E748" s="12" t="s">
        <v>2207</v>
      </c>
      <c r="F748" s="12"/>
      <c r="G748" s="13" t="s">
        <v>130</v>
      </c>
      <c r="H748" s="14" t="s">
        <v>2208</v>
      </c>
      <c r="I748" s="13"/>
      <c r="J748" s="100" t="s">
        <v>57</v>
      </c>
      <c r="K748" s="15" t="s">
        <v>2209</v>
      </c>
      <c r="L748" s="15"/>
      <c r="M748" s="15"/>
      <c r="N748" s="15"/>
      <c r="O748" s="15"/>
      <c r="P748" s="15"/>
      <c r="Q748" s="15"/>
      <c r="R748" s="16"/>
      <c r="S748" s="35"/>
      <c r="T748" s="13">
        <v>2021</v>
      </c>
      <c r="U748" s="17">
        <v>2.9044940000000001</v>
      </c>
      <c r="V748" s="17">
        <v>2.018904</v>
      </c>
      <c r="W748" s="39">
        <f t="shared" si="86"/>
        <v>0.69509663301077573</v>
      </c>
      <c r="X748" s="17">
        <v>1.9067000000000001</v>
      </c>
      <c r="Y748" s="17">
        <v>-4.8314660000000007</v>
      </c>
      <c r="Z748" s="16"/>
      <c r="AA748" s="15" t="s">
        <v>140</v>
      </c>
      <c r="AB748" s="17"/>
      <c r="AC748" s="21" t="s">
        <v>61</v>
      </c>
      <c r="AD748" s="21" t="s">
        <v>61</v>
      </c>
      <c r="AE748" s="61" t="s">
        <v>128</v>
      </c>
      <c r="AF748" s="17"/>
      <c r="AG748" s="15"/>
      <c r="AH748" s="16"/>
      <c r="AI748" s="16"/>
      <c r="AJ748" s="42">
        <f t="shared" ca="1" si="82"/>
        <v>749</v>
      </c>
      <c r="AK748" s="42">
        <f t="shared" ca="1" si="83"/>
        <v>659</v>
      </c>
      <c r="AL748" s="130" t="str">
        <f t="shared" si="84"/>
        <v>No Answer</v>
      </c>
      <c r="AM748" s="37">
        <v>44915</v>
      </c>
      <c r="AN748" s="38">
        <v>44992</v>
      </c>
      <c r="AO748" s="38">
        <v>45005</v>
      </c>
      <c r="AP748" s="38"/>
      <c r="AQ748" s="38"/>
      <c r="AR748" s="101" t="s">
        <v>1763</v>
      </c>
      <c r="AS748" s="38">
        <v>45005</v>
      </c>
      <c r="AT748" s="11" t="s">
        <v>7</v>
      </c>
    </row>
    <row r="749" spans="1:46" s="98" customFormat="1" x14ac:dyDescent="0.3">
      <c r="A749" s="16"/>
      <c r="B749" s="16" cm="1">
        <f t="array" ref="B749">+_xlfn.IFS(D749="In Touch - Positive",2,D749="Pending",1,D749="No Answer",4,D749="In Touch - Negative",3)</f>
        <v>4</v>
      </c>
      <c r="C749" s="16" t="s">
        <v>1864</v>
      </c>
      <c r="D749" s="99" t="str">
        <f t="shared" si="85"/>
        <v>No Answer</v>
      </c>
      <c r="E749" s="12" t="s">
        <v>2210</v>
      </c>
      <c r="F749" s="12"/>
      <c r="G749" s="13" t="s">
        <v>677</v>
      </c>
      <c r="H749" s="14" t="s">
        <v>2211</v>
      </c>
      <c r="I749" s="13"/>
      <c r="J749" s="100" t="s">
        <v>57</v>
      </c>
      <c r="K749" s="15" t="s">
        <v>1881</v>
      </c>
      <c r="L749" s="15"/>
      <c r="M749" s="15"/>
      <c r="N749" s="15"/>
      <c r="O749" s="15"/>
      <c r="P749" s="15"/>
      <c r="Q749" s="15"/>
      <c r="R749" s="16"/>
      <c r="S749" s="35"/>
      <c r="T749" s="13">
        <v>2021</v>
      </c>
      <c r="U749" s="17">
        <v>18.908452</v>
      </c>
      <c r="V749" s="17">
        <v>1.9884980000000001</v>
      </c>
      <c r="W749" s="39">
        <f t="shared" si="86"/>
        <v>0.10516450526991845</v>
      </c>
      <c r="X749" s="17">
        <v>1.7364870000000001</v>
      </c>
      <c r="Y749" s="17" t="s">
        <v>236</v>
      </c>
      <c r="Z749" s="16"/>
      <c r="AA749" s="15" t="s">
        <v>140</v>
      </c>
      <c r="AB749" s="17"/>
      <c r="AC749" s="21" t="s">
        <v>61</v>
      </c>
      <c r="AD749" s="21" t="s">
        <v>61</v>
      </c>
      <c r="AE749" s="61" t="s">
        <v>128</v>
      </c>
      <c r="AF749" s="17"/>
      <c r="AG749" s="15"/>
      <c r="AH749" s="16"/>
      <c r="AI749" s="16"/>
      <c r="AJ749" s="42">
        <f t="shared" ca="1" si="82"/>
        <v>749</v>
      </c>
      <c r="AK749" s="42">
        <f t="shared" ca="1" si="83"/>
        <v>659</v>
      </c>
      <c r="AL749" s="130" t="str">
        <f t="shared" si="84"/>
        <v>No Answer</v>
      </c>
      <c r="AM749" s="37">
        <v>44915</v>
      </c>
      <c r="AN749" s="38">
        <v>44992</v>
      </c>
      <c r="AO749" s="38">
        <v>45005</v>
      </c>
      <c r="AP749" s="38"/>
      <c r="AQ749" s="38"/>
      <c r="AR749" s="101" t="s">
        <v>1763</v>
      </c>
      <c r="AS749" s="38">
        <v>45005</v>
      </c>
      <c r="AT749" s="11" t="s">
        <v>7</v>
      </c>
    </row>
    <row r="750" spans="1:46" s="98" customFormat="1" x14ac:dyDescent="0.3">
      <c r="A750" s="16"/>
      <c r="B750" s="16" cm="1">
        <f t="array" ref="B750">+_xlfn.IFS(D750="In Touch - Positive",2,D750="Pending",1,D750="No Answer",4,D750="In Touch - Negative",3)</f>
        <v>4</v>
      </c>
      <c r="C750" s="16" t="s">
        <v>1864</v>
      </c>
      <c r="D750" s="99" t="str">
        <f t="shared" si="85"/>
        <v>No Answer</v>
      </c>
      <c r="E750" s="12" t="s">
        <v>2215</v>
      </c>
      <c r="F750" s="12"/>
      <c r="G750" s="13" t="s">
        <v>677</v>
      </c>
      <c r="H750" s="14" t="s">
        <v>2216</v>
      </c>
      <c r="I750" s="13"/>
      <c r="J750" s="100" t="s">
        <v>57</v>
      </c>
      <c r="K750" s="15" t="s">
        <v>2217</v>
      </c>
      <c r="L750" s="15"/>
      <c r="M750" s="15"/>
      <c r="N750" s="15"/>
      <c r="O750" s="15"/>
      <c r="P750" s="15"/>
      <c r="Q750" s="15"/>
      <c r="R750" s="16"/>
      <c r="S750" s="35"/>
      <c r="T750" s="13">
        <v>2021</v>
      </c>
      <c r="U750" s="17">
        <v>1.751188</v>
      </c>
      <c r="V750" s="17">
        <v>0.84596400000000005</v>
      </c>
      <c r="W750" s="39">
        <f t="shared" si="86"/>
        <v>0.48308005765229095</v>
      </c>
      <c r="X750" s="17">
        <v>0.58875100000000002</v>
      </c>
      <c r="Y750" s="17">
        <v>-0.486933</v>
      </c>
      <c r="Z750" s="16"/>
      <c r="AA750" s="15" t="s">
        <v>140</v>
      </c>
      <c r="AB750" s="17"/>
      <c r="AC750" s="21" t="s">
        <v>61</v>
      </c>
      <c r="AD750" s="21" t="s">
        <v>61</v>
      </c>
      <c r="AE750" s="61" t="s">
        <v>128</v>
      </c>
      <c r="AF750" s="17"/>
      <c r="AG750" s="15"/>
      <c r="AH750" s="16"/>
      <c r="AI750" s="16"/>
      <c r="AJ750" s="42">
        <f t="shared" ca="1" si="82"/>
        <v>749</v>
      </c>
      <c r="AK750" s="42">
        <f t="shared" ca="1" si="83"/>
        <v>659</v>
      </c>
      <c r="AL750" s="130" t="str">
        <f t="shared" si="84"/>
        <v>No Answer</v>
      </c>
      <c r="AM750" s="37">
        <v>44915</v>
      </c>
      <c r="AN750" s="38">
        <v>44992</v>
      </c>
      <c r="AO750" s="38">
        <v>45005</v>
      </c>
      <c r="AP750" s="38"/>
      <c r="AQ750" s="38"/>
      <c r="AR750" s="101" t="s">
        <v>1763</v>
      </c>
      <c r="AS750" s="38">
        <v>45005</v>
      </c>
      <c r="AT750" s="11" t="s">
        <v>7</v>
      </c>
    </row>
    <row r="751" spans="1:46" s="98" customFormat="1" x14ac:dyDescent="0.3">
      <c r="A751" s="16"/>
      <c r="B751" s="16" cm="1">
        <f t="array" ref="B751">+_xlfn.IFS(D751="In Touch - Positive",2,D751="Pending",1,D751="No Answer",4,D751="In Touch - Negative",3)</f>
        <v>4</v>
      </c>
      <c r="C751" s="16" t="s">
        <v>1864</v>
      </c>
      <c r="D751" s="99" t="str">
        <f t="shared" si="85"/>
        <v>No Answer</v>
      </c>
      <c r="E751" s="12" t="s">
        <v>2218</v>
      </c>
      <c r="F751" s="12"/>
      <c r="G751" s="13" t="s">
        <v>2219</v>
      </c>
      <c r="H751" s="14" t="s">
        <v>2220</v>
      </c>
      <c r="I751" s="13"/>
      <c r="J751" s="100" t="s">
        <v>57</v>
      </c>
      <c r="K751" s="15" t="s">
        <v>2221</v>
      </c>
      <c r="L751" s="15"/>
      <c r="M751" s="15"/>
      <c r="N751" s="15"/>
      <c r="O751" s="15"/>
      <c r="P751" s="15"/>
      <c r="Q751" s="15"/>
      <c r="R751" s="16"/>
      <c r="S751" s="35"/>
      <c r="T751" s="13"/>
      <c r="U751" s="17">
        <v>13.194578</v>
      </c>
      <c r="V751" s="17">
        <v>0.61396600000000001</v>
      </c>
      <c r="W751" s="39">
        <f t="shared" si="86"/>
        <v>4.6531689001345855E-2</v>
      </c>
      <c r="X751" s="17">
        <v>0.24515600000000001</v>
      </c>
      <c r="Y751" s="17">
        <v>-0.90621600000000002</v>
      </c>
      <c r="Z751" s="16"/>
      <c r="AA751" s="15" t="s">
        <v>140</v>
      </c>
      <c r="AB751" s="17"/>
      <c r="AC751" s="21" t="s">
        <v>61</v>
      </c>
      <c r="AD751" s="21" t="s">
        <v>61</v>
      </c>
      <c r="AE751" s="61" t="s">
        <v>128</v>
      </c>
      <c r="AF751" s="17"/>
      <c r="AG751" s="15"/>
      <c r="AH751" s="16"/>
      <c r="AI751" s="16"/>
      <c r="AJ751" s="42">
        <f t="shared" ca="1" si="82"/>
        <v>749</v>
      </c>
      <c r="AK751" s="42">
        <f t="shared" ca="1" si="83"/>
        <v>659</v>
      </c>
      <c r="AL751" s="130" t="str">
        <f t="shared" si="84"/>
        <v>No Answer</v>
      </c>
      <c r="AM751" s="37">
        <v>44915</v>
      </c>
      <c r="AN751" s="38">
        <v>44992</v>
      </c>
      <c r="AO751" s="38">
        <v>45005</v>
      </c>
      <c r="AP751" s="38"/>
      <c r="AQ751" s="38"/>
      <c r="AR751" s="101" t="s">
        <v>1763</v>
      </c>
      <c r="AS751" s="38">
        <v>45005</v>
      </c>
      <c r="AT751" s="11" t="s">
        <v>7</v>
      </c>
    </row>
    <row r="752" spans="1:46" s="98" customFormat="1" x14ac:dyDescent="0.3">
      <c r="A752" s="16"/>
      <c r="B752" s="16" cm="1">
        <f t="array" ref="B752">+_xlfn.IFS(D752="In Touch - Positive",2,D752="Pending",1,D752="No Answer",4,D752="In Touch - Negative",3)</f>
        <v>4</v>
      </c>
      <c r="C752" s="16" t="s">
        <v>1864</v>
      </c>
      <c r="D752" s="99" t="str">
        <f t="shared" si="85"/>
        <v>No Answer</v>
      </c>
      <c r="E752" s="12" t="s">
        <v>2222</v>
      </c>
      <c r="F752" s="12"/>
      <c r="G752" s="13" t="s">
        <v>677</v>
      </c>
      <c r="H752" s="14" t="s">
        <v>2223</v>
      </c>
      <c r="I752" s="13"/>
      <c r="J752" s="100" t="s">
        <v>57</v>
      </c>
      <c r="K752" s="15" t="s">
        <v>2224</v>
      </c>
      <c r="L752" s="15"/>
      <c r="M752" s="15"/>
      <c r="N752" s="15"/>
      <c r="O752" s="15"/>
      <c r="P752" s="15"/>
      <c r="Q752" s="15"/>
      <c r="R752" s="16"/>
      <c r="S752" s="35"/>
      <c r="T752" s="13">
        <v>2021</v>
      </c>
      <c r="U752" s="17">
        <v>2.0568770000000001</v>
      </c>
      <c r="V752" s="17">
        <v>0.60422600000000004</v>
      </c>
      <c r="W752" s="39">
        <f t="shared" si="86"/>
        <v>0.29375893648477769</v>
      </c>
      <c r="X752" s="17">
        <v>0.34188200000000002</v>
      </c>
      <c r="Y752" s="17">
        <v>-0.90069100000000002</v>
      </c>
      <c r="Z752" s="16"/>
      <c r="AA752" s="15" t="s">
        <v>140</v>
      </c>
      <c r="AB752" s="17"/>
      <c r="AC752" s="21" t="s">
        <v>61</v>
      </c>
      <c r="AD752" s="21" t="s">
        <v>61</v>
      </c>
      <c r="AE752" s="61" t="s">
        <v>128</v>
      </c>
      <c r="AF752" s="17"/>
      <c r="AG752" s="15"/>
      <c r="AH752" s="16"/>
      <c r="AI752" s="16"/>
      <c r="AJ752" s="42">
        <f t="shared" ca="1" si="82"/>
        <v>749</v>
      </c>
      <c r="AK752" s="42">
        <f t="shared" ca="1" si="83"/>
        <v>659</v>
      </c>
      <c r="AL752" s="130" t="str">
        <f t="shared" si="84"/>
        <v>No Answer</v>
      </c>
      <c r="AM752" s="37">
        <v>44915</v>
      </c>
      <c r="AN752" s="38">
        <v>44992</v>
      </c>
      <c r="AO752" s="38">
        <v>45005</v>
      </c>
      <c r="AP752" s="38"/>
      <c r="AQ752" s="38"/>
      <c r="AR752" s="101" t="s">
        <v>1763</v>
      </c>
      <c r="AS752" s="38">
        <v>45005</v>
      </c>
      <c r="AT752" s="11" t="s">
        <v>7</v>
      </c>
    </row>
    <row r="753" spans="1:46" s="98" customFormat="1" x14ac:dyDescent="0.3">
      <c r="A753" s="16"/>
      <c r="B753" s="16" cm="1">
        <f t="array" ref="B753">+_xlfn.IFS(D753="In Touch - Positive",2,D753="Pending",1,D753="No Answer",4,D753="In Touch - Negative",3)</f>
        <v>4</v>
      </c>
      <c r="C753" s="16" t="s">
        <v>1864</v>
      </c>
      <c r="D753" s="99" t="str">
        <f t="shared" si="85"/>
        <v>No Answer</v>
      </c>
      <c r="E753" s="12" t="s">
        <v>2225</v>
      </c>
      <c r="F753" s="12"/>
      <c r="G753" s="13" t="s">
        <v>103</v>
      </c>
      <c r="H753" s="14" t="s">
        <v>2226</v>
      </c>
      <c r="I753" s="13"/>
      <c r="J753" s="100" t="s">
        <v>57</v>
      </c>
      <c r="K753" s="15" t="s">
        <v>2227</v>
      </c>
      <c r="L753" s="15"/>
      <c r="M753" s="15"/>
      <c r="N753" s="15"/>
      <c r="O753" s="15"/>
      <c r="P753" s="15"/>
      <c r="Q753" s="15"/>
      <c r="R753" s="16"/>
      <c r="S753" s="35"/>
      <c r="T753" s="13">
        <v>2021</v>
      </c>
      <c r="U753" s="17">
        <v>2.8967049999999999</v>
      </c>
      <c r="V753" s="17">
        <v>0.66554600000000008</v>
      </c>
      <c r="W753" s="39">
        <f t="shared" si="86"/>
        <v>0.22975967521718646</v>
      </c>
      <c r="X753" s="17">
        <v>0.27232100000000004</v>
      </c>
      <c r="Y753" s="17">
        <v>0.205098</v>
      </c>
      <c r="Z753" s="16"/>
      <c r="AA753" s="15" t="s">
        <v>140</v>
      </c>
      <c r="AB753" s="17"/>
      <c r="AC753" s="21" t="s">
        <v>61</v>
      </c>
      <c r="AD753" s="21" t="s">
        <v>61</v>
      </c>
      <c r="AE753" s="61" t="s">
        <v>128</v>
      </c>
      <c r="AF753" s="17"/>
      <c r="AG753" s="15"/>
      <c r="AH753" s="16"/>
      <c r="AI753" s="16"/>
      <c r="AJ753" s="42">
        <f t="shared" ca="1" si="82"/>
        <v>749</v>
      </c>
      <c r="AK753" s="42">
        <f t="shared" ca="1" si="83"/>
        <v>659</v>
      </c>
      <c r="AL753" s="130" t="str">
        <f t="shared" si="84"/>
        <v>No Answer</v>
      </c>
      <c r="AM753" s="37">
        <v>44915</v>
      </c>
      <c r="AN753" s="38">
        <v>44992</v>
      </c>
      <c r="AO753" s="38">
        <v>45005</v>
      </c>
      <c r="AP753" s="38"/>
      <c r="AQ753" s="38"/>
      <c r="AR753" s="101" t="s">
        <v>1763</v>
      </c>
      <c r="AS753" s="38">
        <v>45005</v>
      </c>
      <c r="AT753" s="11" t="s">
        <v>7</v>
      </c>
    </row>
    <row r="754" spans="1:46" s="98" customFormat="1" x14ac:dyDescent="0.3">
      <c r="A754" s="16"/>
      <c r="B754" s="16" cm="1">
        <f t="array" ref="B754">+_xlfn.IFS(D754="In Touch - Positive",2,D754="Pending",1,D754="No Answer",4,D754="In Touch - Negative",3)</f>
        <v>4</v>
      </c>
      <c r="C754" s="16" t="s">
        <v>1864</v>
      </c>
      <c r="D754" s="99" t="str">
        <f t="shared" si="85"/>
        <v>No Answer</v>
      </c>
      <c r="E754" s="12" t="s">
        <v>2228</v>
      </c>
      <c r="F754" s="12"/>
      <c r="G754" s="13" t="s">
        <v>103</v>
      </c>
      <c r="H754" s="14" t="s">
        <v>2229</v>
      </c>
      <c r="I754" s="13"/>
      <c r="J754" s="100" t="s">
        <v>57</v>
      </c>
      <c r="K754" s="15" t="s">
        <v>2230</v>
      </c>
      <c r="L754" s="15"/>
      <c r="M754" s="15"/>
      <c r="N754" s="15"/>
      <c r="O754" s="15"/>
      <c r="P754" s="15"/>
      <c r="Q754" s="15"/>
      <c r="R754" s="16"/>
      <c r="S754" s="35"/>
      <c r="T754" s="13">
        <v>2021</v>
      </c>
      <c r="U754" s="17">
        <v>5.2894629999999996</v>
      </c>
      <c r="V754" s="17">
        <v>0.87278999999999995</v>
      </c>
      <c r="W754" s="39">
        <f t="shared" si="86"/>
        <v>0.16500540792137122</v>
      </c>
      <c r="X754" s="17">
        <v>0.57540000000000002</v>
      </c>
      <c r="Y754" s="17">
        <v>0.21099700000000002</v>
      </c>
      <c r="Z754" s="16"/>
      <c r="AA754" s="15" t="s">
        <v>140</v>
      </c>
      <c r="AB754" s="17"/>
      <c r="AC754" s="21" t="s">
        <v>61</v>
      </c>
      <c r="AD754" s="21" t="s">
        <v>61</v>
      </c>
      <c r="AE754" s="61" t="s">
        <v>128</v>
      </c>
      <c r="AF754" s="17"/>
      <c r="AG754" s="15"/>
      <c r="AH754" s="16"/>
      <c r="AI754" s="16"/>
      <c r="AJ754" s="42">
        <f t="shared" ca="1" si="82"/>
        <v>749</v>
      </c>
      <c r="AK754" s="42">
        <f t="shared" ca="1" si="83"/>
        <v>659</v>
      </c>
      <c r="AL754" s="130" t="str">
        <f t="shared" si="84"/>
        <v>No Answer</v>
      </c>
      <c r="AM754" s="37">
        <v>44915</v>
      </c>
      <c r="AN754" s="38">
        <v>44992</v>
      </c>
      <c r="AO754" s="38">
        <v>45005</v>
      </c>
      <c r="AP754" s="38"/>
      <c r="AQ754" s="38"/>
      <c r="AR754" s="101" t="s">
        <v>1763</v>
      </c>
      <c r="AS754" s="38">
        <v>45005</v>
      </c>
      <c r="AT754" s="11" t="s">
        <v>7</v>
      </c>
    </row>
    <row r="755" spans="1:46" s="98" customFormat="1" x14ac:dyDescent="0.3">
      <c r="A755" s="16"/>
      <c r="B755" s="16" cm="1">
        <f t="array" ref="B755">+_xlfn.IFS(D755="In Touch - Positive",2,D755="Pending",1,D755="No Answer",4,D755="In Touch - Negative",3)</f>
        <v>4</v>
      </c>
      <c r="C755" s="16" t="s">
        <v>1864</v>
      </c>
      <c r="D755" s="99" t="str">
        <f t="shared" si="85"/>
        <v>No Answer</v>
      </c>
      <c r="E755" s="12" t="s">
        <v>2231</v>
      </c>
      <c r="F755" s="12"/>
      <c r="G755" s="13" t="s">
        <v>1446</v>
      </c>
      <c r="H755" s="14" t="s">
        <v>2232</v>
      </c>
      <c r="I755" s="13"/>
      <c r="J755" s="100" t="s">
        <v>57</v>
      </c>
      <c r="K755" s="15" t="s">
        <v>671</v>
      </c>
      <c r="L755" s="15"/>
      <c r="M755" s="15"/>
      <c r="N755" s="15"/>
      <c r="O755" s="15"/>
      <c r="P755" s="15"/>
      <c r="Q755" s="15"/>
      <c r="R755" s="16"/>
      <c r="S755" s="35"/>
      <c r="T755" s="13">
        <v>2021</v>
      </c>
      <c r="U755" s="17">
        <v>4.4203330000000003</v>
      </c>
      <c r="V755" s="17">
        <v>1.4351430000000001</v>
      </c>
      <c r="W755" s="39">
        <f t="shared" si="86"/>
        <v>0.32466852610425501</v>
      </c>
      <c r="X755" s="17">
        <v>0.97648800000000002</v>
      </c>
      <c r="Y755" s="17" t="s">
        <v>236</v>
      </c>
      <c r="Z755" s="16"/>
      <c r="AA755" s="15" t="s">
        <v>140</v>
      </c>
      <c r="AB755" s="17"/>
      <c r="AC755" s="21" t="s">
        <v>61</v>
      </c>
      <c r="AD755" s="21" t="s">
        <v>61</v>
      </c>
      <c r="AE755" s="61" t="s">
        <v>128</v>
      </c>
      <c r="AF755" s="17"/>
      <c r="AG755" s="15"/>
      <c r="AH755" s="16"/>
      <c r="AI755" s="16"/>
      <c r="AJ755" s="42">
        <f t="shared" ca="1" si="82"/>
        <v>749</v>
      </c>
      <c r="AK755" s="42">
        <f t="shared" ca="1" si="83"/>
        <v>659</v>
      </c>
      <c r="AL755" s="130" t="str">
        <f t="shared" si="84"/>
        <v>No Answer</v>
      </c>
      <c r="AM755" s="37">
        <v>44915</v>
      </c>
      <c r="AN755" s="38">
        <v>44991</v>
      </c>
      <c r="AO755" s="38">
        <v>45005</v>
      </c>
      <c r="AP755" s="38"/>
      <c r="AQ755" s="38"/>
      <c r="AR755" s="101" t="s">
        <v>1763</v>
      </c>
      <c r="AS755" s="38">
        <v>45005</v>
      </c>
      <c r="AT755" s="11" t="s">
        <v>7</v>
      </c>
    </row>
    <row r="756" spans="1:46" s="98" customFormat="1" x14ac:dyDescent="0.3">
      <c r="A756" s="16"/>
      <c r="B756" s="16" cm="1">
        <f t="array" ref="B756">+_xlfn.IFS(D756="In Touch - Positive",2,D756="Pending",1,D756="No Answer",4,D756="In Touch - Negative",3)</f>
        <v>4</v>
      </c>
      <c r="C756" s="16" t="s">
        <v>1864</v>
      </c>
      <c r="D756" s="99" t="str">
        <f t="shared" si="85"/>
        <v>No Answer</v>
      </c>
      <c r="E756" s="12" t="s">
        <v>2233</v>
      </c>
      <c r="F756" s="12"/>
      <c r="G756" s="13" t="s">
        <v>333</v>
      </c>
      <c r="H756" s="14" t="s">
        <v>2234</v>
      </c>
      <c r="I756" s="13"/>
      <c r="J756" s="100" t="s">
        <v>57</v>
      </c>
      <c r="K756" s="15" t="s">
        <v>1880</v>
      </c>
      <c r="L756" s="15"/>
      <c r="M756" s="15"/>
      <c r="N756" s="15"/>
      <c r="O756" s="15"/>
      <c r="P756" s="15"/>
      <c r="Q756" s="15"/>
      <c r="R756" s="16"/>
      <c r="S756" s="35"/>
      <c r="T756" s="13">
        <v>2021</v>
      </c>
      <c r="U756" s="17">
        <v>1.312548</v>
      </c>
      <c r="V756" s="17">
        <v>0.96247700000000003</v>
      </c>
      <c r="W756" s="39">
        <f t="shared" si="86"/>
        <v>0.73328899209781284</v>
      </c>
      <c r="X756" s="17">
        <v>0.68915300000000002</v>
      </c>
      <c r="Y756" s="17" t="s">
        <v>236</v>
      </c>
      <c r="Z756" s="16"/>
      <c r="AA756" s="15" t="s">
        <v>140</v>
      </c>
      <c r="AB756" s="17"/>
      <c r="AC756" s="21" t="s">
        <v>61</v>
      </c>
      <c r="AD756" s="21" t="s">
        <v>61</v>
      </c>
      <c r="AE756" s="61" t="s">
        <v>128</v>
      </c>
      <c r="AF756" s="17"/>
      <c r="AG756" s="15"/>
      <c r="AH756" s="16"/>
      <c r="AI756" s="16"/>
      <c r="AJ756" s="42">
        <f t="shared" ca="1" si="82"/>
        <v>749</v>
      </c>
      <c r="AK756" s="42">
        <f t="shared" ca="1" si="83"/>
        <v>659</v>
      </c>
      <c r="AL756" s="130" t="str">
        <f t="shared" si="84"/>
        <v>No Answer</v>
      </c>
      <c r="AM756" s="37">
        <v>44915</v>
      </c>
      <c r="AN756" s="38">
        <v>44991</v>
      </c>
      <c r="AO756" s="38">
        <v>45005</v>
      </c>
      <c r="AP756" s="38"/>
      <c r="AQ756" s="38"/>
      <c r="AR756" s="101" t="s">
        <v>1763</v>
      </c>
      <c r="AS756" s="38">
        <v>45005</v>
      </c>
      <c r="AT756" s="11" t="s">
        <v>7</v>
      </c>
    </row>
    <row r="757" spans="1:46" s="98" customFormat="1" x14ac:dyDescent="0.3">
      <c r="A757" s="16"/>
      <c r="B757" s="16" cm="1">
        <f t="array" ref="B757">+_xlfn.IFS(D757="In Touch - Positive",2,D757="Pending",1,D757="No Answer",4,D757="In Touch - Negative",3)</f>
        <v>4</v>
      </c>
      <c r="C757" s="16" t="s">
        <v>1864</v>
      </c>
      <c r="D757" s="99" t="str">
        <f t="shared" si="85"/>
        <v>No Answer</v>
      </c>
      <c r="E757" s="12" t="s">
        <v>2235</v>
      </c>
      <c r="F757" s="12"/>
      <c r="G757" s="13" t="s">
        <v>677</v>
      </c>
      <c r="H757" s="14" t="s">
        <v>2236</v>
      </c>
      <c r="I757" s="13"/>
      <c r="J757" s="100" t="s">
        <v>57</v>
      </c>
      <c r="K757" s="15" t="s">
        <v>2237</v>
      </c>
      <c r="L757" s="15"/>
      <c r="M757" s="15"/>
      <c r="N757" s="15"/>
      <c r="O757" s="15"/>
      <c r="P757" s="15"/>
      <c r="Q757" s="15"/>
      <c r="R757" s="16"/>
      <c r="S757" s="35"/>
      <c r="T757" s="13">
        <v>2021</v>
      </c>
      <c r="U757" s="17">
        <v>1.7766059999999999</v>
      </c>
      <c r="V757" s="17">
        <v>0.58623599999999998</v>
      </c>
      <c r="W757" s="39">
        <f t="shared" si="86"/>
        <v>0.3299752449333167</v>
      </c>
      <c r="X757" s="17">
        <v>0.278142</v>
      </c>
      <c r="Y757" s="17">
        <v>-0.78169000000000011</v>
      </c>
      <c r="Z757" s="16"/>
      <c r="AA757" s="15" t="s">
        <v>140</v>
      </c>
      <c r="AB757" s="17"/>
      <c r="AC757" s="21" t="s">
        <v>61</v>
      </c>
      <c r="AD757" s="21" t="s">
        <v>61</v>
      </c>
      <c r="AE757" s="61" t="s">
        <v>128</v>
      </c>
      <c r="AF757" s="17"/>
      <c r="AG757" s="15"/>
      <c r="AH757" s="16"/>
      <c r="AI757" s="16"/>
      <c r="AJ757" s="42">
        <f t="shared" ca="1" si="82"/>
        <v>749</v>
      </c>
      <c r="AK757" s="42">
        <f t="shared" ca="1" si="83"/>
        <v>672</v>
      </c>
      <c r="AL757" s="130" t="str">
        <f t="shared" si="84"/>
        <v>No Answer</v>
      </c>
      <c r="AM757" s="37">
        <v>44915</v>
      </c>
      <c r="AN757" s="38">
        <v>44992</v>
      </c>
      <c r="AO757" s="38"/>
      <c r="AP757" s="38"/>
      <c r="AQ757" s="38"/>
      <c r="AR757" s="101" t="s">
        <v>1763</v>
      </c>
      <c r="AS757" s="38">
        <v>44992</v>
      </c>
      <c r="AT757" s="11" t="s">
        <v>7</v>
      </c>
    </row>
    <row r="758" spans="1:46" s="98" customFormat="1" x14ac:dyDescent="0.3">
      <c r="A758" s="16"/>
      <c r="B758" s="16" cm="1">
        <f t="array" ref="B758">+_xlfn.IFS(D758="In Touch - Positive",2,D758="Pending",1,D758="No Answer",4,D758="In Touch - Negative",3)</f>
        <v>4</v>
      </c>
      <c r="C758" s="16" t="s">
        <v>1864</v>
      </c>
      <c r="D758" s="99" t="str">
        <f t="shared" si="85"/>
        <v>No Answer</v>
      </c>
      <c r="E758" s="12" t="s">
        <v>2238</v>
      </c>
      <c r="F758" s="12"/>
      <c r="G758" s="13" t="s">
        <v>333</v>
      </c>
      <c r="H758" s="14" t="s">
        <v>2239</v>
      </c>
      <c r="I758" s="13"/>
      <c r="J758" s="100" t="s">
        <v>57</v>
      </c>
      <c r="K758" s="15" t="s">
        <v>2240</v>
      </c>
      <c r="L758" s="15"/>
      <c r="M758" s="15"/>
      <c r="N758" s="15"/>
      <c r="O758" s="15"/>
      <c r="P758" s="15"/>
      <c r="Q758" s="15"/>
      <c r="R758" s="16"/>
      <c r="S758" s="35"/>
      <c r="T758" s="13">
        <v>2021</v>
      </c>
      <c r="U758" s="17">
        <v>0.84059700000000004</v>
      </c>
      <c r="V758" s="17">
        <v>0.51050899999999999</v>
      </c>
      <c r="W758" s="39">
        <f t="shared" si="86"/>
        <v>0.60731718052764871</v>
      </c>
      <c r="X758" s="17">
        <v>0.36925400000000003</v>
      </c>
      <c r="Y758" s="17" t="s">
        <v>236</v>
      </c>
      <c r="Z758" s="16"/>
      <c r="AA758" s="15" t="s">
        <v>140</v>
      </c>
      <c r="AB758" s="17"/>
      <c r="AC758" s="21" t="s">
        <v>61</v>
      </c>
      <c r="AD758" s="21" t="s">
        <v>61</v>
      </c>
      <c r="AE758" s="61" t="s">
        <v>128</v>
      </c>
      <c r="AF758" s="17"/>
      <c r="AG758" s="15"/>
      <c r="AH758" s="16"/>
      <c r="AI758" s="16"/>
      <c r="AJ758" s="42">
        <f t="shared" ca="1" si="82"/>
        <v>749</v>
      </c>
      <c r="AK758" s="42">
        <f t="shared" ca="1" si="83"/>
        <v>672</v>
      </c>
      <c r="AL758" s="130" t="str">
        <f t="shared" si="84"/>
        <v>No Answer</v>
      </c>
      <c r="AM758" s="37">
        <v>44915</v>
      </c>
      <c r="AN758" s="38">
        <v>44992</v>
      </c>
      <c r="AO758" s="38"/>
      <c r="AP758" s="38"/>
      <c r="AQ758" s="38"/>
      <c r="AR758" s="101" t="s">
        <v>1763</v>
      </c>
      <c r="AS758" s="38">
        <v>44992</v>
      </c>
      <c r="AT758" s="11" t="s">
        <v>7</v>
      </c>
    </row>
    <row r="759" spans="1:46" s="98" customFormat="1" x14ac:dyDescent="0.3">
      <c r="A759" s="16"/>
      <c r="B759" s="16" cm="1">
        <f t="array" ref="B759">+_xlfn.IFS(D759="In Touch - Positive",2,D759="Pending",1,D759="No Answer",4,D759="In Touch - Negative",3)</f>
        <v>4</v>
      </c>
      <c r="C759" s="16" t="s">
        <v>1864</v>
      </c>
      <c r="D759" s="99" t="str">
        <f t="shared" si="85"/>
        <v>No Answer</v>
      </c>
      <c r="E759" s="12" t="s">
        <v>2241</v>
      </c>
      <c r="F759" s="12"/>
      <c r="G759" s="13" t="s">
        <v>2173</v>
      </c>
      <c r="H759" s="14" t="s">
        <v>2242</v>
      </c>
      <c r="I759" s="13"/>
      <c r="J759" s="100" t="s">
        <v>57</v>
      </c>
      <c r="K759" s="15" t="s">
        <v>2243</v>
      </c>
      <c r="L759" s="15"/>
      <c r="M759" s="15"/>
      <c r="N759" s="15"/>
      <c r="O759" s="15"/>
      <c r="P759" s="15"/>
      <c r="Q759" s="15"/>
      <c r="R759" s="16"/>
      <c r="S759" s="35"/>
      <c r="T759" s="13">
        <v>2020</v>
      </c>
      <c r="U759" s="17">
        <v>1.251811</v>
      </c>
      <c r="V759" s="17">
        <v>0.45296199999999998</v>
      </c>
      <c r="W759" s="39">
        <f t="shared" si="86"/>
        <v>0.36184535844468529</v>
      </c>
      <c r="X759" s="17">
        <v>0.30533899999999997</v>
      </c>
      <c r="Y759" s="17">
        <v>-0.39137099999999997</v>
      </c>
      <c r="Z759" s="16"/>
      <c r="AA759" s="15" t="s">
        <v>140</v>
      </c>
      <c r="AB759" s="17"/>
      <c r="AC759" s="21" t="s">
        <v>61</v>
      </c>
      <c r="AD759" s="21" t="s">
        <v>61</v>
      </c>
      <c r="AE759" s="61" t="s">
        <v>128</v>
      </c>
      <c r="AF759" s="17"/>
      <c r="AG759" s="15"/>
      <c r="AH759" s="16"/>
      <c r="AI759" s="16"/>
      <c r="AJ759" s="42">
        <f t="shared" ca="1" si="82"/>
        <v>749</v>
      </c>
      <c r="AK759" s="42">
        <f t="shared" ca="1" si="83"/>
        <v>672</v>
      </c>
      <c r="AL759" s="130" t="str">
        <f t="shared" si="84"/>
        <v>No Answer</v>
      </c>
      <c r="AM759" s="37">
        <v>44915</v>
      </c>
      <c r="AN759" s="38">
        <v>44992</v>
      </c>
      <c r="AO759" s="38"/>
      <c r="AP759" s="38"/>
      <c r="AQ759" s="38"/>
      <c r="AR759" s="101" t="s">
        <v>1763</v>
      </c>
      <c r="AS759" s="38">
        <v>44992</v>
      </c>
      <c r="AT759" s="11" t="s">
        <v>7</v>
      </c>
    </row>
    <row r="760" spans="1:46" s="98" customFormat="1" x14ac:dyDescent="0.3">
      <c r="A760" s="16"/>
      <c r="B760" s="16" cm="1">
        <f t="array" ref="B760">+_xlfn.IFS(D760="In Touch - Positive",2,D760="Pending",1,D760="No Answer",4,D760="In Touch - Negative",3)</f>
        <v>4</v>
      </c>
      <c r="C760" s="16" t="s">
        <v>1864</v>
      </c>
      <c r="D760" s="99" t="str">
        <f t="shared" si="85"/>
        <v>No Answer</v>
      </c>
      <c r="E760" s="12" t="s">
        <v>2244</v>
      </c>
      <c r="F760" s="12"/>
      <c r="G760" s="13" t="s">
        <v>103</v>
      </c>
      <c r="H760" s="14" t="s">
        <v>2245</v>
      </c>
      <c r="I760" s="13"/>
      <c r="J760" s="100" t="s">
        <v>57</v>
      </c>
      <c r="K760" s="15" t="s">
        <v>2246</v>
      </c>
      <c r="L760" s="15"/>
      <c r="M760" s="15"/>
      <c r="N760" s="15"/>
      <c r="O760" s="15"/>
      <c r="P760" s="15"/>
      <c r="Q760" s="15"/>
      <c r="R760" s="16"/>
      <c r="S760" s="35"/>
      <c r="T760" s="13">
        <v>2020</v>
      </c>
      <c r="U760" s="17">
        <v>3.466961</v>
      </c>
      <c r="V760" s="17">
        <v>0.44379399999999997</v>
      </c>
      <c r="W760" s="39">
        <f t="shared" si="86"/>
        <v>0.12800663174463167</v>
      </c>
      <c r="X760" s="17">
        <v>2.9530999999999998E-2</v>
      </c>
      <c r="Y760" s="17">
        <v>1.87737</v>
      </c>
      <c r="Z760" s="16"/>
      <c r="AA760" s="15" t="s">
        <v>140</v>
      </c>
      <c r="AB760" s="17"/>
      <c r="AC760" s="21" t="s">
        <v>61</v>
      </c>
      <c r="AD760" s="21" t="s">
        <v>61</v>
      </c>
      <c r="AE760" s="61" t="s">
        <v>128</v>
      </c>
      <c r="AF760" s="17"/>
      <c r="AG760" s="15"/>
      <c r="AH760" s="16"/>
      <c r="AI760" s="16"/>
      <c r="AJ760" s="42">
        <f t="shared" ca="1" si="82"/>
        <v>749</v>
      </c>
      <c r="AK760" s="42">
        <f t="shared" ca="1" si="83"/>
        <v>672</v>
      </c>
      <c r="AL760" s="130" t="str">
        <f t="shared" si="84"/>
        <v>No Answer</v>
      </c>
      <c r="AM760" s="37">
        <v>44915</v>
      </c>
      <c r="AN760" s="38">
        <v>44992</v>
      </c>
      <c r="AO760" s="38"/>
      <c r="AP760" s="38"/>
      <c r="AQ760" s="38"/>
      <c r="AR760" s="101" t="s">
        <v>1763</v>
      </c>
      <c r="AS760" s="38">
        <v>44992</v>
      </c>
      <c r="AT760" s="11" t="s">
        <v>7</v>
      </c>
    </row>
    <row r="761" spans="1:46" s="98" customFormat="1" x14ac:dyDescent="0.3">
      <c r="A761" s="16"/>
      <c r="B761" s="16" cm="1">
        <f t="array" ref="B761">+_xlfn.IFS(D761="In Touch - Positive",2,D761="Pending",1,D761="No Answer",4,D761="In Touch - Negative",3)</f>
        <v>4</v>
      </c>
      <c r="C761" s="16" t="s">
        <v>1864</v>
      </c>
      <c r="D761" s="99" t="str">
        <f t="shared" si="85"/>
        <v>No Answer</v>
      </c>
      <c r="E761" s="12" t="s">
        <v>2247</v>
      </c>
      <c r="F761" s="12"/>
      <c r="G761" s="13" t="s">
        <v>226</v>
      </c>
      <c r="H761" s="14" t="s">
        <v>2248</v>
      </c>
      <c r="I761" s="13"/>
      <c r="J761" s="100" t="s">
        <v>57</v>
      </c>
      <c r="K761" s="15" t="s">
        <v>2249</v>
      </c>
      <c r="L761" s="15"/>
      <c r="M761" s="15"/>
      <c r="N761" s="15"/>
      <c r="O761" s="15"/>
      <c r="P761" s="15"/>
      <c r="Q761" s="15"/>
      <c r="R761" s="16"/>
      <c r="S761" s="35"/>
      <c r="T761" s="13">
        <v>2021</v>
      </c>
      <c r="U761" s="17">
        <v>3.8031199999999998</v>
      </c>
      <c r="V761" s="17">
        <v>0.438776</v>
      </c>
      <c r="W761" s="39">
        <f t="shared" si="86"/>
        <v>0.11537264141021057</v>
      </c>
      <c r="X761" s="17">
        <v>-4.7281999999999998E-2</v>
      </c>
      <c r="Y761" s="17">
        <v>0.25836300000000001</v>
      </c>
      <c r="Z761" s="16"/>
      <c r="AA761" s="15" t="s">
        <v>140</v>
      </c>
      <c r="AB761" s="17"/>
      <c r="AC761" s="21" t="s">
        <v>61</v>
      </c>
      <c r="AD761" s="21" t="s">
        <v>61</v>
      </c>
      <c r="AE761" s="61" t="s">
        <v>128</v>
      </c>
      <c r="AF761" s="17"/>
      <c r="AG761" s="15"/>
      <c r="AH761" s="16"/>
      <c r="AI761" s="16"/>
      <c r="AJ761" s="42">
        <f t="shared" ca="1" si="82"/>
        <v>749</v>
      </c>
      <c r="AK761" s="42">
        <f t="shared" ca="1" si="83"/>
        <v>672</v>
      </c>
      <c r="AL761" s="130" t="str">
        <f t="shared" si="84"/>
        <v>No Answer</v>
      </c>
      <c r="AM761" s="37">
        <v>44915</v>
      </c>
      <c r="AN761" s="38">
        <v>44992</v>
      </c>
      <c r="AO761" s="38"/>
      <c r="AP761" s="38"/>
      <c r="AQ761" s="38"/>
      <c r="AR761" s="101" t="s">
        <v>1763</v>
      </c>
      <c r="AS761" s="38">
        <v>44992</v>
      </c>
      <c r="AT761" s="11" t="s">
        <v>7</v>
      </c>
    </row>
    <row r="762" spans="1:46" s="98" customFormat="1" x14ac:dyDescent="0.3">
      <c r="A762" s="16"/>
      <c r="B762" s="16" cm="1">
        <f t="array" ref="B762">+_xlfn.IFS(D762="In Touch - Positive",2,D762="Pending",1,D762="No Answer",4,D762="In Touch - Negative",3)</f>
        <v>4</v>
      </c>
      <c r="C762" s="16" t="s">
        <v>1864</v>
      </c>
      <c r="D762" s="99" t="str">
        <f t="shared" si="85"/>
        <v>No Answer</v>
      </c>
      <c r="E762" s="12" t="s">
        <v>2250</v>
      </c>
      <c r="F762" s="12"/>
      <c r="G762" s="13" t="s">
        <v>103</v>
      </c>
      <c r="H762" s="14" t="s">
        <v>2251</v>
      </c>
      <c r="I762" s="13"/>
      <c r="J762" s="100" t="s">
        <v>57</v>
      </c>
      <c r="K762" s="15" t="s">
        <v>2252</v>
      </c>
      <c r="L762" s="15"/>
      <c r="M762" s="15"/>
      <c r="N762" s="15"/>
      <c r="O762" s="15"/>
      <c r="P762" s="15"/>
      <c r="Q762" s="15"/>
      <c r="R762" s="16"/>
      <c r="S762" s="35"/>
      <c r="T762" s="13">
        <v>2021</v>
      </c>
      <c r="U762" s="17">
        <v>1.2500990000000001</v>
      </c>
      <c r="V762" s="17">
        <v>0.43761</v>
      </c>
      <c r="W762" s="39">
        <f t="shared" si="86"/>
        <v>0.35006027522620209</v>
      </c>
      <c r="X762" s="17">
        <v>0.293574</v>
      </c>
      <c r="Y762" s="17">
        <v>-0.47685700000000003</v>
      </c>
      <c r="Z762" s="16"/>
      <c r="AA762" s="15" t="s">
        <v>140</v>
      </c>
      <c r="AB762" s="17"/>
      <c r="AC762" s="21" t="s">
        <v>61</v>
      </c>
      <c r="AD762" s="21" t="s">
        <v>61</v>
      </c>
      <c r="AE762" s="61" t="s">
        <v>128</v>
      </c>
      <c r="AF762" s="17"/>
      <c r="AG762" s="15"/>
      <c r="AH762" s="16"/>
      <c r="AI762" s="16"/>
      <c r="AJ762" s="42">
        <f t="shared" ca="1" si="82"/>
        <v>749</v>
      </c>
      <c r="AK762" s="42">
        <f t="shared" ca="1" si="83"/>
        <v>672</v>
      </c>
      <c r="AL762" s="130" t="str">
        <f t="shared" si="84"/>
        <v>No Answer</v>
      </c>
      <c r="AM762" s="37">
        <v>44915</v>
      </c>
      <c r="AN762" s="38">
        <v>44992</v>
      </c>
      <c r="AO762" s="38"/>
      <c r="AP762" s="38"/>
      <c r="AQ762" s="38"/>
      <c r="AR762" s="101" t="s">
        <v>1763</v>
      </c>
      <c r="AS762" s="38">
        <v>44992</v>
      </c>
      <c r="AT762" s="11" t="s">
        <v>7</v>
      </c>
    </row>
    <row r="763" spans="1:46" s="98" customFormat="1" x14ac:dyDescent="0.3">
      <c r="A763" s="16"/>
      <c r="B763" s="16" cm="1">
        <f t="array" ref="B763">+_xlfn.IFS(D763="In Touch - Positive",2,D763="Pending",1,D763="No Answer",4,D763="In Touch - Negative",3)</f>
        <v>4</v>
      </c>
      <c r="C763" s="16" t="s">
        <v>1864</v>
      </c>
      <c r="D763" s="99" t="str">
        <f t="shared" si="85"/>
        <v>No Answer</v>
      </c>
      <c r="E763" s="12" t="s">
        <v>2253</v>
      </c>
      <c r="F763" s="12"/>
      <c r="G763" s="13" t="s">
        <v>508</v>
      </c>
      <c r="H763" s="14" t="s">
        <v>2254</v>
      </c>
      <c r="I763" s="13"/>
      <c r="J763" s="100" t="s">
        <v>57</v>
      </c>
      <c r="K763" s="15" t="s">
        <v>2255</v>
      </c>
      <c r="L763" s="15"/>
      <c r="M763" s="15"/>
      <c r="N763" s="15"/>
      <c r="O763" s="15"/>
      <c r="P763" s="15"/>
      <c r="Q763" s="15"/>
      <c r="R763" s="16"/>
      <c r="S763" s="35"/>
      <c r="T763" s="13">
        <v>2021</v>
      </c>
      <c r="U763" s="17">
        <v>2.0747309999999999</v>
      </c>
      <c r="V763" s="17">
        <v>0.43509699999999996</v>
      </c>
      <c r="W763" s="39">
        <f t="shared" si="86"/>
        <v>0.20971248802856851</v>
      </c>
      <c r="X763" s="17">
        <v>0.24887899999999999</v>
      </c>
      <c r="Y763" s="17">
        <v>-2.1291199999999999</v>
      </c>
      <c r="Z763" s="16"/>
      <c r="AA763" s="15" t="s">
        <v>140</v>
      </c>
      <c r="AB763" s="17"/>
      <c r="AC763" s="21" t="s">
        <v>61</v>
      </c>
      <c r="AD763" s="21" t="s">
        <v>61</v>
      </c>
      <c r="AE763" s="61" t="s">
        <v>128</v>
      </c>
      <c r="AF763" s="17"/>
      <c r="AG763" s="15"/>
      <c r="AH763" s="16"/>
      <c r="AI763" s="16"/>
      <c r="AJ763" s="42">
        <f t="shared" ca="1" si="82"/>
        <v>749</v>
      </c>
      <c r="AK763" s="42">
        <f t="shared" ca="1" si="83"/>
        <v>672</v>
      </c>
      <c r="AL763" s="130" t="str">
        <f t="shared" si="84"/>
        <v>No Answer</v>
      </c>
      <c r="AM763" s="37">
        <v>44915</v>
      </c>
      <c r="AN763" s="38">
        <v>44992</v>
      </c>
      <c r="AO763" s="38"/>
      <c r="AP763" s="38"/>
      <c r="AQ763" s="38"/>
      <c r="AR763" s="101" t="s">
        <v>1763</v>
      </c>
      <c r="AS763" s="38">
        <v>44992</v>
      </c>
      <c r="AT763" s="11" t="s">
        <v>7</v>
      </c>
    </row>
    <row r="764" spans="1:46" s="98" customFormat="1" x14ac:dyDescent="0.3">
      <c r="A764" s="16"/>
      <c r="B764" s="16" cm="1">
        <f t="array" ref="B764">+_xlfn.IFS(D764="In Touch - Positive",2,D764="Pending",1,D764="No Answer",4,D764="In Touch - Negative",3)</f>
        <v>4</v>
      </c>
      <c r="C764" s="16" t="s">
        <v>1864</v>
      </c>
      <c r="D764" s="99" t="str">
        <f t="shared" si="85"/>
        <v>No Answer</v>
      </c>
      <c r="E764" s="12" t="s">
        <v>2259</v>
      </c>
      <c r="F764" s="12"/>
      <c r="G764" s="13" t="s">
        <v>677</v>
      </c>
      <c r="H764" s="14" t="s">
        <v>2260</v>
      </c>
      <c r="I764" s="13"/>
      <c r="J764" s="100" t="s">
        <v>57</v>
      </c>
      <c r="K764" s="15" t="s">
        <v>2261</v>
      </c>
      <c r="L764" s="15"/>
      <c r="M764" s="15"/>
      <c r="N764" s="15"/>
      <c r="O764" s="15"/>
      <c r="P764" s="15"/>
      <c r="Q764" s="15"/>
      <c r="R764" s="16"/>
      <c r="S764" s="35"/>
      <c r="T764" s="13">
        <v>2021</v>
      </c>
      <c r="U764" s="17">
        <v>1.417759</v>
      </c>
      <c r="V764" s="17">
        <v>0.48206099999999996</v>
      </c>
      <c r="W764" s="39">
        <f t="shared" si="86"/>
        <v>0.34001618046508608</v>
      </c>
      <c r="X764" s="17">
        <v>0.33332000000000001</v>
      </c>
      <c r="Y764" s="17" t="s">
        <v>236</v>
      </c>
      <c r="Z764" s="16"/>
      <c r="AA764" s="15" t="s">
        <v>140</v>
      </c>
      <c r="AB764" s="17"/>
      <c r="AC764" s="21" t="s">
        <v>61</v>
      </c>
      <c r="AD764" s="21" t="s">
        <v>61</v>
      </c>
      <c r="AE764" s="61" t="s">
        <v>128</v>
      </c>
      <c r="AF764" s="17"/>
      <c r="AG764" s="15"/>
      <c r="AH764" s="16"/>
      <c r="AI764" s="16"/>
      <c r="AJ764" s="42">
        <f t="shared" ca="1" si="82"/>
        <v>749</v>
      </c>
      <c r="AK764" s="42">
        <f t="shared" ca="1" si="83"/>
        <v>672</v>
      </c>
      <c r="AL764" s="130" t="str">
        <f t="shared" si="84"/>
        <v>No Answer</v>
      </c>
      <c r="AM764" s="37">
        <v>44915</v>
      </c>
      <c r="AN764" s="38">
        <v>44992</v>
      </c>
      <c r="AO764" s="38"/>
      <c r="AP764" s="38" t="s">
        <v>65</v>
      </c>
      <c r="AQ764" s="38"/>
      <c r="AR764" s="101" t="s">
        <v>1763</v>
      </c>
      <c r="AS764" s="38">
        <v>44992</v>
      </c>
      <c r="AT764" s="11" t="s">
        <v>7</v>
      </c>
    </row>
    <row r="765" spans="1:46" s="98" customFormat="1" x14ac:dyDescent="0.3">
      <c r="A765" s="16"/>
      <c r="B765" s="16" cm="1">
        <f t="array" ref="B765">+_xlfn.IFS(D765="In Touch - Positive",2,D765="Pending",1,D765="No Answer",4,D765="In Touch - Negative",3)</f>
        <v>4</v>
      </c>
      <c r="C765" s="16" t="s">
        <v>78</v>
      </c>
      <c r="D765" s="99" t="str">
        <f t="shared" si="85"/>
        <v>No Answer</v>
      </c>
      <c r="E765" s="12" t="s">
        <v>763</v>
      </c>
      <c r="F765" s="12"/>
      <c r="G765" s="13" t="s">
        <v>208</v>
      </c>
      <c r="H765" s="14"/>
      <c r="I765" s="13"/>
      <c r="J765" s="100" t="s">
        <v>377</v>
      </c>
      <c r="K765" s="15" t="s">
        <v>765</v>
      </c>
      <c r="L765" s="15" t="s">
        <v>766</v>
      </c>
      <c r="M765" s="15"/>
      <c r="N765" s="15"/>
      <c r="O765" s="15"/>
      <c r="P765" s="15"/>
      <c r="Q765" s="15"/>
      <c r="R765" s="16"/>
      <c r="S765" s="35"/>
      <c r="T765" s="13"/>
      <c r="U765" s="17"/>
      <c r="V765" s="17"/>
      <c r="W765" s="60"/>
      <c r="X765" s="17"/>
      <c r="Y765" s="17"/>
      <c r="Z765" s="16"/>
      <c r="AA765" s="15" t="s">
        <v>60</v>
      </c>
      <c r="AB765" s="17"/>
      <c r="AC765" s="21" t="s">
        <v>78</v>
      </c>
      <c r="AD765" s="21" t="s">
        <v>78</v>
      </c>
      <c r="AE765" s="61"/>
      <c r="AF765" s="17"/>
      <c r="AG765" s="15"/>
      <c r="AH765" s="16"/>
      <c r="AI765" s="16"/>
      <c r="AJ765" s="42">
        <f t="shared" ca="1" si="82"/>
        <v>683</v>
      </c>
      <c r="AK765" s="42">
        <f t="shared" ca="1" si="83"/>
        <v>683</v>
      </c>
      <c r="AL765" s="130" t="str">
        <f t="shared" si="84"/>
        <v>No Answer</v>
      </c>
      <c r="AM765" s="37">
        <v>44981</v>
      </c>
      <c r="AN765" s="38">
        <v>45005</v>
      </c>
      <c r="AO765" s="38">
        <v>45027</v>
      </c>
      <c r="AP765" s="38">
        <v>45005</v>
      </c>
      <c r="AQ765" s="38"/>
      <c r="AR765" s="101" t="s">
        <v>1763</v>
      </c>
      <c r="AS765" s="38">
        <v>44981</v>
      </c>
      <c r="AT765" s="11" t="s">
        <v>7</v>
      </c>
    </row>
    <row r="766" spans="1:46" s="98" customFormat="1" x14ac:dyDescent="0.3">
      <c r="A766" s="16"/>
      <c r="B766" s="16" cm="1">
        <f t="array" ref="B766">+_xlfn.IFS(D766="In Touch - Positive",2,D766="Pending",1,D766="No Answer",4,D766="In Touch - Negative",3)</f>
        <v>4</v>
      </c>
      <c r="C766" s="16" t="s">
        <v>78</v>
      </c>
      <c r="D766" s="99" t="str">
        <f t="shared" si="85"/>
        <v>No Answer</v>
      </c>
      <c r="E766" s="12" t="s">
        <v>759</v>
      </c>
      <c r="F766" s="12"/>
      <c r="G766" s="13" t="s">
        <v>760</v>
      </c>
      <c r="H766" s="14"/>
      <c r="I766" s="13"/>
      <c r="J766" s="100" t="s">
        <v>267</v>
      </c>
      <c r="K766" s="15" t="s">
        <v>761</v>
      </c>
      <c r="L766" s="15" t="s">
        <v>762</v>
      </c>
      <c r="M766" s="15"/>
      <c r="N766" s="15"/>
      <c r="O766" s="15"/>
      <c r="P766" s="15"/>
      <c r="Q766" s="15"/>
      <c r="R766" s="16"/>
      <c r="S766" s="35"/>
      <c r="T766" s="13"/>
      <c r="U766" s="17"/>
      <c r="V766" s="17"/>
      <c r="W766" s="60"/>
      <c r="X766" s="17"/>
      <c r="Y766" s="17"/>
      <c r="Z766" s="16"/>
      <c r="AA766" s="15" t="s">
        <v>140</v>
      </c>
      <c r="AB766" s="17"/>
      <c r="AC766" s="21" t="s">
        <v>78</v>
      </c>
      <c r="AD766" s="21" t="s">
        <v>78</v>
      </c>
      <c r="AE766" s="61"/>
      <c r="AF766" s="17"/>
      <c r="AG766" s="15"/>
      <c r="AH766" s="16"/>
      <c r="AI766" s="16"/>
      <c r="AJ766" s="42">
        <f t="shared" ca="1" si="82"/>
        <v>683</v>
      </c>
      <c r="AK766" s="42">
        <f t="shared" ca="1" si="83"/>
        <v>683</v>
      </c>
      <c r="AL766" s="130" t="str">
        <f t="shared" si="84"/>
        <v>No Answer</v>
      </c>
      <c r="AM766" s="37">
        <v>44981</v>
      </c>
      <c r="AN766" s="38">
        <v>44991</v>
      </c>
      <c r="AO766" s="38">
        <v>44994</v>
      </c>
      <c r="AP766" s="38"/>
      <c r="AQ766" s="38"/>
      <c r="AR766" s="101" t="s">
        <v>1763</v>
      </c>
      <c r="AS766" s="38">
        <v>44981</v>
      </c>
      <c r="AT766" s="11" t="s">
        <v>7</v>
      </c>
    </row>
    <row r="767" spans="1:46" s="98" customFormat="1" x14ac:dyDescent="0.3">
      <c r="A767" s="16"/>
      <c r="B767" s="16" cm="1">
        <f t="array" ref="B767">+_xlfn.IFS(D767="In Touch - Positive",2,D767="Pending",1,D767="No Answer",4,D767="In Touch - Negative",3)</f>
        <v>4</v>
      </c>
      <c r="C767" s="16" t="s">
        <v>1897</v>
      </c>
      <c r="D767" s="99" t="str">
        <f t="shared" si="85"/>
        <v>No Answer</v>
      </c>
      <c r="E767" s="12" t="s">
        <v>2262</v>
      </c>
      <c r="F767" s="12"/>
      <c r="G767" s="13" t="s">
        <v>554</v>
      </c>
      <c r="H767" s="14"/>
      <c r="I767" s="13"/>
      <c r="J767" s="100"/>
      <c r="K767" s="15"/>
      <c r="L767" s="15" t="s">
        <v>2263</v>
      </c>
      <c r="M767" s="15"/>
      <c r="N767" s="15"/>
      <c r="O767" s="15"/>
      <c r="P767" s="15"/>
      <c r="Q767" s="15"/>
      <c r="R767" s="16"/>
      <c r="S767" s="35"/>
      <c r="T767" s="13"/>
      <c r="U767" s="17"/>
      <c r="V767" s="17"/>
      <c r="W767" s="60" t="e">
        <f t="shared" ref="W767:W773" si="87">V767/U767</f>
        <v>#DIV/0!</v>
      </c>
      <c r="X767" s="17"/>
      <c r="Y767" s="17"/>
      <c r="Z767" s="16"/>
      <c r="AA767" s="15" t="s">
        <v>140</v>
      </c>
      <c r="AB767" s="17"/>
      <c r="AC767" s="21" t="s">
        <v>78</v>
      </c>
      <c r="AD767" s="21" t="s">
        <v>78</v>
      </c>
      <c r="AE767" s="61" t="s">
        <v>79</v>
      </c>
      <c r="AF767" s="17"/>
      <c r="AG767" s="15"/>
      <c r="AH767" s="16"/>
      <c r="AI767" s="16"/>
      <c r="AJ767" s="42">
        <f t="shared" ca="1" si="82"/>
        <v>697</v>
      </c>
      <c r="AK767" s="42">
        <f t="shared" ca="1" si="83"/>
        <v>697</v>
      </c>
      <c r="AL767" s="130" t="str">
        <f t="shared" si="84"/>
        <v>No Answer</v>
      </c>
      <c r="AM767" s="37">
        <v>44967</v>
      </c>
      <c r="AN767" s="38">
        <v>44936</v>
      </c>
      <c r="AO767" s="38">
        <v>44988</v>
      </c>
      <c r="AP767" s="38"/>
      <c r="AQ767" s="38"/>
      <c r="AR767" s="101" t="s">
        <v>1763</v>
      </c>
      <c r="AS767" s="38">
        <v>44967</v>
      </c>
      <c r="AT767" s="11" t="s">
        <v>7</v>
      </c>
    </row>
    <row r="768" spans="1:46" s="98" customFormat="1" x14ac:dyDescent="0.3">
      <c r="A768" s="16"/>
      <c r="B768" s="16" cm="1">
        <f t="array" ref="B768">+_xlfn.IFS(D768="In Touch - Positive",2,D768="Pending",1,D768="No Answer",4,D768="In Touch - Negative",3)</f>
        <v>4</v>
      </c>
      <c r="C768" s="16" t="s">
        <v>1897</v>
      </c>
      <c r="D768" s="99" t="str">
        <f t="shared" si="85"/>
        <v>No Answer</v>
      </c>
      <c r="E768" s="12" t="s">
        <v>2264</v>
      </c>
      <c r="F768" s="12"/>
      <c r="G768" s="13" t="s">
        <v>2265</v>
      </c>
      <c r="H768" s="14"/>
      <c r="I768" s="13"/>
      <c r="J768" s="100"/>
      <c r="K768" s="15"/>
      <c r="L768" s="15" t="s">
        <v>2266</v>
      </c>
      <c r="M768" s="15"/>
      <c r="N768" s="15"/>
      <c r="O768" s="15"/>
      <c r="P768" s="15"/>
      <c r="Q768" s="15"/>
      <c r="R768" s="16"/>
      <c r="S768" s="35"/>
      <c r="T768" s="13"/>
      <c r="U768" s="17"/>
      <c r="V768" s="17"/>
      <c r="W768" s="60" t="e">
        <f t="shared" si="87"/>
        <v>#DIV/0!</v>
      </c>
      <c r="X768" s="17"/>
      <c r="Y768" s="17"/>
      <c r="Z768" s="16"/>
      <c r="AA768" s="15" t="s">
        <v>140</v>
      </c>
      <c r="AB768" s="17"/>
      <c r="AC768" s="21" t="s">
        <v>78</v>
      </c>
      <c r="AD768" s="21" t="s">
        <v>78</v>
      </c>
      <c r="AE768" s="61" t="s">
        <v>79</v>
      </c>
      <c r="AF768" s="17"/>
      <c r="AG768" s="15"/>
      <c r="AH768" s="16"/>
      <c r="AI768" s="16"/>
      <c r="AJ768" s="42">
        <f t="shared" ca="1" si="82"/>
        <v>697</v>
      </c>
      <c r="AK768" s="42">
        <f t="shared" ca="1" si="83"/>
        <v>697</v>
      </c>
      <c r="AL768" s="130" t="str">
        <f t="shared" si="84"/>
        <v>No Answer</v>
      </c>
      <c r="AM768" s="37">
        <v>44967</v>
      </c>
      <c r="AN768" s="38">
        <v>44936</v>
      </c>
      <c r="AO768" s="38">
        <v>44988</v>
      </c>
      <c r="AP768" s="38"/>
      <c r="AQ768" s="38"/>
      <c r="AR768" s="101" t="s">
        <v>1763</v>
      </c>
      <c r="AS768" s="38">
        <v>44967</v>
      </c>
      <c r="AT768" s="11" t="s">
        <v>7</v>
      </c>
    </row>
    <row r="769" spans="1:46" s="98" customFormat="1" x14ac:dyDescent="0.3">
      <c r="A769" s="16"/>
      <c r="B769" s="16" cm="1">
        <f t="array" ref="B769">+_xlfn.IFS(D769="In Touch - Positive",2,D769="Pending",1,D769="No Answer",4,D769="In Touch - Negative",3)</f>
        <v>4</v>
      </c>
      <c r="C769" s="16" t="s">
        <v>1897</v>
      </c>
      <c r="D769" s="99" t="str">
        <f t="shared" si="85"/>
        <v>No Answer</v>
      </c>
      <c r="E769" s="12" t="s">
        <v>2267</v>
      </c>
      <c r="F769" s="12"/>
      <c r="G769" s="13" t="s">
        <v>1905</v>
      </c>
      <c r="H769" s="14"/>
      <c r="I769" s="13"/>
      <c r="J769" s="100"/>
      <c r="K769" s="15"/>
      <c r="L769" s="15" t="s">
        <v>2268</v>
      </c>
      <c r="M769" s="15"/>
      <c r="N769" s="15"/>
      <c r="O769" s="15"/>
      <c r="P769" s="15"/>
      <c r="Q769" s="15"/>
      <c r="R769" s="16"/>
      <c r="S769" s="35"/>
      <c r="T769" s="13"/>
      <c r="U769" s="17"/>
      <c r="V769" s="17"/>
      <c r="W769" s="60" t="e">
        <f t="shared" si="87"/>
        <v>#DIV/0!</v>
      </c>
      <c r="X769" s="17"/>
      <c r="Y769" s="17"/>
      <c r="Z769" s="16"/>
      <c r="AA769" s="15" t="s">
        <v>140</v>
      </c>
      <c r="AB769" s="17"/>
      <c r="AC769" s="21" t="s">
        <v>78</v>
      </c>
      <c r="AD769" s="21" t="s">
        <v>78</v>
      </c>
      <c r="AE769" s="61" t="s">
        <v>79</v>
      </c>
      <c r="AF769" s="17"/>
      <c r="AG769" s="15"/>
      <c r="AH769" s="16"/>
      <c r="AI769" s="16"/>
      <c r="AJ769" s="42">
        <f t="shared" ca="1" si="82"/>
        <v>697</v>
      </c>
      <c r="AK769" s="42">
        <f t="shared" ca="1" si="83"/>
        <v>697</v>
      </c>
      <c r="AL769" s="130" t="str">
        <f t="shared" si="84"/>
        <v>No Answer</v>
      </c>
      <c r="AM769" s="37">
        <v>44967</v>
      </c>
      <c r="AN769" s="38">
        <v>44936</v>
      </c>
      <c r="AO769" s="38">
        <v>44988</v>
      </c>
      <c r="AP769" s="38"/>
      <c r="AQ769" s="38"/>
      <c r="AR769" s="101" t="s">
        <v>1763</v>
      </c>
      <c r="AS769" s="38">
        <v>44967</v>
      </c>
      <c r="AT769" s="11" t="s">
        <v>7</v>
      </c>
    </row>
    <row r="770" spans="1:46" s="98" customFormat="1" x14ac:dyDescent="0.3">
      <c r="A770" s="16"/>
      <c r="B770" s="16" cm="1">
        <f t="array" ref="B770">+_xlfn.IFS(D770="In Touch - Positive",2,D770="Pending",1,D770="No Answer",4,D770="In Touch - Negative",3)</f>
        <v>4</v>
      </c>
      <c r="C770" s="16" t="s">
        <v>1897</v>
      </c>
      <c r="D770" s="99" t="str">
        <f t="shared" si="85"/>
        <v>No Answer</v>
      </c>
      <c r="E770" s="12" t="s">
        <v>2269</v>
      </c>
      <c r="F770" s="12"/>
      <c r="G770" s="13" t="s">
        <v>554</v>
      </c>
      <c r="H770" s="14"/>
      <c r="I770" s="13"/>
      <c r="J770" s="100"/>
      <c r="K770" s="15"/>
      <c r="L770" s="15" t="s">
        <v>2270</v>
      </c>
      <c r="M770" s="15"/>
      <c r="N770" s="15"/>
      <c r="O770" s="15"/>
      <c r="P770" s="15"/>
      <c r="Q770" s="15"/>
      <c r="R770" s="16"/>
      <c r="S770" s="35"/>
      <c r="T770" s="13"/>
      <c r="U770" s="17"/>
      <c r="V770" s="17"/>
      <c r="W770" s="60" t="e">
        <f t="shared" si="87"/>
        <v>#DIV/0!</v>
      </c>
      <c r="X770" s="17"/>
      <c r="Y770" s="17"/>
      <c r="Z770" s="16"/>
      <c r="AA770" s="15" t="s">
        <v>140</v>
      </c>
      <c r="AB770" s="17"/>
      <c r="AC770" s="21" t="s">
        <v>78</v>
      </c>
      <c r="AD770" s="21" t="s">
        <v>78</v>
      </c>
      <c r="AE770" s="61" t="s">
        <v>79</v>
      </c>
      <c r="AF770" s="17"/>
      <c r="AG770" s="15"/>
      <c r="AH770" s="16"/>
      <c r="AI770" s="16"/>
      <c r="AJ770" s="42">
        <f t="shared" ca="1" si="82"/>
        <v>697</v>
      </c>
      <c r="AK770" s="42">
        <f t="shared" ca="1" si="83"/>
        <v>697</v>
      </c>
      <c r="AL770" s="130" t="str">
        <f t="shared" si="84"/>
        <v>No Answer</v>
      </c>
      <c r="AM770" s="37">
        <v>44967</v>
      </c>
      <c r="AN770" s="38">
        <v>44936</v>
      </c>
      <c r="AO770" s="38">
        <v>44988</v>
      </c>
      <c r="AP770" s="38"/>
      <c r="AQ770" s="38"/>
      <c r="AR770" s="101" t="s">
        <v>1763</v>
      </c>
      <c r="AS770" s="38">
        <v>44967</v>
      </c>
      <c r="AT770" s="11" t="s">
        <v>7</v>
      </c>
    </row>
    <row r="771" spans="1:46" s="98" customFormat="1" x14ac:dyDescent="0.3">
      <c r="B771" s="16" cm="1">
        <f t="array" ref="B771">+_xlfn.IFS(D771="In Touch - Positive",2,D771="Pending",1,D771="No Answer",4,D771="In Touch - Negative",3)</f>
        <v>4</v>
      </c>
      <c r="C771" s="16" t="s">
        <v>1897</v>
      </c>
      <c r="D771" s="99" t="str">
        <f t="shared" si="85"/>
        <v>No Answer</v>
      </c>
      <c r="E771" s="12" t="s">
        <v>2271</v>
      </c>
      <c r="F771" s="12"/>
      <c r="G771" s="13" t="s">
        <v>634</v>
      </c>
      <c r="H771" s="14"/>
      <c r="I771" s="13"/>
      <c r="J771" s="100"/>
      <c r="K771" s="15"/>
      <c r="L771" s="15" t="s">
        <v>2272</v>
      </c>
      <c r="M771" s="15"/>
      <c r="N771" s="15"/>
      <c r="O771" s="15"/>
      <c r="P771" s="15"/>
      <c r="Q771" s="15"/>
      <c r="R771" s="16"/>
      <c r="S771" s="35"/>
      <c r="T771" s="13"/>
      <c r="U771" s="17"/>
      <c r="V771" s="17"/>
      <c r="W771" s="60" t="e">
        <f t="shared" si="87"/>
        <v>#DIV/0!</v>
      </c>
      <c r="X771" s="17"/>
      <c r="Y771" s="17"/>
      <c r="Z771" s="16"/>
      <c r="AA771" s="15" t="s">
        <v>140</v>
      </c>
      <c r="AB771" s="17"/>
      <c r="AC771" s="21" t="s">
        <v>78</v>
      </c>
      <c r="AD771" s="21" t="s">
        <v>78</v>
      </c>
      <c r="AE771" s="61" t="s">
        <v>79</v>
      </c>
      <c r="AF771" s="17"/>
      <c r="AG771" s="15"/>
      <c r="AH771" s="16"/>
      <c r="AI771" s="16"/>
      <c r="AJ771" s="42">
        <f t="shared" ca="1" si="82"/>
        <v>697</v>
      </c>
      <c r="AK771" s="42">
        <f t="shared" ca="1" si="83"/>
        <v>697</v>
      </c>
      <c r="AL771" s="130" t="str">
        <f t="shared" si="84"/>
        <v>No Answer</v>
      </c>
      <c r="AM771" s="37">
        <v>44967</v>
      </c>
      <c r="AN771" s="38">
        <v>44936</v>
      </c>
      <c r="AO771" s="38">
        <v>44988</v>
      </c>
      <c r="AP771" s="38"/>
      <c r="AQ771" s="38"/>
      <c r="AR771" s="101" t="s">
        <v>1763</v>
      </c>
      <c r="AS771" s="38">
        <v>44967</v>
      </c>
      <c r="AT771" s="11" t="s">
        <v>7</v>
      </c>
    </row>
    <row r="772" spans="1:46" s="98" customFormat="1" x14ac:dyDescent="0.3">
      <c r="B772" s="16" cm="1">
        <f t="array" ref="B772">+_xlfn.IFS(D772="In Touch - Positive",2,D772="Pending",1,D772="No Answer",4,D772="In Touch - Negative",3)</f>
        <v>4</v>
      </c>
      <c r="C772" s="16" t="s">
        <v>1920</v>
      </c>
      <c r="D772" s="99" t="str">
        <f t="shared" si="85"/>
        <v>No Answer</v>
      </c>
      <c r="E772" s="12" t="s">
        <v>2273</v>
      </c>
      <c r="F772" s="12"/>
      <c r="G772" s="13" t="s">
        <v>572</v>
      </c>
      <c r="H772" s="14" t="s">
        <v>2274</v>
      </c>
      <c r="I772" s="13"/>
      <c r="J772" s="100" t="s">
        <v>267</v>
      </c>
      <c r="K772" s="15" t="s">
        <v>2275</v>
      </c>
      <c r="L772" s="15"/>
      <c r="M772" s="15" t="s">
        <v>2276</v>
      </c>
      <c r="N772" s="15" t="s">
        <v>2277</v>
      </c>
      <c r="O772" s="15"/>
      <c r="P772" s="15"/>
      <c r="Q772" s="15"/>
      <c r="R772" s="16"/>
      <c r="S772" s="35" t="s">
        <v>77</v>
      </c>
      <c r="T772" s="13">
        <v>2021</v>
      </c>
      <c r="U772" s="17">
        <v>6.2409999999999997</v>
      </c>
      <c r="V772" s="17">
        <v>1.1240000000000001</v>
      </c>
      <c r="W772" s="60">
        <f t="shared" si="87"/>
        <v>0.18009934305399777</v>
      </c>
      <c r="X772" s="17">
        <v>0.69099999999999995</v>
      </c>
      <c r="Y772" s="17"/>
      <c r="Z772" s="16"/>
      <c r="AA772" s="15" t="s">
        <v>140</v>
      </c>
      <c r="AB772" s="17"/>
      <c r="AC772" s="21" t="s">
        <v>86</v>
      </c>
      <c r="AD772" s="21" t="s">
        <v>61</v>
      </c>
      <c r="AE772" s="61" t="s">
        <v>86</v>
      </c>
      <c r="AF772" s="17"/>
      <c r="AG772" s="15"/>
      <c r="AH772" s="16"/>
      <c r="AI772" s="16"/>
      <c r="AJ772" s="42">
        <f t="shared" ca="1" si="82"/>
        <v>757</v>
      </c>
      <c r="AK772" s="42">
        <f t="shared" ca="1" si="83"/>
        <v>697</v>
      </c>
      <c r="AL772" s="130" t="str">
        <f t="shared" si="84"/>
        <v>No Answer</v>
      </c>
      <c r="AM772" s="37">
        <v>44907</v>
      </c>
      <c r="AN772" s="38">
        <v>44907</v>
      </c>
      <c r="AO772" s="38"/>
      <c r="AP772" s="38"/>
      <c r="AQ772" s="38"/>
      <c r="AR772" s="101" t="s">
        <v>1763</v>
      </c>
      <c r="AS772" s="38">
        <v>44967</v>
      </c>
      <c r="AT772" s="11" t="s">
        <v>7</v>
      </c>
    </row>
    <row r="773" spans="1:46" s="98" customFormat="1" ht="12" customHeight="1" x14ac:dyDescent="0.3">
      <c r="B773" s="16" cm="1">
        <f t="array" ref="B773">+_xlfn.IFS(D773="In Touch - Positive",2,D773="Pending",1,D773="No Answer",4,D773="In Touch - Negative",3)</f>
        <v>4</v>
      </c>
      <c r="C773" s="16" t="s">
        <v>1920</v>
      </c>
      <c r="D773" s="99" t="str">
        <f t="shared" si="85"/>
        <v>No Answer</v>
      </c>
      <c r="E773" s="12" t="s">
        <v>2278</v>
      </c>
      <c r="F773" s="12"/>
      <c r="G773" s="13" t="s">
        <v>226</v>
      </c>
      <c r="H773" s="14" t="s">
        <v>2279</v>
      </c>
      <c r="I773" s="13"/>
      <c r="J773" s="100" t="s">
        <v>267</v>
      </c>
      <c r="K773" s="15" t="s">
        <v>2280</v>
      </c>
      <c r="L773" s="15"/>
      <c r="M773" s="15" t="s">
        <v>2281</v>
      </c>
      <c r="N773" s="15" t="s">
        <v>2282</v>
      </c>
      <c r="O773" s="15"/>
      <c r="P773" s="15"/>
      <c r="Q773" s="15"/>
      <c r="R773" s="16"/>
      <c r="S773" s="35" t="s">
        <v>77</v>
      </c>
      <c r="T773" s="13">
        <v>2021</v>
      </c>
      <c r="U773" s="17">
        <v>10.712</v>
      </c>
      <c r="V773" s="17">
        <v>2.1</v>
      </c>
      <c r="W773" s="60">
        <f t="shared" si="87"/>
        <v>0.1960418222554145</v>
      </c>
      <c r="X773" s="17">
        <v>1.18</v>
      </c>
      <c r="Y773" s="17">
        <v>1.1539999999999999</v>
      </c>
      <c r="Z773" s="16"/>
      <c r="AA773" s="15" t="s">
        <v>140</v>
      </c>
      <c r="AB773" s="17"/>
      <c r="AC773" s="21" t="s">
        <v>86</v>
      </c>
      <c r="AD773" s="21" t="s">
        <v>61</v>
      </c>
      <c r="AE773" s="61" t="s">
        <v>86</v>
      </c>
      <c r="AF773" s="17"/>
      <c r="AG773" s="15"/>
      <c r="AH773" s="16"/>
      <c r="AI773" s="16"/>
      <c r="AJ773" s="42">
        <f t="shared" ca="1" si="82"/>
        <v>757</v>
      </c>
      <c r="AK773" s="42">
        <f t="shared" ca="1" si="83"/>
        <v>697</v>
      </c>
      <c r="AL773" s="130" t="str">
        <f t="shared" si="84"/>
        <v>No Answer</v>
      </c>
      <c r="AM773" s="37">
        <v>44907</v>
      </c>
      <c r="AN773" s="38">
        <v>44907</v>
      </c>
      <c r="AO773" s="38"/>
      <c r="AP773" s="38"/>
      <c r="AQ773" s="38"/>
      <c r="AR773" s="101" t="s">
        <v>1763</v>
      </c>
      <c r="AS773" s="38">
        <v>44967</v>
      </c>
      <c r="AT773" s="11" t="s">
        <v>7</v>
      </c>
    </row>
    <row r="774" spans="1:46" s="98" customFormat="1" x14ac:dyDescent="0.3">
      <c r="B774" s="16" cm="1">
        <f t="array" ref="B774">+_xlfn.IFS(D774="In Touch - Positive",2,D774="Pending",1,D774="No Answer",4,D774="In Touch - Negative",3)</f>
        <v>4</v>
      </c>
      <c r="C774" s="16" t="s">
        <v>612</v>
      </c>
      <c r="D774" s="99" t="str">
        <f t="shared" si="85"/>
        <v>No Answer</v>
      </c>
      <c r="E774" s="12" t="s">
        <v>2283</v>
      </c>
      <c r="F774" s="12"/>
      <c r="G774" s="13" t="s">
        <v>1911</v>
      </c>
      <c r="H774" s="13"/>
      <c r="I774" s="13"/>
      <c r="J774" s="13"/>
      <c r="K774" s="15"/>
      <c r="L774" s="15" t="s">
        <v>2284</v>
      </c>
      <c r="M774" s="15"/>
      <c r="N774" s="15"/>
      <c r="O774" s="15"/>
      <c r="P774" s="15"/>
      <c r="Q774" s="15"/>
      <c r="R774" s="16"/>
      <c r="S774" s="35"/>
      <c r="T774" s="13"/>
      <c r="U774" s="17"/>
      <c r="V774" s="17"/>
      <c r="W774" s="60" t="e">
        <f t="shared" ref="W774:W788" si="88">+V774/U774</f>
        <v>#DIV/0!</v>
      </c>
      <c r="X774" s="17"/>
      <c r="Y774" s="17"/>
      <c r="Z774" s="16"/>
      <c r="AA774" s="15" t="s">
        <v>140</v>
      </c>
      <c r="AB774" s="17"/>
      <c r="AC774" s="21" t="s">
        <v>61</v>
      </c>
      <c r="AD774" s="21" t="s">
        <v>61</v>
      </c>
      <c r="AE774" s="17" t="s">
        <v>79</v>
      </c>
      <c r="AF774" s="17"/>
      <c r="AG774" s="15"/>
      <c r="AH774" s="16"/>
      <c r="AI774" s="16"/>
      <c r="AJ774" s="42">
        <f t="shared" ca="1" si="82"/>
        <v>729</v>
      </c>
      <c r="AK774" s="42">
        <f t="shared" ca="1" si="83"/>
        <v>729</v>
      </c>
      <c r="AL774" s="130" t="str">
        <f t="shared" si="84"/>
        <v>No Answer</v>
      </c>
      <c r="AM774" s="37">
        <v>44935</v>
      </c>
      <c r="AN774" s="38">
        <v>44935</v>
      </c>
      <c r="AO774" s="38"/>
      <c r="AP774" s="38"/>
      <c r="AQ774" s="38"/>
      <c r="AR774" s="101" t="s">
        <v>1763</v>
      </c>
      <c r="AS774" s="38">
        <v>44935</v>
      </c>
      <c r="AT774" s="11" t="s">
        <v>7</v>
      </c>
    </row>
    <row r="775" spans="1:46" s="98" customFormat="1" x14ac:dyDescent="0.3">
      <c r="B775" s="16" cm="1">
        <f t="array" ref="B775">+_xlfn.IFS(D775="In Touch - Positive",2,D775="Pending",1,D775="No Answer",4,D775="In Touch - Negative",3)</f>
        <v>4</v>
      </c>
      <c r="C775" s="16" t="s">
        <v>612</v>
      </c>
      <c r="D775" s="99" t="str">
        <f t="shared" si="85"/>
        <v>No Answer</v>
      </c>
      <c r="E775" s="12" t="s">
        <v>2285</v>
      </c>
      <c r="F775" s="12"/>
      <c r="G775" s="13" t="s">
        <v>1911</v>
      </c>
      <c r="H775" s="13"/>
      <c r="I775" s="13"/>
      <c r="J775" s="13"/>
      <c r="K775" s="15"/>
      <c r="L775" s="15" t="s">
        <v>2286</v>
      </c>
      <c r="M775" s="15"/>
      <c r="N775" s="15"/>
      <c r="O775" s="15"/>
      <c r="P775" s="15"/>
      <c r="Q775" s="15"/>
      <c r="R775" s="16"/>
      <c r="S775" s="35"/>
      <c r="T775" s="13"/>
      <c r="U775" s="17"/>
      <c r="V775" s="17"/>
      <c r="W775" s="60" t="e">
        <f t="shared" si="88"/>
        <v>#DIV/0!</v>
      </c>
      <c r="X775" s="17"/>
      <c r="Y775" s="17"/>
      <c r="Z775" s="16"/>
      <c r="AA775" s="15" t="s">
        <v>140</v>
      </c>
      <c r="AB775" s="17"/>
      <c r="AC775" s="21" t="s">
        <v>61</v>
      </c>
      <c r="AD775" s="21" t="s">
        <v>61</v>
      </c>
      <c r="AE775" s="17" t="s">
        <v>79</v>
      </c>
      <c r="AF775" s="17"/>
      <c r="AG775" s="15"/>
      <c r="AH775" s="16"/>
      <c r="AI775" s="16"/>
      <c r="AJ775" s="42">
        <f t="shared" ca="1" si="82"/>
        <v>729</v>
      </c>
      <c r="AK775" s="42">
        <f t="shared" ca="1" si="83"/>
        <v>729</v>
      </c>
      <c r="AL775" s="130" t="str">
        <f t="shared" si="84"/>
        <v>No Answer</v>
      </c>
      <c r="AM775" s="37">
        <v>44935</v>
      </c>
      <c r="AN775" s="38">
        <v>44935</v>
      </c>
      <c r="AO775" s="38"/>
      <c r="AP775" s="38"/>
      <c r="AQ775" s="38"/>
      <c r="AR775" s="101" t="s">
        <v>1763</v>
      </c>
      <c r="AS775" s="38">
        <v>44935</v>
      </c>
      <c r="AT775" s="11" t="s">
        <v>7</v>
      </c>
    </row>
    <row r="776" spans="1:46" s="98" customFormat="1" x14ac:dyDescent="0.3">
      <c r="B776" s="16" cm="1">
        <f t="array" ref="B776">+_xlfn.IFS(D776="In Touch - Positive",2,D776="Pending",1,D776="No Answer",4,D776="In Touch - Negative",3)</f>
        <v>4</v>
      </c>
      <c r="C776" s="16" t="s">
        <v>612</v>
      </c>
      <c r="D776" s="99" t="str">
        <f t="shared" si="85"/>
        <v>No Answer</v>
      </c>
      <c r="E776" s="12" t="s">
        <v>2287</v>
      </c>
      <c r="F776" s="12"/>
      <c r="G776" s="13" t="s">
        <v>2288</v>
      </c>
      <c r="H776" s="13"/>
      <c r="I776" s="13"/>
      <c r="J776" s="13"/>
      <c r="K776" s="15"/>
      <c r="L776" s="15" t="s">
        <v>2289</v>
      </c>
      <c r="M776" s="15"/>
      <c r="N776" s="15"/>
      <c r="O776" s="15"/>
      <c r="P776" s="15"/>
      <c r="Q776" s="15"/>
      <c r="R776" s="16"/>
      <c r="S776" s="35"/>
      <c r="T776" s="13"/>
      <c r="U776" s="17"/>
      <c r="V776" s="17"/>
      <c r="W776" s="60" t="e">
        <f t="shared" si="88"/>
        <v>#DIV/0!</v>
      </c>
      <c r="X776" s="17"/>
      <c r="Y776" s="17"/>
      <c r="Z776" s="16"/>
      <c r="AA776" s="15" t="s">
        <v>140</v>
      </c>
      <c r="AB776" s="17"/>
      <c r="AC776" s="21" t="s">
        <v>78</v>
      </c>
      <c r="AD776" s="21"/>
      <c r="AE776" s="17"/>
      <c r="AF776" s="17"/>
      <c r="AG776" s="15"/>
      <c r="AH776" s="16"/>
      <c r="AI776" s="16"/>
      <c r="AJ776" s="42">
        <f t="shared" ca="1" si="82"/>
        <v>729</v>
      </c>
      <c r="AK776" s="42">
        <f t="shared" ca="1" si="83"/>
        <v>729</v>
      </c>
      <c r="AL776" s="130" t="str">
        <f t="shared" si="84"/>
        <v>No Answer</v>
      </c>
      <c r="AM776" s="37">
        <v>44935</v>
      </c>
      <c r="AN776" s="38">
        <v>44935</v>
      </c>
      <c r="AO776" s="38"/>
      <c r="AP776" s="38"/>
      <c r="AQ776" s="38"/>
      <c r="AR776" s="101" t="s">
        <v>1763</v>
      </c>
      <c r="AS776" s="38">
        <v>44935</v>
      </c>
      <c r="AT776" s="11" t="s">
        <v>7</v>
      </c>
    </row>
    <row r="777" spans="1:46" s="98" customFormat="1" x14ac:dyDescent="0.3">
      <c r="A777" s="16"/>
      <c r="B777" s="16" cm="1">
        <f t="array" ref="B777">+_xlfn.IFS(D777="In Touch - Positive",2,D777="Pending",1,D777="No Answer",4,D777="In Touch - Negative",3)</f>
        <v>4</v>
      </c>
      <c r="C777" s="16" t="s">
        <v>612</v>
      </c>
      <c r="D777" s="99" t="str">
        <f t="shared" si="85"/>
        <v>No Answer</v>
      </c>
      <c r="E777" s="12" t="s">
        <v>2290</v>
      </c>
      <c r="F777" s="12"/>
      <c r="G777" s="13" t="s">
        <v>712</v>
      </c>
      <c r="H777" s="13"/>
      <c r="I777" s="13"/>
      <c r="J777" s="13"/>
      <c r="K777" s="15"/>
      <c r="L777" s="15" t="s">
        <v>2291</v>
      </c>
      <c r="M777" s="15"/>
      <c r="N777" s="15"/>
      <c r="O777" s="15"/>
      <c r="P777" s="15"/>
      <c r="Q777" s="15"/>
      <c r="R777" s="16"/>
      <c r="S777" s="35"/>
      <c r="T777" s="13"/>
      <c r="U777" s="17"/>
      <c r="V777" s="17"/>
      <c r="W777" s="60" t="e">
        <f t="shared" si="88"/>
        <v>#DIV/0!</v>
      </c>
      <c r="X777" s="17"/>
      <c r="Y777" s="17"/>
      <c r="Z777" s="16"/>
      <c r="AA777" s="15" t="s">
        <v>140</v>
      </c>
      <c r="AB777" s="17"/>
      <c r="AC777" s="21" t="s">
        <v>61</v>
      </c>
      <c r="AD777" s="21" t="s">
        <v>61</v>
      </c>
      <c r="AE777" s="17" t="s">
        <v>79</v>
      </c>
      <c r="AF777" s="17"/>
      <c r="AG777" s="15"/>
      <c r="AH777" s="16"/>
      <c r="AI777" s="16"/>
      <c r="AJ777" s="42">
        <f t="shared" ca="1" si="82"/>
        <v>733</v>
      </c>
      <c r="AK777" s="42">
        <f t="shared" ca="1" si="83"/>
        <v>733</v>
      </c>
      <c r="AL777" s="130" t="str">
        <f t="shared" si="84"/>
        <v>No Answer</v>
      </c>
      <c r="AM777" s="37">
        <v>44931</v>
      </c>
      <c r="AN777" s="38">
        <v>44931</v>
      </c>
      <c r="AO777" s="38"/>
      <c r="AP777" s="38"/>
      <c r="AQ777" s="38"/>
      <c r="AR777" s="101" t="s">
        <v>1763</v>
      </c>
      <c r="AS777" s="38">
        <v>44931</v>
      </c>
      <c r="AT777" s="11" t="s">
        <v>7</v>
      </c>
    </row>
    <row r="778" spans="1:46" s="98" customFormat="1" x14ac:dyDescent="0.3">
      <c r="A778" s="16"/>
      <c r="B778" s="16" cm="1">
        <f t="array" ref="B778">+_xlfn.IFS(D778="In Touch - Positive",2,D778="Pending",1,D778="No Answer",4,D778="In Touch - Negative",3)</f>
        <v>4</v>
      </c>
      <c r="C778" s="16" t="s">
        <v>612</v>
      </c>
      <c r="D778" s="99" t="str">
        <f t="shared" si="85"/>
        <v>No Answer</v>
      </c>
      <c r="E778" s="12" t="s">
        <v>2292</v>
      </c>
      <c r="F778" s="12"/>
      <c r="G778" s="13" t="s">
        <v>661</v>
      </c>
      <c r="H778" s="13"/>
      <c r="I778" s="13"/>
      <c r="J778" s="13"/>
      <c r="K778" s="15"/>
      <c r="L778" s="15" t="s">
        <v>2293</v>
      </c>
      <c r="M778" s="15"/>
      <c r="N778" s="15"/>
      <c r="O778" s="15"/>
      <c r="P778" s="15"/>
      <c r="Q778" s="15"/>
      <c r="R778" s="16"/>
      <c r="S778" s="35"/>
      <c r="T778" s="13"/>
      <c r="U778" s="17"/>
      <c r="V778" s="17"/>
      <c r="W778" s="60" t="e">
        <f t="shared" si="88"/>
        <v>#DIV/0!</v>
      </c>
      <c r="X778" s="17"/>
      <c r="Y778" s="17"/>
      <c r="Z778" s="16"/>
      <c r="AA778" s="15" t="s">
        <v>140</v>
      </c>
      <c r="AB778" s="17"/>
      <c r="AC778" s="21" t="s">
        <v>61</v>
      </c>
      <c r="AD778" s="21" t="s">
        <v>61</v>
      </c>
      <c r="AE778" s="17" t="s">
        <v>79</v>
      </c>
      <c r="AF778" s="17"/>
      <c r="AG778" s="15"/>
      <c r="AH778" s="16"/>
      <c r="AI778" s="16"/>
      <c r="AJ778" s="42">
        <f t="shared" ca="1" si="82"/>
        <v>733</v>
      </c>
      <c r="AK778" s="42">
        <f t="shared" ca="1" si="83"/>
        <v>733</v>
      </c>
      <c r="AL778" s="130" t="str">
        <f t="shared" si="84"/>
        <v>No Answer</v>
      </c>
      <c r="AM778" s="37">
        <v>44931</v>
      </c>
      <c r="AN778" s="38">
        <v>44931</v>
      </c>
      <c r="AO778" s="38"/>
      <c r="AP778" s="38"/>
      <c r="AQ778" s="38"/>
      <c r="AR778" s="101" t="s">
        <v>1763</v>
      </c>
      <c r="AS778" s="38">
        <v>44931</v>
      </c>
      <c r="AT778" s="11" t="s">
        <v>7</v>
      </c>
    </row>
    <row r="779" spans="1:46" s="98" customFormat="1" x14ac:dyDescent="0.3">
      <c r="A779" s="16"/>
      <c r="B779" s="16" cm="1">
        <f t="array" ref="B779">+_xlfn.IFS(D779="In Touch - Positive",2,D779="Pending",1,D779="No Answer",4,D779="In Touch - Negative",3)</f>
        <v>4</v>
      </c>
      <c r="C779" s="16" t="s">
        <v>612</v>
      </c>
      <c r="D779" s="99" t="str">
        <f t="shared" si="85"/>
        <v>No Answer</v>
      </c>
      <c r="E779" s="12" t="s">
        <v>2294</v>
      </c>
      <c r="F779" s="12"/>
      <c r="G779" s="13" t="s">
        <v>1911</v>
      </c>
      <c r="H779" s="13"/>
      <c r="I779" s="13"/>
      <c r="J779" s="13"/>
      <c r="K779" s="15"/>
      <c r="L779" s="15" t="s">
        <v>2295</v>
      </c>
      <c r="M779" s="15"/>
      <c r="N779" s="15"/>
      <c r="O779" s="15"/>
      <c r="P779" s="15"/>
      <c r="Q779" s="15"/>
      <c r="R779" s="16"/>
      <c r="S779" s="35"/>
      <c r="T779" s="13"/>
      <c r="U779" s="17"/>
      <c r="V779" s="17"/>
      <c r="W779" s="60" t="e">
        <f t="shared" si="88"/>
        <v>#DIV/0!</v>
      </c>
      <c r="X779" s="17"/>
      <c r="Y779" s="17"/>
      <c r="Z779" s="16"/>
      <c r="AA779" s="15" t="s">
        <v>140</v>
      </c>
      <c r="AB779" s="17"/>
      <c r="AC779" s="21" t="s">
        <v>61</v>
      </c>
      <c r="AD779" s="21" t="s">
        <v>61</v>
      </c>
      <c r="AE779" s="17" t="s">
        <v>79</v>
      </c>
      <c r="AF779" s="17"/>
      <c r="AG779" s="15"/>
      <c r="AH779" s="16"/>
      <c r="AI779" s="16"/>
      <c r="AJ779" s="42">
        <f t="shared" ca="1" si="82"/>
        <v>733</v>
      </c>
      <c r="AK779" s="42">
        <f t="shared" ca="1" si="83"/>
        <v>733</v>
      </c>
      <c r="AL779" s="130" t="str">
        <f t="shared" si="84"/>
        <v>No Answer</v>
      </c>
      <c r="AM779" s="37">
        <v>44931</v>
      </c>
      <c r="AN779" s="38">
        <v>44931</v>
      </c>
      <c r="AO779" s="38"/>
      <c r="AP779" s="38"/>
      <c r="AQ779" s="38"/>
      <c r="AR779" s="101" t="s">
        <v>1763</v>
      </c>
      <c r="AS779" s="38">
        <v>44931</v>
      </c>
      <c r="AT779" s="11" t="s">
        <v>7</v>
      </c>
    </row>
    <row r="780" spans="1:46" s="98" customFormat="1" x14ac:dyDescent="0.3">
      <c r="A780" s="16"/>
      <c r="B780" s="16" cm="1">
        <f t="array" ref="B780">+_xlfn.IFS(D780="In Touch - Positive",2,D780="Pending",1,D780="No Answer",4,D780="In Touch - Negative",3)</f>
        <v>4</v>
      </c>
      <c r="C780" s="16" t="s">
        <v>612</v>
      </c>
      <c r="D780" s="99" t="str">
        <f t="shared" si="85"/>
        <v>No Answer</v>
      </c>
      <c r="E780" s="12" t="s">
        <v>2296</v>
      </c>
      <c r="F780" s="12"/>
      <c r="G780" s="13" t="s">
        <v>1911</v>
      </c>
      <c r="H780" s="13"/>
      <c r="I780" s="13"/>
      <c r="J780" s="13"/>
      <c r="K780" s="15"/>
      <c r="L780" s="15" t="s">
        <v>2297</v>
      </c>
      <c r="M780" s="15"/>
      <c r="N780" s="15"/>
      <c r="O780" s="15"/>
      <c r="P780" s="15"/>
      <c r="Q780" s="15"/>
      <c r="R780" s="16"/>
      <c r="S780" s="35"/>
      <c r="T780" s="13"/>
      <c r="U780" s="17"/>
      <c r="V780" s="17"/>
      <c r="W780" s="60" t="e">
        <f t="shared" si="88"/>
        <v>#DIV/0!</v>
      </c>
      <c r="X780" s="17"/>
      <c r="Y780" s="17"/>
      <c r="Z780" s="16"/>
      <c r="AA780" s="15" t="s">
        <v>140</v>
      </c>
      <c r="AB780" s="17"/>
      <c r="AC780" s="21" t="s">
        <v>61</v>
      </c>
      <c r="AD780" s="21" t="s">
        <v>61</v>
      </c>
      <c r="AE780" s="17" t="s">
        <v>79</v>
      </c>
      <c r="AF780" s="17"/>
      <c r="AG780" s="15"/>
      <c r="AH780" s="16"/>
      <c r="AI780" s="16"/>
      <c r="AJ780" s="42">
        <f t="shared" ref="AJ780:AJ843" ca="1" si="89">+TODAY()-AM780</f>
        <v>733</v>
      </c>
      <c r="AK780" s="42">
        <f t="shared" ref="AK780:AK843" ca="1" si="90">+TODAY()-AS780</f>
        <v>733</v>
      </c>
      <c r="AL780" s="130" t="str">
        <f t="shared" ref="AL780:AL843" si="91">+IF(D780="Pending",COUNTA(AM780:AQ780)/5,D780)</f>
        <v>No Answer</v>
      </c>
      <c r="AM780" s="37">
        <v>44931</v>
      </c>
      <c r="AN780" s="38">
        <v>44931</v>
      </c>
      <c r="AO780" s="38"/>
      <c r="AP780" s="38"/>
      <c r="AQ780" s="38"/>
      <c r="AR780" s="101" t="s">
        <v>1763</v>
      </c>
      <c r="AS780" s="38">
        <v>44931</v>
      </c>
      <c r="AT780" s="11" t="s">
        <v>7</v>
      </c>
    </row>
    <row r="781" spans="1:46" s="98" customFormat="1" x14ac:dyDescent="0.3">
      <c r="B781" s="16" cm="1">
        <f t="array" ref="B781">+_xlfn.IFS(D781="In Touch - Positive",2,D781="Pending",1,D781="No Answer",4,D781="In Touch - Negative",3)</f>
        <v>4</v>
      </c>
      <c r="C781" s="16" t="s">
        <v>612</v>
      </c>
      <c r="D781" s="1152" t="str">
        <f t="shared" si="85"/>
        <v>No Answer</v>
      </c>
      <c r="E781" s="133" t="s">
        <v>2298</v>
      </c>
      <c r="F781" s="133"/>
      <c r="G781" s="23" t="s">
        <v>712</v>
      </c>
      <c r="H781" s="23"/>
      <c r="I781" s="23"/>
      <c r="J781" s="23"/>
      <c r="K781" s="24"/>
      <c r="L781" s="24" t="s">
        <v>2299</v>
      </c>
      <c r="M781" s="24"/>
      <c r="N781" s="24"/>
      <c r="O781" s="24"/>
      <c r="P781" s="24"/>
      <c r="Q781" s="24"/>
      <c r="R781" s="16"/>
      <c r="S781" s="103"/>
      <c r="T781" s="23"/>
      <c r="U781" s="25"/>
      <c r="V781" s="25"/>
      <c r="W781" s="128" t="e">
        <f t="shared" si="88"/>
        <v>#DIV/0!</v>
      </c>
      <c r="X781" s="25"/>
      <c r="Y781" s="25"/>
      <c r="Z781" s="16"/>
      <c r="AA781" s="24" t="s">
        <v>140</v>
      </c>
      <c r="AB781" s="25"/>
      <c r="AC781" s="134" t="s">
        <v>61</v>
      </c>
      <c r="AD781" s="134" t="s">
        <v>61</v>
      </c>
      <c r="AE781" s="25" t="s">
        <v>79</v>
      </c>
      <c r="AF781" s="25"/>
      <c r="AG781" s="24"/>
      <c r="AH781" s="16"/>
      <c r="AI781" s="16"/>
      <c r="AJ781" s="42">
        <f t="shared" ca="1" si="89"/>
        <v>733</v>
      </c>
      <c r="AK781" s="42">
        <f t="shared" ca="1" si="90"/>
        <v>733</v>
      </c>
      <c r="AL781" s="130" t="str">
        <f t="shared" si="91"/>
        <v>No Answer</v>
      </c>
      <c r="AM781" s="75">
        <v>44931</v>
      </c>
      <c r="AN781" s="38">
        <v>44931</v>
      </c>
      <c r="AO781" s="38"/>
      <c r="AP781" s="38"/>
      <c r="AQ781" s="38"/>
      <c r="AR781" s="101" t="s">
        <v>1763</v>
      </c>
      <c r="AS781" s="38">
        <v>44931</v>
      </c>
      <c r="AT781" s="11" t="s">
        <v>7</v>
      </c>
    </row>
    <row r="782" spans="1:46" s="98" customFormat="1" x14ac:dyDescent="0.3">
      <c r="B782" s="16" cm="1">
        <f t="array" ref="B782">+_xlfn.IFS(D782="In Touch - Positive",2,D782="Pending",1,D782="No Answer",4,D782="In Touch - Negative",3)</f>
        <v>4</v>
      </c>
      <c r="C782" s="16" t="s">
        <v>612</v>
      </c>
      <c r="D782" s="99" t="str">
        <f t="shared" si="85"/>
        <v>No Answer</v>
      </c>
      <c r="E782" s="12" t="s">
        <v>2193</v>
      </c>
      <c r="F782" s="12"/>
      <c r="G782" s="13" t="s">
        <v>1911</v>
      </c>
      <c r="H782" s="13"/>
      <c r="I782" s="13"/>
      <c r="J782" s="13"/>
      <c r="K782" s="15"/>
      <c r="L782" s="15" t="s">
        <v>2300</v>
      </c>
      <c r="M782" s="15"/>
      <c r="N782" s="15"/>
      <c r="O782" s="15"/>
      <c r="P782" s="15"/>
      <c r="Q782" s="15"/>
      <c r="R782" s="16"/>
      <c r="S782" s="35"/>
      <c r="T782" s="13"/>
      <c r="U782" s="17"/>
      <c r="V782" s="17"/>
      <c r="W782" s="60" t="e">
        <f t="shared" si="88"/>
        <v>#DIV/0!</v>
      </c>
      <c r="X782" s="17"/>
      <c r="Y782" s="17"/>
      <c r="Z782" s="16"/>
      <c r="AA782" s="15" t="s">
        <v>140</v>
      </c>
      <c r="AB782" s="17"/>
      <c r="AC782" s="134" t="s">
        <v>61</v>
      </c>
      <c r="AD782" s="21" t="s">
        <v>61</v>
      </c>
      <c r="AE782" s="17" t="s">
        <v>79</v>
      </c>
      <c r="AF782" s="17"/>
      <c r="AG782" s="15"/>
      <c r="AH782" s="16"/>
      <c r="AI782" s="16"/>
      <c r="AJ782" s="42">
        <f t="shared" ca="1" si="89"/>
        <v>734</v>
      </c>
      <c r="AK782" s="42">
        <f t="shared" ca="1" si="90"/>
        <v>734</v>
      </c>
      <c r="AL782" s="130" t="str">
        <f t="shared" si="91"/>
        <v>No Answer</v>
      </c>
      <c r="AM782" s="37">
        <v>44930</v>
      </c>
      <c r="AN782" s="38">
        <v>44930</v>
      </c>
      <c r="AO782" s="38"/>
      <c r="AP782" s="38"/>
      <c r="AQ782" s="38"/>
      <c r="AR782" s="101" t="s">
        <v>1763</v>
      </c>
      <c r="AS782" s="38">
        <v>44930</v>
      </c>
      <c r="AT782" s="11" t="s">
        <v>7</v>
      </c>
    </row>
    <row r="783" spans="1:46" s="98" customFormat="1" x14ac:dyDescent="0.3">
      <c r="A783" s="16"/>
      <c r="B783" s="16" cm="1">
        <f t="array" ref="B783">+_xlfn.IFS(D783="In Touch - Positive",2,D783="Pending",1,D783="No Answer",4,D783="In Touch - Negative",3)</f>
        <v>4</v>
      </c>
      <c r="C783" s="16" t="s">
        <v>612</v>
      </c>
      <c r="D783" s="99" t="str">
        <f t="shared" si="85"/>
        <v>No Answer</v>
      </c>
      <c r="E783" s="12" t="s">
        <v>2301</v>
      </c>
      <c r="F783" s="12"/>
      <c r="G783" s="13" t="s">
        <v>1911</v>
      </c>
      <c r="H783" s="13"/>
      <c r="I783" s="13"/>
      <c r="J783" s="13"/>
      <c r="K783" s="15"/>
      <c r="L783" s="15" t="s">
        <v>2302</v>
      </c>
      <c r="M783" s="15"/>
      <c r="N783" s="15"/>
      <c r="O783" s="15"/>
      <c r="P783" s="15"/>
      <c r="Q783" s="15"/>
      <c r="R783" s="16"/>
      <c r="S783" s="35"/>
      <c r="T783" s="13"/>
      <c r="U783" s="17"/>
      <c r="V783" s="17"/>
      <c r="W783" s="60" t="e">
        <f t="shared" si="88"/>
        <v>#DIV/0!</v>
      </c>
      <c r="X783" s="17"/>
      <c r="Y783" s="17"/>
      <c r="Z783" s="16"/>
      <c r="AA783" s="15" t="s">
        <v>140</v>
      </c>
      <c r="AB783" s="17"/>
      <c r="AC783" s="21" t="s">
        <v>61</v>
      </c>
      <c r="AD783" s="21" t="s">
        <v>61</v>
      </c>
      <c r="AE783" s="17" t="s">
        <v>79</v>
      </c>
      <c r="AF783" s="17"/>
      <c r="AG783" s="15"/>
      <c r="AH783" s="16"/>
      <c r="AI783" s="16"/>
      <c r="AJ783" s="42">
        <f t="shared" ca="1" si="89"/>
        <v>734</v>
      </c>
      <c r="AK783" s="42">
        <f t="shared" ca="1" si="90"/>
        <v>734</v>
      </c>
      <c r="AL783" s="130" t="str">
        <f t="shared" si="91"/>
        <v>No Answer</v>
      </c>
      <c r="AM783" s="37">
        <v>44930</v>
      </c>
      <c r="AN783" s="38">
        <v>44930</v>
      </c>
      <c r="AO783" s="38"/>
      <c r="AP783" s="38"/>
      <c r="AQ783" s="38"/>
      <c r="AR783" s="101" t="s">
        <v>1763</v>
      </c>
      <c r="AS783" s="38">
        <v>44930</v>
      </c>
      <c r="AT783" s="11" t="s">
        <v>7</v>
      </c>
    </row>
    <row r="784" spans="1:46" s="98" customFormat="1" x14ac:dyDescent="0.3">
      <c r="A784" s="16"/>
      <c r="B784" s="16" cm="1">
        <f t="array" ref="B784">+_xlfn.IFS(D784="In Touch - Positive",2,D784="Pending",1,D784="No Answer",4,D784="In Touch - Negative",3)</f>
        <v>4</v>
      </c>
      <c r="C784" s="16" t="s">
        <v>612</v>
      </c>
      <c r="D784" s="99" t="str">
        <f t="shared" si="85"/>
        <v>No Answer</v>
      </c>
      <c r="E784" s="12" t="s">
        <v>2303</v>
      </c>
      <c r="F784" s="12"/>
      <c r="G784" s="13" t="s">
        <v>1911</v>
      </c>
      <c r="H784" s="13"/>
      <c r="I784" s="13"/>
      <c r="J784" s="13"/>
      <c r="K784" s="15"/>
      <c r="L784" s="15" t="s">
        <v>2304</v>
      </c>
      <c r="M784" s="15"/>
      <c r="N784" s="15"/>
      <c r="O784" s="15"/>
      <c r="P784" s="15"/>
      <c r="Q784" s="15"/>
      <c r="R784" s="16"/>
      <c r="S784" s="35"/>
      <c r="T784" s="13"/>
      <c r="U784" s="17"/>
      <c r="V784" s="17"/>
      <c r="W784" s="60" t="e">
        <f t="shared" si="88"/>
        <v>#DIV/0!</v>
      </c>
      <c r="X784" s="17"/>
      <c r="Y784" s="17"/>
      <c r="Z784" s="16"/>
      <c r="AA784" s="15" t="s">
        <v>140</v>
      </c>
      <c r="AB784" s="17"/>
      <c r="AC784" s="21" t="s">
        <v>61</v>
      </c>
      <c r="AD784" s="21" t="s">
        <v>61</v>
      </c>
      <c r="AE784" s="17" t="s">
        <v>79</v>
      </c>
      <c r="AF784" s="17"/>
      <c r="AG784" s="15"/>
      <c r="AH784" s="16"/>
      <c r="AI784" s="16"/>
      <c r="AJ784" s="42">
        <f t="shared" ca="1" si="89"/>
        <v>734</v>
      </c>
      <c r="AK784" s="42">
        <f t="shared" ca="1" si="90"/>
        <v>734</v>
      </c>
      <c r="AL784" s="130" t="str">
        <f t="shared" si="91"/>
        <v>No Answer</v>
      </c>
      <c r="AM784" s="37">
        <v>44930</v>
      </c>
      <c r="AN784" s="38">
        <v>44930</v>
      </c>
      <c r="AO784" s="38"/>
      <c r="AP784" s="38">
        <v>44830</v>
      </c>
      <c r="AQ784" s="38"/>
      <c r="AR784" s="101" t="s">
        <v>1763</v>
      </c>
      <c r="AS784" s="38">
        <v>44930</v>
      </c>
      <c r="AT784" s="11" t="s">
        <v>7</v>
      </c>
    </row>
    <row r="785" spans="1:46" s="98" customFormat="1" x14ac:dyDescent="0.3">
      <c r="A785" s="16"/>
      <c r="B785" s="16" cm="1">
        <f t="array" ref="B785">+_xlfn.IFS(D785="In Touch - Positive",2,D785="Pending",1,D785="No Answer",4,D785="In Touch - Negative",3)</f>
        <v>4</v>
      </c>
      <c r="C785" s="16" t="s">
        <v>1951</v>
      </c>
      <c r="D785" s="99" t="str">
        <f t="shared" si="85"/>
        <v>No Answer</v>
      </c>
      <c r="E785" s="12" t="s">
        <v>2305</v>
      </c>
      <c r="F785" s="12"/>
      <c r="G785" s="13" t="s">
        <v>333</v>
      </c>
      <c r="H785" s="14" t="s">
        <v>2306</v>
      </c>
      <c r="I785" s="13">
        <v>14100</v>
      </c>
      <c r="J785" s="100" t="s">
        <v>251</v>
      </c>
      <c r="K785" s="15" t="s">
        <v>2307</v>
      </c>
      <c r="L785" s="15"/>
      <c r="M785" s="15"/>
      <c r="N785" s="15"/>
      <c r="O785" s="15"/>
      <c r="P785" s="15"/>
      <c r="Q785" s="15"/>
      <c r="R785" s="16"/>
      <c r="S785" s="35" t="s">
        <v>77</v>
      </c>
      <c r="T785" s="13">
        <v>2020</v>
      </c>
      <c r="U785" s="17">
        <v>10.3</v>
      </c>
      <c r="V785" s="17">
        <v>1.6</v>
      </c>
      <c r="W785" s="60">
        <f t="shared" si="88"/>
        <v>0.1553398058252427</v>
      </c>
      <c r="X785" s="17">
        <v>1.2</v>
      </c>
      <c r="Y785" s="17">
        <v>-0.436</v>
      </c>
      <c r="Z785" s="16"/>
      <c r="AA785" s="15" t="s">
        <v>140</v>
      </c>
      <c r="AB785" s="17"/>
      <c r="AC785" s="61" t="s">
        <v>562</v>
      </c>
      <c r="AD785" s="21" t="s">
        <v>61</v>
      </c>
      <c r="AE785" s="17"/>
      <c r="AF785" s="17"/>
      <c r="AG785" s="15"/>
      <c r="AH785" s="16"/>
      <c r="AI785" s="16"/>
      <c r="AJ785" s="42">
        <f t="shared" ca="1" si="89"/>
        <v>963</v>
      </c>
      <c r="AK785" s="42">
        <f t="shared" ca="1" si="90"/>
        <v>770</v>
      </c>
      <c r="AL785" s="130" t="str">
        <f t="shared" si="91"/>
        <v>No Answer</v>
      </c>
      <c r="AM785" s="37">
        <v>44701</v>
      </c>
      <c r="AN785" s="38">
        <v>44726</v>
      </c>
      <c r="AO785" s="38">
        <v>44756</v>
      </c>
      <c r="AP785" s="38"/>
      <c r="AQ785" s="38"/>
      <c r="AR785" s="101" t="s">
        <v>1763</v>
      </c>
      <c r="AS785" s="38">
        <v>44894</v>
      </c>
      <c r="AT785" s="11" t="s">
        <v>7</v>
      </c>
    </row>
    <row r="786" spans="1:46" s="98" customFormat="1" x14ac:dyDescent="0.3">
      <c r="B786" s="16" cm="1">
        <f t="array" ref="B786">+_xlfn.IFS(D786="In Touch - Positive",2,D786="Pending",1,D786="No Answer",4,D786="In Touch - Negative",3)</f>
        <v>4</v>
      </c>
      <c r="C786" s="16" t="s">
        <v>2045</v>
      </c>
      <c r="D786" s="99" t="str">
        <f t="shared" si="85"/>
        <v>No Answer</v>
      </c>
      <c r="E786" s="12" t="s">
        <v>2308</v>
      </c>
      <c r="F786" s="12"/>
      <c r="G786" s="13" t="s">
        <v>109</v>
      </c>
      <c r="H786" s="14" t="s">
        <v>2309</v>
      </c>
      <c r="I786" s="13"/>
      <c r="J786" s="100" t="s">
        <v>342</v>
      </c>
      <c r="K786" s="15" t="s">
        <v>2310</v>
      </c>
      <c r="L786" s="15"/>
      <c r="M786" s="15"/>
      <c r="N786" s="15"/>
      <c r="O786" s="15"/>
      <c r="P786" s="15"/>
      <c r="Q786" s="15"/>
      <c r="R786" s="16"/>
      <c r="S786" s="35"/>
      <c r="T786" s="13">
        <v>2021</v>
      </c>
      <c r="U786" s="17">
        <v>77.7</v>
      </c>
      <c r="V786" s="17">
        <v>15.7</v>
      </c>
      <c r="W786" s="60">
        <f t="shared" si="88"/>
        <v>0.20205920205920205</v>
      </c>
      <c r="X786" s="17"/>
      <c r="Y786" s="17">
        <v>5.4</v>
      </c>
      <c r="Z786" s="16"/>
      <c r="AA786" s="15" t="s">
        <v>140</v>
      </c>
      <c r="AB786" s="17"/>
      <c r="AC786" s="21" t="s">
        <v>78</v>
      </c>
      <c r="AD786" s="21" t="s">
        <v>78</v>
      </c>
      <c r="AE786" s="61" t="s">
        <v>128</v>
      </c>
      <c r="AF786" s="17"/>
      <c r="AG786" s="15"/>
      <c r="AH786" s="16"/>
      <c r="AI786" s="16"/>
      <c r="AJ786" s="42">
        <f t="shared" ca="1" si="89"/>
        <v>841</v>
      </c>
      <c r="AK786" s="42">
        <f t="shared" ca="1" si="90"/>
        <v>797</v>
      </c>
      <c r="AL786" s="130" t="str">
        <f t="shared" si="91"/>
        <v>No Answer</v>
      </c>
      <c r="AM786" s="37">
        <v>44823</v>
      </c>
      <c r="AN786" s="38">
        <v>44846</v>
      </c>
      <c r="AO786" s="38">
        <v>44859</v>
      </c>
      <c r="AP786" s="38"/>
      <c r="AQ786" s="38"/>
      <c r="AR786" s="101" t="s">
        <v>1763</v>
      </c>
      <c r="AS786" s="38">
        <v>44867</v>
      </c>
      <c r="AT786" s="11" t="s">
        <v>7</v>
      </c>
    </row>
    <row r="787" spans="1:46" s="98" customFormat="1" x14ac:dyDescent="0.3">
      <c r="A787" s="16"/>
      <c r="B787" s="16" cm="1">
        <f t="array" ref="B787">+_xlfn.IFS(D787="In Touch - Positive",2,D787="Pending",1,D787="No Answer",4,D787="In Touch - Negative",3)</f>
        <v>4</v>
      </c>
      <c r="C787" s="16" t="s">
        <v>2311</v>
      </c>
      <c r="D787" s="99" t="str">
        <f t="shared" si="85"/>
        <v>No Answer</v>
      </c>
      <c r="E787" s="12" t="s">
        <v>2312</v>
      </c>
      <c r="F787" s="12"/>
      <c r="G787" s="13" t="s">
        <v>2313</v>
      </c>
      <c r="H787" s="14" t="s">
        <v>2314</v>
      </c>
      <c r="I787" s="13"/>
      <c r="J787" s="100" t="s">
        <v>83</v>
      </c>
      <c r="K787" s="15" t="s">
        <v>2315</v>
      </c>
      <c r="L787" s="15"/>
      <c r="M787" s="15"/>
      <c r="N787" s="15"/>
      <c r="O787" s="15"/>
      <c r="P787" s="15"/>
      <c r="Q787" s="15"/>
      <c r="R787" s="16"/>
      <c r="S787" s="35"/>
      <c r="T787" s="13">
        <v>2021</v>
      </c>
      <c r="U787" s="17">
        <v>67.8</v>
      </c>
      <c r="V787" s="17">
        <v>7.2</v>
      </c>
      <c r="W787" s="60">
        <f t="shared" si="88"/>
        <v>0.10619469026548674</v>
      </c>
      <c r="X787" s="17"/>
      <c r="Y787" s="17">
        <v>13.7</v>
      </c>
      <c r="Z787" s="16"/>
      <c r="AA787" s="15" t="s">
        <v>140</v>
      </c>
      <c r="AB787" s="17"/>
      <c r="AC787" s="21" t="s">
        <v>78</v>
      </c>
      <c r="AD787" s="21" t="s">
        <v>78</v>
      </c>
      <c r="AE787" s="61" t="s">
        <v>128</v>
      </c>
      <c r="AF787" s="17"/>
      <c r="AG787" s="15"/>
      <c r="AH787" s="16"/>
      <c r="AI787" s="16"/>
      <c r="AJ787" s="42">
        <f t="shared" ca="1" si="89"/>
        <v>841</v>
      </c>
      <c r="AK787" s="42">
        <f t="shared" ca="1" si="90"/>
        <v>805</v>
      </c>
      <c r="AL787" s="130" t="str">
        <f t="shared" si="91"/>
        <v>No Answer</v>
      </c>
      <c r="AM787" s="37">
        <v>44823</v>
      </c>
      <c r="AN787" s="38">
        <v>44846</v>
      </c>
      <c r="AO787" s="38">
        <v>44859</v>
      </c>
      <c r="AP787" s="38"/>
      <c r="AQ787" s="38"/>
      <c r="AR787" s="101" t="s">
        <v>1763</v>
      </c>
      <c r="AS787" s="38">
        <v>44859</v>
      </c>
      <c r="AT787" s="11" t="s">
        <v>7</v>
      </c>
    </row>
    <row r="788" spans="1:46" s="98" customFormat="1" x14ac:dyDescent="0.3">
      <c r="A788" s="16"/>
      <c r="B788" s="16" cm="1">
        <f t="array" ref="B788">+_xlfn.IFS(D788="In Touch - Positive",2,D788="Pending",1,D788="No Answer",4,D788="In Touch - Negative",3)</f>
        <v>4</v>
      </c>
      <c r="C788" s="16" t="s">
        <v>2311</v>
      </c>
      <c r="D788" s="99" t="str">
        <f t="shared" si="85"/>
        <v>No Answer</v>
      </c>
      <c r="E788" s="12" t="s">
        <v>2316</v>
      </c>
      <c r="F788" s="12"/>
      <c r="G788" s="13" t="s">
        <v>130</v>
      </c>
      <c r="H788" s="14" t="s">
        <v>2317</v>
      </c>
      <c r="I788" s="13">
        <v>464630</v>
      </c>
      <c r="J788" s="13" t="s">
        <v>1010</v>
      </c>
      <c r="K788" s="15" t="s">
        <v>1118</v>
      </c>
      <c r="L788" s="15"/>
      <c r="M788" s="15"/>
      <c r="N788" s="15"/>
      <c r="O788" s="15"/>
      <c r="P788" s="15"/>
      <c r="Q788" s="15"/>
      <c r="R788" s="16"/>
      <c r="S788" s="35" t="s">
        <v>77</v>
      </c>
      <c r="T788" s="13">
        <v>2021</v>
      </c>
      <c r="U788" s="17">
        <v>46.408000000000001</v>
      </c>
      <c r="V788" s="17">
        <v>5.7809999999999997</v>
      </c>
      <c r="W788" s="60">
        <f t="shared" si="88"/>
        <v>0.12456903982072055</v>
      </c>
      <c r="X788" s="17">
        <v>4.609</v>
      </c>
      <c r="Y788" s="17">
        <v>2.1669999999999998</v>
      </c>
      <c r="Z788" s="16"/>
      <c r="AA788" s="15" t="s">
        <v>140</v>
      </c>
      <c r="AB788" s="17"/>
      <c r="AC788" s="21" t="s">
        <v>78</v>
      </c>
      <c r="AD788" s="21" t="s">
        <v>78</v>
      </c>
      <c r="AE788" s="61" t="s">
        <v>128</v>
      </c>
      <c r="AF788" s="17"/>
      <c r="AG788" s="15"/>
      <c r="AH788" s="16"/>
      <c r="AI788" s="16"/>
      <c r="AJ788" s="42">
        <f t="shared" ca="1" si="89"/>
        <v>841</v>
      </c>
      <c r="AK788" s="42">
        <f t="shared" ca="1" si="90"/>
        <v>805</v>
      </c>
      <c r="AL788" s="130" t="str">
        <f t="shared" si="91"/>
        <v>No Answer</v>
      </c>
      <c r="AM788" s="37">
        <v>44823</v>
      </c>
      <c r="AN788" s="38">
        <v>44845</v>
      </c>
      <c r="AO788" s="38">
        <v>44859</v>
      </c>
      <c r="AP788" s="38"/>
      <c r="AQ788" s="38"/>
      <c r="AR788" s="101" t="s">
        <v>1763</v>
      </c>
      <c r="AS788" s="38">
        <v>44859</v>
      </c>
      <c r="AT788" s="11" t="s">
        <v>7</v>
      </c>
    </row>
    <row r="789" spans="1:46" s="98" customFormat="1" x14ac:dyDescent="0.3">
      <c r="A789" s="16"/>
      <c r="B789" s="16" cm="1">
        <f t="array" ref="B789">+_xlfn.IFS(D789="In Touch - Positive",2,D789="Pending",1,D789="No Answer",4,D789="In Touch - Negative",3)</f>
        <v>4</v>
      </c>
      <c r="C789" s="16" t="s">
        <v>1920</v>
      </c>
      <c r="D789" s="99" t="str">
        <f t="shared" ref="D789:D830" si="92">+AR789</f>
        <v>No Answer</v>
      </c>
      <c r="E789" s="12" t="s">
        <v>2318</v>
      </c>
      <c r="F789" s="12"/>
      <c r="G789" s="13" t="s">
        <v>413</v>
      </c>
      <c r="H789" s="14" t="s">
        <v>2319</v>
      </c>
      <c r="I789" s="13"/>
      <c r="J789" s="100" t="s">
        <v>267</v>
      </c>
      <c r="K789" s="15" t="s">
        <v>2275</v>
      </c>
      <c r="L789" s="15"/>
      <c r="M789" s="15"/>
      <c r="N789" s="15"/>
      <c r="O789" s="15"/>
      <c r="P789" s="15"/>
      <c r="Q789" s="15"/>
      <c r="R789" s="16"/>
      <c r="S789" s="35" t="s">
        <v>77</v>
      </c>
      <c r="T789" s="13">
        <v>2021</v>
      </c>
      <c r="U789" s="17">
        <v>5.7206669999999997</v>
      </c>
      <c r="V789" s="17">
        <v>0.128</v>
      </c>
      <c r="W789" s="60">
        <f>V789/U789</f>
        <v>2.2375013263313526E-2</v>
      </c>
      <c r="X789" s="17">
        <v>6.7488000000000006E-2</v>
      </c>
      <c r="Y789" s="17">
        <v>2.1724920000000001</v>
      </c>
      <c r="Z789" s="16"/>
      <c r="AA789" s="15" t="s">
        <v>140</v>
      </c>
      <c r="AB789" s="17"/>
      <c r="AC789" s="21" t="s">
        <v>86</v>
      </c>
      <c r="AD789" s="21" t="s">
        <v>61</v>
      </c>
      <c r="AE789" s="61" t="s">
        <v>86</v>
      </c>
      <c r="AF789" s="17"/>
      <c r="AG789" s="15"/>
      <c r="AH789" s="16"/>
      <c r="AI789" s="16"/>
      <c r="AJ789" s="42">
        <f t="shared" ca="1" si="89"/>
        <v>835</v>
      </c>
      <c r="AK789" s="42">
        <f t="shared" ca="1" si="90"/>
        <v>809</v>
      </c>
      <c r="AL789" s="130" t="str">
        <f t="shared" si="91"/>
        <v>No Answer</v>
      </c>
      <c r="AM789" s="37">
        <v>44829</v>
      </c>
      <c r="AN789" s="38">
        <v>44855</v>
      </c>
      <c r="AO789" s="38"/>
      <c r="AP789" s="38"/>
      <c r="AQ789" s="38"/>
      <c r="AR789" s="101" t="s">
        <v>1763</v>
      </c>
      <c r="AS789" s="38">
        <v>44855</v>
      </c>
      <c r="AT789" s="11" t="s">
        <v>7</v>
      </c>
    </row>
    <row r="790" spans="1:46" s="98" customFormat="1" x14ac:dyDescent="0.3">
      <c r="A790" s="16"/>
      <c r="B790" s="16" cm="1">
        <f t="array" ref="B790">+_xlfn.IFS(D790="In Touch - Positive",2,D790="Pending",1,D790="No Answer",4,D790="In Touch - Negative",3)</f>
        <v>4</v>
      </c>
      <c r="C790" s="16" t="s">
        <v>1920</v>
      </c>
      <c r="D790" s="99" t="str">
        <f t="shared" si="92"/>
        <v>No Answer</v>
      </c>
      <c r="E790" s="12" t="s">
        <v>2320</v>
      </c>
      <c r="F790" s="12"/>
      <c r="G790" s="13" t="s">
        <v>166</v>
      </c>
      <c r="H790" s="14" t="s">
        <v>2321</v>
      </c>
      <c r="I790" s="13"/>
      <c r="J790" s="100" t="s">
        <v>267</v>
      </c>
      <c r="K790" s="15" t="s">
        <v>2322</v>
      </c>
      <c r="L790" s="15"/>
      <c r="M790" s="15"/>
      <c r="N790" s="15"/>
      <c r="O790" s="15"/>
      <c r="P790" s="15"/>
      <c r="Q790" s="15"/>
      <c r="R790" s="16"/>
      <c r="S790" s="35" t="s">
        <v>77</v>
      </c>
      <c r="T790" s="13">
        <v>2021</v>
      </c>
      <c r="U790" s="17">
        <v>5.2</v>
      </c>
      <c r="V790" s="17">
        <v>0.126</v>
      </c>
      <c r="W790" s="60">
        <f>V790/U790</f>
        <v>2.4230769230769229E-2</v>
      </c>
      <c r="X790" s="17">
        <v>2.1999999999999999E-2</v>
      </c>
      <c r="Y790" s="17">
        <v>1.4</v>
      </c>
      <c r="Z790" s="16"/>
      <c r="AA790" s="15" t="s">
        <v>140</v>
      </c>
      <c r="AB790" s="17"/>
      <c r="AC790" s="21" t="s">
        <v>86</v>
      </c>
      <c r="AD790" s="21" t="s">
        <v>61</v>
      </c>
      <c r="AE790" s="61" t="s">
        <v>86</v>
      </c>
      <c r="AF790" s="17"/>
      <c r="AG790" s="15"/>
      <c r="AH790" s="16"/>
      <c r="AI790" s="16"/>
      <c r="AJ790" s="42">
        <f t="shared" ca="1" si="89"/>
        <v>835</v>
      </c>
      <c r="AK790" s="42">
        <f t="shared" ca="1" si="90"/>
        <v>809</v>
      </c>
      <c r="AL790" s="130" t="str">
        <f t="shared" si="91"/>
        <v>No Answer</v>
      </c>
      <c r="AM790" s="37">
        <v>44829</v>
      </c>
      <c r="AN790" s="38">
        <v>44855</v>
      </c>
      <c r="AO790" s="38"/>
      <c r="AP790" s="38"/>
      <c r="AQ790" s="38"/>
      <c r="AR790" s="101" t="s">
        <v>1763</v>
      </c>
      <c r="AS790" s="38">
        <v>44855</v>
      </c>
      <c r="AT790" s="11" t="s">
        <v>7</v>
      </c>
    </row>
    <row r="791" spans="1:46" s="98" customFormat="1" x14ac:dyDescent="0.3">
      <c r="A791" s="16"/>
      <c r="B791" s="16" cm="1">
        <f t="array" ref="B791">+_xlfn.IFS(D791="In Touch - Positive",2,D791="Pending",1,D791="No Answer",4,D791="In Touch - Negative",3)</f>
        <v>4</v>
      </c>
      <c r="C791" s="16" t="s">
        <v>1921</v>
      </c>
      <c r="D791" s="99" t="str">
        <f t="shared" si="92"/>
        <v>No Answer</v>
      </c>
      <c r="E791" s="12" t="s">
        <v>2323</v>
      </c>
      <c r="F791" s="12"/>
      <c r="G791" s="13" t="s">
        <v>340</v>
      </c>
      <c r="H791" s="14" t="s">
        <v>2324</v>
      </c>
      <c r="I791" s="13"/>
      <c r="J791" s="13" t="s">
        <v>111</v>
      </c>
      <c r="K791" s="15"/>
      <c r="L791" s="15"/>
      <c r="M791" s="15"/>
      <c r="N791" s="15"/>
      <c r="O791" s="15"/>
      <c r="P791" s="15"/>
      <c r="Q791" s="15"/>
      <c r="R791" s="16"/>
      <c r="S791" s="35"/>
      <c r="T791" s="13">
        <v>2020</v>
      </c>
      <c r="U791" s="17">
        <v>48.583091000000003</v>
      </c>
      <c r="V791" s="17">
        <v>9.8925820000000009</v>
      </c>
      <c r="W791" s="60">
        <f t="shared" ref="W791:W830" si="93">+V791/U791</f>
        <v>0.20362191446402619</v>
      </c>
      <c r="X791" s="17"/>
      <c r="Y791" s="17">
        <v>1.9098425999999998E-2</v>
      </c>
      <c r="Z791" s="16"/>
      <c r="AA791" s="15" t="s">
        <v>140</v>
      </c>
      <c r="AB791" s="17"/>
      <c r="AC791" s="21" t="s">
        <v>61</v>
      </c>
      <c r="AD791" s="21" t="s">
        <v>61</v>
      </c>
      <c r="AE791" s="61" t="s">
        <v>986</v>
      </c>
      <c r="AF791" s="17"/>
      <c r="AG791" s="15"/>
      <c r="AH791" s="16"/>
      <c r="AI791" s="16"/>
      <c r="AJ791" s="42">
        <f t="shared" ca="1" si="89"/>
        <v>968</v>
      </c>
      <c r="AK791" s="42">
        <f t="shared" ca="1" si="90"/>
        <v>834</v>
      </c>
      <c r="AL791" s="130" t="str">
        <f t="shared" si="91"/>
        <v>No Answer</v>
      </c>
      <c r="AM791" s="37">
        <v>44696</v>
      </c>
      <c r="AN791" s="38">
        <v>44767</v>
      </c>
      <c r="AO791" s="38">
        <v>44830</v>
      </c>
      <c r="AP791" s="38"/>
      <c r="AQ791" s="38"/>
      <c r="AR791" s="101" t="s">
        <v>1763</v>
      </c>
      <c r="AS791" s="38">
        <v>44830</v>
      </c>
      <c r="AT791" s="11" t="s">
        <v>7</v>
      </c>
    </row>
    <row r="792" spans="1:46" s="98" customFormat="1" x14ac:dyDescent="0.3">
      <c r="B792" s="16" cm="1">
        <f t="array" ref="B792">+_xlfn.IFS(D792="In Touch - Positive",2,D792="Pending",1,D792="No Answer",4,D792="In Touch - Negative",3)</f>
        <v>4</v>
      </c>
      <c r="C792" s="16" t="s">
        <v>1921</v>
      </c>
      <c r="D792" s="99" t="str">
        <f t="shared" si="92"/>
        <v>No Answer</v>
      </c>
      <c r="E792" s="12" t="s">
        <v>2325</v>
      </c>
      <c r="F792" s="12"/>
      <c r="G792" s="13" t="s">
        <v>68</v>
      </c>
      <c r="H792" s="14" t="s">
        <v>2326</v>
      </c>
      <c r="I792" s="13"/>
      <c r="J792" s="13" t="s">
        <v>202</v>
      </c>
      <c r="K792" s="15"/>
      <c r="L792" s="15"/>
      <c r="M792" s="15"/>
      <c r="N792" s="15"/>
      <c r="O792" s="15"/>
      <c r="P792" s="15"/>
      <c r="Q792" s="15"/>
      <c r="R792" s="16"/>
      <c r="S792" s="35"/>
      <c r="T792" s="13">
        <v>2020</v>
      </c>
      <c r="U792" s="17">
        <v>32.830412000000003</v>
      </c>
      <c r="V792" s="17">
        <v>3.829736</v>
      </c>
      <c r="W792" s="60">
        <f t="shared" si="93"/>
        <v>0.11665208465857814</v>
      </c>
      <c r="X792" s="17"/>
      <c r="Y792" s="17">
        <v>-0.99317899999999992</v>
      </c>
      <c r="Z792" s="16"/>
      <c r="AA792" s="15" t="s">
        <v>140</v>
      </c>
      <c r="AB792" s="17"/>
      <c r="AC792" s="21" t="s">
        <v>61</v>
      </c>
      <c r="AD792" s="21" t="s">
        <v>61</v>
      </c>
      <c r="AE792" s="61" t="s">
        <v>986</v>
      </c>
      <c r="AF792" s="17"/>
      <c r="AG792" s="15"/>
      <c r="AH792" s="16"/>
      <c r="AI792" s="16"/>
      <c r="AJ792" s="42">
        <f t="shared" ca="1" si="89"/>
        <v>968</v>
      </c>
      <c r="AK792" s="42">
        <f t="shared" ca="1" si="90"/>
        <v>834</v>
      </c>
      <c r="AL792" s="130" t="str">
        <f t="shared" si="91"/>
        <v>No Answer</v>
      </c>
      <c r="AM792" s="37">
        <v>44696</v>
      </c>
      <c r="AN792" s="38">
        <v>44757</v>
      </c>
      <c r="AO792" s="38">
        <v>44830</v>
      </c>
      <c r="AP792" s="38"/>
      <c r="AQ792" s="38"/>
      <c r="AR792" s="101" t="s">
        <v>1763</v>
      </c>
      <c r="AS792" s="38">
        <v>44830</v>
      </c>
      <c r="AT792" s="11" t="s">
        <v>7</v>
      </c>
    </row>
    <row r="793" spans="1:46" s="98" customFormat="1" x14ac:dyDescent="0.3">
      <c r="A793" s="16"/>
      <c r="B793" s="16" cm="1">
        <f t="array" ref="B793">+_xlfn.IFS(D793="In Touch - Positive",2,D793="Pending",1,D793="No Answer",4,D793="In Touch - Negative",3)</f>
        <v>4</v>
      </c>
      <c r="C793" s="16" t="s">
        <v>1921</v>
      </c>
      <c r="D793" s="99" t="str">
        <f t="shared" si="92"/>
        <v>No Answer</v>
      </c>
      <c r="E793" s="12" t="s">
        <v>2327</v>
      </c>
      <c r="F793" s="12"/>
      <c r="G793" s="13" t="s">
        <v>68</v>
      </c>
      <c r="H793" s="14" t="s">
        <v>2328</v>
      </c>
      <c r="I793" s="13"/>
      <c r="J793" s="13" t="s">
        <v>1927</v>
      </c>
      <c r="K793" s="15"/>
      <c r="L793" s="15"/>
      <c r="M793" s="15"/>
      <c r="N793" s="15"/>
      <c r="O793" s="15"/>
      <c r="P793" s="15"/>
      <c r="Q793" s="15"/>
      <c r="R793" s="16"/>
      <c r="S793" s="35"/>
      <c r="T793" s="13">
        <v>2020</v>
      </c>
      <c r="U793" s="17">
        <v>29.029134000000003</v>
      </c>
      <c r="V793" s="17">
        <v>4.9428080000000003</v>
      </c>
      <c r="W793" s="60">
        <f t="shared" si="93"/>
        <v>0.17027059780701689</v>
      </c>
      <c r="X793" s="17"/>
      <c r="Y793" s="17">
        <v>0.94183399999999995</v>
      </c>
      <c r="Z793" s="16"/>
      <c r="AA793" s="15" t="s">
        <v>140</v>
      </c>
      <c r="AB793" s="17"/>
      <c r="AC793" s="21" t="s">
        <v>61</v>
      </c>
      <c r="AD793" s="21" t="s">
        <v>61</v>
      </c>
      <c r="AE793" s="61" t="s">
        <v>986</v>
      </c>
      <c r="AF793" s="17"/>
      <c r="AG793" s="15"/>
      <c r="AH793" s="16"/>
      <c r="AI793" s="16"/>
      <c r="AJ793" s="42">
        <f t="shared" ca="1" si="89"/>
        <v>968</v>
      </c>
      <c r="AK793" s="42">
        <f t="shared" ca="1" si="90"/>
        <v>834</v>
      </c>
      <c r="AL793" s="130" t="str">
        <f t="shared" si="91"/>
        <v>No Answer</v>
      </c>
      <c r="AM793" s="37">
        <v>44696</v>
      </c>
      <c r="AN793" s="38">
        <v>44757</v>
      </c>
      <c r="AO793" s="38">
        <v>44830</v>
      </c>
      <c r="AP793" s="38"/>
      <c r="AQ793" s="38"/>
      <c r="AR793" s="101" t="s">
        <v>1763</v>
      </c>
      <c r="AS793" s="38">
        <v>44830</v>
      </c>
      <c r="AT793" s="11" t="s">
        <v>7</v>
      </c>
    </row>
    <row r="794" spans="1:46" s="98" customFormat="1" x14ac:dyDescent="0.3">
      <c r="A794" s="16"/>
      <c r="B794" s="16" cm="1">
        <f t="array" ref="B794">+_xlfn.IFS(D794="In Touch - Positive",2,D794="Pending",1,D794="No Answer",4,D794="In Touch - Negative",3)</f>
        <v>4</v>
      </c>
      <c r="C794" s="16" t="s">
        <v>1921</v>
      </c>
      <c r="D794" s="99" t="str">
        <f t="shared" si="92"/>
        <v>No Answer</v>
      </c>
      <c r="E794" s="12" t="s">
        <v>2329</v>
      </c>
      <c r="F794" s="12"/>
      <c r="G794" s="13" t="s">
        <v>68</v>
      </c>
      <c r="H794" s="14" t="s">
        <v>2330</v>
      </c>
      <c r="I794" s="13"/>
      <c r="J794" s="13" t="s">
        <v>111</v>
      </c>
      <c r="K794" s="15"/>
      <c r="L794" s="15"/>
      <c r="M794" s="15"/>
      <c r="N794" s="15"/>
      <c r="O794" s="15"/>
      <c r="P794" s="15"/>
      <c r="Q794" s="15"/>
      <c r="R794" s="16"/>
      <c r="S794" s="35"/>
      <c r="T794" s="13">
        <v>2020</v>
      </c>
      <c r="U794" s="17">
        <v>29.854565999999998</v>
      </c>
      <c r="V794" s="17">
        <v>5.0353570000000003</v>
      </c>
      <c r="W794" s="60">
        <f t="shared" si="93"/>
        <v>0.16866287722956685</v>
      </c>
      <c r="X794" s="17"/>
      <c r="Y794" s="17">
        <v>0.26480000000000004</v>
      </c>
      <c r="Z794" s="16"/>
      <c r="AA794" s="15" t="s">
        <v>140</v>
      </c>
      <c r="AB794" s="17"/>
      <c r="AC794" s="21" t="s">
        <v>61</v>
      </c>
      <c r="AD794" s="21" t="s">
        <v>61</v>
      </c>
      <c r="AE794" s="61" t="s">
        <v>986</v>
      </c>
      <c r="AF794" s="17"/>
      <c r="AG794" s="15"/>
      <c r="AH794" s="16"/>
      <c r="AI794" s="16"/>
      <c r="AJ794" s="42">
        <f t="shared" ca="1" si="89"/>
        <v>968</v>
      </c>
      <c r="AK794" s="42">
        <f t="shared" ca="1" si="90"/>
        <v>834</v>
      </c>
      <c r="AL794" s="130" t="str">
        <f t="shared" si="91"/>
        <v>No Answer</v>
      </c>
      <c r="AM794" s="37">
        <v>44696</v>
      </c>
      <c r="AN794" s="38">
        <v>44725</v>
      </c>
      <c r="AO794" s="38">
        <v>44830</v>
      </c>
      <c r="AP794" s="38"/>
      <c r="AQ794" s="38"/>
      <c r="AR794" s="101" t="s">
        <v>1763</v>
      </c>
      <c r="AS794" s="38">
        <v>44830</v>
      </c>
      <c r="AT794" s="11" t="s">
        <v>7</v>
      </c>
    </row>
    <row r="795" spans="1:46" s="98" customFormat="1" x14ac:dyDescent="0.3">
      <c r="A795" s="16"/>
      <c r="B795" s="16" cm="1">
        <f t="array" ref="B795">+_xlfn.IFS(D795="In Touch - Positive",2,D795="Pending",1,D795="No Answer",4,D795="In Touch - Negative",3)</f>
        <v>4</v>
      </c>
      <c r="C795" s="16" t="s">
        <v>1921</v>
      </c>
      <c r="D795" s="99" t="str">
        <f t="shared" si="92"/>
        <v>No Answer</v>
      </c>
      <c r="E795" s="12" t="s">
        <v>2331</v>
      </c>
      <c r="F795" s="12"/>
      <c r="G795" s="13" t="s">
        <v>68</v>
      </c>
      <c r="H795" s="14" t="s">
        <v>2332</v>
      </c>
      <c r="I795" s="13"/>
      <c r="J795" s="13" t="s">
        <v>2333</v>
      </c>
      <c r="K795" s="15"/>
      <c r="L795" s="15"/>
      <c r="M795" s="15"/>
      <c r="N795" s="15"/>
      <c r="O795" s="15"/>
      <c r="P795" s="15"/>
      <c r="Q795" s="15"/>
      <c r="R795" s="16"/>
      <c r="S795" s="35"/>
      <c r="T795" s="13">
        <v>2020</v>
      </c>
      <c r="U795" s="17">
        <v>25.585964000000001</v>
      </c>
      <c r="V795" s="17">
        <v>3.9993050000000001</v>
      </c>
      <c r="W795" s="60">
        <f t="shared" si="93"/>
        <v>0.15630855261111132</v>
      </c>
      <c r="X795" s="17"/>
      <c r="Y795" s="17">
        <v>6.7878059999999998</v>
      </c>
      <c r="Z795" s="16"/>
      <c r="AA795" s="15" t="s">
        <v>140</v>
      </c>
      <c r="AB795" s="17"/>
      <c r="AC795" s="21" t="s">
        <v>61</v>
      </c>
      <c r="AD795" s="21" t="s">
        <v>61</v>
      </c>
      <c r="AE795" s="61" t="s">
        <v>986</v>
      </c>
      <c r="AF795" s="17"/>
      <c r="AG795" s="15"/>
      <c r="AH795" s="16"/>
      <c r="AI795" s="16"/>
      <c r="AJ795" s="42">
        <f t="shared" ca="1" si="89"/>
        <v>968</v>
      </c>
      <c r="AK795" s="42">
        <f t="shared" ca="1" si="90"/>
        <v>840</v>
      </c>
      <c r="AL795" s="130" t="str">
        <f t="shared" si="91"/>
        <v>No Answer</v>
      </c>
      <c r="AM795" s="37">
        <v>44696</v>
      </c>
      <c r="AN795" s="38">
        <v>44755</v>
      </c>
      <c r="AO795" s="38">
        <v>44824</v>
      </c>
      <c r="AP795" s="38"/>
      <c r="AQ795" s="38"/>
      <c r="AR795" s="101" t="s">
        <v>1763</v>
      </c>
      <c r="AS795" s="38">
        <v>44824</v>
      </c>
      <c r="AT795" s="11" t="s">
        <v>7</v>
      </c>
    </row>
    <row r="796" spans="1:46" s="98" customFormat="1" x14ac:dyDescent="0.3">
      <c r="A796" s="16"/>
      <c r="B796" s="16" cm="1">
        <f t="array" ref="B796">+_xlfn.IFS(D796="In Touch - Positive",2,D796="Pending",1,D796="No Answer",4,D796="In Touch - Negative",3)</f>
        <v>4</v>
      </c>
      <c r="C796" s="16" t="s">
        <v>1921</v>
      </c>
      <c r="D796" s="99" t="str">
        <f t="shared" si="92"/>
        <v>No Answer</v>
      </c>
      <c r="E796" s="12" t="s">
        <v>2334</v>
      </c>
      <c r="F796" s="12"/>
      <c r="G796" s="13" t="s">
        <v>68</v>
      </c>
      <c r="H796" s="14" t="s">
        <v>2335</v>
      </c>
      <c r="I796" s="13"/>
      <c r="J796" s="13" t="s">
        <v>1462</v>
      </c>
      <c r="K796" s="15"/>
      <c r="L796" s="15"/>
      <c r="M796" s="15"/>
      <c r="N796" s="15"/>
      <c r="O796" s="15"/>
      <c r="P796" s="15"/>
      <c r="Q796" s="15"/>
      <c r="R796" s="16"/>
      <c r="S796" s="35"/>
      <c r="T796" s="13">
        <v>2020</v>
      </c>
      <c r="U796" s="17">
        <v>38.188955</v>
      </c>
      <c r="V796" s="17">
        <v>4.8025160000000007</v>
      </c>
      <c r="W796" s="60">
        <f t="shared" si="93"/>
        <v>0.12575667493389125</v>
      </c>
      <c r="X796" s="17"/>
      <c r="Y796" s="17">
        <v>-0.56220899999999996</v>
      </c>
      <c r="Z796" s="16"/>
      <c r="AA796" s="15" t="s">
        <v>140</v>
      </c>
      <c r="AB796" s="17"/>
      <c r="AC796" s="21" t="s">
        <v>61</v>
      </c>
      <c r="AD796" s="21" t="s">
        <v>61</v>
      </c>
      <c r="AE796" s="61" t="s">
        <v>986</v>
      </c>
      <c r="AF796" s="17"/>
      <c r="AG796" s="15"/>
      <c r="AH796" s="16"/>
      <c r="AI796" s="16"/>
      <c r="AJ796" s="42">
        <f t="shared" ca="1" si="89"/>
        <v>968</v>
      </c>
      <c r="AK796" s="42">
        <f t="shared" ca="1" si="90"/>
        <v>840</v>
      </c>
      <c r="AL796" s="130" t="str">
        <f t="shared" si="91"/>
        <v>No Answer</v>
      </c>
      <c r="AM796" s="37">
        <v>44696</v>
      </c>
      <c r="AN796" s="38">
        <v>44753</v>
      </c>
      <c r="AO796" s="38">
        <v>44824</v>
      </c>
      <c r="AP796" s="38"/>
      <c r="AQ796" s="38"/>
      <c r="AR796" s="101" t="s">
        <v>1763</v>
      </c>
      <c r="AS796" s="38">
        <v>44824</v>
      </c>
      <c r="AT796" s="11" t="s">
        <v>7</v>
      </c>
    </row>
    <row r="797" spans="1:46" s="98" customFormat="1" x14ac:dyDescent="0.3">
      <c r="B797" s="16" cm="1">
        <f t="array" ref="B797">+_xlfn.IFS(D797="In Touch - Positive",2,D797="Pending",1,D797="No Answer",4,D797="In Touch - Negative",3)</f>
        <v>4</v>
      </c>
      <c r="C797" s="16" t="s">
        <v>1921</v>
      </c>
      <c r="D797" s="99" t="str">
        <f t="shared" si="92"/>
        <v>No Answer</v>
      </c>
      <c r="E797" s="12" t="s">
        <v>2336</v>
      </c>
      <c r="F797" s="12"/>
      <c r="G797" s="13" t="s">
        <v>68</v>
      </c>
      <c r="H797" s="14" t="s">
        <v>2337</v>
      </c>
      <c r="I797" s="13"/>
      <c r="J797" s="13" t="s">
        <v>2338</v>
      </c>
      <c r="K797" s="15"/>
      <c r="L797" s="15"/>
      <c r="M797" s="15"/>
      <c r="N797" s="15"/>
      <c r="O797" s="15"/>
      <c r="P797" s="15"/>
      <c r="Q797" s="15"/>
      <c r="R797" s="16"/>
      <c r="S797" s="35"/>
      <c r="T797" s="13">
        <v>2020</v>
      </c>
      <c r="U797" s="17">
        <v>72.936861000000007</v>
      </c>
      <c r="V797" s="17">
        <v>8.2423739999999999</v>
      </c>
      <c r="W797" s="60">
        <f t="shared" si="93"/>
        <v>0.11300697462151543</v>
      </c>
      <c r="X797" s="17"/>
      <c r="Y797" s="17">
        <v>-16.102912</v>
      </c>
      <c r="Z797" s="16"/>
      <c r="AA797" s="15" t="s">
        <v>140</v>
      </c>
      <c r="AB797" s="17"/>
      <c r="AC797" s="21" t="s">
        <v>61</v>
      </c>
      <c r="AD797" s="21" t="s">
        <v>61</v>
      </c>
      <c r="AE797" s="61" t="s">
        <v>986</v>
      </c>
      <c r="AF797" s="17"/>
      <c r="AG797" s="15"/>
      <c r="AH797" s="16"/>
      <c r="AI797" s="16"/>
      <c r="AJ797" s="42">
        <f t="shared" ca="1" si="89"/>
        <v>968</v>
      </c>
      <c r="AK797" s="42">
        <f t="shared" ca="1" si="90"/>
        <v>840</v>
      </c>
      <c r="AL797" s="130" t="str">
        <f t="shared" si="91"/>
        <v>No Answer</v>
      </c>
      <c r="AM797" s="37">
        <v>44696</v>
      </c>
      <c r="AN797" s="38">
        <v>44753</v>
      </c>
      <c r="AO797" s="38">
        <v>44824</v>
      </c>
      <c r="AP797" s="38">
        <v>44824</v>
      </c>
      <c r="AQ797" s="38"/>
      <c r="AR797" s="101" t="s">
        <v>1763</v>
      </c>
      <c r="AS797" s="38">
        <v>44824</v>
      </c>
      <c r="AT797" s="11" t="s">
        <v>7</v>
      </c>
    </row>
    <row r="798" spans="1:46" s="98" customFormat="1" x14ac:dyDescent="0.3">
      <c r="A798" s="16"/>
      <c r="B798" s="16" cm="1">
        <f t="array" ref="B798">+_xlfn.IFS(D798="In Touch - Positive",2,D798="Pending",1,D798="No Answer",4,D798="In Touch - Negative",3)</f>
        <v>4</v>
      </c>
      <c r="C798" s="16" t="s">
        <v>1951</v>
      </c>
      <c r="D798" s="99" t="str">
        <f t="shared" si="92"/>
        <v>No Answer</v>
      </c>
      <c r="E798" s="12" t="s">
        <v>2339</v>
      </c>
      <c r="F798" s="12"/>
      <c r="G798" s="13" t="s">
        <v>103</v>
      </c>
      <c r="H798" s="14" t="s">
        <v>2340</v>
      </c>
      <c r="I798" s="13">
        <v>464600</v>
      </c>
      <c r="J798" s="13" t="s">
        <v>1010</v>
      </c>
      <c r="K798" s="15" t="s">
        <v>2341</v>
      </c>
      <c r="L798" s="15"/>
      <c r="M798" s="15"/>
      <c r="N798" s="15"/>
      <c r="O798" s="15"/>
      <c r="P798" s="15"/>
      <c r="Q798" s="15"/>
      <c r="R798" s="16"/>
      <c r="S798" s="35" t="s">
        <v>77</v>
      </c>
      <c r="T798" s="13">
        <v>2020</v>
      </c>
      <c r="U798" s="17">
        <v>54.2</v>
      </c>
      <c r="V798" s="17">
        <v>6.5</v>
      </c>
      <c r="W798" s="60">
        <f t="shared" si="93"/>
        <v>0.11992619926199262</v>
      </c>
      <c r="X798" s="17">
        <v>3.9</v>
      </c>
      <c r="Y798" s="17">
        <v>-6.4</v>
      </c>
      <c r="Z798" s="16"/>
      <c r="AA798" s="15" t="s">
        <v>140</v>
      </c>
      <c r="AB798" s="17"/>
      <c r="AC798" s="21" t="s">
        <v>61</v>
      </c>
      <c r="AD798" s="21" t="s">
        <v>61</v>
      </c>
      <c r="AE798" s="61" t="s">
        <v>986</v>
      </c>
      <c r="AF798" s="17"/>
      <c r="AG798" s="15"/>
      <c r="AH798" s="16"/>
      <c r="AI798" s="16"/>
      <c r="AJ798" s="42">
        <f t="shared" ca="1" si="89"/>
        <v>968</v>
      </c>
      <c r="AK798" s="42">
        <f t="shared" ca="1" si="90"/>
        <v>840</v>
      </c>
      <c r="AL798" s="130" t="str">
        <f t="shared" si="91"/>
        <v>No Answer</v>
      </c>
      <c r="AM798" s="37">
        <v>44696</v>
      </c>
      <c r="AN798" s="38">
        <v>44732</v>
      </c>
      <c r="AO798" s="38">
        <v>44767</v>
      </c>
      <c r="AP798" s="38"/>
      <c r="AQ798" s="38"/>
      <c r="AR798" s="101" t="s">
        <v>1763</v>
      </c>
      <c r="AS798" s="38">
        <v>44824</v>
      </c>
      <c r="AT798" s="11" t="s">
        <v>7</v>
      </c>
    </row>
    <row r="799" spans="1:46" s="98" customFormat="1" x14ac:dyDescent="0.3">
      <c r="A799" s="16"/>
      <c r="B799" s="16" cm="1">
        <f t="array" ref="B799">+_xlfn.IFS(D799="In Touch - Positive",2,D799="Pending",1,D799="No Answer",4,D799="In Touch - Negative",3)</f>
        <v>4</v>
      </c>
      <c r="C799" s="16" t="s">
        <v>1924</v>
      </c>
      <c r="D799" s="99" t="str">
        <f t="shared" si="92"/>
        <v>No Answer</v>
      </c>
      <c r="E799" s="12" t="s">
        <v>2342</v>
      </c>
      <c r="F799" s="12"/>
      <c r="G799" s="13" t="s">
        <v>246</v>
      </c>
      <c r="H799" s="14" t="s">
        <v>2343</v>
      </c>
      <c r="I799" s="13">
        <v>243400</v>
      </c>
      <c r="J799" s="13" t="s">
        <v>1927</v>
      </c>
      <c r="K799" s="15" t="s">
        <v>2344</v>
      </c>
      <c r="L799" s="15"/>
      <c r="M799" s="15"/>
      <c r="N799" s="15"/>
      <c r="O799" s="15"/>
      <c r="P799" s="15"/>
      <c r="Q799" s="15"/>
      <c r="R799" s="16"/>
      <c r="S799" s="35" t="s">
        <v>144</v>
      </c>
      <c r="T799" s="13">
        <v>2021</v>
      </c>
      <c r="U799" s="17">
        <v>192.09899999999999</v>
      </c>
      <c r="V799" s="17">
        <v>13.97</v>
      </c>
      <c r="W799" s="60">
        <f t="shared" si="93"/>
        <v>7.2722918911602874E-2</v>
      </c>
      <c r="X799" s="17">
        <v>5.5910000000000002</v>
      </c>
      <c r="Y799" s="17">
        <v>56.695</v>
      </c>
      <c r="Z799" s="16"/>
      <c r="AA799" s="15" t="s">
        <v>140</v>
      </c>
      <c r="AB799" s="17"/>
      <c r="AC799" s="21" t="s">
        <v>78</v>
      </c>
      <c r="AD799" s="21" t="s">
        <v>78</v>
      </c>
      <c r="AE799" s="61" t="s">
        <v>86</v>
      </c>
      <c r="AF799" s="17"/>
      <c r="AG799" s="15"/>
      <c r="AH799" s="16"/>
      <c r="AI799" s="16"/>
      <c r="AJ799" s="42">
        <f t="shared" ca="1" si="89"/>
        <v>844</v>
      </c>
      <c r="AK799" s="42">
        <f t="shared" ca="1" si="90"/>
        <v>844</v>
      </c>
      <c r="AL799" s="130" t="str">
        <f t="shared" si="91"/>
        <v>No Answer</v>
      </c>
      <c r="AM799" s="37">
        <v>44820</v>
      </c>
      <c r="AN799" s="38">
        <v>44820</v>
      </c>
      <c r="AO799" s="38"/>
      <c r="AP799" s="38"/>
      <c r="AQ799" s="38"/>
      <c r="AR799" s="101" t="s">
        <v>1763</v>
      </c>
      <c r="AS799" s="38">
        <v>44820</v>
      </c>
      <c r="AT799" s="11" t="s">
        <v>7</v>
      </c>
    </row>
    <row r="800" spans="1:46" s="98" customFormat="1" ht="11.25" customHeight="1" x14ac:dyDescent="0.3">
      <c r="A800" s="16"/>
      <c r="B800" s="16" cm="1">
        <f t="array" ref="B800">+_xlfn.IFS(D800="In Touch - Positive",2,D800="Pending",1,D800="No Answer",4,D800="In Touch - Negative",3)</f>
        <v>4</v>
      </c>
      <c r="C800" s="16" t="s">
        <v>1924</v>
      </c>
      <c r="D800" s="99" t="str">
        <f t="shared" si="92"/>
        <v>No Answer</v>
      </c>
      <c r="E800" s="12" t="s">
        <v>2345</v>
      </c>
      <c r="F800" s="12"/>
      <c r="G800" s="13" t="s">
        <v>2200</v>
      </c>
      <c r="H800" s="14" t="s">
        <v>2346</v>
      </c>
      <c r="I800" s="13">
        <v>244200</v>
      </c>
      <c r="J800" s="13" t="s">
        <v>1927</v>
      </c>
      <c r="K800" s="15" t="s">
        <v>2136</v>
      </c>
      <c r="L800" s="15"/>
      <c r="M800" s="15"/>
      <c r="N800" s="15"/>
      <c r="O800" s="15"/>
      <c r="P800" s="15"/>
      <c r="Q800" s="15"/>
      <c r="R800" s="16"/>
      <c r="S800" s="35" t="s">
        <v>144</v>
      </c>
      <c r="T800" s="13">
        <v>2021</v>
      </c>
      <c r="U800" s="17">
        <v>186.56299999999999</v>
      </c>
      <c r="V800" s="17">
        <v>11.875</v>
      </c>
      <c r="W800" s="60">
        <f t="shared" si="93"/>
        <v>6.3651420699710026E-2</v>
      </c>
      <c r="X800" s="17">
        <v>5.2080000000000002</v>
      </c>
      <c r="Y800" s="17">
        <v>60.402999999999999</v>
      </c>
      <c r="Z800" s="16"/>
      <c r="AA800" s="15" t="s">
        <v>140</v>
      </c>
      <c r="AB800" s="17"/>
      <c r="AC800" s="21" t="s">
        <v>78</v>
      </c>
      <c r="AD800" s="21" t="s">
        <v>78</v>
      </c>
      <c r="AE800" s="61" t="s">
        <v>86</v>
      </c>
      <c r="AF800" s="17"/>
      <c r="AG800" s="15"/>
      <c r="AH800" s="16"/>
      <c r="AI800" s="16"/>
      <c r="AJ800" s="42">
        <f t="shared" ca="1" si="89"/>
        <v>844</v>
      </c>
      <c r="AK800" s="42">
        <f t="shared" ca="1" si="90"/>
        <v>844</v>
      </c>
      <c r="AL800" s="130" t="str">
        <f t="shared" si="91"/>
        <v>No Answer</v>
      </c>
      <c r="AM800" s="37">
        <v>44820</v>
      </c>
      <c r="AN800" s="38">
        <v>44820</v>
      </c>
      <c r="AO800" s="38"/>
      <c r="AP800" s="38"/>
      <c r="AQ800" s="38"/>
      <c r="AR800" s="101" t="s">
        <v>1763</v>
      </c>
      <c r="AS800" s="38">
        <v>44820</v>
      </c>
      <c r="AT800" s="11" t="s">
        <v>7</v>
      </c>
    </row>
    <row r="801" spans="1:46" s="98" customFormat="1" x14ac:dyDescent="0.3">
      <c r="A801" s="16"/>
      <c r="B801" s="16" cm="1">
        <f t="array" ref="B801">+_xlfn.IFS(D801="In Touch - Positive",2,D801="Pending",1,D801="No Answer",4,D801="In Touch - Negative",3)</f>
        <v>4</v>
      </c>
      <c r="C801" s="16" t="s">
        <v>57</v>
      </c>
      <c r="D801" s="99" t="str">
        <f t="shared" si="92"/>
        <v>No Answer</v>
      </c>
      <c r="E801" s="12" t="s">
        <v>2347</v>
      </c>
      <c r="F801" s="12"/>
      <c r="G801" s="13" t="s">
        <v>677</v>
      </c>
      <c r="H801" s="14" t="s">
        <v>2348</v>
      </c>
      <c r="I801" s="13">
        <v>851000</v>
      </c>
      <c r="J801" s="13" t="s">
        <v>57</v>
      </c>
      <c r="K801" s="15" t="s">
        <v>2349</v>
      </c>
      <c r="L801" s="15"/>
      <c r="M801" s="15"/>
      <c r="N801" s="15"/>
      <c r="O801" s="15"/>
      <c r="P801" s="15"/>
      <c r="Q801" s="15"/>
      <c r="R801" s="16"/>
      <c r="S801" s="35" t="s">
        <v>77</v>
      </c>
      <c r="T801" s="13">
        <v>2021</v>
      </c>
      <c r="U801" s="17">
        <v>0.72</v>
      </c>
      <c r="V801" s="17">
        <v>1.9133000000000001E-2</v>
      </c>
      <c r="W801" s="60">
        <f t="shared" si="93"/>
        <v>2.6573611111111114E-2</v>
      </c>
      <c r="X801" s="17">
        <v>-3.6999999999999998E-2</v>
      </c>
      <c r="Y801" s="17">
        <v>-2.6474999999999999E-2</v>
      </c>
      <c r="Z801" s="16"/>
      <c r="AA801" s="15" t="s">
        <v>140</v>
      </c>
      <c r="AB801" s="17"/>
      <c r="AC801" s="21" t="s">
        <v>61</v>
      </c>
      <c r="AD801" s="21" t="s">
        <v>61</v>
      </c>
      <c r="AE801" s="61" t="s">
        <v>62</v>
      </c>
      <c r="AF801" s="17"/>
      <c r="AG801" s="15"/>
      <c r="AH801" s="16"/>
      <c r="AI801" s="16"/>
      <c r="AJ801" s="42">
        <f t="shared" ca="1" si="89"/>
        <v>845</v>
      </c>
      <c r="AK801" s="42">
        <f t="shared" ca="1" si="90"/>
        <v>845</v>
      </c>
      <c r="AL801" s="130" t="str">
        <f t="shared" si="91"/>
        <v>No Answer</v>
      </c>
      <c r="AM801" s="37">
        <v>44819</v>
      </c>
      <c r="AN801" s="38">
        <v>44819</v>
      </c>
      <c r="AO801" s="38"/>
      <c r="AP801" s="38"/>
      <c r="AQ801" s="38"/>
      <c r="AR801" s="101" t="s">
        <v>1763</v>
      </c>
      <c r="AS801" s="38">
        <v>44819</v>
      </c>
      <c r="AT801" s="11" t="s">
        <v>7</v>
      </c>
    </row>
    <row r="802" spans="1:46" s="98" customFormat="1" x14ac:dyDescent="0.3">
      <c r="A802" s="16"/>
      <c r="B802" s="16" cm="1">
        <f t="array" ref="B802">+_xlfn.IFS(D802="In Touch - Positive",2,D802="Pending",1,D802="No Answer",4,D802="In Touch - Negative",3)</f>
        <v>4</v>
      </c>
      <c r="C802" s="16" t="s">
        <v>57</v>
      </c>
      <c r="D802" s="99" t="str">
        <f t="shared" si="92"/>
        <v>No Answer</v>
      </c>
      <c r="E802" s="12" t="s">
        <v>2350</v>
      </c>
      <c r="F802" s="12"/>
      <c r="G802" s="13" t="s">
        <v>340</v>
      </c>
      <c r="H802" s="14" t="s">
        <v>649</v>
      </c>
      <c r="I802" s="13">
        <v>852000</v>
      </c>
      <c r="J802" s="13" t="s">
        <v>57</v>
      </c>
      <c r="K802" s="15" t="s">
        <v>2351</v>
      </c>
      <c r="L802" s="15"/>
      <c r="M802" s="15"/>
      <c r="N802" s="15"/>
      <c r="O802" s="15"/>
      <c r="P802" s="15"/>
      <c r="Q802" s="15"/>
      <c r="R802" s="16"/>
      <c r="S802" s="35" t="s">
        <v>77</v>
      </c>
      <c r="T802" s="13">
        <v>2021</v>
      </c>
      <c r="U802" s="17">
        <v>0.66</v>
      </c>
      <c r="V802" s="17">
        <v>0.29599999999999999</v>
      </c>
      <c r="W802" s="60">
        <f t="shared" si="93"/>
        <v>0.44848484848484843</v>
      </c>
      <c r="X802" s="17">
        <v>0.191</v>
      </c>
      <c r="Y802" s="17" t="s">
        <v>236</v>
      </c>
      <c r="Z802" s="16"/>
      <c r="AA802" s="15" t="s">
        <v>140</v>
      </c>
      <c r="AB802" s="17"/>
      <c r="AC802" s="21" t="s">
        <v>61</v>
      </c>
      <c r="AD802" s="21" t="s">
        <v>61</v>
      </c>
      <c r="AE802" s="61" t="s">
        <v>562</v>
      </c>
      <c r="AF802" s="17"/>
      <c r="AG802" s="15"/>
      <c r="AH802" s="16"/>
      <c r="AI802" s="16"/>
      <c r="AJ802" s="42">
        <f t="shared" ca="1" si="89"/>
        <v>845</v>
      </c>
      <c r="AK802" s="42">
        <f t="shared" ca="1" si="90"/>
        <v>845</v>
      </c>
      <c r="AL802" s="130" t="str">
        <f t="shared" si="91"/>
        <v>No Answer</v>
      </c>
      <c r="AM802" s="37">
        <v>44819</v>
      </c>
      <c r="AN802" s="38">
        <v>44819</v>
      </c>
      <c r="AO802" s="38"/>
      <c r="AP802" s="38"/>
      <c r="AQ802" s="38"/>
      <c r="AR802" s="101" t="s">
        <v>1763</v>
      </c>
      <c r="AS802" s="38">
        <v>44819</v>
      </c>
      <c r="AT802" s="11" t="s">
        <v>7</v>
      </c>
    </row>
    <row r="803" spans="1:46" s="98" customFormat="1" x14ac:dyDescent="0.3">
      <c r="A803" s="16"/>
      <c r="B803" s="16" cm="1">
        <f t="array" ref="B803">+_xlfn.IFS(D803="In Touch - Positive",2,D803="Pending",1,D803="No Answer",4,D803="In Touch - Negative",3)</f>
        <v>4</v>
      </c>
      <c r="C803" s="16" t="s">
        <v>57</v>
      </c>
      <c r="D803" s="99" t="str">
        <f t="shared" si="92"/>
        <v>No Answer</v>
      </c>
      <c r="E803" s="12" t="s">
        <v>2352</v>
      </c>
      <c r="F803" s="12"/>
      <c r="G803" s="13" t="s">
        <v>166</v>
      </c>
      <c r="H803" s="14" t="s">
        <v>2353</v>
      </c>
      <c r="I803" s="13">
        <v>855930</v>
      </c>
      <c r="J803" s="13" t="s">
        <v>57</v>
      </c>
      <c r="K803" s="15" t="s">
        <v>863</v>
      </c>
      <c r="L803" s="15"/>
      <c r="M803" s="15"/>
      <c r="N803" s="15"/>
      <c r="O803" s="15"/>
      <c r="P803" s="15"/>
      <c r="Q803" s="15"/>
      <c r="R803" s="16"/>
      <c r="S803" s="35" t="s">
        <v>77</v>
      </c>
      <c r="T803" s="13">
        <v>2021</v>
      </c>
      <c r="U803" s="17">
        <v>6.48</v>
      </c>
      <c r="V803" s="17">
        <v>1.3</v>
      </c>
      <c r="W803" s="60">
        <f t="shared" si="93"/>
        <v>0.20061728395061729</v>
      </c>
      <c r="X803" s="17">
        <v>0.59699999999999998</v>
      </c>
      <c r="Y803" s="17">
        <v>-1.4690000000000001</v>
      </c>
      <c r="Z803" s="16"/>
      <c r="AA803" s="15" t="s">
        <v>140</v>
      </c>
      <c r="AB803" s="17"/>
      <c r="AC803" s="21" t="s">
        <v>61</v>
      </c>
      <c r="AD803" s="21" t="s">
        <v>61</v>
      </c>
      <c r="AE803" s="61" t="s">
        <v>562</v>
      </c>
      <c r="AF803" s="17"/>
      <c r="AG803" s="15"/>
      <c r="AH803" s="16"/>
      <c r="AI803" s="16"/>
      <c r="AJ803" s="42">
        <f t="shared" ca="1" si="89"/>
        <v>845</v>
      </c>
      <c r="AK803" s="42">
        <f t="shared" ca="1" si="90"/>
        <v>845</v>
      </c>
      <c r="AL803" s="130" t="str">
        <f t="shared" si="91"/>
        <v>No Answer</v>
      </c>
      <c r="AM803" s="37">
        <v>44819</v>
      </c>
      <c r="AN803" s="38">
        <v>44819</v>
      </c>
      <c r="AO803" s="38"/>
      <c r="AP803" s="38"/>
      <c r="AQ803" s="38"/>
      <c r="AR803" s="101" t="s">
        <v>1763</v>
      </c>
      <c r="AS803" s="38">
        <v>44819</v>
      </c>
      <c r="AT803" s="11" t="s">
        <v>7</v>
      </c>
    </row>
    <row r="804" spans="1:46" s="98" customFormat="1" x14ac:dyDescent="0.3">
      <c r="A804" s="16"/>
      <c r="B804" s="16" cm="1">
        <f t="array" ref="B804">+_xlfn.IFS(D804="In Touch - Positive",2,D804="Pending",1,D804="No Answer",4,D804="In Touch - Negative",3)</f>
        <v>4</v>
      </c>
      <c r="C804" s="16" t="s">
        <v>57</v>
      </c>
      <c r="D804" s="99" t="str">
        <f t="shared" si="92"/>
        <v>No Answer</v>
      </c>
      <c r="E804" s="12" t="s">
        <v>2354</v>
      </c>
      <c r="F804" s="12"/>
      <c r="G804" s="13" t="s">
        <v>1446</v>
      </c>
      <c r="H804" s="13" t="s">
        <v>2355</v>
      </c>
      <c r="I804" s="13">
        <v>889100</v>
      </c>
      <c r="J804" s="13" t="s">
        <v>57</v>
      </c>
      <c r="K804" s="15" t="s">
        <v>2356</v>
      </c>
      <c r="L804" s="15"/>
      <c r="M804" s="15"/>
      <c r="N804" s="15"/>
      <c r="O804" s="15"/>
      <c r="P804" s="15"/>
      <c r="Q804" s="15"/>
      <c r="R804" s="16"/>
      <c r="S804" s="35" t="s">
        <v>77</v>
      </c>
      <c r="T804" s="13">
        <v>2021</v>
      </c>
      <c r="U804" s="17">
        <v>0.61</v>
      </c>
      <c r="V804" s="17">
        <v>0.03</v>
      </c>
      <c r="W804" s="60">
        <f t="shared" si="93"/>
        <v>4.9180327868852458E-2</v>
      </c>
      <c r="X804" s="17">
        <v>2.8E-3</v>
      </c>
      <c r="Y804" s="17">
        <v>-2.5000000000000001E-2</v>
      </c>
      <c r="Z804" s="16"/>
      <c r="AA804" s="15" t="s">
        <v>140</v>
      </c>
      <c r="AB804" s="17"/>
      <c r="AC804" s="21" t="s">
        <v>61</v>
      </c>
      <c r="AD804" s="21" t="s">
        <v>61</v>
      </c>
      <c r="AE804" s="61" t="s">
        <v>562</v>
      </c>
      <c r="AF804" s="17"/>
      <c r="AG804" s="15"/>
      <c r="AH804" s="16"/>
      <c r="AI804" s="16"/>
      <c r="AJ804" s="42">
        <f t="shared" ca="1" si="89"/>
        <v>845</v>
      </c>
      <c r="AK804" s="42">
        <f t="shared" ca="1" si="90"/>
        <v>845</v>
      </c>
      <c r="AL804" s="130" t="str">
        <f t="shared" si="91"/>
        <v>No Answer</v>
      </c>
      <c r="AM804" s="37">
        <v>44819</v>
      </c>
      <c r="AN804" s="38">
        <v>44819</v>
      </c>
      <c r="AO804" s="38"/>
      <c r="AP804" s="38"/>
      <c r="AQ804" s="38"/>
      <c r="AR804" s="101" t="s">
        <v>1763</v>
      </c>
      <c r="AS804" s="38">
        <v>44819</v>
      </c>
      <c r="AT804" s="11" t="s">
        <v>7</v>
      </c>
    </row>
    <row r="805" spans="1:46" s="98" customFormat="1" x14ac:dyDescent="0.3">
      <c r="A805" s="16"/>
      <c r="B805" s="16" cm="1">
        <f t="array" ref="B805">+_xlfn.IFS(D805="In Touch - Positive",2,D805="Pending",1,D805="No Answer",4,D805="In Touch - Negative",3)</f>
        <v>4</v>
      </c>
      <c r="C805" s="16" t="s">
        <v>57</v>
      </c>
      <c r="D805" s="99" t="str">
        <f t="shared" si="92"/>
        <v>No Answer</v>
      </c>
      <c r="E805" s="12" t="s">
        <v>2357</v>
      </c>
      <c r="F805" s="12"/>
      <c r="G805" s="13" t="s">
        <v>226</v>
      </c>
      <c r="H805" s="13" t="s">
        <v>2358</v>
      </c>
      <c r="I805" s="13">
        <v>852000</v>
      </c>
      <c r="J805" s="13" t="s">
        <v>57</v>
      </c>
      <c r="K805" s="15" t="s">
        <v>2359</v>
      </c>
      <c r="L805" s="15"/>
      <c r="M805" s="15"/>
      <c r="N805" s="15"/>
      <c r="O805" s="15"/>
      <c r="P805" s="15"/>
      <c r="Q805" s="15"/>
      <c r="R805" s="16"/>
      <c r="S805" s="35" t="s">
        <v>77</v>
      </c>
      <c r="T805" s="13">
        <v>2021</v>
      </c>
      <c r="U805" s="17">
        <v>1.0569999999999999</v>
      </c>
      <c r="V805" s="17">
        <v>-0.626</v>
      </c>
      <c r="W805" s="60">
        <f t="shared" si="93"/>
        <v>-0.59224219489120156</v>
      </c>
      <c r="X805" s="17">
        <v>-0.53</v>
      </c>
      <c r="Y805" s="17">
        <v>-1.177</v>
      </c>
      <c r="Z805" s="16"/>
      <c r="AA805" s="15" t="s">
        <v>140</v>
      </c>
      <c r="AB805" s="17"/>
      <c r="AC805" s="21" t="s">
        <v>61</v>
      </c>
      <c r="AD805" s="21" t="s">
        <v>61</v>
      </c>
      <c r="AE805" s="61" t="s">
        <v>62</v>
      </c>
      <c r="AF805" s="17"/>
      <c r="AG805" s="15"/>
      <c r="AH805" s="16"/>
      <c r="AI805" s="16"/>
      <c r="AJ805" s="42">
        <f t="shared" ca="1" si="89"/>
        <v>845</v>
      </c>
      <c r="AK805" s="42">
        <f t="shared" ca="1" si="90"/>
        <v>845</v>
      </c>
      <c r="AL805" s="130" t="str">
        <f t="shared" si="91"/>
        <v>No Answer</v>
      </c>
      <c r="AM805" s="37">
        <v>44819</v>
      </c>
      <c r="AN805" s="38">
        <v>44819</v>
      </c>
      <c r="AO805" s="38"/>
      <c r="AP805" s="38"/>
      <c r="AQ805" s="38"/>
      <c r="AR805" s="101" t="s">
        <v>1763</v>
      </c>
      <c r="AS805" s="38">
        <v>44819</v>
      </c>
      <c r="AT805" s="11" t="s">
        <v>7</v>
      </c>
    </row>
    <row r="806" spans="1:46" s="98" customFormat="1" x14ac:dyDescent="0.3">
      <c r="A806" s="16"/>
      <c r="B806" s="16" cm="1">
        <f t="array" ref="B806">+_xlfn.IFS(D806="In Touch - Positive",2,D806="Pending",1,D806="No Answer",4,D806="In Touch - Negative",3)</f>
        <v>4</v>
      </c>
      <c r="C806" s="16" t="s">
        <v>57</v>
      </c>
      <c r="D806" s="99" t="str">
        <f t="shared" si="92"/>
        <v>No Answer</v>
      </c>
      <c r="E806" s="12" t="s">
        <v>2360</v>
      </c>
      <c r="F806" s="12"/>
      <c r="G806" s="13" t="s">
        <v>677</v>
      </c>
      <c r="H806" s="13" t="s">
        <v>2361</v>
      </c>
      <c r="I806" s="13">
        <v>889100</v>
      </c>
      <c r="J806" s="13" t="s">
        <v>57</v>
      </c>
      <c r="K806" s="15" t="s">
        <v>2362</v>
      </c>
      <c r="L806" s="15"/>
      <c r="M806" s="15"/>
      <c r="N806" s="15"/>
      <c r="O806" s="15"/>
      <c r="P806" s="15"/>
      <c r="Q806" s="15"/>
      <c r="R806" s="16"/>
      <c r="S806" s="35" t="s">
        <v>77</v>
      </c>
      <c r="T806" s="13">
        <v>2021</v>
      </c>
      <c r="U806" s="17">
        <v>1.893</v>
      </c>
      <c r="V806" s="17">
        <v>7.2999999999999995E-2</v>
      </c>
      <c r="W806" s="60">
        <f t="shared" si="93"/>
        <v>3.8563127311146327E-2</v>
      </c>
      <c r="X806" s="17">
        <v>3.0313E-2</v>
      </c>
      <c r="Y806" s="17">
        <v>-1.9766809999999999</v>
      </c>
      <c r="Z806" s="16"/>
      <c r="AA806" s="15" t="s">
        <v>140</v>
      </c>
      <c r="AB806" s="17"/>
      <c r="AC806" s="21" t="s">
        <v>61</v>
      </c>
      <c r="AD806" s="21" t="s">
        <v>61</v>
      </c>
      <c r="AE806" s="61" t="s">
        <v>62</v>
      </c>
      <c r="AF806" s="17"/>
      <c r="AG806" s="15"/>
      <c r="AH806" s="16"/>
      <c r="AI806" s="16"/>
      <c r="AJ806" s="42">
        <f t="shared" ca="1" si="89"/>
        <v>845</v>
      </c>
      <c r="AK806" s="42">
        <f t="shared" ca="1" si="90"/>
        <v>845</v>
      </c>
      <c r="AL806" s="130" t="str">
        <f t="shared" si="91"/>
        <v>No Answer</v>
      </c>
      <c r="AM806" s="37">
        <v>44819</v>
      </c>
      <c r="AN806" s="38">
        <v>44819</v>
      </c>
      <c r="AO806" s="38"/>
      <c r="AP806" s="38"/>
      <c r="AQ806" s="38"/>
      <c r="AR806" s="101" t="s">
        <v>1763</v>
      </c>
      <c r="AS806" s="38">
        <v>44819</v>
      </c>
      <c r="AT806" s="11" t="s">
        <v>7</v>
      </c>
    </row>
    <row r="807" spans="1:46" s="98" customFormat="1" x14ac:dyDescent="0.3">
      <c r="A807" s="16"/>
      <c r="B807" s="16" cm="1">
        <f t="array" ref="B807">+_xlfn.IFS(D807="In Touch - Positive",2,D807="Pending",1,D807="No Answer",4,D807="In Touch - Negative",3)</f>
        <v>4</v>
      </c>
      <c r="C807" s="16" t="s">
        <v>57</v>
      </c>
      <c r="D807" s="99" t="str">
        <f t="shared" si="92"/>
        <v>No Answer</v>
      </c>
      <c r="E807" s="12" t="s">
        <v>2363</v>
      </c>
      <c r="F807" s="12"/>
      <c r="G807" s="13" t="s">
        <v>677</v>
      </c>
      <c r="H807" s="14" t="s">
        <v>2364</v>
      </c>
      <c r="I807" s="13">
        <v>850000</v>
      </c>
      <c r="J807" s="13" t="s">
        <v>57</v>
      </c>
      <c r="K807" s="15" t="s">
        <v>2365</v>
      </c>
      <c r="L807" s="15"/>
      <c r="M807" s="15"/>
      <c r="N807" s="15"/>
      <c r="O807" s="15"/>
      <c r="P807" s="15"/>
      <c r="Q807" s="15"/>
      <c r="R807" s="16"/>
      <c r="S807" s="35" t="s">
        <v>77</v>
      </c>
      <c r="T807" s="13">
        <v>2021</v>
      </c>
      <c r="U807" s="17">
        <v>1.429</v>
      </c>
      <c r="V807" s="17">
        <v>-6.1745000000000001E-2</v>
      </c>
      <c r="W807" s="60">
        <f t="shared" si="93"/>
        <v>-4.3208537438768367E-2</v>
      </c>
      <c r="X807" s="17">
        <v>-9.3142000000000003E-2</v>
      </c>
      <c r="Y807" s="17">
        <v>0.121</v>
      </c>
      <c r="Z807" s="16"/>
      <c r="AA807" s="15" t="s">
        <v>140</v>
      </c>
      <c r="AB807" s="17"/>
      <c r="AC807" s="21" t="s">
        <v>61</v>
      </c>
      <c r="AD807" s="21" t="s">
        <v>61</v>
      </c>
      <c r="AE807" s="61" t="s">
        <v>62</v>
      </c>
      <c r="AF807" s="17"/>
      <c r="AG807" s="15"/>
      <c r="AH807" s="16"/>
      <c r="AI807" s="16"/>
      <c r="AJ807" s="42">
        <f t="shared" ca="1" si="89"/>
        <v>845</v>
      </c>
      <c r="AK807" s="42">
        <f t="shared" ca="1" si="90"/>
        <v>845</v>
      </c>
      <c r="AL807" s="130" t="str">
        <f t="shared" si="91"/>
        <v>No Answer</v>
      </c>
      <c r="AM807" s="37">
        <v>44819</v>
      </c>
      <c r="AN807" s="38">
        <v>44819</v>
      </c>
      <c r="AO807" s="38"/>
      <c r="AP807" s="38"/>
      <c r="AQ807" s="38"/>
      <c r="AR807" s="101" t="s">
        <v>1763</v>
      </c>
      <c r="AS807" s="38">
        <v>44819</v>
      </c>
      <c r="AT807" s="11" t="s">
        <v>7</v>
      </c>
    </row>
    <row r="808" spans="1:46" s="98" customFormat="1" x14ac:dyDescent="0.3">
      <c r="A808" s="16"/>
      <c r="B808" s="16" cm="1">
        <f t="array" ref="B808">+_xlfn.IFS(D808="In Touch - Positive",2,D808="Pending",1,D808="No Answer",4,D808="In Touch - Negative",3)</f>
        <v>4</v>
      </c>
      <c r="C808" s="16" t="s">
        <v>57</v>
      </c>
      <c r="D808" s="99" t="str">
        <f t="shared" si="92"/>
        <v>No Answer</v>
      </c>
      <c r="E808" s="12" t="s">
        <v>2366</v>
      </c>
      <c r="F808" s="12"/>
      <c r="G808" s="13" t="s">
        <v>677</v>
      </c>
      <c r="H808" s="14" t="s">
        <v>2367</v>
      </c>
      <c r="I808" s="13">
        <v>855990</v>
      </c>
      <c r="J808" s="13" t="s">
        <v>57</v>
      </c>
      <c r="K808" s="15" t="s">
        <v>2368</v>
      </c>
      <c r="L808" s="15"/>
      <c r="M808" s="15"/>
      <c r="N808" s="15"/>
      <c r="O808" s="15"/>
      <c r="P808" s="15"/>
      <c r="Q808" s="15"/>
      <c r="R808" s="16"/>
      <c r="S808" s="35" t="s">
        <v>77</v>
      </c>
      <c r="T808" s="13">
        <v>2021</v>
      </c>
      <c r="U808" s="17">
        <v>1.2769999999999999</v>
      </c>
      <c r="V808" s="17">
        <v>1.1435000000000001E-2</v>
      </c>
      <c r="W808" s="60">
        <f t="shared" si="93"/>
        <v>8.9545810493343782E-3</v>
      </c>
      <c r="X808" s="17">
        <v>7.0790000000000002E-3</v>
      </c>
      <c r="Y808" s="17">
        <v>-0.10335999999999999</v>
      </c>
      <c r="Z808" s="16"/>
      <c r="AA808" s="15" t="s">
        <v>140</v>
      </c>
      <c r="AB808" s="17"/>
      <c r="AC808" s="21" t="s">
        <v>61</v>
      </c>
      <c r="AD808" s="21" t="s">
        <v>61</v>
      </c>
      <c r="AE808" s="61" t="s">
        <v>62</v>
      </c>
      <c r="AF808" s="17"/>
      <c r="AG808" s="15"/>
      <c r="AH808" s="16"/>
      <c r="AI808" s="16"/>
      <c r="AJ808" s="42">
        <f t="shared" ca="1" si="89"/>
        <v>845</v>
      </c>
      <c r="AK808" s="42">
        <f t="shared" ca="1" si="90"/>
        <v>845</v>
      </c>
      <c r="AL808" s="130" t="str">
        <f t="shared" si="91"/>
        <v>No Answer</v>
      </c>
      <c r="AM808" s="37">
        <v>44819</v>
      </c>
      <c r="AN808" s="38">
        <v>44819</v>
      </c>
      <c r="AO808" s="38"/>
      <c r="AP808" s="38"/>
      <c r="AQ808" s="38"/>
      <c r="AR808" s="101" t="s">
        <v>1763</v>
      </c>
      <c r="AS808" s="38">
        <v>44819</v>
      </c>
      <c r="AT808" s="11" t="s">
        <v>7</v>
      </c>
    </row>
    <row r="809" spans="1:46" s="98" customFormat="1" x14ac:dyDescent="0.3">
      <c r="A809" s="16"/>
      <c r="B809" s="16" cm="1">
        <f t="array" ref="B809">+_xlfn.IFS(D809="In Touch - Positive",2,D809="Pending",1,D809="No Answer",4,D809="In Touch - Negative",3)</f>
        <v>4</v>
      </c>
      <c r="C809" s="16" t="s">
        <v>57</v>
      </c>
      <c r="D809" s="99" t="str">
        <f t="shared" si="92"/>
        <v>No Answer</v>
      </c>
      <c r="E809" s="12" t="s">
        <v>2369</v>
      </c>
      <c r="F809" s="12"/>
      <c r="G809" s="13" t="s">
        <v>159</v>
      </c>
      <c r="H809" s="13" t="s">
        <v>2370</v>
      </c>
      <c r="I809" s="13">
        <v>852000</v>
      </c>
      <c r="J809" s="13" t="s">
        <v>57</v>
      </c>
      <c r="K809" s="15" t="s">
        <v>2371</v>
      </c>
      <c r="L809" s="15"/>
      <c r="M809" s="15"/>
      <c r="N809" s="15"/>
      <c r="O809" s="15"/>
      <c r="P809" s="15"/>
      <c r="Q809" s="15"/>
      <c r="R809" s="16"/>
      <c r="S809" s="35" t="s">
        <v>77</v>
      </c>
      <c r="T809" s="13">
        <v>2021</v>
      </c>
      <c r="U809" s="17">
        <v>0.83299999999999996</v>
      </c>
      <c r="V809" s="17">
        <v>-0.248</v>
      </c>
      <c r="W809" s="60">
        <f t="shared" si="93"/>
        <v>-0.29771908763505406</v>
      </c>
      <c r="X809" s="17">
        <v>-0.29399999999999998</v>
      </c>
      <c r="Y809" s="17">
        <v>1.4E-2</v>
      </c>
      <c r="Z809" s="16"/>
      <c r="AA809" s="15" t="s">
        <v>140</v>
      </c>
      <c r="AB809" s="17"/>
      <c r="AC809" s="21" t="s">
        <v>61</v>
      </c>
      <c r="AD809" s="21" t="s">
        <v>61</v>
      </c>
      <c r="AE809" s="61" t="s">
        <v>62</v>
      </c>
      <c r="AF809" s="17"/>
      <c r="AG809" s="15"/>
      <c r="AH809" s="16"/>
      <c r="AI809" s="16"/>
      <c r="AJ809" s="42">
        <f t="shared" ca="1" si="89"/>
        <v>845</v>
      </c>
      <c r="AK809" s="42">
        <f t="shared" ca="1" si="90"/>
        <v>845</v>
      </c>
      <c r="AL809" s="130" t="str">
        <f t="shared" si="91"/>
        <v>No Answer</v>
      </c>
      <c r="AM809" s="37">
        <v>44819</v>
      </c>
      <c r="AN809" s="38">
        <v>44819</v>
      </c>
      <c r="AO809" s="38"/>
      <c r="AP809" s="38"/>
      <c r="AQ809" s="38"/>
      <c r="AR809" s="101" t="s">
        <v>1763</v>
      </c>
      <c r="AS809" s="38">
        <v>44819</v>
      </c>
      <c r="AT809" s="11" t="s">
        <v>7</v>
      </c>
    </row>
    <row r="810" spans="1:46" s="98" customFormat="1" x14ac:dyDescent="0.3">
      <c r="A810" s="16"/>
      <c r="B810" s="16" cm="1">
        <f t="array" ref="B810">+_xlfn.IFS(D810="In Touch - Positive",2,D810="Pending",1,D810="No Answer",4,D810="In Touch - Negative",3)</f>
        <v>4</v>
      </c>
      <c r="C810" s="16" t="s">
        <v>57</v>
      </c>
      <c r="D810" s="99" t="str">
        <f t="shared" si="92"/>
        <v>No Answer</v>
      </c>
      <c r="E810" s="12" t="s">
        <v>2372</v>
      </c>
      <c r="F810" s="12"/>
      <c r="G810" s="13" t="s">
        <v>147</v>
      </c>
      <c r="H810" s="14" t="s">
        <v>263</v>
      </c>
      <c r="I810" s="13">
        <v>851000</v>
      </c>
      <c r="J810" s="13" t="s">
        <v>57</v>
      </c>
      <c r="K810" s="15" t="s">
        <v>2371</v>
      </c>
      <c r="L810" s="15"/>
      <c r="M810" s="15"/>
      <c r="N810" s="15"/>
      <c r="O810" s="15"/>
      <c r="P810" s="15"/>
      <c r="Q810" s="15"/>
      <c r="R810" s="16"/>
      <c r="S810" s="35" t="s">
        <v>77</v>
      </c>
      <c r="T810" s="13">
        <v>2021</v>
      </c>
      <c r="U810" s="17">
        <v>0.76700000000000002</v>
      </c>
      <c r="V810" s="17">
        <v>4.2000000000000003E-2</v>
      </c>
      <c r="W810" s="60">
        <f t="shared" si="93"/>
        <v>5.4758800521512385E-2</v>
      </c>
      <c r="X810" s="17">
        <v>1.2E-2</v>
      </c>
      <c r="Y810" s="17" t="s">
        <v>236</v>
      </c>
      <c r="Z810" s="16"/>
      <c r="AA810" s="15" t="s">
        <v>140</v>
      </c>
      <c r="AB810" s="17"/>
      <c r="AC810" s="21" t="s">
        <v>61</v>
      </c>
      <c r="AD810" s="21" t="s">
        <v>61</v>
      </c>
      <c r="AE810" s="61" t="s">
        <v>562</v>
      </c>
      <c r="AF810" s="17"/>
      <c r="AG810" s="15"/>
      <c r="AH810" s="16"/>
      <c r="AI810" s="16"/>
      <c r="AJ810" s="42">
        <f t="shared" ca="1" si="89"/>
        <v>845</v>
      </c>
      <c r="AK810" s="42">
        <f t="shared" ca="1" si="90"/>
        <v>845</v>
      </c>
      <c r="AL810" s="130" t="str">
        <f t="shared" si="91"/>
        <v>No Answer</v>
      </c>
      <c r="AM810" s="37">
        <v>44819</v>
      </c>
      <c r="AN810" s="38">
        <v>44819</v>
      </c>
      <c r="AO810" s="38"/>
      <c r="AP810" s="38"/>
      <c r="AQ810" s="38"/>
      <c r="AR810" s="101" t="s">
        <v>1763</v>
      </c>
      <c r="AS810" s="38">
        <v>44819</v>
      </c>
      <c r="AT810" s="11" t="s">
        <v>7</v>
      </c>
    </row>
    <row r="811" spans="1:46" s="98" customFormat="1" x14ac:dyDescent="0.3">
      <c r="A811" s="16"/>
      <c r="B811" s="16" cm="1">
        <f t="array" ref="B811">+_xlfn.IFS(D811="In Touch - Positive",2,D811="Pending",1,D811="No Answer",4,D811="In Touch - Negative",3)</f>
        <v>4</v>
      </c>
      <c r="C811" s="16" t="s">
        <v>57</v>
      </c>
      <c r="D811" s="99" t="str">
        <f t="shared" si="92"/>
        <v>No Answer</v>
      </c>
      <c r="E811" s="12" t="s">
        <v>2373</v>
      </c>
      <c r="F811" s="12"/>
      <c r="G811" s="13" t="s">
        <v>147</v>
      </c>
      <c r="H811" s="14" t="s">
        <v>2374</v>
      </c>
      <c r="I811" s="13">
        <v>852000</v>
      </c>
      <c r="J811" s="13" t="s">
        <v>57</v>
      </c>
      <c r="K811" s="15" t="s">
        <v>2375</v>
      </c>
      <c r="L811" s="15"/>
      <c r="M811" s="15"/>
      <c r="N811" s="15"/>
      <c r="O811" s="15"/>
      <c r="P811" s="15"/>
      <c r="Q811" s="15"/>
      <c r="R811" s="16"/>
      <c r="S811" s="35" t="s">
        <v>77</v>
      </c>
      <c r="T811" s="13">
        <v>2021</v>
      </c>
      <c r="U811" s="17">
        <v>1.0329999999999999</v>
      </c>
      <c r="V811" s="17">
        <v>3.7999999999999999E-2</v>
      </c>
      <c r="W811" s="60">
        <f t="shared" si="93"/>
        <v>3.6786060019361085E-2</v>
      </c>
      <c r="X811" s="17">
        <v>1.4E-2</v>
      </c>
      <c r="Y811" s="17">
        <v>-9.4E-2</v>
      </c>
      <c r="Z811" s="16"/>
      <c r="AA811" s="15" t="s">
        <v>140</v>
      </c>
      <c r="AB811" s="17"/>
      <c r="AC811" s="21" t="s">
        <v>61</v>
      </c>
      <c r="AD811" s="21" t="s">
        <v>61</v>
      </c>
      <c r="AE811" s="61" t="s">
        <v>562</v>
      </c>
      <c r="AF811" s="17"/>
      <c r="AG811" s="15"/>
      <c r="AH811" s="16"/>
      <c r="AI811" s="16"/>
      <c r="AJ811" s="42">
        <f t="shared" ca="1" si="89"/>
        <v>845</v>
      </c>
      <c r="AK811" s="42">
        <f t="shared" ca="1" si="90"/>
        <v>845</v>
      </c>
      <c r="AL811" s="130" t="str">
        <f t="shared" si="91"/>
        <v>No Answer</v>
      </c>
      <c r="AM811" s="37">
        <v>44819</v>
      </c>
      <c r="AN811" s="38">
        <v>44819</v>
      </c>
      <c r="AO811" s="38"/>
      <c r="AP811" s="38"/>
      <c r="AQ811" s="38"/>
      <c r="AR811" s="101" t="s">
        <v>1763</v>
      </c>
      <c r="AS811" s="38">
        <v>44819</v>
      </c>
      <c r="AT811" s="11" t="s">
        <v>7</v>
      </c>
    </row>
    <row r="812" spans="1:46" s="98" customFormat="1" x14ac:dyDescent="0.3">
      <c r="A812" s="16"/>
      <c r="B812" s="16" cm="1">
        <f t="array" ref="B812">+_xlfn.IFS(D812="In Touch - Positive",2,D812="Pending",1,D812="No Answer",4,D812="In Touch - Negative",3)</f>
        <v>4</v>
      </c>
      <c r="C812" s="16" t="s">
        <v>1940</v>
      </c>
      <c r="D812" s="99" t="str">
        <f t="shared" si="92"/>
        <v>No Answer</v>
      </c>
      <c r="E812" s="12" t="s">
        <v>2376</v>
      </c>
      <c r="F812" s="12"/>
      <c r="G812" s="13" t="s">
        <v>677</v>
      </c>
      <c r="H812" s="14" t="s">
        <v>2377</v>
      </c>
      <c r="I812" s="13">
        <v>852000</v>
      </c>
      <c r="J812" s="13" t="s">
        <v>57</v>
      </c>
      <c r="K812" s="104" t="s">
        <v>2378</v>
      </c>
      <c r="L812" s="15"/>
      <c r="M812" s="15"/>
      <c r="N812" s="15"/>
      <c r="O812" s="15"/>
      <c r="P812" s="15"/>
      <c r="Q812" s="15"/>
      <c r="R812" s="16"/>
      <c r="S812" s="35" t="s">
        <v>77</v>
      </c>
      <c r="T812" s="13">
        <v>2021</v>
      </c>
      <c r="U812" s="17">
        <v>0.64800000000000002</v>
      </c>
      <c r="V812" s="17">
        <v>-4.1000000000000002E-2</v>
      </c>
      <c r="W812" s="60">
        <f t="shared" si="93"/>
        <v>-6.3271604938271608E-2</v>
      </c>
      <c r="X812" s="17">
        <v>-5.8999999999999997E-2</v>
      </c>
      <c r="Y812" s="17">
        <v>-4.2296E-2</v>
      </c>
      <c r="Z812" s="16"/>
      <c r="AA812" s="15" t="s">
        <v>431</v>
      </c>
      <c r="AB812" s="17"/>
      <c r="AC812" s="21" t="s">
        <v>61</v>
      </c>
      <c r="AD812" s="21" t="s">
        <v>61</v>
      </c>
      <c r="AE812" s="61" t="s">
        <v>62</v>
      </c>
      <c r="AF812" s="17"/>
      <c r="AG812" s="15"/>
      <c r="AH812" s="16"/>
      <c r="AI812" s="16"/>
      <c r="AJ812" s="42">
        <f t="shared" ca="1" si="89"/>
        <v>845</v>
      </c>
      <c r="AK812" s="42">
        <f t="shared" ca="1" si="90"/>
        <v>845</v>
      </c>
      <c r="AL812" s="130" t="str">
        <f t="shared" si="91"/>
        <v>No Answer</v>
      </c>
      <c r="AM812" s="37">
        <v>44819</v>
      </c>
      <c r="AN812" s="38">
        <v>44637</v>
      </c>
      <c r="AO812" s="38"/>
      <c r="AP812" s="38"/>
      <c r="AQ812" s="38"/>
      <c r="AR812" s="101" t="s">
        <v>1763</v>
      </c>
      <c r="AS812" s="38">
        <v>44819</v>
      </c>
      <c r="AT812" s="11" t="s">
        <v>7</v>
      </c>
    </row>
    <row r="813" spans="1:46" s="98" customFormat="1" x14ac:dyDescent="0.3">
      <c r="A813" s="16"/>
      <c r="B813" s="16" cm="1">
        <f t="array" ref="B813">+_xlfn.IFS(D813="In Touch - Positive",2,D813="Pending",1,D813="No Answer",4,D813="In Touch - Negative",3)</f>
        <v>4</v>
      </c>
      <c r="C813" s="16" t="s">
        <v>1921</v>
      </c>
      <c r="D813" s="99" t="str">
        <f t="shared" si="92"/>
        <v>No Answer</v>
      </c>
      <c r="E813" s="12" t="s">
        <v>2379</v>
      </c>
      <c r="F813" s="12"/>
      <c r="G813" s="13" t="s">
        <v>68</v>
      </c>
      <c r="H813" s="14" t="s">
        <v>2380</v>
      </c>
      <c r="I813" s="13"/>
      <c r="J813" s="13" t="s">
        <v>111</v>
      </c>
      <c r="K813" s="15"/>
      <c r="L813" s="15"/>
      <c r="M813" s="15"/>
      <c r="N813" s="15"/>
      <c r="O813" s="15"/>
      <c r="P813" s="15"/>
      <c r="Q813" s="15"/>
      <c r="R813" s="16"/>
      <c r="S813" s="35"/>
      <c r="T813" s="13">
        <v>2020</v>
      </c>
      <c r="U813" s="17">
        <v>24.554335999999999</v>
      </c>
      <c r="V813" s="17">
        <v>3.6336050000000002</v>
      </c>
      <c r="W813" s="60">
        <f t="shared" si="93"/>
        <v>0.14798221381347881</v>
      </c>
      <c r="X813" s="17"/>
      <c r="Y813" s="17">
        <v>-8.7328970000000012</v>
      </c>
      <c r="Z813" s="16"/>
      <c r="AA813" s="15" t="s">
        <v>140</v>
      </c>
      <c r="AB813" s="17"/>
      <c r="AC813" s="21" t="s">
        <v>61</v>
      </c>
      <c r="AD813" s="21" t="s">
        <v>61</v>
      </c>
      <c r="AE813" s="61" t="s">
        <v>986</v>
      </c>
      <c r="AF813" s="17"/>
      <c r="AG813" s="15"/>
      <c r="AH813" s="16"/>
      <c r="AI813" s="16"/>
      <c r="AJ813" s="42">
        <f t="shared" ca="1" si="89"/>
        <v>968</v>
      </c>
      <c r="AK813" s="42">
        <f t="shared" ca="1" si="90"/>
        <v>845</v>
      </c>
      <c r="AL813" s="130" t="str">
        <f t="shared" si="91"/>
        <v>No Answer</v>
      </c>
      <c r="AM813" s="37">
        <v>44696</v>
      </c>
      <c r="AN813" s="38">
        <v>44755</v>
      </c>
      <c r="AO813" s="38">
        <v>44819</v>
      </c>
      <c r="AP813" s="38"/>
      <c r="AQ813" s="38"/>
      <c r="AR813" s="101" t="s">
        <v>1763</v>
      </c>
      <c r="AS813" s="38">
        <v>44819</v>
      </c>
      <c r="AT813" s="11" t="s">
        <v>7</v>
      </c>
    </row>
    <row r="814" spans="1:46" s="98" customFormat="1" x14ac:dyDescent="0.3">
      <c r="A814" s="16"/>
      <c r="B814" s="16" cm="1">
        <f t="array" ref="B814">+_xlfn.IFS(D814="In Touch - Positive",2,D814="Pending",1,D814="No Answer",4,D814="In Touch - Negative",3)</f>
        <v>4</v>
      </c>
      <c r="C814" s="16" t="s">
        <v>1933</v>
      </c>
      <c r="D814" s="99" t="str">
        <f t="shared" si="92"/>
        <v>No Answer</v>
      </c>
      <c r="E814" s="12" t="s">
        <v>2381</v>
      </c>
      <c r="F814" s="12"/>
      <c r="G814" s="13" t="s">
        <v>2313</v>
      </c>
      <c r="H814" s="14" t="s">
        <v>2382</v>
      </c>
      <c r="I814" s="13">
        <v>108600</v>
      </c>
      <c r="J814" s="13" t="s">
        <v>83</v>
      </c>
      <c r="K814" s="15" t="s">
        <v>2383</v>
      </c>
      <c r="L814" s="15"/>
      <c r="M814" s="15"/>
      <c r="N814" s="15"/>
      <c r="O814" s="15"/>
      <c r="P814" s="15"/>
      <c r="Q814" s="15"/>
      <c r="R814" s="16"/>
      <c r="S814" s="35" t="s">
        <v>77</v>
      </c>
      <c r="T814" s="13">
        <v>2020</v>
      </c>
      <c r="U814" s="17">
        <v>6.343</v>
      </c>
      <c r="V814" s="17">
        <v>2.6150000000000002</v>
      </c>
      <c r="W814" s="60">
        <f t="shared" si="93"/>
        <v>0.41226548951600195</v>
      </c>
      <c r="X814" s="17">
        <v>1.887</v>
      </c>
      <c r="Y814" s="17">
        <v>-5.1340000000000003</v>
      </c>
      <c r="Z814" s="16"/>
      <c r="AA814" s="15" t="s">
        <v>140</v>
      </c>
      <c r="AB814" s="17"/>
      <c r="AC814" s="21" t="s">
        <v>61</v>
      </c>
      <c r="AD814" s="21" t="s">
        <v>61</v>
      </c>
      <c r="AE814" s="61" t="s">
        <v>986</v>
      </c>
      <c r="AF814" s="17"/>
      <c r="AG814" s="15"/>
      <c r="AH814" s="16"/>
      <c r="AI814" s="16"/>
      <c r="AJ814" s="42">
        <f t="shared" ca="1" si="89"/>
        <v>968</v>
      </c>
      <c r="AK814" s="42">
        <f t="shared" ca="1" si="90"/>
        <v>845</v>
      </c>
      <c r="AL814" s="130" t="str">
        <f t="shared" si="91"/>
        <v>No Answer</v>
      </c>
      <c r="AM814" s="37">
        <v>44696</v>
      </c>
      <c r="AN814" s="38">
        <v>44755</v>
      </c>
      <c r="AO814" s="38">
        <v>44819</v>
      </c>
      <c r="AP814" s="38"/>
      <c r="AQ814" s="38"/>
      <c r="AR814" s="101" t="s">
        <v>1763</v>
      </c>
      <c r="AS814" s="38">
        <v>44819</v>
      </c>
      <c r="AT814" s="11" t="s">
        <v>7</v>
      </c>
    </row>
    <row r="815" spans="1:46" s="98" customFormat="1" x14ac:dyDescent="0.3">
      <c r="A815" s="16"/>
      <c r="B815" s="16" cm="1">
        <f t="array" ref="B815">+_xlfn.IFS(D815="In Touch - Positive",2,D815="Pending",1,D815="No Answer",4,D815="In Touch - Negative",3)</f>
        <v>4</v>
      </c>
      <c r="C815" s="16" t="s">
        <v>1921</v>
      </c>
      <c r="D815" s="99" t="str">
        <f t="shared" si="92"/>
        <v>No Answer</v>
      </c>
      <c r="E815" s="12" t="s">
        <v>2384</v>
      </c>
      <c r="F815" s="12"/>
      <c r="G815" s="13" t="s">
        <v>68</v>
      </c>
      <c r="H815" s="14" t="s">
        <v>2385</v>
      </c>
      <c r="I815" s="13"/>
      <c r="J815" s="13" t="s">
        <v>1817</v>
      </c>
      <c r="K815" s="15"/>
      <c r="L815" s="15"/>
      <c r="M815" s="15"/>
      <c r="N815" s="15"/>
      <c r="O815" s="15"/>
      <c r="P815" s="15"/>
      <c r="Q815" s="15"/>
      <c r="R815" s="16"/>
      <c r="S815" s="35"/>
      <c r="T815" s="13">
        <v>2020</v>
      </c>
      <c r="U815" s="17">
        <v>29.769154000000004</v>
      </c>
      <c r="V815" s="17">
        <v>3.0820090000000002</v>
      </c>
      <c r="W815" s="60">
        <f t="shared" si="93"/>
        <v>0.10353028507293152</v>
      </c>
      <c r="X815" s="17"/>
      <c r="Y815" s="17">
        <v>4.7524350000000002</v>
      </c>
      <c r="Z815" s="16"/>
      <c r="AA815" s="15" t="s">
        <v>140</v>
      </c>
      <c r="AB815" s="17"/>
      <c r="AC815" s="21" t="s">
        <v>61</v>
      </c>
      <c r="AD815" s="21" t="s">
        <v>61</v>
      </c>
      <c r="AE815" s="61" t="s">
        <v>986</v>
      </c>
      <c r="AF815" s="17"/>
      <c r="AG815" s="15"/>
      <c r="AH815" s="16"/>
      <c r="AI815" s="16"/>
      <c r="AJ815" s="42">
        <f t="shared" ca="1" si="89"/>
        <v>968</v>
      </c>
      <c r="AK815" s="42">
        <f t="shared" ca="1" si="90"/>
        <v>852</v>
      </c>
      <c r="AL815" s="130" t="str">
        <f t="shared" si="91"/>
        <v>No Answer</v>
      </c>
      <c r="AM815" s="37">
        <v>44696</v>
      </c>
      <c r="AN815" s="38">
        <v>44755</v>
      </c>
      <c r="AO815" s="38">
        <v>44812</v>
      </c>
      <c r="AP815" s="38"/>
      <c r="AQ815" s="38"/>
      <c r="AR815" s="101" t="s">
        <v>1763</v>
      </c>
      <c r="AS815" s="38">
        <v>44812</v>
      </c>
      <c r="AT815" s="11" t="s">
        <v>7</v>
      </c>
    </row>
    <row r="816" spans="1:46" s="98" customFormat="1" x14ac:dyDescent="0.3">
      <c r="A816" s="16"/>
      <c r="B816" s="16" cm="1">
        <f t="array" ref="B816">+_xlfn.IFS(D816="In Touch - Positive",2,D816="Pending",1,D816="No Answer",4,D816="In Touch - Negative",3)</f>
        <v>4</v>
      </c>
      <c r="C816" s="16" t="s">
        <v>1921</v>
      </c>
      <c r="D816" s="99" t="str">
        <f t="shared" si="92"/>
        <v>No Answer</v>
      </c>
      <c r="E816" s="12" t="s">
        <v>2386</v>
      </c>
      <c r="F816" s="12"/>
      <c r="G816" s="13" t="s">
        <v>68</v>
      </c>
      <c r="H816" s="14" t="s">
        <v>2387</v>
      </c>
      <c r="I816" s="13"/>
      <c r="J816" s="13" t="s">
        <v>1462</v>
      </c>
      <c r="K816" s="15"/>
      <c r="L816" s="15"/>
      <c r="M816" s="15"/>
      <c r="N816" s="15"/>
      <c r="O816" s="15"/>
      <c r="P816" s="15"/>
      <c r="Q816" s="15"/>
      <c r="R816" s="16"/>
      <c r="S816" s="35"/>
      <c r="T816" s="13">
        <v>2020</v>
      </c>
      <c r="U816" s="17">
        <v>31.553846</v>
      </c>
      <c r="V816" s="17">
        <v>7.0200079999999998</v>
      </c>
      <c r="W816" s="60">
        <f t="shared" si="93"/>
        <v>0.22247709518516379</v>
      </c>
      <c r="X816" s="17"/>
      <c r="Y816" s="17">
        <v>-12.066533999999999</v>
      </c>
      <c r="Z816" s="16"/>
      <c r="AA816" s="15" t="s">
        <v>140</v>
      </c>
      <c r="AB816" s="17"/>
      <c r="AC816" s="21" t="s">
        <v>61</v>
      </c>
      <c r="AD816" s="21" t="s">
        <v>61</v>
      </c>
      <c r="AE816" s="61" t="s">
        <v>986</v>
      </c>
      <c r="AF816" s="17"/>
      <c r="AG816" s="15"/>
      <c r="AH816" s="16"/>
      <c r="AI816" s="16"/>
      <c r="AJ816" s="42">
        <f t="shared" ca="1" si="89"/>
        <v>968</v>
      </c>
      <c r="AK816" s="42">
        <f t="shared" ca="1" si="90"/>
        <v>852</v>
      </c>
      <c r="AL816" s="130" t="str">
        <f t="shared" si="91"/>
        <v>No Answer</v>
      </c>
      <c r="AM816" s="37">
        <v>44696</v>
      </c>
      <c r="AN816" s="38">
        <v>44755</v>
      </c>
      <c r="AO816" s="38">
        <v>44812</v>
      </c>
      <c r="AP816" s="38"/>
      <c r="AQ816" s="38"/>
      <c r="AR816" s="101" t="s">
        <v>1763</v>
      </c>
      <c r="AS816" s="38">
        <v>44812</v>
      </c>
      <c r="AT816" s="11" t="s">
        <v>7</v>
      </c>
    </row>
    <row r="817" spans="1:46" s="98" customFormat="1" x14ac:dyDescent="0.3">
      <c r="A817" s="16"/>
      <c r="B817" s="16" cm="1">
        <f t="array" ref="B817">+_xlfn.IFS(D817="In Touch - Positive",2,D817="Pending",1,D817="No Answer",4,D817="In Touch - Negative",3)</f>
        <v>4</v>
      </c>
      <c r="C817" s="16" t="s">
        <v>1921</v>
      </c>
      <c r="D817" s="99" t="str">
        <f t="shared" si="92"/>
        <v>No Answer</v>
      </c>
      <c r="E817" s="12" t="s">
        <v>2388</v>
      </c>
      <c r="F817" s="12"/>
      <c r="G817" s="13" t="s">
        <v>68</v>
      </c>
      <c r="H817" s="14" t="s">
        <v>2389</v>
      </c>
      <c r="I817" s="13"/>
      <c r="J817" s="100" t="s">
        <v>111</v>
      </c>
      <c r="K817" s="105"/>
      <c r="L817" s="15"/>
      <c r="M817" s="15"/>
      <c r="N817" s="15"/>
      <c r="O817" s="15"/>
      <c r="P817" s="15"/>
      <c r="Q817" s="15"/>
      <c r="R817" s="16"/>
      <c r="S817" s="35"/>
      <c r="T817" s="13">
        <v>2020</v>
      </c>
      <c r="U817" s="17">
        <v>30.537119000000004</v>
      </c>
      <c r="V817" s="17">
        <v>3.8134500000000005</v>
      </c>
      <c r="W817" s="60">
        <f t="shared" si="93"/>
        <v>0.12487916754687958</v>
      </c>
      <c r="X817" s="17"/>
      <c r="Y817" s="17">
        <v>3.433128</v>
      </c>
      <c r="Z817" s="16"/>
      <c r="AA817" s="15" t="s">
        <v>140</v>
      </c>
      <c r="AB817" s="17"/>
      <c r="AC817" s="21" t="s">
        <v>61</v>
      </c>
      <c r="AD817" s="21" t="s">
        <v>61</v>
      </c>
      <c r="AE817" s="61" t="s">
        <v>986</v>
      </c>
      <c r="AF817" s="17"/>
      <c r="AG817" s="15"/>
      <c r="AH817" s="16"/>
      <c r="AI817" s="16"/>
      <c r="AJ817" s="42">
        <f t="shared" ca="1" si="89"/>
        <v>968</v>
      </c>
      <c r="AK817" s="42">
        <f t="shared" ca="1" si="90"/>
        <v>852</v>
      </c>
      <c r="AL817" s="130" t="str">
        <f t="shared" si="91"/>
        <v>No Answer</v>
      </c>
      <c r="AM817" s="37">
        <v>44696</v>
      </c>
      <c r="AN817" s="38">
        <v>44755</v>
      </c>
      <c r="AO817" s="38">
        <v>44812</v>
      </c>
      <c r="AP817" s="38"/>
      <c r="AQ817" s="38"/>
      <c r="AR817" s="101" t="s">
        <v>1763</v>
      </c>
      <c r="AS817" s="38">
        <v>44812</v>
      </c>
      <c r="AT817" s="11" t="s">
        <v>7</v>
      </c>
    </row>
    <row r="818" spans="1:46" s="98" customFormat="1" x14ac:dyDescent="0.3">
      <c r="A818" s="16"/>
      <c r="B818" s="16" cm="1">
        <f t="array" ref="B818">+_xlfn.IFS(D818="In Touch - Positive",2,D818="Pending",1,D818="No Answer",4,D818="In Touch - Negative",3)</f>
        <v>4</v>
      </c>
      <c r="C818" s="16" t="s">
        <v>1921</v>
      </c>
      <c r="D818" s="99" t="str">
        <f t="shared" si="92"/>
        <v>No Answer</v>
      </c>
      <c r="E818" s="12" t="s">
        <v>2390</v>
      </c>
      <c r="F818" s="12"/>
      <c r="G818" s="13" t="s">
        <v>68</v>
      </c>
      <c r="H818" s="14" t="s">
        <v>2391</v>
      </c>
      <c r="I818" s="13"/>
      <c r="J818" s="13" t="s">
        <v>149</v>
      </c>
      <c r="K818" s="15"/>
      <c r="L818" s="15"/>
      <c r="M818" s="15"/>
      <c r="N818" s="15"/>
      <c r="O818" s="15"/>
      <c r="P818" s="15"/>
      <c r="Q818" s="15"/>
      <c r="R818" s="16"/>
      <c r="S818" s="35"/>
      <c r="T818" s="13">
        <v>2020</v>
      </c>
      <c r="U818" s="17">
        <v>50.507037000000004</v>
      </c>
      <c r="V818" s="17">
        <v>4.3687870000000002</v>
      </c>
      <c r="W818" s="60">
        <f t="shared" si="93"/>
        <v>8.6498580385937107E-2</v>
      </c>
      <c r="X818" s="17"/>
      <c r="Y818" s="17">
        <v>15.873501000000001</v>
      </c>
      <c r="Z818" s="16"/>
      <c r="AA818" s="15" t="s">
        <v>140</v>
      </c>
      <c r="AB818" s="17"/>
      <c r="AC818" s="21" t="s">
        <v>61</v>
      </c>
      <c r="AD818" s="21" t="s">
        <v>61</v>
      </c>
      <c r="AE818" s="61" t="s">
        <v>986</v>
      </c>
      <c r="AF818" s="17"/>
      <c r="AG818" s="15"/>
      <c r="AH818" s="16"/>
      <c r="AI818" s="16"/>
      <c r="AJ818" s="42">
        <f t="shared" ca="1" si="89"/>
        <v>968</v>
      </c>
      <c r="AK818" s="42">
        <f t="shared" ca="1" si="90"/>
        <v>852</v>
      </c>
      <c r="AL818" s="130" t="str">
        <f t="shared" si="91"/>
        <v>No Answer</v>
      </c>
      <c r="AM818" s="37">
        <v>44696</v>
      </c>
      <c r="AN818" s="38">
        <v>44753</v>
      </c>
      <c r="AO818" s="38">
        <v>44812</v>
      </c>
      <c r="AP818" s="38"/>
      <c r="AQ818" s="38"/>
      <c r="AR818" s="101" t="s">
        <v>1763</v>
      </c>
      <c r="AS818" s="38">
        <v>44812</v>
      </c>
      <c r="AT818" s="11" t="s">
        <v>7</v>
      </c>
    </row>
    <row r="819" spans="1:46" s="98" customFormat="1" x14ac:dyDescent="0.3">
      <c r="B819" s="16" cm="1">
        <f t="array" ref="B819">+_xlfn.IFS(D819="In Touch - Positive",2,D819="Pending",1,D819="No Answer",4,D819="In Touch - Negative",3)</f>
        <v>4</v>
      </c>
      <c r="C819" s="16" t="s">
        <v>1921</v>
      </c>
      <c r="D819" s="99" t="str">
        <f t="shared" si="92"/>
        <v>No Answer</v>
      </c>
      <c r="E819" s="12" t="s">
        <v>2392</v>
      </c>
      <c r="F819" s="12"/>
      <c r="G819" s="13" t="s">
        <v>68</v>
      </c>
      <c r="H819" s="14" t="s">
        <v>2393</v>
      </c>
      <c r="I819" s="13"/>
      <c r="J819" s="13" t="s">
        <v>202</v>
      </c>
      <c r="K819" s="15"/>
      <c r="L819" s="15"/>
      <c r="M819" s="15"/>
      <c r="N819" s="15"/>
      <c r="O819" s="15"/>
      <c r="P819" s="15"/>
      <c r="Q819" s="15"/>
      <c r="R819" s="16"/>
      <c r="S819" s="35"/>
      <c r="T819" s="13">
        <v>2020</v>
      </c>
      <c r="U819" s="17">
        <v>34.112484000000002</v>
      </c>
      <c r="V819" s="17">
        <v>2.9440460000000002</v>
      </c>
      <c r="W819" s="60">
        <f t="shared" si="93"/>
        <v>8.6304063931550684E-2</v>
      </c>
      <c r="X819" s="17"/>
      <c r="Y819" s="17">
        <v>28.611219999999999</v>
      </c>
      <c r="Z819" s="16"/>
      <c r="AA819" s="15" t="s">
        <v>140</v>
      </c>
      <c r="AB819" s="17"/>
      <c r="AC819" s="21" t="s">
        <v>61</v>
      </c>
      <c r="AD819" s="21" t="s">
        <v>61</v>
      </c>
      <c r="AE819" s="61" t="s">
        <v>986</v>
      </c>
      <c r="AF819" s="17"/>
      <c r="AG819" s="15"/>
      <c r="AH819" s="16"/>
      <c r="AI819" s="16"/>
      <c r="AJ819" s="42">
        <f t="shared" ca="1" si="89"/>
        <v>968</v>
      </c>
      <c r="AK819" s="42">
        <f t="shared" ca="1" si="90"/>
        <v>854</v>
      </c>
      <c r="AL819" s="130" t="str">
        <f t="shared" si="91"/>
        <v>No Answer</v>
      </c>
      <c r="AM819" s="37">
        <v>44696</v>
      </c>
      <c r="AN819" s="38">
        <v>44754</v>
      </c>
      <c r="AO819" s="38">
        <v>44810</v>
      </c>
      <c r="AP819" s="38"/>
      <c r="AQ819" s="38"/>
      <c r="AR819" s="101" t="s">
        <v>1763</v>
      </c>
      <c r="AS819" s="38">
        <v>44810</v>
      </c>
      <c r="AT819" s="11" t="s">
        <v>7</v>
      </c>
    </row>
    <row r="820" spans="1:46" s="98" customFormat="1" x14ac:dyDescent="0.3">
      <c r="A820" s="16"/>
      <c r="B820" s="16" cm="1">
        <f t="array" ref="B820">+_xlfn.IFS(D820="In Touch - Positive",2,D820="Pending",1,D820="No Answer",4,D820="In Touch - Negative",3)</f>
        <v>4</v>
      </c>
      <c r="C820" s="16" t="s">
        <v>1921</v>
      </c>
      <c r="D820" s="99" t="str">
        <f t="shared" si="92"/>
        <v>No Answer</v>
      </c>
      <c r="E820" s="12" t="s">
        <v>2394</v>
      </c>
      <c r="F820" s="12"/>
      <c r="G820" s="13" t="s">
        <v>68</v>
      </c>
      <c r="H820" s="14" t="s">
        <v>2395</v>
      </c>
      <c r="I820" s="13"/>
      <c r="J820" s="13" t="s">
        <v>149</v>
      </c>
      <c r="K820" s="15"/>
      <c r="L820" s="15"/>
      <c r="M820" s="15"/>
      <c r="N820" s="15"/>
      <c r="O820" s="15"/>
      <c r="P820" s="15"/>
      <c r="Q820" s="15"/>
      <c r="R820" s="16"/>
      <c r="S820" s="35"/>
      <c r="T820" s="13">
        <v>2020</v>
      </c>
      <c r="U820" s="17">
        <v>32.096142999999998</v>
      </c>
      <c r="V820" s="17">
        <v>2.8016830000000001</v>
      </c>
      <c r="W820" s="60">
        <f t="shared" si="93"/>
        <v>8.7290332673305965E-2</v>
      </c>
      <c r="X820" s="17"/>
      <c r="Y820" s="17">
        <v>-5.0044849999999999</v>
      </c>
      <c r="Z820" s="16"/>
      <c r="AA820" s="15" t="s">
        <v>140</v>
      </c>
      <c r="AB820" s="17"/>
      <c r="AC820" s="21" t="s">
        <v>61</v>
      </c>
      <c r="AD820" s="21" t="s">
        <v>61</v>
      </c>
      <c r="AE820" s="61" t="s">
        <v>986</v>
      </c>
      <c r="AF820" s="17"/>
      <c r="AG820" s="15"/>
      <c r="AH820" s="16"/>
      <c r="AI820" s="16"/>
      <c r="AJ820" s="42">
        <f t="shared" ca="1" si="89"/>
        <v>968</v>
      </c>
      <c r="AK820" s="42">
        <f t="shared" ca="1" si="90"/>
        <v>854</v>
      </c>
      <c r="AL820" s="130" t="str">
        <f t="shared" si="91"/>
        <v>No Answer</v>
      </c>
      <c r="AM820" s="37">
        <v>44696</v>
      </c>
      <c r="AN820" s="38">
        <v>44754</v>
      </c>
      <c r="AO820" s="38">
        <v>44810</v>
      </c>
      <c r="AP820" s="38"/>
      <c r="AQ820" s="38"/>
      <c r="AR820" s="101" t="s">
        <v>1763</v>
      </c>
      <c r="AS820" s="38">
        <v>44810</v>
      </c>
      <c r="AT820" s="11" t="s">
        <v>7</v>
      </c>
    </row>
    <row r="821" spans="1:46" s="98" customFormat="1" x14ac:dyDescent="0.3">
      <c r="A821" s="16"/>
      <c r="B821" s="16" cm="1">
        <f t="array" ref="B821">+_xlfn.IFS(D821="In Touch - Positive",2,D821="Pending",1,D821="No Answer",4,D821="In Touch - Negative",3)</f>
        <v>4</v>
      </c>
      <c r="C821" s="16" t="s">
        <v>1921</v>
      </c>
      <c r="D821" s="99" t="str">
        <f t="shared" si="92"/>
        <v>No Answer</v>
      </c>
      <c r="E821" s="12" t="s">
        <v>2396</v>
      </c>
      <c r="F821" s="12"/>
      <c r="G821" s="13" t="s">
        <v>68</v>
      </c>
      <c r="H821" s="14" t="s">
        <v>2397</v>
      </c>
      <c r="I821" s="13"/>
      <c r="J821" s="23" t="s">
        <v>149</v>
      </c>
      <c r="K821" s="24"/>
      <c r="L821" s="15"/>
      <c r="M821" s="15"/>
      <c r="N821" s="15"/>
      <c r="O821" s="15"/>
      <c r="P821" s="15"/>
      <c r="Q821" s="15"/>
      <c r="R821" s="16"/>
      <c r="S821" s="35"/>
      <c r="T821" s="13">
        <v>2020</v>
      </c>
      <c r="U821" s="17">
        <v>60.267735000000002</v>
      </c>
      <c r="V821" s="17">
        <v>9.1545269999999999</v>
      </c>
      <c r="W821" s="60">
        <f t="shared" si="93"/>
        <v>0.15189764473478221</v>
      </c>
      <c r="X821" s="17"/>
      <c r="Y821" s="17">
        <v>-17.470883000000001</v>
      </c>
      <c r="Z821" s="16"/>
      <c r="AA821" s="15" t="s">
        <v>140</v>
      </c>
      <c r="AB821" s="17"/>
      <c r="AC821" s="21" t="s">
        <v>61</v>
      </c>
      <c r="AD821" s="21" t="s">
        <v>61</v>
      </c>
      <c r="AE821" s="61" t="s">
        <v>986</v>
      </c>
      <c r="AF821" s="17"/>
      <c r="AG821" s="15"/>
      <c r="AH821" s="16"/>
      <c r="AI821" s="16"/>
      <c r="AJ821" s="42">
        <f t="shared" ca="1" si="89"/>
        <v>968</v>
      </c>
      <c r="AK821" s="42">
        <f t="shared" ca="1" si="90"/>
        <v>855</v>
      </c>
      <c r="AL821" s="130" t="str">
        <f t="shared" si="91"/>
        <v>No Answer</v>
      </c>
      <c r="AM821" s="37">
        <v>44696</v>
      </c>
      <c r="AN821" s="38">
        <v>44809</v>
      </c>
      <c r="AO821" s="38"/>
      <c r="AP821" s="38"/>
      <c r="AQ821" s="38"/>
      <c r="AR821" s="101" t="s">
        <v>1763</v>
      </c>
      <c r="AS821" s="38">
        <v>44809</v>
      </c>
      <c r="AT821" s="11" t="s">
        <v>7</v>
      </c>
    </row>
    <row r="822" spans="1:46" s="98" customFormat="1" x14ac:dyDescent="0.3">
      <c r="A822" s="16"/>
      <c r="B822" s="16" cm="1">
        <f t="array" ref="B822">+_xlfn.IFS(D822="In Touch - Positive",2,D822="Pending",1,D822="No Answer",4,D822="In Touch - Negative",3)</f>
        <v>4</v>
      </c>
      <c r="C822" s="16" t="s">
        <v>1921</v>
      </c>
      <c r="D822" s="99" t="str">
        <f t="shared" si="92"/>
        <v>No Answer</v>
      </c>
      <c r="E822" s="12" t="s">
        <v>2398</v>
      </c>
      <c r="F822" s="12"/>
      <c r="G822" s="13" t="s">
        <v>68</v>
      </c>
      <c r="H822" s="14" t="s">
        <v>2399</v>
      </c>
      <c r="I822" s="13"/>
      <c r="J822" s="13" t="s">
        <v>202</v>
      </c>
      <c r="K822" s="15"/>
      <c r="L822" s="15"/>
      <c r="M822" s="15"/>
      <c r="N822" s="15"/>
      <c r="O822" s="15"/>
      <c r="P822" s="15"/>
      <c r="Q822" s="15"/>
      <c r="R822" s="16"/>
      <c r="S822" s="35"/>
      <c r="T822" s="13">
        <v>2020</v>
      </c>
      <c r="U822" s="17">
        <v>34.529646999999997</v>
      </c>
      <c r="V822" s="17">
        <v>8.2777320000000003</v>
      </c>
      <c r="W822" s="60">
        <f t="shared" si="93"/>
        <v>0.23972825438962642</v>
      </c>
      <c r="X822" s="17"/>
      <c r="Y822" s="17">
        <v>-9.7715499999999995</v>
      </c>
      <c r="Z822" s="16"/>
      <c r="AA822" s="15" t="s">
        <v>140</v>
      </c>
      <c r="AB822" s="17"/>
      <c r="AC822" s="21" t="s">
        <v>61</v>
      </c>
      <c r="AD822" s="21" t="s">
        <v>61</v>
      </c>
      <c r="AE822" s="61" t="s">
        <v>986</v>
      </c>
      <c r="AF822" s="17"/>
      <c r="AG822" s="15"/>
      <c r="AH822" s="16"/>
      <c r="AI822" s="16"/>
      <c r="AJ822" s="42">
        <f t="shared" ca="1" si="89"/>
        <v>968</v>
      </c>
      <c r="AK822" s="42">
        <f t="shared" ca="1" si="90"/>
        <v>855</v>
      </c>
      <c r="AL822" s="130" t="str">
        <f t="shared" si="91"/>
        <v>No Answer</v>
      </c>
      <c r="AM822" s="37">
        <v>44696</v>
      </c>
      <c r="AN822" s="38">
        <v>44754</v>
      </c>
      <c r="AO822" s="38">
        <v>44809</v>
      </c>
      <c r="AP822" s="38"/>
      <c r="AQ822" s="38"/>
      <c r="AR822" s="101" t="s">
        <v>1763</v>
      </c>
      <c r="AS822" s="38">
        <v>44809</v>
      </c>
      <c r="AT822" s="11" t="s">
        <v>7</v>
      </c>
    </row>
    <row r="823" spans="1:46" s="98" customFormat="1" x14ac:dyDescent="0.3">
      <c r="A823" s="16"/>
      <c r="B823" s="16" cm="1">
        <f t="array" ref="B823">+_xlfn.IFS(D823="In Touch - Positive",2,D823="Pending",1,D823="No Answer",4,D823="In Touch - Negative",3)</f>
        <v>4</v>
      </c>
      <c r="C823" s="16" t="s">
        <v>1921</v>
      </c>
      <c r="D823" s="99" t="str">
        <f t="shared" si="92"/>
        <v>No Answer</v>
      </c>
      <c r="E823" s="12" t="s">
        <v>2400</v>
      </c>
      <c r="F823" s="12"/>
      <c r="G823" s="13" t="s">
        <v>68</v>
      </c>
      <c r="H823" s="14" t="s">
        <v>2401</v>
      </c>
      <c r="I823" s="13"/>
      <c r="J823" s="13" t="s">
        <v>149</v>
      </c>
      <c r="K823" s="15"/>
      <c r="L823" s="15"/>
      <c r="M823" s="15"/>
      <c r="N823" s="15"/>
      <c r="O823" s="15"/>
      <c r="P823" s="15"/>
      <c r="Q823" s="15"/>
      <c r="R823" s="16"/>
      <c r="S823" s="35"/>
      <c r="T823" s="13">
        <v>2020</v>
      </c>
      <c r="U823" s="17">
        <v>58.114696000000002</v>
      </c>
      <c r="V823" s="17">
        <v>18.523800999999999</v>
      </c>
      <c r="W823" s="60">
        <f t="shared" si="93"/>
        <v>0.3187455544807461</v>
      </c>
      <c r="X823" s="17"/>
      <c r="Y823" s="17">
        <v>-21.951463</v>
      </c>
      <c r="Z823" s="16"/>
      <c r="AA823" s="15" t="s">
        <v>140</v>
      </c>
      <c r="AB823" s="17"/>
      <c r="AC823" s="21" t="s">
        <v>61</v>
      </c>
      <c r="AD823" s="21" t="s">
        <v>61</v>
      </c>
      <c r="AE823" s="61" t="s">
        <v>986</v>
      </c>
      <c r="AF823" s="17"/>
      <c r="AG823" s="15"/>
      <c r="AH823" s="16"/>
      <c r="AI823" s="16"/>
      <c r="AJ823" s="42">
        <f t="shared" ca="1" si="89"/>
        <v>968</v>
      </c>
      <c r="AK823" s="42">
        <f t="shared" ca="1" si="90"/>
        <v>855</v>
      </c>
      <c r="AL823" s="130" t="str">
        <f t="shared" si="91"/>
        <v>No Answer</v>
      </c>
      <c r="AM823" s="37">
        <v>44696</v>
      </c>
      <c r="AN823" s="38">
        <v>44753</v>
      </c>
      <c r="AO823" s="38">
        <v>44809</v>
      </c>
      <c r="AP823" s="38"/>
      <c r="AQ823" s="38"/>
      <c r="AR823" s="101" t="s">
        <v>1763</v>
      </c>
      <c r="AS823" s="38">
        <v>44809</v>
      </c>
      <c r="AT823" s="11" t="s">
        <v>7</v>
      </c>
    </row>
    <row r="824" spans="1:46" s="98" customFormat="1" x14ac:dyDescent="0.3">
      <c r="A824" s="16"/>
      <c r="B824" s="16" cm="1">
        <f t="array" ref="B824">+_xlfn.IFS(D824="In Touch - Positive",2,D824="Pending",1,D824="No Answer",4,D824="In Touch - Negative",3)</f>
        <v>4</v>
      </c>
      <c r="C824" s="16" t="s">
        <v>1933</v>
      </c>
      <c r="D824" s="99" t="str">
        <f t="shared" si="92"/>
        <v>No Answer</v>
      </c>
      <c r="E824" s="12" t="s">
        <v>2402</v>
      </c>
      <c r="F824" s="12"/>
      <c r="G824" s="13" t="s">
        <v>166</v>
      </c>
      <c r="H824" s="14" t="s">
        <v>2403</v>
      </c>
      <c r="I824" s="13">
        <v>108909</v>
      </c>
      <c r="J824" s="13" t="s">
        <v>83</v>
      </c>
      <c r="K824" s="15" t="s">
        <v>2404</v>
      </c>
      <c r="L824" s="15"/>
      <c r="M824" s="15"/>
      <c r="N824" s="15"/>
      <c r="O824" s="15"/>
      <c r="P824" s="15"/>
      <c r="Q824" s="15"/>
      <c r="R824" s="16"/>
      <c r="S824" s="35" t="s">
        <v>77</v>
      </c>
      <c r="T824" s="13">
        <v>2020</v>
      </c>
      <c r="U824" s="17">
        <v>35.277999999999999</v>
      </c>
      <c r="V824" s="17">
        <v>7.5910000000000002</v>
      </c>
      <c r="W824" s="60">
        <f t="shared" si="93"/>
        <v>0.21517659731277283</v>
      </c>
      <c r="X824" s="17">
        <v>4.3049999999999997</v>
      </c>
      <c r="Y824" s="17">
        <v>8.5719999999999992</v>
      </c>
      <c r="Z824" s="16"/>
      <c r="AA824" s="15" t="s">
        <v>140</v>
      </c>
      <c r="AB824" s="17"/>
      <c r="AC824" s="21" t="s">
        <v>61</v>
      </c>
      <c r="AD824" s="21" t="s">
        <v>61</v>
      </c>
      <c r="AE824" s="61" t="s">
        <v>986</v>
      </c>
      <c r="AF824" s="17"/>
      <c r="AG824" s="15"/>
      <c r="AH824" s="16"/>
      <c r="AI824" s="16"/>
      <c r="AJ824" s="42">
        <f t="shared" ca="1" si="89"/>
        <v>968</v>
      </c>
      <c r="AK824" s="42">
        <f t="shared" ca="1" si="90"/>
        <v>862</v>
      </c>
      <c r="AL824" s="130" t="str">
        <f t="shared" si="91"/>
        <v>No Answer</v>
      </c>
      <c r="AM824" s="37">
        <v>44696</v>
      </c>
      <c r="AN824" s="38">
        <v>44802</v>
      </c>
      <c r="AO824" s="38"/>
      <c r="AP824" s="38"/>
      <c r="AQ824" s="38"/>
      <c r="AR824" s="101" t="s">
        <v>1763</v>
      </c>
      <c r="AS824" s="38">
        <v>44802</v>
      </c>
      <c r="AT824" s="11" t="s">
        <v>7</v>
      </c>
    </row>
    <row r="825" spans="1:46" s="98" customFormat="1" x14ac:dyDescent="0.3">
      <c r="A825" s="16"/>
      <c r="B825" s="16" cm="1">
        <f t="array" ref="B825">+_xlfn.IFS(D825="In Touch - Positive",2,D825="Pending",1,D825="No Answer",4,D825="In Touch - Negative",3)</f>
        <v>4</v>
      </c>
      <c r="C825" s="16" t="s">
        <v>1921</v>
      </c>
      <c r="D825" s="99" t="str">
        <f t="shared" si="92"/>
        <v>No Answer</v>
      </c>
      <c r="E825" s="12" t="s">
        <v>2405</v>
      </c>
      <c r="F825" s="12"/>
      <c r="G825" s="13" t="s">
        <v>68</v>
      </c>
      <c r="H825" s="14" t="s">
        <v>2406</v>
      </c>
      <c r="I825" s="13"/>
      <c r="J825" s="13" t="s">
        <v>1927</v>
      </c>
      <c r="K825" s="15"/>
      <c r="L825" s="15"/>
      <c r="M825" s="15"/>
      <c r="N825" s="15"/>
      <c r="O825" s="15"/>
      <c r="P825" s="15"/>
      <c r="Q825" s="15"/>
      <c r="R825" s="16"/>
      <c r="S825" s="35"/>
      <c r="T825" s="13">
        <v>2020</v>
      </c>
      <c r="U825" s="17">
        <v>26.081101999999998</v>
      </c>
      <c r="V825" s="17">
        <v>3.905427</v>
      </c>
      <c r="W825" s="60">
        <f t="shared" si="93"/>
        <v>0.14974164051810387</v>
      </c>
      <c r="X825" s="17"/>
      <c r="Y825" s="17">
        <v>-3.8312789999999999</v>
      </c>
      <c r="Z825" s="16"/>
      <c r="AA825" s="15" t="s">
        <v>140</v>
      </c>
      <c r="AB825" s="17"/>
      <c r="AC825" s="21" t="s">
        <v>61</v>
      </c>
      <c r="AD825" s="21" t="s">
        <v>61</v>
      </c>
      <c r="AE825" s="61" t="s">
        <v>986</v>
      </c>
      <c r="AF825" s="17"/>
      <c r="AG825" s="15"/>
      <c r="AH825" s="16"/>
      <c r="AI825" s="16"/>
      <c r="AJ825" s="42">
        <f t="shared" ca="1" si="89"/>
        <v>968</v>
      </c>
      <c r="AK825" s="42">
        <f t="shared" ca="1" si="90"/>
        <v>867</v>
      </c>
      <c r="AL825" s="130" t="str">
        <f t="shared" si="91"/>
        <v>No Answer</v>
      </c>
      <c r="AM825" s="37">
        <v>44696</v>
      </c>
      <c r="AN825" s="38">
        <v>44797</v>
      </c>
      <c r="AO825" s="38"/>
      <c r="AP825" s="38"/>
      <c r="AQ825" s="38"/>
      <c r="AR825" s="101" t="s">
        <v>1763</v>
      </c>
      <c r="AS825" s="38">
        <v>44797</v>
      </c>
      <c r="AT825" s="11" t="s">
        <v>7</v>
      </c>
    </row>
    <row r="826" spans="1:46" s="98" customFormat="1" x14ac:dyDescent="0.3">
      <c r="B826" s="16" cm="1">
        <f t="array" ref="B826">+_xlfn.IFS(D826="In Touch - Positive",2,D826="Pending",1,D826="No Answer",4,D826="In Touch - Negative",3)</f>
        <v>4</v>
      </c>
      <c r="C826" s="16" t="s">
        <v>1921</v>
      </c>
      <c r="D826" s="99" t="str">
        <f t="shared" si="92"/>
        <v>No Answer</v>
      </c>
      <c r="E826" s="12" t="s">
        <v>2407</v>
      </c>
      <c r="F826" s="12"/>
      <c r="G826" s="13" t="s">
        <v>68</v>
      </c>
      <c r="H826" s="14" t="s">
        <v>2408</v>
      </c>
      <c r="I826" s="13"/>
      <c r="J826" s="13" t="s">
        <v>2409</v>
      </c>
      <c r="K826" s="15"/>
      <c r="L826" s="15"/>
      <c r="M826" s="15"/>
      <c r="N826" s="15"/>
      <c r="O826" s="15"/>
      <c r="P826" s="15"/>
      <c r="Q826" s="15"/>
      <c r="R826" s="16"/>
      <c r="S826" s="35"/>
      <c r="T826" s="13">
        <v>2020</v>
      </c>
      <c r="U826" s="17">
        <v>24.455051000000001</v>
      </c>
      <c r="V826" s="17">
        <v>3.2945550000000003</v>
      </c>
      <c r="W826" s="60">
        <f t="shared" si="93"/>
        <v>0.13471879490253363</v>
      </c>
      <c r="X826" s="17"/>
      <c r="Y826" s="17">
        <v>14.294199000000001</v>
      </c>
      <c r="Z826" s="16"/>
      <c r="AA826" s="15" t="s">
        <v>140</v>
      </c>
      <c r="AB826" s="17"/>
      <c r="AC826" s="21" t="s">
        <v>61</v>
      </c>
      <c r="AD826" s="21" t="s">
        <v>61</v>
      </c>
      <c r="AE826" s="61" t="s">
        <v>986</v>
      </c>
      <c r="AF826" s="17"/>
      <c r="AG826" s="15"/>
      <c r="AH826" s="16"/>
      <c r="AI826" s="16"/>
      <c r="AJ826" s="42">
        <f t="shared" ca="1" si="89"/>
        <v>968</v>
      </c>
      <c r="AK826" s="42">
        <f t="shared" ca="1" si="90"/>
        <v>867</v>
      </c>
      <c r="AL826" s="130" t="str">
        <f t="shared" si="91"/>
        <v>No Answer</v>
      </c>
      <c r="AM826" s="37">
        <v>44696</v>
      </c>
      <c r="AN826" s="38">
        <v>44797</v>
      </c>
      <c r="AO826" s="38"/>
      <c r="AP826" s="38"/>
      <c r="AQ826" s="38"/>
      <c r="AR826" s="101" t="s">
        <v>1763</v>
      </c>
      <c r="AS826" s="38">
        <v>44797</v>
      </c>
      <c r="AT826" s="11" t="s">
        <v>7</v>
      </c>
    </row>
    <row r="827" spans="1:46" s="98" customFormat="1" x14ac:dyDescent="0.3">
      <c r="A827" s="16"/>
      <c r="B827" s="16" cm="1">
        <f t="array" ref="B827">+_xlfn.IFS(D827="In Touch - Positive",2,D827="Pending",1,D827="No Answer",4,D827="In Touch - Negative",3)</f>
        <v>4</v>
      </c>
      <c r="C827" s="16" t="s">
        <v>1921</v>
      </c>
      <c r="D827" s="99" t="str">
        <f t="shared" si="92"/>
        <v>No Answer</v>
      </c>
      <c r="E827" s="12" t="s">
        <v>2410</v>
      </c>
      <c r="F827" s="12"/>
      <c r="G827" s="13" t="s">
        <v>68</v>
      </c>
      <c r="H827" s="14" t="s">
        <v>2411</v>
      </c>
      <c r="I827" s="13"/>
      <c r="J827" s="13" t="s">
        <v>1930</v>
      </c>
      <c r="K827" s="15"/>
      <c r="L827" s="15"/>
      <c r="M827" s="15"/>
      <c r="N827" s="15"/>
      <c r="O827" s="15"/>
      <c r="P827" s="15"/>
      <c r="Q827" s="15"/>
      <c r="R827" s="16"/>
      <c r="S827" s="35"/>
      <c r="T827" s="13">
        <v>2020</v>
      </c>
      <c r="U827" s="17">
        <v>35.092800000000004</v>
      </c>
      <c r="V827" s="17">
        <v>3.0935520000000003</v>
      </c>
      <c r="W827" s="60">
        <f t="shared" si="93"/>
        <v>8.8153467377923678E-2</v>
      </c>
      <c r="X827" s="17"/>
      <c r="Y827" s="17">
        <v>-4.0233350000000003</v>
      </c>
      <c r="Z827" s="16"/>
      <c r="AA827" s="15" t="s">
        <v>140</v>
      </c>
      <c r="AB827" s="17"/>
      <c r="AC827" s="21" t="s">
        <v>61</v>
      </c>
      <c r="AD827" s="21" t="s">
        <v>61</v>
      </c>
      <c r="AE827" s="61" t="s">
        <v>986</v>
      </c>
      <c r="AF827" s="17"/>
      <c r="AG827" s="15"/>
      <c r="AH827" s="16"/>
      <c r="AI827" s="16"/>
      <c r="AJ827" s="42">
        <f t="shared" ca="1" si="89"/>
        <v>968</v>
      </c>
      <c r="AK827" s="42">
        <f t="shared" ca="1" si="90"/>
        <v>868</v>
      </c>
      <c r="AL827" s="130" t="str">
        <f t="shared" si="91"/>
        <v>No Answer</v>
      </c>
      <c r="AM827" s="37">
        <v>44696</v>
      </c>
      <c r="AN827" s="38">
        <v>44725</v>
      </c>
      <c r="AO827" s="38">
        <v>44796</v>
      </c>
      <c r="AP827" s="38"/>
      <c r="AQ827" s="38"/>
      <c r="AR827" s="101" t="s">
        <v>1763</v>
      </c>
      <c r="AS827" s="38">
        <v>44796</v>
      </c>
      <c r="AT827" s="11" t="s">
        <v>7</v>
      </c>
    </row>
    <row r="828" spans="1:46" s="98" customFormat="1" x14ac:dyDescent="0.3">
      <c r="A828" s="16"/>
      <c r="B828" s="16" cm="1">
        <f t="array" ref="B828">+_xlfn.IFS(D828="In Touch - Positive",2,D828="Pending",1,D828="No Answer",4,D828="In Touch - Negative",3)</f>
        <v>4</v>
      </c>
      <c r="C828" s="16" t="s">
        <v>1921</v>
      </c>
      <c r="D828" s="99" t="str">
        <f t="shared" si="92"/>
        <v>No Answer</v>
      </c>
      <c r="E828" s="12" t="s">
        <v>2412</v>
      </c>
      <c r="F828" s="12"/>
      <c r="G828" s="13" t="s">
        <v>68</v>
      </c>
      <c r="H828" s="14" t="s">
        <v>2413</v>
      </c>
      <c r="I828" s="13"/>
      <c r="J828" s="13" t="s">
        <v>604</v>
      </c>
      <c r="K828" s="15"/>
      <c r="L828" s="15"/>
      <c r="M828" s="15"/>
      <c r="N828" s="15"/>
      <c r="O828" s="15"/>
      <c r="P828" s="15"/>
      <c r="Q828" s="15"/>
      <c r="R828" s="16"/>
      <c r="S828" s="35"/>
      <c r="T828" s="13">
        <v>2020</v>
      </c>
      <c r="U828" s="17">
        <v>33.375473</v>
      </c>
      <c r="V828" s="17">
        <v>5.2293509999999994</v>
      </c>
      <c r="W828" s="60">
        <f t="shared" si="93"/>
        <v>0.15668245360897207</v>
      </c>
      <c r="X828" s="17"/>
      <c r="Y828" s="17">
        <v>-4.7624380000000004</v>
      </c>
      <c r="Z828" s="16"/>
      <c r="AA828" s="15" t="s">
        <v>140</v>
      </c>
      <c r="AB828" s="17"/>
      <c r="AC828" s="21" t="s">
        <v>61</v>
      </c>
      <c r="AD828" s="21" t="s">
        <v>61</v>
      </c>
      <c r="AE828" s="61" t="s">
        <v>986</v>
      </c>
      <c r="AF828" s="17"/>
      <c r="AG828" s="15"/>
      <c r="AH828" s="16"/>
      <c r="AI828" s="16"/>
      <c r="AJ828" s="42">
        <f t="shared" ca="1" si="89"/>
        <v>968</v>
      </c>
      <c r="AK828" s="42">
        <f t="shared" ca="1" si="90"/>
        <v>868</v>
      </c>
      <c r="AL828" s="130" t="str">
        <f t="shared" si="91"/>
        <v>No Answer</v>
      </c>
      <c r="AM828" s="37">
        <v>44696</v>
      </c>
      <c r="AN828" s="38">
        <v>44725</v>
      </c>
      <c r="AO828" s="38">
        <v>44796</v>
      </c>
      <c r="AP828" s="38"/>
      <c r="AQ828" s="38"/>
      <c r="AR828" s="101" t="s">
        <v>1763</v>
      </c>
      <c r="AS828" s="38">
        <v>44796</v>
      </c>
      <c r="AT828" s="11" t="s">
        <v>7</v>
      </c>
    </row>
    <row r="829" spans="1:46" s="98" customFormat="1" x14ac:dyDescent="0.3">
      <c r="B829" s="16" cm="1">
        <f t="array" ref="B829">+_xlfn.IFS(D829="In Touch - Positive",2,D829="Pending",1,D829="No Answer",4,D829="In Touch - Negative",3)</f>
        <v>4</v>
      </c>
      <c r="C829" s="16" t="s">
        <v>1921</v>
      </c>
      <c r="D829" s="99" t="str">
        <f t="shared" si="92"/>
        <v>No Answer</v>
      </c>
      <c r="E829" s="12" t="s">
        <v>2414</v>
      </c>
      <c r="F829" s="12"/>
      <c r="G829" s="13" t="s">
        <v>68</v>
      </c>
      <c r="H829" s="14" t="s">
        <v>2415</v>
      </c>
      <c r="I829" s="13"/>
      <c r="J829" s="13" t="s">
        <v>149</v>
      </c>
      <c r="K829" s="15"/>
      <c r="L829" s="15"/>
      <c r="M829" s="15"/>
      <c r="N829" s="15"/>
      <c r="O829" s="15"/>
      <c r="P829" s="15"/>
      <c r="Q829" s="15"/>
      <c r="R829" s="16"/>
      <c r="S829" s="35"/>
      <c r="T829" s="13">
        <v>2020</v>
      </c>
      <c r="U829" s="17">
        <v>31.806028000000001</v>
      </c>
      <c r="V829" s="17">
        <v>4.2878490000000005</v>
      </c>
      <c r="W829" s="60">
        <f t="shared" si="93"/>
        <v>0.134812463851192</v>
      </c>
      <c r="X829" s="17"/>
      <c r="Y829" s="17">
        <v>-11.838338</v>
      </c>
      <c r="Z829" s="16"/>
      <c r="AA829" s="15" t="s">
        <v>140</v>
      </c>
      <c r="AB829" s="17"/>
      <c r="AC829" s="21" t="s">
        <v>61</v>
      </c>
      <c r="AD829" s="21" t="s">
        <v>61</v>
      </c>
      <c r="AE829" s="61" t="s">
        <v>986</v>
      </c>
      <c r="AF829" s="17"/>
      <c r="AG829" s="15"/>
      <c r="AH829" s="16"/>
      <c r="AI829" s="16"/>
      <c r="AJ829" s="42">
        <f t="shared" ca="1" si="89"/>
        <v>968</v>
      </c>
      <c r="AK829" s="42">
        <f t="shared" ca="1" si="90"/>
        <v>910</v>
      </c>
      <c r="AL829" s="130" t="str">
        <f t="shared" si="91"/>
        <v>No Answer</v>
      </c>
      <c r="AM829" s="37">
        <v>44696</v>
      </c>
      <c r="AN829" s="38">
        <v>44754</v>
      </c>
      <c r="AO829" s="38">
        <v>44810</v>
      </c>
      <c r="AP829" s="38"/>
      <c r="AQ829" s="38"/>
      <c r="AR829" s="101" t="s">
        <v>1763</v>
      </c>
      <c r="AS829" s="38">
        <v>44754</v>
      </c>
      <c r="AT829" s="11" t="s">
        <v>7</v>
      </c>
    </row>
    <row r="830" spans="1:46" s="98" customFormat="1" x14ac:dyDescent="0.3">
      <c r="A830" s="16"/>
      <c r="B830" s="16" cm="1">
        <f t="array" ref="B830">+_xlfn.IFS(D830="In Touch - Positive",2,D830="Pending",1,D830="No Answer",4,D830="In Touch - Negative",3)</f>
        <v>4</v>
      </c>
      <c r="C830" s="16" t="s">
        <v>253</v>
      </c>
      <c r="D830" s="99" t="str">
        <f t="shared" si="92"/>
        <v>No Answer</v>
      </c>
      <c r="E830" s="12" t="s">
        <v>1655</v>
      </c>
      <c r="F830" s="12"/>
      <c r="G830" s="13" t="s">
        <v>94</v>
      </c>
      <c r="H830" s="41" t="s">
        <v>2416</v>
      </c>
      <c r="I830" s="14">
        <v>255000</v>
      </c>
      <c r="J830" s="13" t="s">
        <v>69</v>
      </c>
      <c r="K830" s="15" t="s">
        <v>2417</v>
      </c>
      <c r="L830" s="15"/>
      <c r="M830" s="15"/>
      <c r="N830" s="15"/>
      <c r="O830" s="15"/>
      <c r="P830" s="15"/>
      <c r="Q830" s="15"/>
      <c r="R830" s="16"/>
      <c r="S830" s="35" t="s">
        <v>77</v>
      </c>
      <c r="T830" s="13">
        <v>2020</v>
      </c>
      <c r="U830" s="17">
        <v>48.7</v>
      </c>
      <c r="V830" s="17">
        <v>3.97</v>
      </c>
      <c r="W830" s="60">
        <f t="shared" si="93"/>
        <v>8.1519507186858312E-2</v>
      </c>
      <c r="X830" s="17">
        <v>1.9990000000000001</v>
      </c>
      <c r="Y830" s="17">
        <v>6.0449999999999999</v>
      </c>
      <c r="Z830" s="16"/>
      <c r="AA830" s="15" t="s">
        <v>253</v>
      </c>
      <c r="AB830" s="17"/>
      <c r="AC830" s="21" t="s">
        <v>78</v>
      </c>
      <c r="AD830" s="21" t="s">
        <v>78</v>
      </c>
      <c r="AE830" s="17" t="s">
        <v>562</v>
      </c>
      <c r="AF830" s="17"/>
      <c r="AG830" s="15"/>
      <c r="AH830" s="16"/>
      <c r="AI830" s="16"/>
      <c r="AJ830" s="42">
        <f t="shared" ca="1" si="89"/>
        <v>939</v>
      </c>
      <c r="AK830" s="42">
        <f t="shared" ca="1" si="90"/>
        <v>918</v>
      </c>
      <c r="AL830" s="130" t="str">
        <f t="shared" si="91"/>
        <v>No Answer</v>
      </c>
      <c r="AM830" s="37">
        <v>44725</v>
      </c>
      <c r="AN830" s="38">
        <v>44732</v>
      </c>
      <c r="AO830" s="38">
        <v>44746</v>
      </c>
      <c r="AP830" s="38"/>
      <c r="AQ830" s="38"/>
      <c r="AR830" s="101" t="s">
        <v>1763</v>
      </c>
      <c r="AS830" s="38">
        <v>44746</v>
      </c>
      <c r="AT830" s="11" t="s">
        <v>7</v>
      </c>
    </row>
    <row r="831" spans="1:46" s="98" customFormat="1" x14ac:dyDescent="0.3">
      <c r="A831" s="16"/>
      <c r="B831" s="16" cm="1">
        <f t="array" ref="B831">+_xlfn.IFS(D831="In Touch - Positive",2,D831="Pending",1,D831="No Answer",4,D831="In Touch - Negative",3)</f>
        <v>4</v>
      </c>
      <c r="C831" s="16" t="s">
        <v>1949</v>
      </c>
      <c r="D831" s="99" t="s">
        <v>1763</v>
      </c>
      <c r="E831" s="12" t="s">
        <v>2418</v>
      </c>
      <c r="F831" s="12"/>
      <c r="G831" s="13" t="s">
        <v>988</v>
      </c>
      <c r="H831" s="14" t="s">
        <v>2419</v>
      </c>
      <c r="I831" s="13">
        <v>222200</v>
      </c>
      <c r="J831" s="13" t="s">
        <v>111</v>
      </c>
      <c r="K831" s="15" t="s">
        <v>2420</v>
      </c>
      <c r="L831" s="15"/>
      <c r="M831" s="15"/>
      <c r="N831" s="15"/>
      <c r="O831" s="15"/>
      <c r="P831" s="15"/>
      <c r="Q831" s="15"/>
      <c r="R831" s="16"/>
      <c r="S831" s="35" t="s">
        <v>144</v>
      </c>
      <c r="T831" s="13">
        <v>2020</v>
      </c>
      <c r="U831" s="17">
        <v>49.097000000000001</v>
      </c>
      <c r="V831" s="17">
        <v>6.7949999999999999</v>
      </c>
      <c r="W831" s="60">
        <v>0.13839949487748743</v>
      </c>
      <c r="X831" s="17">
        <v>0.47899999999999998</v>
      </c>
      <c r="Y831" s="17">
        <v>14.375</v>
      </c>
      <c r="Z831" s="16"/>
      <c r="AA831" s="15" t="s">
        <v>140</v>
      </c>
      <c r="AB831" s="17"/>
      <c r="AC831" s="21" t="s">
        <v>61</v>
      </c>
      <c r="AD831" s="21" t="s">
        <v>61</v>
      </c>
      <c r="AE831" s="61" t="s">
        <v>562</v>
      </c>
      <c r="AF831" s="17"/>
      <c r="AG831" s="15"/>
      <c r="AH831" s="16"/>
      <c r="AI831" s="16"/>
      <c r="AJ831" s="42">
        <f t="shared" ca="1" si="89"/>
        <v>1027</v>
      </c>
      <c r="AK831" s="42">
        <f t="shared" ca="1" si="90"/>
        <v>939</v>
      </c>
      <c r="AL831" s="130" t="str">
        <f t="shared" si="91"/>
        <v>No Answer</v>
      </c>
      <c r="AM831" s="37">
        <v>44637</v>
      </c>
      <c r="AN831" s="38">
        <v>44649</v>
      </c>
      <c r="AO831" s="38">
        <v>44725</v>
      </c>
      <c r="AP831" s="38"/>
      <c r="AQ831" s="38"/>
      <c r="AR831" s="101" t="s">
        <v>1763</v>
      </c>
      <c r="AS831" s="38">
        <v>44725</v>
      </c>
      <c r="AT831" s="11" t="s">
        <v>7</v>
      </c>
    </row>
    <row r="832" spans="1:46" s="98" customFormat="1" x14ac:dyDescent="0.3">
      <c r="A832" s="16"/>
      <c r="B832" s="16" cm="1">
        <f t="array" ref="B832">+_xlfn.IFS(D832="In Touch - Positive",2,D832="Pending",1,D832="No Answer",4,D832="In Touch - Negative",3)</f>
        <v>4</v>
      </c>
      <c r="C832" s="16" t="s">
        <v>1940</v>
      </c>
      <c r="D832" s="99" t="str">
        <f>+AR832</f>
        <v>No Answer</v>
      </c>
      <c r="E832" s="12" t="s">
        <v>2421</v>
      </c>
      <c r="F832" s="12"/>
      <c r="G832" s="13" t="s">
        <v>988</v>
      </c>
      <c r="H832" s="14" t="s">
        <v>2422</v>
      </c>
      <c r="I832" s="13">
        <v>256100</v>
      </c>
      <c r="J832" s="13" t="s">
        <v>74</v>
      </c>
      <c r="K832" s="15" t="s">
        <v>2423</v>
      </c>
      <c r="L832" s="15"/>
      <c r="M832" s="15"/>
      <c r="N832" s="15"/>
      <c r="O832" s="15"/>
      <c r="P832" s="15"/>
      <c r="Q832" s="15"/>
      <c r="R832" s="16"/>
      <c r="S832" s="35"/>
      <c r="T832" s="13">
        <v>2020</v>
      </c>
      <c r="U832" s="17">
        <v>44.671999999999997</v>
      </c>
      <c r="V832" s="17">
        <v>5.7530000000000001</v>
      </c>
      <c r="W832" s="60">
        <f>+V832/U832</f>
        <v>0.12878313037249284</v>
      </c>
      <c r="X832" s="17">
        <v>2.0219999999999998</v>
      </c>
      <c r="Y832" s="17">
        <v>17.341999999999999</v>
      </c>
      <c r="Z832" s="16"/>
      <c r="AA832" s="15" t="s">
        <v>431</v>
      </c>
      <c r="AB832" s="17"/>
      <c r="AC832" s="21" t="s">
        <v>61</v>
      </c>
      <c r="AD832" s="21" t="s">
        <v>61</v>
      </c>
      <c r="AE832" s="61" t="s">
        <v>986</v>
      </c>
      <c r="AF832" s="17"/>
      <c r="AG832" s="15"/>
      <c r="AH832" s="16"/>
      <c r="AI832" s="16"/>
      <c r="AJ832" s="42">
        <f t="shared" ca="1" si="89"/>
        <v>1027</v>
      </c>
      <c r="AK832" s="42">
        <f t="shared" ca="1" si="90"/>
        <v>939</v>
      </c>
      <c r="AL832" s="130" t="str">
        <f t="shared" si="91"/>
        <v>No Answer</v>
      </c>
      <c r="AM832" s="37">
        <v>44637</v>
      </c>
      <c r="AN832" s="38">
        <v>44637</v>
      </c>
      <c r="AO832" s="38">
        <v>44725</v>
      </c>
      <c r="AP832" s="38">
        <v>44725</v>
      </c>
      <c r="AQ832" s="38"/>
      <c r="AR832" s="101" t="s">
        <v>1763</v>
      </c>
      <c r="AS832" s="38">
        <v>44725</v>
      </c>
      <c r="AT832" s="11" t="s">
        <v>7</v>
      </c>
    </row>
    <row r="833" spans="1:55" s="98" customFormat="1" x14ac:dyDescent="0.3">
      <c r="A833" s="16"/>
      <c r="B833" s="16" cm="1">
        <f t="array" ref="B833">+_xlfn.IFS(D833="In Touch - Positive",2,D833="Pending",1,D833="No Answer",4,D833="In Touch - Negative",3)</f>
        <v>4</v>
      </c>
      <c r="C833" s="16" t="s">
        <v>1940</v>
      </c>
      <c r="D833" s="99" t="s">
        <v>1763</v>
      </c>
      <c r="E833" s="12" t="s">
        <v>2424</v>
      </c>
      <c r="F833" s="12"/>
      <c r="G833" s="13" t="s">
        <v>68</v>
      </c>
      <c r="H833" s="14" t="s">
        <v>2425</v>
      </c>
      <c r="I833" s="13"/>
      <c r="J833" s="13" t="s">
        <v>111</v>
      </c>
      <c r="K833" s="15" t="s">
        <v>2426</v>
      </c>
      <c r="L833" s="15"/>
      <c r="M833" s="15"/>
      <c r="N833" s="15"/>
      <c r="O833" s="15"/>
      <c r="P833" s="15"/>
      <c r="Q833" s="15"/>
      <c r="R833" s="16"/>
      <c r="S833" s="35" t="s">
        <v>77</v>
      </c>
      <c r="T833" s="13">
        <v>2020</v>
      </c>
      <c r="U833" s="17">
        <v>6.6795309999999999</v>
      </c>
      <c r="V833" s="17">
        <v>3.9096869999999999</v>
      </c>
      <c r="W833" s="60">
        <v>0.58532358035317145</v>
      </c>
      <c r="X833" s="17"/>
      <c r="Y833" s="17">
        <v>-15.825262</v>
      </c>
      <c r="Z833" s="16"/>
      <c r="AA833" s="15" t="s">
        <v>140</v>
      </c>
      <c r="AB833" s="17"/>
      <c r="AC833" s="21" t="s">
        <v>61</v>
      </c>
      <c r="AD833" s="21" t="s">
        <v>61</v>
      </c>
      <c r="AE833" s="17" t="s">
        <v>986</v>
      </c>
      <c r="AF833" s="17"/>
      <c r="AG833" s="15"/>
      <c r="AH833" s="16"/>
      <c r="AI833" s="16"/>
      <c r="AJ833" s="42">
        <f t="shared" ca="1" si="89"/>
        <v>1075</v>
      </c>
      <c r="AK833" s="42">
        <f t="shared" ca="1" si="90"/>
        <v>939</v>
      </c>
      <c r="AL833" s="130" t="str">
        <f t="shared" si="91"/>
        <v>No Answer</v>
      </c>
      <c r="AM833" s="37">
        <v>44589</v>
      </c>
      <c r="AN833" s="38">
        <v>44589</v>
      </c>
      <c r="AO833" s="38">
        <v>44568</v>
      </c>
      <c r="AP833" s="38"/>
      <c r="AQ833" s="38"/>
      <c r="AR833" s="101" t="s">
        <v>1763</v>
      </c>
      <c r="AS833" s="38">
        <v>44725</v>
      </c>
      <c r="AT833" s="11" t="s">
        <v>7</v>
      </c>
    </row>
    <row r="834" spans="1:55" s="98" customFormat="1" x14ac:dyDescent="0.3">
      <c r="A834" s="16"/>
      <c r="B834" s="16" cm="1">
        <f t="array" ref="B834">+_xlfn.IFS(D834="In Touch - Positive",2,D834="Pending",1,D834="No Answer",4,D834="In Touch - Negative",3)</f>
        <v>4</v>
      </c>
      <c r="C834" s="16" t="s">
        <v>1921</v>
      </c>
      <c r="D834" s="99" t="str">
        <f t="shared" ref="D834:D873" si="94">+AR834</f>
        <v>No Answer</v>
      </c>
      <c r="E834" s="12" t="s">
        <v>2427</v>
      </c>
      <c r="F834" s="12"/>
      <c r="G834" s="13" t="s">
        <v>68</v>
      </c>
      <c r="H834" s="14" t="s">
        <v>1015</v>
      </c>
      <c r="I834" s="13"/>
      <c r="J834" s="13" t="s">
        <v>2333</v>
      </c>
      <c r="K834" s="15"/>
      <c r="L834" s="15"/>
      <c r="M834" s="15"/>
      <c r="N834" s="15"/>
      <c r="O834" s="15"/>
      <c r="P834" s="15"/>
      <c r="Q834" s="15"/>
      <c r="R834" s="16"/>
      <c r="S834" s="35"/>
      <c r="T834" s="13">
        <v>2020</v>
      </c>
      <c r="U834" s="17">
        <v>37.433999999999997</v>
      </c>
      <c r="V834" s="17">
        <v>8.9939999999999998</v>
      </c>
      <c r="W834" s="60">
        <f t="shared" ref="W834:W873" si="95">+V834/U834</f>
        <v>0.24026286263824331</v>
      </c>
      <c r="X834" s="17"/>
      <c r="Y834" s="17">
        <v>-24.484000000000002</v>
      </c>
      <c r="Z834" s="16"/>
      <c r="AA834" s="15" t="s">
        <v>140</v>
      </c>
      <c r="AB834" s="17"/>
      <c r="AC834" s="21" t="s">
        <v>61</v>
      </c>
      <c r="AD834" s="21" t="s">
        <v>61</v>
      </c>
      <c r="AE834" s="61" t="s">
        <v>986</v>
      </c>
      <c r="AF834" s="17"/>
      <c r="AG834" s="15"/>
      <c r="AH834" s="16"/>
      <c r="AI834" s="16"/>
      <c r="AJ834" s="42">
        <f t="shared" ca="1" si="89"/>
        <v>968</v>
      </c>
      <c r="AK834" s="42">
        <f t="shared" ca="1" si="90"/>
        <v>968</v>
      </c>
      <c r="AL834" s="130" t="str">
        <f t="shared" si="91"/>
        <v>No Answer</v>
      </c>
      <c r="AM834" s="37">
        <v>44696</v>
      </c>
      <c r="AN834" s="38"/>
      <c r="AO834" s="38"/>
      <c r="AP834" s="38"/>
      <c r="AQ834" s="38"/>
      <c r="AR834" s="101" t="s">
        <v>1763</v>
      </c>
      <c r="AS834" s="38">
        <v>44696</v>
      </c>
      <c r="AT834" s="11" t="s">
        <v>7</v>
      </c>
    </row>
    <row r="835" spans="1:55" s="98" customFormat="1" x14ac:dyDescent="0.3">
      <c r="A835" s="16"/>
      <c r="B835" s="16" cm="1">
        <f t="array" ref="B835">+_xlfn.IFS(D835="In Touch - Positive",2,D835="Pending",1,D835="No Answer",4,D835="In Touch - Negative",3)</f>
        <v>4</v>
      </c>
      <c r="C835" s="16" t="s">
        <v>1921</v>
      </c>
      <c r="D835" s="99" t="str">
        <f t="shared" si="94"/>
        <v>No Answer</v>
      </c>
      <c r="E835" s="12" t="s">
        <v>2428</v>
      </c>
      <c r="F835" s="12"/>
      <c r="G835" s="13" t="s">
        <v>340</v>
      </c>
      <c r="H835" s="14" t="s">
        <v>2429</v>
      </c>
      <c r="I835" s="13"/>
      <c r="J835" s="13" t="s">
        <v>1930</v>
      </c>
      <c r="K835" s="15"/>
      <c r="L835" s="15"/>
      <c r="M835" s="15"/>
      <c r="N835" s="15"/>
      <c r="O835" s="15"/>
      <c r="P835" s="15"/>
      <c r="Q835" s="15"/>
      <c r="R835" s="16"/>
      <c r="S835" s="35"/>
      <c r="T835" s="13">
        <v>2020</v>
      </c>
      <c r="U835" s="17">
        <v>56.847864000000001</v>
      </c>
      <c r="V835" s="17">
        <v>6.7928950000000006</v>
      </c>
      <c r="W835" s="60">
        <f t="shared" si="95"/>
        <v>0.11949252833844383</v>
      </c>
      <c r="X835" s="17"/>
      <c r="Y835" s="17">
        <v>8.019953000000001</v>
      </c>
      <c r="Z835" s="16"/>
      <c r="AA835" s="15" t="s">
        <v>140</v>
      </c>
      <c r="AB835" s="17"/>
      <c r="AC835" s="21" t="s">
        <v>61</v>
      </c>
      <c r="AD835" s="21" t="s">
        <v>61</v>
      </c>
      <c r="AE835" s="61" t="s">
        <v>986</v>
      </c>
      <c r="AF835" s="17"/>
      <c r="AG835" s="15"/>
      <c r="AH835" s="16"/>
      <c r="AI835" s="16"/>
      <c r="AJ835" s="42">
        <f t="shared" ca="1" si="89"/>
        <v>968</v>
      </c>
      <c r="AK835" s="42">
        <f t="shared" ca="1" si="90"/>
        <v>968</v>
      </c>
      <c r="AL835" s="130" t="str">
        <f t="shared" si="91"/>
        <v>No Answer</v>
      </c>
      <c r="AM835" s="37">
        <v>44696</v>
      </c>
      <c r="AN835" s="38"/>
      <c r="AO835" s="38"/>
      <c r="AP835" s="38"/>
      <c r="AQ835" s="38"/>
      <c r="AR835" s="101" t="s">
        <v>1763</v>
      </c>
      <c r="AS835" s="38">
        <v>44696</v>
      </c>
      <c r="AT835" s="11" t="s">
        <v>7</v>
      </c>
    </row>
    <row r="836" spans="1:55" s="98" customFormat="1" x14ac:dyDescent="0.3">
      <c r="B836" s="16" cm="1">
        <f t="array" ref="B836">+_xlfn.IFS(D836="In Touch - Positive",2,D836="Pending",1,D836="No Answer",4,D836="In Touch - Negative",3)</f>
        <v>4</v>
      </c>
      <c r="C836" s="16" t="s">
        <v>1921</v>
      </c>
      <c r="D836" s="99" t="str">
        <f t="shared" si="94"/>
        <v>No Answer</v>
      </c>
      <c r="E836" s="12" t="s">
        <v>2430</v>
      </c>
      <c r="F836" s="12"/>
      <c r="G836" s="13" t="s">
        <v>68</v>
      </c>
      <c r="H836" s="14" t="s">
        <v>2431</v>
      </c>
      <c r="I836" s="13"/>
      <c r="J836" s="13" t="s">
        <v>1010</v>
      </c>
      <c r="K836" s="15"/>
      <c r="L836" s="15"/>
      <c r="M836" s="15"/>
      <c r="N836" s="15"/>
      <c r="O836" s="15"/>
      <c r="P836" s="15"/>
      <c r="Q836" s="15"/>
      <c r="R836" s="16"/>
      <c r="S836" s="35"/>
      <c r="T836" s="13">
        <v>2020</v>
      </c>
      <c r="U836" s="17">
        <v>74.037999999999997</v>
      </c>
      <c r="V836" s="17">
        <v>11.638999999999999</v>
      </c>
      <c r="W836" s="60">
        <f t="shared" si="95"/>
        <v>0.15720305788919203</v>
      </c>
      <c r="X836" s="17"/>
      <c r="Y836" s="17">
        <v>-7.3659999999999997</v>
      </c>
      <c r="Z836" s="16"/>
      <c r="AA836" s="15" t="s">
        <v>140</v>
      </c>
      <c r="AB836" s="17"/>
      <c r="AC836" s="21" t="s">
        <v>61</v>
      </c>
      <c r="AD836" s="21" t="s">
        <v>61</v>
      </c>
      <c r="AE836" s="61" t="s">
        <v>986</v>
      </c>
      <c r="AF836" s="17"/>
      <c r="AG836" s="15"/>
      <c r="AH836" s="16"/>
      <c r="AI836" s="16"/>
      <c r="AJ836" s="42">
        <f t="shared" ca="1" si="89"/>
        <v>968</v>
      </c>
      <c r="AK836" s="42">
        <f t="shared" ca="1" si="90"/>
        <v>968</v>
      </c>
      <c r="AL836" s="130" t="str">
        <f t="shared" si="91"/>
        <v>No Answer</v>
      </c>
      <c r="AM836" s="37">
        <v>44696</v>
      </c>
      <c r="AN836" s="38"/>
      <c r="AO836" s="38"/>
      <c r="AP836" s="38"/>
      <c r="AQ836" s="38"/>
      <c r="AR836" s="101" t="s">
        <v>1763</v>
      </c>
      <c r="AS836" s="38">
        <v>44696</v>
      </c>
      <c r="AT836" s="11" t="s">
        <v>7</v>
      </c>
    </row>
    <row r="837" spans="1:55" s="98" customFormat="1" x14ac:dyDescent="0.3">
      <c r="A837" s="16"/>
      <c r="B837" s="16" cm="1">
        <f t="array" ref="B837">+_xlfn.IFS(D837="In Touch - Positive",2,D837="Pending",1,D837="No Answer",4,D837="In Touch - Negative",3)</f>
        <v>4</v>
      </c>
      <c r="C837" s="16" t="s">
        <v>1921</v>
      </c>
      <c r="D837" s="99" t="str">
        <f t="shared" si="94"/>
        <v>No Answer</v>
      </c>
      <c r="E837" s="12" t="s">
        <v>2432</v>
      </c>
      <c r="F837" s="12"/>
      <c r="G837" s="13" t="s">
        <v>68</v>
      </c>
      <c r="H837" s="14" t="s">
        <v>2433</v>
      </c>
      <c r="I837" s="13"/>
      <c r="J837" s="13" t="s">
        <v>2434</v>
      </c>
      <c r="K837" s="15"/>
      <c r="L837" s="15"/>
      <c r="M837" s="15"/>
      <c r="N837" s="15"/>
      <c r="O837" s="15"/>
      <c r="P837" s="15"/>
      <c r="Q837" s="15"/>
      <c r="R837" s="16"/>
      <c r="S837" s="35"/>
      <c r="T837" s="13">
        <v>2020</v>
      </c>
      <c r="U837" s="17">
        <v>63.431057000000003</v>
      </c>
      <c r="V837" s="17">
        <v>8.3780650000000012</v>
      </c>
      <c r="W837" s="60">
        <f t="shared" si="95"/>
        <v>0.13208143449351634</v>
      </c>
      <c r="X837" s="17"/>
      <c r="Y837" s="17">
        <v>7.7248260000000002</v>
      </c>
      <c r="Z837" s="16"/>
      <c r="AA837" s="15" t="s">
        <v>140</v>
      </c>
      <c r="AB837" s="17"/>
      <c r="AC837" s="21" t="s">
        <v>61</v>
      </c>
      <c r="AD837" s="21" t="s">
        <v>61</v>
      </c>
      <c r="AE837" s="61" t="s">
        <v>986</v>
      </c>
      <c r="AF837" s="17"/>
      <c r="AG837" s="15"/>
      <c r="AH837" s="16"/>
      <c r="AI837" s="16"/>
      <c r="AJ837" s="42">
        <f t="shared" ca="1" si="89"/>
        <v>968</v>
      </c>
      <c r="AK837" s="42">
        <f t="shared" ca="1" si="90"/>
        <v>968</v>
      </c>
      <c r="AL837" s="130" t="str">
        <f t="shared" si="91"/>
        <v>No Answer</v>
      </c>
      <c r="AM837" s="37">
        <v>44696</v>
      </c>
      <c r="AN837" s="38"/>
      <c r="AO837" s="38"/>
      <c r="AP837" s="38"/>
      <c r="AQ837" s="38"/>
      <c r="AR837" s="101" t="s">
        <v>1763</v>
      </c>
      <c r="AS837" s="38">
        <v>44696</v>
      </c>
      <c r="AT837" s="11" t="s">
        <v>7</v>
      </c>
    </row>
    <row r="838" spans="1:55" s="98" customFormat="1" x14ac:dyDescent="0.3">
      <c r="A838" s="16"/>
      <c r="B838" s="16" cm="1">
        <f t="array" ref="B838">+_xlfn.IFS(D838="In Touch - Positive",2,D838="Pending",1,D838="No Answer",4,D838="In Touch - Negative",3)</f>
        <v>4</v>
      </c>
      <c r="C838" s="16" t="s">
        <v>57</v>
      </c>
      <c r="D838" s="99" t="str">
        <f t="shared" si="94"/>
        <v>No Answer</v>
      </c>
      <c r="E838" s="12" t="s">
        <v>2435</v>
      </c>
      <c r="F838" s="12"/>
      <c r="G838" s="13" t="s">
        <v>130</v>
      </c>
      <c r="H838" s="14" t="s">
        <v>2436</v>
      </c>
      <c r="I838" s="13">
        <v>855920</v>
      </c>
      <c r="J838" s="13" t="s">
        <v>57</v>
      </c>
      <c r="K838" s="15" t="s">
        <v>2437</v>
      </c>
      <c r="L838" s="15"/>
      <c r="M838" s="15"/>
      <c r="N838" s="15"/>
      <c r="O838" s="15"/>
      <c r="P838" s="15"/>
      <c r="Q838" s="15"/>
      <c r="R838" s="16"/>
      <c r="S838" s="35" t="s">
        <v>77</v>
      </c>
      <c r="T838" s="13">
        <v>2020</v>
      </c>
      <c r="U838" s="17">
        <v>1.7430000000000001</v>
      </c>
      <c r="V838" s="17">
        <v>1.1399999999999999</v>
      </c>
      <c r="W838" s="60">
        <f t="shared" si="95"/>
        <v>0.65404475043029253</v>
      </c>
      <c r="X838" s="17">
        <v>0.8</v>
      </c>
      <c r="Y838" s="17" t="s">
        <v>543</v>
      </c>
      <c r="Z838" s="16"/>
      <c r="AA838" s="15" t="s">
        <v>431</v>
      </c>
      <c r="AB838" s="17"/>
      <c r="AC838" s="21" t="s">
        <v>61</v>
      </c>
      <c r="AD838" s="21" t="s">
        <v>61</v>
      </c>
      <c r="AE838" s="17" t="s">
        <v>62</v>
      </c>
      <c r="AF838" s="17"/>
      <c r="AG838" s="15"/>
      <c r="AH838" s="16"/>
      <c r="AI838" s="16"/>
      <c r="AJ838" s="42">
        <f t="shared" ca="1" si="89"/>
        <v>1027</v>
      </c>
      <c r="AK838" s="42">
        <f t="shared" ca="1" si="90"/>
        <v>987</v>
      </c>
      <c r="AL838" s="130" t="str">
        <f t="shared" si="91"/>
        <v>No Answer</v>
      </c>
      <c r="AM838" s="37">
        <v>44637</v>
      </c>
      <c r="AN838" s="38">
        <v>44677</v>
      </c>
      <c r="AO838" s="38" t="s">
        <v>65</v>
      </c>
      <c r="AP838" s="38"/>
      <c r="AQ838" s="38"/>
      <c r="AR838" s="101" t="s">
        <v>1763</v>
      </c>
      <c r="AS838" s="38">
        <v>44677</v>
      </c>
      <c r="AT838" s="11" t="s">
        <v>7</v>
      </c>
    </row>
    <row r="839" spans="1:55" s="98" customFormat="1" x14ac:dyDescent="0.3">
      <c r="A839" s="16"/>
      <c r="B839" s="16" cm="1">
        <f t="array" ref="B839">+_xlfn.IFS(D839="In Touch - Positive",2,D839="Pending",1,D839="No Answer",4,D839="In Touch - Negative",3)</f>
        <v>4</v>
      </c>
      <c r="C839" s="16" t="s">
        <v>2438</v>
      </c>
      <c r="D839" s="99" t="str">
        <f t="shared" si="94"/>
        <v>No Answer</v>
      </c>
      <c r="E839" s="12" t="s">
        <v>2439</v>
      </c>
      <c r="F839" s="12"/>
      <c r="G839" s="13" t="s">
        <v>333</v>
      </c>
      <c r="H839" s="14" t="s">
        <v>2440</v>
      </c>
      <c r="I839" s="13">
        <v>414110</v>
      </c>
      <c r="J839" s="13" t="s">
        <v>1018</v>
      </c>
      <c r="K839" s="15" t="s">
        <v>2441</v>
      </c>
      <c r="L839" s="15"/>
      <c r="M839" s="15"/>
      <c r="N839" s="15"/>
      <c r="O839" s="15"/>
      <c r="P839" s="15"/>
      <c r="Q839" s="15"/>
      <c r="R839" s="16"/>
      <c r="S839" s="35" t="s">
        <v>77</v>
      </c>
      <c r="T839" s="13">
        <v>2020</v>
      </c>
      <c r="U839" s="17">
        <v>4.0999999999999996</v>
      </c>
      <c r="V839" s="17">
        <v>0.42799999999999999</v>
      </c>
      <c r="W839" s="60">
        <f t="shared" si="95"/>
        <v>0.10439024390243903</v>
      </c>
      <c r="X839" s="17">
        <v>0.21199999999999999</v>
      </c>
      <c r="Y839" s="17">
        <v>-0.871</v>
      </c>
      <c r="Z839" s="16"/>
      <c r="AA839" s="15" t="s">
        <v>431</v>
      </c>
      <c r="AB839" s="17"/>
      <c r="AC839" s="21" t="s">
        <v>61</v>
      </c>
      <c r="AD839" s="21" t="s">
        <v>61</v>
      </c>
      <c r="AE839" s="17" t="s">
        <v>62</v>
      </c>
      <c r="AF839" s="17"/>
      <c r="AG839" s="15"/>
      <c r="AH839" s="16"/>
      <c r="AI839" s="16"/>
      <c r="AJ839" s="42">
        <f t="shared" ca="1" si="89"/>
        <v>1026</v>
      </c>
      <c r="AK839" s="42">
        <f t="shared" ca="1" si="90"/>
        <v>1026</v>
      </c>
      <c r="AL839" s="130" t="str">
        <f t="shared" si="91"/>
        <v>No Answer</v>
      </c>
      <c r="AM839" s="37">
        <v>44638</v>
      </c>
      <c r="AN839" s="38">
        <v>44638</v>
      </c>
      <c r="AO839" s="38" t="s">
        <v>65</v>
      </c>
      <c r="AP839" s="38"/>
      <c r="AQ839" s="38"/>
      <c r="AR839" s="101" t="s">
        <v>1763</v>
      </c>
      <c r="AS839" s="38">
        <v>44638</v>
      </c>
      <c r="AT839" s="11" t="s">
        <v>7</v>
      </c>
      <c r="AY839" s="98">
        <v>44607</v>
      </c>
      <c r="BC839" s="98" t="s">
        <v>7</v>
      </c>
    </row>
    <row r="840" spans="1:55" s="98" customFormat="1" x14ac:dyDescent="0.3">
      <c r="A840" s="16"/>
      <c r="B840" s="16" cm="1">
        <f t="array" ref="B840">+_xlfn.IFS(D840="In Touch - Positive",2,D840="Pending",1,D840="No Answer",4,D840="In Touch - Negative",3)</f>
        <v>4</v>
      </c>
      <c r="C840" s="16" t="s">
        <v>2438</v>
      </c>
      <c r="D840" s="99" t="str">
        <f t="shared" si="94"/>
        <v>No Answer</v>
      </c>
      <c r="E840" s="12" t="s">
        <v>2442</v>
      </c>
      <c r="F840" s="12"/>
      <c r="G840" s="13" t="s">
        <v>988</v>
      </c>
      <c r="H840" s="14" t="s">
        <v>2443</v>
      </c>
      <c r="I840" s="13">
        <v>139610</v>
      </c>
      <c r="J840" s="13" t="s">
        <v>1018</v>
      </c>
      <c r="K840" s="15" t="s">
        <v>2444</v>
      </c>
      <c r="L840" s="15"/>
      <c r="M840" s="15"/>
      <c r="N840" s="15"/>
      <c r="O840" s="15"/>
      <c r="P840" s="15"/>
      <c r="Q840" s="15"/>
      <c r="R840" s="16"/>
      <c r="S840" s="35" t="s">
        <v>77</v>
      </c>
      <c r="T840" s="13">
        <v>2020</v>
      </c>
      <c r="U840" s="17">
        <v>3.3079999999999998</v>
      </c>
      <c r="V840" s="17">
        <v>0.54</v>
      </c>
      <c r="W840" s="60">
        <f t="shared" si="95"/>
        <v>0.16324062877871828</v>
      </c>
      <c r="X840" s="17">
        <v>8.6999999999999994E-2</v>
      </c>
      <c r="Y840" s="17" t="s">
        <v>543</v>
      </c>
      <c r="Z840" s="16"/>
      <c r="AA840" s="15" t="s">
        <v>431</v>
      </c>
      <c r="AB840" s="17"/>
      <c r="AC840" s="21" t="s">
        <v>61</v>
      </c>
      <c r="AD840" s="21" t="s">
        <v>61</v>
      </c>
      <c r="AE840" s="17" t="s">
        <v>62</v>
      </c>
      <c r="AF840" s="17"/>
      <c r="AG840" s="15"/>
      <c r="AH840" s="16"/>
      <c r="AI840" s="16"/>
      <c r="AJ840" s="42">
        <f t="shared" ca="1" si="89"/>
        <v>1026</v>
      </c>
      <c r="AK840" s="42">
        <f t="shared" ca="1" si="90"/>
        <v>1026</v>
      </c>
      <c r="AL840" s="130" t="str">
        <f t="shared" si="91"/>
        <v>No Answer</v>
      </c>
      <c r="AM840" s="37">
        <v>44638</v>
      </c>
      <c r="AN840" s="38">
        <v>44638</v>
      </c>
      <c r="AO840" s="38" t="s">
        <v>65</v>
      </c>
      <c r="AP840" s="38"/>
      <c r="AQ840" s="38"/>
      <c r="AR840" s="101" t="s">
        <v>1763</v>
      </c>
      <c r="AS840" s="38">
        <v>44638</v>
      </c>
      <c r="AT840" s="11" t="s">
        <v>7</v>
      </c>
    </row>
    <row r="841" spans="1:55" s="98" customFormat="1" x14ac:dyDescent="0.3">
      <c r="A841" s="16"/>
      <c r="B841" s="16" cm="1">
        <f t="array" ref="B841">+_xlfn.IFS(D841="In Touch - Positive",2,D841="Pending",1,D841="No Answer",4,D841="In Touch - Negative",3)</f>
        <v>4</v>
      </c>
      <c r="C841" s="16" t="s">
        <v>2438</v>
      </c>
      <c r="D841" s="99" t="str">
        <f t="shared" si="94"/>
        <v>No Answer</v>
      </c>
      <c r="E841" s="12" t="s">
        <v>2445</v>
      </c>
      <c r="F841" s="12"/>
      <c r="G841" s="13" t="s">
        <v>333</v>
      </c>
      <c r="H841" s="14" t="s">
        <v>2446</v>
      </c>
      <c r="I841" s="13">
        <v>462410</v>
      </c>
      <c r="J841" s="13" t="s">
        <v>1018</v>
      </c>
      <c r="K841" s="15" t="s">
        <v>2447</v>
      </c>
      <c r="L841" s="15"/>
      <c r="M841" s="15"/>
      <c r="N841" s="15"/>
      <c r="O841" s="15"/>
      <c r="P841" s="15"/>
      <c r="Q841" s="15"/>
      <c r="R841" s="16"/>
      <c r="S841" s="35" t="s">
        <v>77</v>
      </c>
      <c r="T841" s="13">
        <v>2020</v>
      </c>
      <c r="U841" s="17">
        <v>3.028</v>
      </c>
      <c r="V841" s="17">
        <v>0.76100000000000001</v>
      </c>
      <c r="W841" s="60">
        <f t="shared" si="95"/>
        <v>0.25132100396301188</v>
      </c>
      <c r="X841" s="17">
        <v>0.47799999999999998</v>
      </c>
      <c r="Y841" s="17">
        <v>-0.74199999999999999</v>
      </c>
      <c r="Z841" s="16"/>
      <c r="AA841" s="15" t="s">
        <v>431</v>
      </c>
      <c r="AB841" s="17"/>
      <c r="AC841" s="21" t="s">
        <v>61</v>
      </c>
      <c r="AD841" s="21" t="s">
        <v>61</v>
      </c>
      <c r="AE841" s="17" t="s">
        <v>62</v>
      </c>
      <c r="AF841" s="17"/>
      <c r="AG841" s="15"/>
      <c r="AH841" s="16"/>
      <c r="AI841" s="16"/>
      <c r="AJ841" s="42">
        <f t="shared" ca="1" si="89"/>
        <v>1026</v>
      </c>
      <c r="AK841" s="42">
        <f t="shared" ca="1" si="90"/>
        <v>1026</v>
      </c>
      <c r="AL841" s="130" t="str">
        <f t="shared" si="91"/>
        <v>No Answer</v>
      </c>
      <c r="AM841" s="37">
        <v>44638</v>
      </c>
      <c r="AN841" s="38">
        <v>44638</v>
      </c>
      <c r="AO841" s="38" t="s">
        <v>65</v>
      </c>
      <c r="AP841" s="38"/>
      <c r="AQ841" s="38"/>
      <c r="AR841" s="101" t="s">
        <v>1763</v>
      </c>
      <c r="AS841" s="38">
        <v>44638</v>
      </c>
      <c r="AT841" s="11" t="s">
        <v>7</v>
      </c>
    </row>
    <row r="842" spans="1:55" s="98" customFormat="1" x14ac:dyDescent="0.3">
      <c r="A842" s="16"/>
      <c r="B842" s="16" cm="1">
        <f t="array" ref="B842">+_xlfn.IFS(D842="In Touch - Positive",2,D842="Pending",1,D842="No Answer",4,D842="In Touch - Negative",3)</f>
        <v>4</v>
      </c>
      <c r="C842" s="16" t="s">
        <v>2438</v>
      </c>
      <c r="D842" s="99" t="str">
        <f t="shared" si="94"/>
        <v>No Answer</v>
      </c>
      <c r="E842" s="12" t="s">
        <v>2448</v>
      </c>
      <c r="F842" s="12"/>
      <c r="G842" s="13" t="s">
        <v>333</v>
      </c>
      <c r="H842" s="14" t="s">
        <v>2449</v>
      </c>
      <c r="I842" s="13">
        <v>329920</v>
      </c>
      <c r="J842" s="13" t="s">
        <v>1018</v>
      </c>
      <c r="K842" s="15" t="s">
        <v>2450</v>
      </c>
      <c r="L842" s="15"/>
      <c r="M842" s="15"/>
      <c r="N842" s="15"/>
      <c r="O842" s="15"/>
      <c r="P842" s="15"/>
      <c r="Q842" s="15"/>
      <c r="R842" s="16"/>
      <c r="S842" s="35" t="s">
        <v>77</v>
      </c>
      <c r="T842" s="13">
        <v>2020</v>
      </c>
      <c r="U842" s="17">
        <v>2.2040000000000002</v>
      </c>
      <c r="V842" s="17">
        <v>0.27300000000000002</v>
      </c>
      <c r="W842" s="60">
        <f t="shared" si="95"/>
        <v>0.12386569872958257</v>
      </c>
      <c r="X842" s="17">
        <v>0.191</v>
      </c>
      <c r="Y842" s="17">
        <v>-0.26300000000000001</v>
      </c>
      <c r="Z842" s="16"/>
      <c r="AA842" s="15" t="s">
        <v>431</v>
      </c>
      <c r="AB842" s="17"/>
      <c r="AC842" s="21" t="s">
        <v>61</v>
      </c>
      <c r="AD842" s="21" t="s">
        <v>61</v>
      </c>
      <c r="AE842" s="17" t="s">
        <v>62</v>
      </c>
      <c r="AF842" s="17"/>
      <c r="AG842" s="15"/>
      <c r="AH842" s="16"/>
      <c r="AI842" s="16"/>
      <c r="AJ842" s="42">
        <f t="shared" ca="1" si="89"/>
        <v>1026</v>
      </c>
      <c r="AK842" s="42">
        <f t="shared" ca="1" si="90"/>
        <v>1026</v>
      </c>
      <c r="AL842" s="130" t="str">
        <f t="shared" si="91"/>
        <v>No Answer</v>
      </c>
      <c r="AM842" s="37">
        <v>44638</v>
      </c>
      <c r="AN842" s="38">
        <v>44638</v>
      </c>
      <c r="AO842" s="38" t="s">
        <v>65</v>
      </c>
      <c r="AP842" s="38"/>
      <c r="AQ842" s="38"/>
      <c r="AR842" s="101" t="s">
        <v>1763</v>
      </c>
      <c r="AS842" s="38">
        <v>44638</v>
      </c>
      <c r="AT842" s="11" t="s">
        <v>7</v>
      </c>
    </row>
    <row r="843" spans="1:55" s="98" customFormat="1" x14ac:dyDescent="0.3">
      <c r="A843" s="16"/>
      <c r="B843" s="16" cm="1">
        <f t="array" ref="B843">+_xlfn.IFS(D843="In Touch - Positive",2,D843="Pending",1,D843="No Answer",4,D843="In Touch - Negative",3)</f>
        <v>4</v>
      </c>
      <c r="C843" s="16" t="s">
        <v>2438</v>
      </c>
      <c r="D843" s="99" t="str">
        <f t="shared" si="94"/>
        <v>No Answer</v>
      </c>
      <c r="E843" s="12" t="s">
        <v>2451</v>
      </c>
      <c r="F843" s="12"/>
      <c r="G843" s="13" t="s">
        <v>572</v>
      </c>
      <c r="H843" s="14" t="s">
        <v>2452</v>
      </c>
      <c r="I843" s="13">
        <v>329920</v>
      </c>
      <c r="J843" s="13" t="s">
        <v>1018</v>
      </c>
      <c r="K843" s="15" t="s">
        <v>2453</v>
      </c>
      <c r="L843" s="15"/>
      <c r="M843" s="15"/>
      <c r="N843" s="15"/>
      <c r="O843" s="15"/>
      <c r="P843" s="15"/>
      <c r="Q843" s="15"/>
      <c r="R843" s="16"/>
      <c r="S843" s="35" t="s">
        <v>77</v>
      </c>
      <c r="T843" s="13">
        <v>2020</v>
      </c>
      <c r="U843" s="17">
        <v>1.4750000000000001</v>
      </c>
      <c r="V843" s="17">
        <v>0.188</v>
      </c>
      <c r="W843" s="60">
        <f t="shared" si="95"/>
        <v>0.12745762711864406</v>
      </c>
      <c r="X843" s="17">
        <v>-7.0000000000000007E-2</v>
      </c>
      <c r="Y843" s="17">
        <v>0.98899999999999999</v>
      </c>
      <c r="Z843" s="16"/>
      <c r="AA843" s="15" t="s">
        <v>431</v>
      </c>
      <c r="AB843" s="17"/>
      <c r="AC843" s="21" t="s">
        <v>61</v>
      </c>
      <c r="AD843" s="21" t="s">
        <v>61</v>
      </c>
      <c r="AE843" s="17" t="s">
        <v>62</v>
      </c>
      <c r="AF843" s="17"/>
      <c r="AG843" s="15"/>
      <c r="AH843" s="16"/>
      <c r="AI843" s="16"/>
      <c r="AJ843" s="42">
        <f t="shared" ca="1" si="89"/>
        <v>1026</v>
      </c>
      <c r="AK843" s="42">
        <f t="shared" ca="1" si="90"/>
        <v>1026</v>
      </c>
      <c r="AL843" s="130" t="str">
        <f t="shared" si="91"/>
        <v>No Answer</v>
      </c>
      <c r="AM843" s="37">
        <v>44638</v>
      </c>
      <c r="AN843" s="38">
        <v>44638</v>
      </c>
      <c r="AO843" s="38" t="s">
        <v>65</v>
      </c>
      <c r="AP843" s="38"/>
      <c r="AQ843" s="38"/>
      <c r="AR843" s="101" t="s">
        <v>1763</v>
      </c>
      <c r="AS843" s="38">
        <v>44638</v>
      </c>
      <c r="AT843" s="11" t="s">
        <v>7</v>
      </c>
    </row>
    <row r="844" spans="1:55" s="98" customFormat="1" x14ac:dyDescent="0.3">
      <c r="A844" s="16"/>
      <c r="B844" s="16" cm="1">
        <f t="array" ref="B844">+_xlfn.IFS(D844="In Touch - Positive",2,D844="Pending",1,D844="No Answer",4,D844="In Touch - Negative",3)</f>
        <v>4</v>
      </c>
      <c r="C844" s="16" t="s">
        <v>2438</v>
      </c>
      <c r="D844" s="99" t="str">
        <f t="shared" si="94"/>
        <v>No Answer</v>
      </c>
      <c r="E844" s="12" t="s">
        <v>2454</v>
      </c>
      <c r="F844" s="12"/>
      <c r="G844" s="13" t="s">
        <v>137</v>
      </c>
      <c r="H844" s="14" t="s">
        <v>2455</v>
      </c>
      <c r="I844" s="13">
        <v>329920</v>
      </c>
      <c r="J844" s="13" t="s">
        <v>1018</v>
      </c>
      <c r="K844" s="15" t="s">
        <v>2456</v>
      </c>
      <c r="L844" s="15"/>
      <c r="M844" s="15"/>
      <c r="N844" s="15"/>
      <c r="O844" s="15"/>
      <c r="P844" s="15"/>
      <c r="Q844" s="15"/>
      <c r="R844" s="16"/>
      <c r="S844" s="35" t="s">
        <v>77</v>
      </c>
      <c r="T844" s="13">
        <v>2020</v>
      </c>
      <c r="U844" s="17">
        <v>1.1890000000000001</v>
      </c>
      <c r="V844" s="17">
        <v>0.224</v>
      </c>
      <c r="W844" s="60">
        <f t="shared" si="95"/>
        <v>0.18839360807401176</v>
      </c>
      <c r="X844" s="17">
        <v>0.107</v>
      </c>
      <c r="Y844" s="17">
        <v>0.14899999999999999</v>
      </c>
      <c r="Z844" s="16"/>
      <c r="AA844" s="15" t="s">
        <v>431</v>
      </c>
      <c r="AB844" s="17"/>
      <c r="AC844" s="21" t="s">
        <v>61</v>
      </c>
      <c r="AD844" s="21" t="s">
        <v>61</v>
      </c>
      <c r="AE844" s="61" t="s">
        <v>62</v>
      </c>
      <c r="AF844" s="17"/>
      <c r="AG844" s="15"/>
      <c r="AH844" s="16"/>
      <c r="AI844" s="16"/>
      <c r="AJ844" s="42">
        <f t="shared" ref="AJ844:AJ873" ca="1" si="96">+TODAY()-AM844</f>
        <v>1026</v>
      </c>
      <c r="AK844" s="42">
        <f t="shared" ref="AK844:AK873" ca="1" si="97">+TODAY()-AS844</f>
        <v>1026</v>
      </c>
      <c r="AL844" s="130" t="str">
        <f t="shared" ref="AL844:AL873" si="98">+IF(D844="Pending",COUNTA(AM844:AQ844)/5,D844)</f>
        <v>No Answer</v>
      </c>
      <c r="AM844" s="37">
        <v>44638</v>
      </c>
      <c r="AN844" s="38">
        <v>44638</v>
      </c>
      <c r="AO844" s="38" t="s">
        <v>65</v>
      </c>
      <c r="AP844" s="38"/>
      <c r="AQ844" s="38"/>
      <c r="AR844" s="101" t="s">
        <v>1763</v>
      </c>
      <c r="AS844" s="38">
        <v>44638</v>
      </c>
      <c r="AT844" s="11" t="s">
        <v>7</v>
      </c>
    </row>
    <row r="845" spans="1:55" s="98" customFormat="1" x14ac:dyDescent="0.3">
      <c r="A845" s="16"/>
      <c r="B845" s="16" cm="1">
        <f t="array" ref="B845">+_xlfn.IFS(D845="In Touch - Positive",2,D845="Pending",1,D845="No Answer",4,D845="In Touch - Negative",3)</f>
        <v>4</v>
      </c>
      <c r="C845" s="16" t="s">
        <v>57</v>
      </c>
      <c r="D845" s="99" t="str">
        <f t="shared" si="94"/>
        <v>No Answer</v>
      </c>
      <c r="E845" s="12" t="s">
        <v>2457</v>
      </c>
      <c r="F845" s="12"/>
      <c r="G845" s="13" t="s">
        <v>103</v>
      </c>
      <c r="H845" s="14" t="s">
        <v>2458</v>
      </c>
      <c r="I845" s="13">
        <v>855920</v>
      </c>
      <c r="J845" s="13" t="s">
        <v>57</v>
      </c>
      <c r="K845" s="15" t="s">
        <v>2459</v>
      </c>
      <c r="L845" s="15"/>
      <c r="M845" s="15"/>
      <c r="N845" s="15"/>
      <c r="O845" s="15"/>
      <c r="P845" s="15"/>
      <c r="Q845" s="15"/>
      <c r="R845" s="16"/>
      <c r="S845" s="35" t="s">
        <v>77</v>
      </c>
      <c r="T845" s="13">
        <v>2020</v>
      </c>
      <c r="U845" s="17">
        <v>6.516</v>
      </c>
      <c r="V845" s="17">
        <v>1.026</v>
      </c>
      <c r="W845" s="60">
        <f t="shared" si="95"/>
        <v>0.15745856353591162</v>
      </c>
      <c r="X845" s="17">
        <v>0.55300000000000005</v>
      </c>
      <c r="Y845" s="17">
        <v>-0.90300000000000002</v>
      </c>
      <c r="Z845" s="16"/>
      <c r="AA845" s="15" t="s">
        <v>140</v>
      </c>
      <c r="AB845" s="17"/>
      <c r="AC845" s="21" t="s">
        <v>61</v>
      </c>
      <c r="AD845" s="21" t="s">
        <v>61</v>
      </c>
      <c r="AE845" s="17" t="s">
        <v>62</v>
      </c>
      <c r="AF845" s="17"/>
      <c r="AG845" s="15"/>
      <c r="AH845" s="16"/>
      <c r="AI845" s="16"/>
      <c r="AJ845" s="42">
        <f t="shared" ca="1" si="96"/>
        <v>1027</v>
      </c>
      <c r="AK845" s="42">
        <f t="shared" ca="1" si="97"/>
        <v>1027</v>
      </c>
      <c r="AL845" s="130" t="str">
        <f t="shared" si="98"/>
        <v>No Answer</v>
      </c>
      <c r="AM845" s="37">
        <v>44637</v>
      </c>
      <c r="AN845" s="38">
        <v>44637</v>
      </c>
      <c r="AO845" s="38" t="s">
        <v>65</v>
      </c>
      <c r="AP845" s="38"/>
      <c r="AQ845" s="38"/>
      <c r="AR845" s="101" t="s">
        <v>1763</v>
      </c>
      <c r="AS845" s="38">
        <v>44637</v>
      </c>
      <c r="AT845" s="11" t="s">
        <v>7</v>
      </c>
    </row>
    <row r="846" spans="1:55" s="98" customFormat="1" x14ac:dyDescent="0.3">
      <c r="A846" s="16"/>
      <c r="B846" s="16" cm="1">
        <f t="array" ref="B846">+_xlfn.IFS(D846="In Touch - Positive",2,D846="Pending",1,D846="No Answer",4,D846="In Touch - Negative",3)</f>
        <v>4</v>
      </c>
      <c r="C846" s="16" t="s">
        <v>57</v>
      </c>
      <c r="D846" s="99" t="str">
        <f t="shared" si="94"/>
        <v>No Answer</v>
      </c>
      <c r="E846" s="12" t="s">
        <v>2460</v>
      </c>
      <c r="F846" s="12"/>
      <c r="G846" s="13" t="s">
        <v>333</v>
      </c>
      <c r="H846" s="14" t="s">
        <v>2461</v>
      </c>
      <c r="I846" s="13">
        <v>855920</v>
      </c>
      <c r="J846" s="13" t="s">
        <v>57</v>
      </c>
      <c r="K846" s="15" t="s">
        <v>2462</v>
      </c>
      <c r="L846" s="15"/>
      <c r="M846" s="15"/>
      <c r="N846" s="15"/>
      <c r="O846" s="15"/>
      <c r="P846" s="15"/>
      <c r="Q846" s="15"/>
      <c r="R846" s="16"/>
      <c r="S846" s="35" t="s">
        <v>77</v>
      </c>
      <c r="T846" s="13">
        <v>2020</v>
      </c>
      <c r="U846" s="17">
        <v>1.4247099999999999</v>
      </c>
      <c r="V846" s="17">
        <v>0.317</v>
      </c>
      <c r="W846" s="60">
        <f t="shared" si="95"/>
        <v>0.22250142134188713</v>
      </c>
      <c r="X846" s="17">
        <v>0.20300000000000001</v>
      </c>
      <c r="Y846" s="17">
        <v>-0.64800000000000002</v>
      </c>
      <c r="Z846" s="16"/>
      <c r="AA846" s="15" t="s">
        <v>431</v>
      </c>
      <c r="AB846" s="17"/>
      <c r="AC846" s="21" t="s">
        <v>61</v>
      </c>
      <c r="AD846" s="21" t="s">
        <v>61</v>
      </c>
      <c r="AE846" s="17" t="s">
        <v>62</v>
      </c>
      <c r="AF846" s="17"/>
      <c r="AG846" s="15"/>
      <c r="AH846" s="16"/>
      <c r="AI846" s="16"/>
      <c r="AJ846" s="42">
        <f t="shared" ca="1" si="96"/>
        <v>1027</v>
      </c>
      <c r="AK846" s="42">
        <f t="shared" ca="1" si="97"/>
        <v>1027</v>
      </c>
      <c r="AL846" s="130" t="str">
        <f t="shared" si="98"/>
        <v>No Answer</v>
      </c>
      <c r="AM846" s="37">
        <v>44637</v>
      </c>
      <c r="AN846" s="38">
        <v>44637</v>
      </c>
      <c r="AO846" s="38" t="s">
        <v>65</v>
      </c>
      <c r="AP846" s="38"/>
      <c r="AQ846" s="38"/>
      <c r="AR846" s="101" t="s">
        <v>1763</v>
      </c>
      <c r="AS846" s="38">
        <v>44637</v>
      </c>
      <c r="AT846" s="11" t="s">
        <v>7</v>
      </c>
    </row>
    <row r="847" spans="1:55" s="98" customFormat="1" x14ac:dyDescent="0.3">
      <c r="A847" s="16"/>
      <c r="B847" s="16" cm="1">
        <f t="array" ref="B847">+_xlfn.IFS(D847="In Touch - Positive",2,D847="Pending",1,D847="No Answer",4,D847="In Touch - Negative",3)</f>
        <v>4</v>
      </c>
      <c r="C847" s="16" t="s">
        <v>57</v>
      </c>
      <c r="D847" s="99" t="str">
        <f t="shared" si="94"/>
        <v>No Answer</v>
      </c>
      <c r="E847" s="12" t="s">
        <v>2463</v>
      </c>
      <c r="F847" s="12"/>
      <c r="G847" s="13" t="s">
        <v>1298</v>
      </c>
      <c r="H847" s="14" t="s">
        <v>2464</v>
      </c>
      <c r="I847" s="13">
        <v>855920</v>
      </c>
      <c r="J847" s="13" t="s">
        <v>57</v>
      </c>
      <c r="K847" s="15" t="s">
        <v>2462</v>
      </c>
      <c r="L847" s="15"/>
      <c r="M847" s="15"/>
      <c r="N847" s="15"/>
      <c r="O847" s="15"/>
      <c r="P847" s="15"/>
      <c r="Q847" s="15"/>
      <c r="R847" s="16"/>
      <c r="S847" s="35" t="s">
        <v>77</v>
      </c>
      <c r="T847" s="13">
        <v>2020</v>
      </c>
      <c r="U847" s="17">
        <v>0.46700000000000003</v>
      </c>
      <c r="V847" s="17">
        <v>0.13</v>
      </c>
      <c r="W847" s="60">
        <f t="shared" si="95"/>
        <v>0.27837259100642398</v>
      </c>
      <c r="X847" s="17">
        <v>4.9000000000000002E-2</v>
      </c>
      <c r="Y847" s="17" t="s">
        <v>543</v>
      </c>
      <c r="Z847" s="16"/>
      <c r="AA847" s="15" t="s">
        <v>431</v>
      </c>
      <c r="AB847" s="17"/>
      <c r="AC847" s="21" t="s">
        <v>61</v>
      </c>
      <c r="AD847" s="21" t="s">
        <v>61</v>
      </c>
      <c r="AE847" s="17" t="s">
        <v>62</v>
      </c>
      <c r="AF847" s="17"/>
      <c r="AG847" s="15"/>
      <c r="AH847" s="16"/>
      <c r="AI847" s="16"/>
      <c r="AJ847" s="42">
        <f t="shared" ca="1" si="96"/>
        <v>1027</v>
      </c>
      <c r="AK847" s="42">
        <f t="shared" ca="1" si="97"/>
        <v>1027</v>
      </c>
      <c r="AL847" s="130" t="str">
        <f t="shared" si="98"/>
        <v>No Answer</v>
      </c>
      <c r="AM847" s="37">
        <v>44637</v>
      </c>
      <c r="AN847" s="38">
        <v>44637</v>
      </c>
      <c r="AO847" s="38" t="s">
        <v>65</v>
      </c>
      <c r="AP847" s="38"/>
      <c r="AQ847" s="38"/>
      <c r="AR847" s="101" t="s">
        <v>1763</v>
      </c>
      <c r="AS847" s="38">
        <v>44637</v>
      </c>
      <c r="AT847" s="11" t="s">
        <v>7</v>
      </c>
    </row>
    <row r="848" spans="1:55" s="98" customFormat="1" x14ac:dyDescent="0.3">
      <c r="A848" s="16"/>
      <c r="B848" s="16" cm="1">
        <f t="array" ref="B848">+_xlfn.IFS(D848="In Touch - Positive",2,D848="Pending",1,D848="No Answer",4,D848="In Touch - Negative",3)</f>
        <v>4</v>
      </c>
      <c r="C848" s="16" t="s">
        <v>1949</v>
      </c>
      <c r="D848" s="99" t="str">
        <f t="shared" si="94"/>
        <v>No Answer</v>
      </c>
      <c r="E848" s="12" t="s">
        <v>2465</v>
      </c>
      <c r="F848" s="12"/>
      <c r="G848" s="13" t="s">
        <v>2197</v>
      </c>
      <c r="H848" s="14" t="s">
        <v>2466</v>
      </c>
      <c r="I848" s="13">
        <v>259999</v>
      </c>
      <c r="J848" s="13" t="s">
        <v>111</v>
      </c>
      <c r="K848" s="15" t="s">
        <v>2467</v>
      </c>
      <c r="L848" s="15"/>
      <c r="M848" s="15"/>
      <c r="N848" s="15"/>
      <c r="O848" s="15"/>
      <c r="P848" s="15"/>
      <c r="Q848" s="15"/>
      <c r="R848" s="16"/>
      <c r="S848" s="35"/>
      <c r="T848" s="13">
        <v>2020</v>
      </c>
      <c r="U848" s="17">
        <v>38.063000000000002</v>
      </c>
      <c r="V848" s="17">
        <v>7.2539999999999996</v>
      </c>
      <c r="W848" s="60">
        <f t="shared" si="95"/>
        <v>0.19057877729028189</v>
      </c>
      <c r="X848" s="17">
        <v>5.5780000000000003</v>
      </c>
      <c r="Y848" s="17">
        <v>-7.2560000000000002</v>
      </c>
      <c r="Z848" s="16"/>
      <c r="AA848" s="15" t="s">
        <v>431</v>
      </c>
      <c r="AB848" s="17"/>
      <c r="AC848" s="21" t="s">
        <v>61</v>
      </c>
      <c r="AD848" s="21" t="s">
        <v>61</v>
      </c>
      <c r="AE848" s="61" t="s">
        <v>79</v>
      </c>
      <c r="AF848" s="17"/>
      <c r="AG848" s="15"/>
      <c r="AH848" s="16"/>
      <c r="AI848" s="16"/>
      <c r="AJ848" s="42">
        <f t="shared" ca="1" si="96"/>
        <v>1027</v>
      </c>
      <c r="AK848" s="42">
        <f t="shared" ca="1" si="97"/>
        <v>1027</v>
      </c>
      <c r="AL848" s="130" t="str">
        <f t="shared" si="98"/>
        <v>No Answer</v>
      </c>
      <c r="AM848" s="37">
        <v>44637</v>
      </c>
      <c r="AN848" s="38">
        <v>44637</v>
      </c>
      <c r="AO848" s="38">
        <v>44649</v>
      </c>
      <c r="AP848" s="38"/>
      <c r="AQ848" s="38"/>
      <c r="AR848" s="101" t="s">
        <v>1763</v>
      </c>
      <c r="AS848" s="38">
        <v>44637</v>
      </c>
      <c r="AT848" s="11" t="s">
        <v>7</v>
      </c>
    </row>
    <row r="849" spans="1:46" s="98" customFormat="1" x14ac:dyDescent="0.3">
      <c r="A849" s="16"/>
      <c r="B849" s="16" cm="1">
        <f t="array" ref="B849">+_xlfn.IFS(D849="In Touch - Positive",2,D849="Pending",1,D849="No Answer",4,D849="In Touch - Negative",3)</f>
        <v>4</v>
      </c>
      <c r="C849" s="16" t="s">
        <v>1949</v>
      </c>
      <c r="D849" s="99" t="str">
        <f t="shared" si="94"/>
        <v>No Answer</v>
      </c>
      <c r="E849" s="12" t="s">
        <v>2468</v>
      </c>
      <c r="F849" s="12"/>
      <c r="G849" s="13" t="s">
        <v>988</v>
      </c>
      <c r="H849" s="14" t="s">
        <v>2469</v>
      </c>
      <c r="I849" s="13">
        <v>310200</v>
      </c>
      <c r="J849" s="13" t="s">
        <v>342</v>
      </c>
      <c r="K849" s="15" t="s">
        <v>2470</v>
      </c>
      <c r="L849" s="15"/>
      <c r="M849" s="15"/>
      <c r="N849" s="15"/>
      <c r="O849" s="15"/>
      <c r="P849" s="15"/>
      <c r="Q849" s="15"/>
      <c r="R849" s="16"/>
      <c r="S849" s="35"/>
      <c r="T849" s="13">
        <v>2020</v>
      </c>
      <c r="U849" s="17">
        <v>35.801000000000002</v>
      </c>
      <c r="V849" s="17">
        <v>4.0720000000000001</v>
      </c>
      <c r="W849" s="60">
        <f t="shared" si="95"/>
        <v>0.11373983966928297</v>
      </c>
      <c r="X849" s="17">
        <v>1.4510000000000001</v>
      </c>
      <c r="Y849" s="17">
        <v>8.3580000000000005</v>
      </c>
      <c r="Z849" s="16"/>
      <c r="AA849" s="15" t="s">
        <v>431</v>
      </c>
      <c r="AB849" s="17"/>
      <c r="AC849" s="21" t="s">
        <v>61</v>
      </c>
      <c r="AD849" s="21" t="s">
        <v>61</v>
      </c>
      <c r="AE849" s="61" t="s">
        <v>562</v>
      </c>
      <c r="AF849" s="17"/>
      <c r="AG849" s="15"/>
      <c r="AH849" s="16"/>
      <c r="AI849" s="16"/>
      <c r="AJ849" s="42">
        <f t="shared" ca="1" si="96"/>
        <v>1027</v>
      </c>
      <c r="AK849" s="42">
        <f t="shared" ca="1" si="97"/>
        <v>1027</v>
      </c>
      <c r="AL849" s="130" t="str">
        <f t="shared" si="98"/>
        <v>No Answer</v>
      </c>
      <c r="AM849" s="37">
        <v>44637</v>
      </c>
      <c r="AN849" s="38">
        <v>44637</v>
      </c>
      <c r="AO849" s="38">
        <v>44649</v>
      </c>
      <c r="AP849" s="38"/>
      <c r="AQ849" s="38"/>
      <c r="AR849" s="101" t="s">
        <v>1763</v>
      </c>
      <c r="AS849" s="38">
        <v>44637</v>
      </c>
      <c r="AT849" s="11" t="s">
        <v>7</v>
      </c>
    </row>
    <row r="850" spans="1:46" s="98" customFormat="1" x14ac:dyDescent="0.3">
      <c r="A850" s="16"/>
      <c r="B850" s="16" cm="1">
        <f t="array" ref="B850">+_xlfn.IFS(D850="In Touch - Positive",2,D850="Pending",1,D850="No Answer",4,D850="In Touch - Negative",3)</f>
        <v>4</v>
      </c>
      <c r="C850" s="16" t="s">
        <v>1940</v>
      </c>
      <c r="D850" s="99" t="str">
        <f t="shared" si="94"/>
        <v>No Answer</v>
      </c>
      <c r="E850" s="12" t="s">
        <v>2471</v>
      </c>
      <c r="F850" s="12"/>
      <c r="G850" s="13" t="s">
        <v>68</v>
      </c>
      <c r="H850" s="14" t="s">
        <v>2472</v>
      </c>
      <c r="I850" s="13"/>
      <c r="J850" s="13" t="s">
        <v>119</v>
      </c>
      <c r="K850" s="15" t="s">
        <v>2473</v>
      </c>
      <c r="L850" s="15"/>
      <c r="M850" s="15"/>
      <c r="N850" s="15"/>
      <c r="O850" s="15"/>
      <c r="P850" s="15"/>
      <c r="Q850" s="15"/>
      <c r="R850" s="16"/>
      <c r="S850" s="35"/>
      <c r="T850" s="13">
        <v>2020</v>
      </c>
      <c r="U850" s="17">
        <v>46.008000000000003</v>
      </c>
      <c r="V850" s="17">
        <v>7.7759999999999998</v>
      </c>
      <c r="W850" s="60">
        <f t="shared" si="95"/>
        <v>0.16901408450704225</v>
      </c>
      <c r="X850" s="17">
        <v>4.7480000000000002</v>
      </c>
      <c r="Y850" s="17">
        <v>-10.212</v>
      </c>
      <c r="Z850" s="16"/>
      <c r="AA850" s="15" t="s">
        <v>140</v>
      </c>
      <c r="AB850" s="17"/>
      <c r="AC850" s="21" t="s">
        <v>61</v>
      </c>
      <c r="AD850" s="21" t="s">
        <v>61</v>
      </c>
      <c r="AE850" s="17" t="s">
        <v>562</v>
      </c>
      <c r="AF850" s="17"/>
      <c r="AG850" s="15"/>
      <c r="AH850" s="16"/>
      <c r="AI850" s="16"/>
      <c r="AJ850" s="42">
        <f t="shared" ca="1" si="96"/>
        <v>1027</v>
      </c>
      <c r="AK850" s="42">
        <f t="shared" ca="1" si="97"/>
        <v>1027</v>
      </c>
      <c r="AL850" s="130" t="str">
        <f t="shared" si="98"/>
        <v>No Answer</v>
      </c>
      <c r="AM850" s="37">
        <v>44637</v>
      </c>
      <c r="AN850" s="38">
        <v>44637</v>
      </c>
      <c r="AO850" s="38">
        <v>44649</v>
      </c>
      <c r="AP850" s="38"/>
      <c r="AQ850" s="38"/>
      <c r="AR850" s="101" t="s">
        <v>1763</v>
      </c>
      <c r="AS850" s="38">
        <v>44637</v>
      </c>
      <c r="AT850" s="11" t="s">
        <v>7</v>
      </c>
    </row>
    <row r="851" spans="1:46" s="98" customFormat="1" x14ac:dyDescent="0.3">
      <c r="A851" s="16"/>
      <c r="B851" s="16" cm="1">
        <f t="array" ref="B851">+_xlfn.IFS(D851="In Touch - Positive",2,D851="Pending",1,D851="No Answer",4,D851="In Touch - Negative",3)</f>
        <v>4</v>
      </c>
      <c r="C851" s="16" t="s">
        <v>1951</v>
      </c>
      <c r="D851" s="99" t="str">
        <f t="shared" si="94"/>
        <v>No Answer</v>
      </c>
      <c r="E851" s="12" t="s">
        <v>2474</v>
      </c>
      <c r="F851" s="12"/>
      <c r="G851" s="13" t="s">
        <v>1080</v>
      </c>
      <c r="H851" s="14"/>
      <c r="I851" s="13"/>
      <c r="J851" s="13" t="s">
        <v>83</v>
      </c>
      <c r="K851" s="15" t="s">
        <v>2475</v>
      </c>
      <c r="L851" s="15"/>
      <c r="M851" s="15"/>
      <c r="N851" s="15"/>
      <c r="O851" s="15"/>
      <c r="P851" s="15"/>
      <c r="Q851" s="15"/>
      <c r="R851" s="16"/>
      <c r="S851" s="35"/>
      <c r="T851" s="13">
        <v>2020</v>
      </c>
      <c r="U851" s="17">
        <v>20.271000000000001</v>
      </c>
      <c r="V851" s="17">
        <v>0.627</v>
      </c>
      <c r="W851" s="60">
        <f t="shared" si="95"/>
        <v>3.0930886488086427E-2</v>
      </c>
      <c r="X851" s="17">
        <v>-0.32900000000000001</v>
      </c>
      <c r="Y851" s="17">
        <v>6.2720000000000002</v>
      </c>
      <c r="Z851" s="16"/>
      <c r="AA851" s="15" t="s">
        <v>140</v>
      </c>
      <c r="AB851" s="17"/>
      <c r="AC851" s="21" t="s">
        <v>61</v>
      </c>
      <c r="AD851" s="21" t="s">
        <v>61</v>
      </c>
      <c r="AE851" s="61" t="s">
        <v>79</v>
      </c>
      <c r="AF851" s="17"/>
      <c r="AG851" s="15"/>
      <c r="AH851" s="16"/>
      <c r="AI851" s="16"/>
      <c r="AJ851" s="42">
        <f t="shared" ca="1" si="96"/>
        <v>1062</v>
      </c>
      <c r="AK851" s="42">
        <f t="shared" ca="1" si="97"/>
        <v>1051</v>
      </c>
      <c r="AL851" s="130" t="str">
        <f t="shared" si="98"/>
        <v>No Answer</v>
      </c>
      <c r="AM851" s="37">
        <v>44602</v>
      </c>
      <c r="AN851" s="38">
        <v>44613</v>
      </c>
      <c r="AO851" s="38">
        <v>44634</v>
      </c>
      <c r="AP851" s="38"/>
      <c r="AQ851" s="38"/>
      <c r="AR851" s="101" t="s">
        <v>1763</v>
      </c>
      <c r="AS851" s="38">
        <v>44613</v>
      </c>
      <c r="AT851" s="11" t="s">
        <v>7</v>
      </c>
    </row>
    <row r="852" spans="1:46" s="98" customFormat="1" x14ac:dyDescent="0.3">
      <c r="A852" s="16"/>
      <c r="B852" s="16" cm="1">
        <f t="array" ref="B852">+_xlfn.IFS(D852="In Touch - Positive",2,D852="Pending",1,D852="No Answer",4,D852="In Touch - Negative",3)</f>
        <v>4</v>
      </c>
      <c r="C852" s="16" t="s">
        <v>1949</v>
      </c>
      <c r="D852" s="99" t="str">
        <f t="shared" si="94"/>
        <v>No Answer</v>
      </c>
      <c r="E852" s="12" t="s">
        <v>1250</v>
      </c>
      <c r="F852" s="12"/>
      <c r="G852" s="13" t="s">
        <v>271</v>
      </c>
      <c r="H852" s="14" t="s">
        <v>1251</v>
      </c>
      <c r="I852" s="13"/>
      <c r="J852" s="13" t="s">
        <v>1252</v>
      </c>
      <c r="K852" s="15" t="s">
        <v>1253</v>
      </c>
      <c r="L852" s="15"/>
      <c r="M852" s="15"/>
      <c r="N852" s="15"/>
      <c r="O852" s="15"/>
      <c r="P852" s="15"/>
      <c r="Q852" s="15"/>
      <c r="R852" s="16"/>
      <c r="S852" s="35"/>
      <c r="T852" s="13"/>
      <c r="U852" s="17"/>
      <c r="V852" s="17"/>
      <c r="W852" s="60" t="e">
        <f t="shared" si="95"/>
        <v>#DIV/0!</v>
      </c>
      <c r="X852" s="17"/>
      <c r="Y852" s="17"/>
      <c r="Z852" s="16"/>
      <c r="AA852" s="15" t="s">
        <v>140</v>
      </c>
      <c r="AB852" s="17"/>
      <c r="AC852" s="21" t="s">
        <v>61</v>
      </c>
      <c r="AD852" s="21" t="s">
        <v>61</v>
      </c>
      <c r="AE852" s="17" t="s">
        <v>62</v>
      </c>
      <c r="AF852" s="17"/>
      <c r="AG852" s="15"/>
      <c r="AH852" s="16"/>
      <c r="AI852" s="16"/>
      <c r="AJ852" s="42">
        <f t="shared" ca="1" si="96"/>
        <v>1075</v>
      </c>
      <c r="AK852" s="42">
        <f t="shared" ca="1" si="97"/>
        <v>1057</v>
      </c>
      <c r="AL852" s="130" t="str">
        <f t="shared" si="98"/>
        <v>No Answer</v>
      </c>
      <c r="AM852" s="37">
        <v>44589</v>
      </c>
      <c r="AN852" s="38">
        <v>44607</v>
      </c>
      <c r="AO852" s="38"/>
      <c r="AP852" s="38"/>
      <c r="AQ852" s="38"/>
      <c r="AR852" s="101" t="s">
        <v>1763</v>
      </c>
      <c r="AS852" s="38">
        <v>44607</v>
      </c>
      <c r="AT852" s="11" t="s">
        <v>7</v>
      </c>
    </row>
    <row r="853" spans="1:46" s="98" customFormat="1" x14ac:dyDescent="0.3">
      <c r="B853" s="16" cm="1">
        <f t="array" ref="B853">+_xlfn.IFS(D853="In Touch - Positive",2,D853="Pending",1,D853="No Answer",4,D853="In Touch - Negative",3)</f>
        <v>4</v>
      </c>
      <c r="C853" s="16" t="s">
        <v>1940</v>
      </c>
      <c r="D853" s="99" t="str">
        <f t="shared" si="94"/>
        <v>No Answer</v>
      </c>
      <c r="E853" s="12" t="s">
        <v>2476</v>
      </c>
      <c r="F853" s="12"/>
      <c r="G853" s="13" t="s">
        <v>68</v>
      </c>
      <c r="H853" s="14" t="s">
        <v>2477</v>
      </c>
      <c r="I853" s="13"/>
      <c r="J853" s="13" t="s">
        <v>119</v>
      </c>
      <c r="K853" s="15" t="s">
        <v>2478</v>
      </c>
      <c r="L853" s="15"/>
      <c r="M853" s="15"/>
      <c r="N853" s="15"/>
      <c r="O853" s="15"/>
      <c r="P853" s="15"/>
      <c r="Q853" s="15"/>
      <c r="R853" s="16"/>
      <c r="S853" s="35"/>
      <c r="T853" s="13"/>
      <c r="U853" s="17"/>
      <c r="V853" s="17"/>
      <c r="W853" s="60" t="e">
        <f t="shared" si="95"/>
        <v>#DIV/0!</v>
      </c>
      <c r="X853" s="17"/>
      <c r="Y853" s="17"/>
      <c r="Z853" s="16"/>
      <c r="AA853" s="15" t="s">
        <v>140</v>
      </c>
      <c r="AB853" s="17"/>
      <c r="AC853" s="21" t="s">
        <v>61</v>
      </c>
      <c r="AD853" s="21" t="s">
        <v>61</v>
      </c>
      <c r="AE853" s="17" t="s">
        <v>562</v>
      </c>
      <c r="AF853" s="17"/>
      <c r="AG853" s="15"/>
      <c r="AH853" s="16"/>
      <c r="AI853" s="16"/>
      <c r="AJ853" s="42">
        <f t="shared" ca="1" si="96"/>
        <v>1075</v>
      </c>
      <c r="AK853" s="42">
        <f t="shared" ca="1" si="97"/>
        <v>1057</v>
      </c>
      <c r="AL853" s="130" t="str">
        <f t="shared" si="98"/>
        <v>No Answer</v>
      </c>
      <c r="AM853" s="37">
        <v>44589</v>
      </c>
      <c r="AN853" s="38">
        <v>44607</v>
      </c>
      <c r="AO853" s="38"/>
      <c r="AP853" s="38"/>
      <c r="AQ853" s="38"/>
      <c r="AR853" s="101" t="s">
        <v>1763</v>
      </c>
      <c r="AS853" s="38">
        <v>44607</v>
      </c>
      <c r="AT853" s="11" t="s">
        <v>7</v>
      </c>
    </row>
    <row r="854" spans="1:46" s="98" customFormat="1" x14ac:dyDescent="0.3">
      <c r="A854" s="16"/>
      <c r="B854" s="16" cm="1">
        <f t="array" ref="B854">+_xlfn.IFS(D854="In Touch - Positive",2,D854="Pending",1,D854="No Answer",4,D854="In Touch - Negative",3)</f>
        <v>4</v>
      </c>
      <c r="C854" s="16" t="s">
        <v>1954</v>
      </c>
      <c r="D854" s="99" t="str">
        <f t="shared" si="94"/>
        <v>No Answer</v>
      </c>
      <c r="E854" s="12" t="s">
        <v>2479</v>
      </c>
      <c r="F854" s="12"/>
      <c r="G854" s="13" t="s">
        <v>271</v>
      </c>
      <c r="H854" s="14" t="s">
        <v>2480</v>
      </c>
      <c r="I854" s="13"/>
      <c r="J854" s="13" t="s">
        <v>375</v>
      </c>
      <c r="K854" s="15" t="s">
        <v>2481</v>
      </c>
      <c r="L854" s="15"/>
      <c r="M854" s="15"/>
      <c r="N854" s="15"/>
      <c r="O854" s="15"/>
      <c r="P854" s="15"/>
      <c r="Q854" s="15"/>
      <c r="R854" s="16"/>
      <c r="S854" s="35"/>
      <c r="T854" s="13"/>
      <c r="U854" s="17"/>
      <c r="V854" s="17"/>
      <c r="W854" s="60" t="e">
        <f t="shared" si="95"/>
        <v>#DIV/0!</v>
      </c>
      <c r="X854" s="17"/>
      <c r="Y854" s="17"/>
      <c r="Z854" s="16"/>
      <c r="AA854" s="15" t="s">
        <v>140</v>
      </c>
      <c r="AB854" s="17"/>
      <c r="AC854" s="21" t="s">
        <v>61</v>
      </c>
      <c r="AD854" s="21" t="s">
        <v>61</v>
      </c>
      <c r="AE854" s="17" t="s">
        <v>562</v>
      </c>
      <c r="AF854" s="17"/>
      <c r="AG854" s="15"/>
      <c r="AH854" s="16"/>
      <c r="AI854" s="16"/>
      <c r="AJ854" s="42">
        <f t="shared" ca="1" si="96"/>
        <v>1075</v>
      </c>
      <c r="AK854" s="42">
        <f t="shared" ca="1" si="97"/>
        <v>1057</v>
      </c>
      <c r="AL854" s="130" t="str">
        <f t="shared" si="98"/>
        <v>No Answer</v>
      </c>
      <c r="AM854" s="37">
        <v>44589</v>
      </c>
      <c r="AN854" s="38">
        <v>44607</v>
      </c>
      <c r="AO854" s="38"/>
      <c r="AP854" s="38"/>
      <c r="AQ854" s="38"/>
      <c r="AR854" s="101" t="s">
        <v>1763</v>
      </c>
      <c r="AS854" s="38">
        <v>44607</v>
      </c>
      <c r="AT854" s="11" t="s">
        <v>7</v>
      </c>
    </row>
    <row r="855" spans="1:46" s="98" customFormat="1" x14ac:dyDescent="0.3">
      <c r="A855" s="16"/>
      <c r="B855" s="16" cm="1">
        <f t="array" ref="B855">+_xlfn.IFS(D855="In Touch - Positive",2,D855="Pending",1,D855="No Answer",4,D855="In Touch - Negative",3)</f>
        <v>4</v>
      </c>
      <c r="C855" s="16" t="s">
        <v>1954</v>
      </c>
      <c r="D855" s="99" t="str">
        <f t="shared" si="94"/>
        <v>No Answer</v>
      </c>
      <c r="E855" s="12" t="s">
        <v>2482</v>
      </c>
      <c r="F855" s="12"/>
      <c r="G855" s="13" t="s">
        <v>271</v>
      </c>
      <c r="H855" s="14" t="s">
        <v>2483</v>
      </c>
      <c r="I855" s="13"/>
      <c r="J855" s="13" t="s">
        <v>2484</v>
      </c>
      <c r="K855" s="15" t="s">
        <v>2485</v>
      </c>
      <c r="L855" s="15"/>
      <c r="M855" s="15"/>
      <c r="N855" s="15"/>
      <c r="O855" s="15"/>
      <c r="P855" s="15"/>
      <c r="Q855" s="15"/>
      <c r="R855" s="16"/>
      <c r="S855" s="35"/>
      <c r="T855" s="13"/>
      <c r="U855" s="17"/>
      <c r="V855" s="17"/>
      <c r="W855" s="60" t="e">
        <f t="shared" si="95"/>
        <v>#DIV/0!</v>
      </c>
      <c r="X855" s="17"/>
      <c r="Y855" s="17"/>
      <c r="Z855" s="16"/>
      <c r="AA855" s="15" t="s">
        <v>140</v>
      </c>
      <c r="AB855" s="17"/>
      <c r="AC855" s="21" t="s">
        <v>61</v>
      </c>
      <c r="AD855" s="21" t="s">
        <v>61</v>
      </c>
      <c r="AE855" s="17" t="s">
        <v>562</v>
      </c>
      <c r="AF855" s="17"/>
      <c r="AG855" s="15"/>
      <c r="AH855" s="16"/>
      <c r="AI855" s="16"/>
      <c r="AJ855" s="42">
        <f t="shared" ca="1" si="96"/>
        <v>1075</v>
      </c>
      <c r="AK855" s="42">
        <f t="shared" ca="1" si="97"/>
        <v>1057</v>
      </c>
      <c r="AL855" s="130" t="str">
        <f t="shared" si="98"/>
        <v>No Answer</v>
      </c>
      <c r="AM855" s="37">
        <v>44589</v>
      </c>
      <c r="AN855" s="38">
        <v>44607</v>
      </c>
      <c r="AO855" s="38"/>
      <c r="AP855" s="38"/>
      <c r="AQ855" s="38"/>
      <c r="AR855" s="101" t="s">
        <v>1763</v>
      </c>
      <c r="AS855" s="38">
        <v>44607</v>
      </c>
      <c r="AT855" s="11" t="s">
        <v>7</v>
      </c>
    </row>
    <row r="856" spans="1:46" s="98" customFormat="1" x14ac:dyDescent="0.3">
      <c r="B856" s="16" cm="1">
        <f t="array" ref="B856">+_xlfn.IFS(D856="In Touch - Positive",2,D856="Pending",1,D856="No Answer",4,D856="In Touch - Negative",3)</f>
        <v>4</v>
      </c>
      <c r="C856" s="16" t="s">
        <v>1954</v>
      </c>
      <c r="D856" s="99" t="str">
        <f t="shared" si="94"/>
        <v>No Answer</v>
      </c>
      <c r="E856" s="12" t="s">
        <v>1277</v>
      </c>
      <c r="F856" s="12"/>
      <c r="G856" s="13" t="s">
        <v>1278</v>
      </c>
      <c r="H856" s="14" t="s">
        <v>1279</v>
      </c>
      <c r="I856" s="13"/>
      <c r="J856" s="13" t="s">
        <v>83</v>
      </c>
      <c r="K856" s="15" t="s">
        <v>1280</v>
      </c>
      <c r="L856" s="15"/>
      <c r="M856" s="15"/>
      <c r="N856" s="15"/>
      <c r="O856" s="15"/>
      <c r="P856" s="15"/>
      <c r="Q856" s="15"/>
      <c r="R856" s="16"/>
      <c r="S856" s="35"/>
      <c r="T856" s="13"/>
      <c r="U856" s="17"/>
      <c r="V856" s="17"/>
      <c r="W856" s="60" t="e">
        <f t="shared" si="95"/>
        <v>#DIV/0!</v>
      </c>
      <c r="X856" s="17"/>
      <c r="Y856" s="17"/>
      <c r="Z856" s="16"/>
      <c r="AA856" s="15" t="s">
        <v>140</v>
      </c>
      <c r="AB856" s="17"/>
      <c r="AC856" s="21" t="s">
        <v>61</v>
      </c>
      <c r="AD856" s="21" t="s">
        <v>61</v>
      </c>
      <c r="AE856" s="17" t="s">
        <v>562</v>
      </c>
      <c r="AF856" s="17"/>
      <c r="AG856" s="15"/>
      <c r="AH856" s="16"/>
      <c r="AI856" s="16"/>
      <c r="AJ856" s="42">
        <f t="shared" ca="1" si="96"/>
        <v>1075</v>
      </c>
      <c r="AK856" s="42">
        <f t="shared" ca="1" si="97"/>
        <v>1057</v>
      </c>
      <c r="AL856" s="130" t="str">
        <f t="shared" si="98"/>
        <v>No Answer</v>
      </c>
      <c r="AM856" s="37">
        <v>44589</v>
      </c>
      <c r="AN856" s="38">
        <v>44607</v>
      </c>
      <c r="AO856" s="38"/>
      <c r="AP856" s="38"/>
      <c r="AQ856" s="38"/>
      <c r="AR856" s="101" t="s">
        <v>1763</v>
      </c>
      <c r="AS856" s="38">
        <v>44607</v>
      </c>
      <c r="AT856" s="11" t="s">
        <v>7</v>
      </c>
    </row>
    <row r="857" spans="1:46" s="98" customFormat="1" x14ac:dyDescent="0.3">
      <c r="A857" s="16"/>
      <c r="B857" s="16" cm="1">
        <f t="array" ref="B857">+_xlfn.IFS(D857="In Touch - Positive",2,D857="Pending",1,D857="No Answer",4,D857="In Touch - Negative",3)</f>
        <v>4</v>
      </c>
      <c r="C857" s="16" t="s">
        <v>1958</v>
      </c>
      <c r="D857" s="99" t="str">
        <f t="shared" si="94"/>
        <v>No Answer</v>
      </c>
      <c r="E857" s="12" t="s">
        <v>2486</v>
      </c>
      <c r="F857" s="12"/>
      <c r="G857" s="13" t="s">
        <v>2200</v>
      </c>
      <c r="H857" s="14" t="s">
        <v>2487</v>
      </c>
      <c r="I857" s="13"/>
      <c r="J857" s="13" t="s">
        <v>83</v>
      </c>
      <c r="K857" s="15" t="s">
        <v>2488</v>
      </c>
      <c r="L857" s="15"/>
      <c r="M857" s="15"/>
      <c r="N857" s="15"/>
      <c r="O857" s="15"/>
      <c r="P857" s="15"/>
      <c r="Q857" s="15"/>
      <c r="R857" s="16"/>
      <c r="S857" s="35"/>
      <c r="T857" s="13"/>
      <c r="U857" s="17"/>
      <c r="V857" s="17"/>
      <c r="W857" s="60" t="e">
        <f t="shared" si="95"/>
        <v>#DIV/0!</v>
      </c>
      <c r="X857" s="17"/>
      <c r="Y857" s="17"/>
      <c r="Z857" s="16"/>
      <c r="AA857" s="15" t="s">
        <v>140</v>
      </c>
      <c r="AB857" s="17"/>
      <c r="AC857" s="21" t="s">
        <v>61</v>
      </c>
      <c r="AD857" s="21" t="s">
        <v>61</v>
      </c>
      <c r="AE857" s="17" t="s">
        <v>562</v>
      </c>
      <c r="AF857" s="17"/>
      <c r="AG857" s="15"/>
      <c r="AH857" s="16"/>
      <c r="AI857" s="16"/>
      <c r="AJ857" s="42">
        <f t="shared" ca="1" si="96"/>
        <v>1075</v>
      </c>
      <c r="AK857" s="42">
        <f t="shared" ca="1" si="97"/>
        <v>1065</v>
      </c>
      <c r="AL857" s="130" t="str">
        <f t="shared" si="98"/>
        <v>No Answer</v>
      </c>
      <c r="AM857" s="37">
        <v>44589</v>
      </c>
      <c r="AN857" s="38">
        <v>44599</v>
      </c>
      <c r="AO857" s="38">
        <v>44606</v>
      </c>
      <c r="AP857" s="38"/>
      <c r="AQ857" s="38"/>
      <c r="AR857" s="101" t="s">
        <v>1763</v>
      </c>
      <c r="AS857" s="38">
        <v>44599</v>
      </c>
      <c r="AT857" s="11" t="s">
        <v>7</v>
      </c>
    </row>
    <row r="858" spans="1:46" s="98" customFormat="1" x14ac:dyDescent="0.3">
      <c r="A858" s="16"/>
      <c r="B858" s="16" cm="1">
        <f t="array" ref="B858">+_xlfn.IFS(D858="In Touch - Positive",2,D858="Pending",1,D858="No Answer",4,D858="In Touch - Negative",3)</f>
        <v>4</v>
      </c>
      <c r="C858" s="16" t="s">
        <v>1958</v>
      </c>
      <c r="D858" s="99" t="str">
        <f t="shared" si="94"/>
        <v>No Answer</v>
      </c>
      <c r="E858" s="12" t="s">
        <v>2489</v>
      </c>
      <c r="F858" s="12"/>
      <c r="G858" s="13" t="s">
        <v>326</v>
      </c>
      <c r="H858" s="14" t="s">
        <v>2490</v>
      </c>
      <c r="I858" s="13"/>
      <c r="J858" s="13" t="s">
        <v>2484</v>
      </c>
      <c r="K858" s="15" t="s">
        <v>2491</v>
      </c>
      <c r="L858" s="15"/>
      <c r="M858" s="15"/>
      <c r="N858" s="15"/>
      <c r="O858" s="15"/>
      <c r="P858" s="15"/>
      <c r="Q858" s="15"/>
      <c r="R858" s="16"/>
      <c r="S858" s="35"/>
      <c r="T858" s="13"/>
      <c r="U858" s="17"/>
      <c r="V858" s="17"/>
      <c r="W858" s="60" t="e">
        <f t="shared" si="95"/>
        <v>#DIV/0!</v>
      </c>
      <c r="X858" s="17"/>
      <c r="Y858" s="17"/>
      <c r="Z858" s="16"/>
      <c r="AA858" s="15" t="s">
        <v>140</v>
      </c>
      <c r="AB858" s="17"/>
      <c r="AC858" s="21" t="s">
        <v>61</v>
      </c>
      <c r="AD858" s="21" t="s">
        <v>61</v>
      </c>
      <c r="AE858" s="17" t="s">
        <v>562</v>
      </c>
      <c r="AF858" s="17"/>
      <c r="AG858" s="15"/>
      <c r="AH858" s="16"/>
      <c r="AI858" s="16"/>
      <c r="AJ858" s="42">
        <f t="shared" ca="1" si="96"/>
        <v>1075</v>
      </c>
      <c r="AK858" s="42">
        <f t="shared" ca="1" si="97"/>
        <v>1065</v>
      </c>
      <c r="AL858" s="130" t="str">
        <f t="shared" si="98"/>
        <v>No Answer</v>
      </c>
      <c r="AM858" s="37">
        <v>44589</v>
      </c>
      <c r="AN858" s="38">
        <v>44599</v>
      </c>
      <c r="AO858" s="38">
        <v>44606</v>
      </c>
      <c r="AP858" s="38"/>
      <c r="AQ858" s="38"/>
      <c r="AR858" s="101" t="s">
        <v>1763</v>
      </c>
      <c r="AS858" s="38">
        <v>44599</v>
      </c>
      <c r="AT858" s="11" t="s">
        <v>7</v>
      </c>
    </row>
    <row r="859" spans="1:46" s="98" customFormat="1" x14ac:dyDescent="0.3">
      <c r="A859" s="16"/>
      <c r="B859" s="16" cm="1">
        <f t="array" ref="B859">+_xlfn.IFS(D859="In Touch - Positive",2,D859="Pending",1,D859="No Answer",4,D859="In Touch - Negative",3)</f>
        <v>4</v>
      </c>
      <c r="C859" s="16" t="s">
        <v>1958</v>
      </c>
      <c r="D859" s="99" t="str">
        <f t="shared" si="94"/>
        <v>No Answer</v>
      </c>
      <c r="E859" s="12" t="s">
        <v>2492</v>
      </c>
      <c r="F859" s="12"/>
      <c r="G859" s="13" t="s">
        <v>326</v>
      </c>
      <c r="H859" s="14" t="s">
        <v>2493</v>
      </c>
      <c r="I859" s="13"/>
      <c r="J859" s="13" t="s">
        <v>111</v>
      </c>
      <c r="K859" s="15" t="s">
        <v>2494</v>
      </c>
      <c r="L859" s="15"/>
      <c r="M859" s="15"/>
      <c r="N859" s="15"/>
      <c r="O859" s="15"/>
      <c r="P859" s="15"/>
      <c r="Q859" s="15"/>
      <c r="R859" s="16"/>
      <c r="S859" s="35"/>
      <c r="T859" s="13"/>
      <c r="U859" s="17"/>
      <c r="V859" s="17"/>
      <c r="W859" s="60" t="e">
        <f t="shared" si="95"/>
        <v>#DIV/0!</v>
      </c>
      <c r="X859" s="17"/>
      <c r="Y859" s="17"/>
      <c r="Z859" s="16"/>
      <c r="AA859" s="15" t="s">
        <v>140</v>
      </c>
      <c r="AB859" s="17"/>
      <c r="AC859" s="21" t="s">
        <v>61</v>
      </c>
      <c r="AD859" s="21" t="s">
        <v>61</v>
      </c>
      <c r="AE859" s="17" t="s">
        <v>562</v>
      </c>
      <c r="AF859" s="17"/>
      <c r="AG859" s="15"/>
      <c r="AH859" s="16"/>
      <c r="AI859" s="16"/>
      <c r="AJ859" s="42">
        <f t="shared" ca="1" si="96"/>
        <v>1075</v>
      </c>
      <c r="AK859" s="42">
        <f t="shared" ca="1" si="97"/>
        <v>1065</v>
      </c>
      <c r="AL859" s="130" t="str">
        <f t="shared" si="98"/>
        <v>No Answer</v>
      </c>
      <c r="AM859" s="37">
        <v>44589</v>
      </c>
      <c r="AN859" s="38">
        <v>44599</v>
      </c>
      <c r="AO859" s="38">
        <v>44606</v>
      </c>
      <c r="AP859" s="38"/>
      <c r="AQ859" s="38"/>
      <c r="AR859" s="101" t="s">
        <v>1763</v>
      </c>
      <c r="AS859" s="38">
        <v>44599</v>
      </c>
      <c r="AT859" s="11" t="s">
        <v>7</v>
      </c>
    </row>
    <row r="860" spans="1:46" s="98" customFormat="1" x14ac:dyDescent="0.3">
      <c r="A860" s="16"/>
      <c r="B860" s="16" cm="1">
        <f t="array" ref="B860">+_xlfn.IFS(D860="In Touch - Positive",2,D860="Pending",1,D860="No Answer",4,D860="In Touch - Negative",3)</f>
        <v>4</v>
      </c>
      <c r="C860" s="16" t="s">
        <v>1958</v>
      </c>
      <c r="D860" s="99" t="str">
        <f t="shared" si="94"/>
        <v>No Answer</v>
      </c>
      <c r="E860" s="12" t="s">
        <v>2495</v>
      </c>
      <c r="F860" s="12"/>
      <c r="G860" s="13" t="s">
        <v>326</v>
      </c>
      <c r="H860" s="14" t="s">
        <v>2496</v>
      </c>
      <c r="I860" s="13"/>
      <c r="J860" s="13" t="s">
        <v>375</v>
      </c>
      <c r="K860" s="15" t="s">
        <v>2497</v>
      </c>
      <c r="L860" s="15"/>
      <c r="M860" s="15"/>
      <c r="N860" s="15"/>
      <c r="O860" s="15"/>
      <c r="P860" s="15"/>
      <c r="Q860" s="15"/>
      <c r="R860" s="16"/>
      <c r="S860" s="35"/>
      <c r="T860" s="13"/>
      <c r="U860" s="17"/>
      <c r="V860" s="17"/>
      <c r="W860" s="60" t="e">
        <f t="shared" si="95"/>
        <v>#DIV/0!</v>
      </c>
      <c r="X860" s="17"/>
      <c r="Y860" s="17"/>
      <c r="Z860" s="16"/>
      <c r="AA860" s="15" t="s">
        <v>140</v>
      </c>
      <c r="AB860" s="17"/>
      <c r="AC860" s="21" t="s">
        <v>61</v>
      </c>
      <c r="AD860" s="21" t="s">
        <v>61</v>
      </c>
      <c r="AE860" s="17" t="s">
        <v>562</v>
      </c>
      <c r="AF860" s="17"/>
      <c r="AG860" s="15"/>
      <c r="AH860" s="16"/>
      <c r="AI860" s="16"/>
      <c r="AJ860" s="42">
        <f t="shared" ca="1" si="96"/>
        <v>1075</v>
      </c>
      <c r="AK860" s="42">
        <f t="shared" ca="1" si="97"/>
        <v>1065</v>
      </c>
      <c r="AL860" s="130" t="str">
        <f t="shared" si="98"/>
        <v>No Answer</v>
      </c>
      <c r="AM860" s="37">
        <v>44589</v>
      </c>
      <c r="AN860" s="38">
        <v>44599</v>
      </c>
      <c r="AO860" s="38">
        <v>44606</v>
      </c>
      <c r="AP860" s="38"/>
      <c r="AQ860" s="38"/>
      <c r="AR860" s="101" t="s">
        <v>1763</v>
      </c>
      <c r="AS860" s="38">
        <v>44599</v>
      </c>
      <c r="AT860" s="11" t="s">
        <v>7</v>
      </c>
    </row>
    <row r="861" spans="1:46" s="98" customFormat="1" x14ac:dyDescent="0.3">
      <c r="A861" s="16"/>
      <c r="B861" s="16" cm="1">
        <f t="array" ref="B861">+_xlfn.IFS(D861="In Touch - Positive",2,D861="Pending",1,D861="No Answer",4,D861="In Touch - Negative",3)</f>
        <v>4</v>
      </c>
      <c r="C861" s="16" t="s">
        <v>1958</v>
      </c>
      <c r="D861" s="99" t="str">
        <f t="shared" si="94"/>
        <v>No Answer</v>
      </c>
      <c r="E861" s="12" t="s">
        <v>2498</v>
      </c>
      <c r="F861" s="12"/>
      <c r="G861" s="13" t="s">
        <v>326</v>
      </c>
      <c r="H861" s="14" t="s">
        <v>2499</v>
      </c>
      <c r="I861" s="13"/>
      <c r="J861" s="13" t="s">
        <v>375</v>
      </c>
      <c r="K861" s="15" t="s">
        <v>2500</v>
      </c>
      <c r="L861" s="15"/>
      <c r="M861" s="15"/>
      <c r="N861" s="15"/>
      <c r="O861" s="15"/>
      <c r="P861" s="15"/>
      <c r="Q861" s="15"/>
      <c r="R861" s="16"/>
      <c r="S861" s="35"/>
      <c r="T861" s="13"/>
      <c r="U861" s="17"/>
      <c r="V861" s="17"/>
      <c r="W861" s="60" t="e">
        <f t="shared" si="95"/>
        <v>#DIV/0!</v>
      </c>
      <c r="X861" s="17"/>
      <c r="Y861" s="17"/>
      <c r="Z861" s="16"/>
      <c r="AA861" s="15" t="s">
        <v>140</v>
      </c>
      <c r="AB861" s="17"/>
      <c r="AC861" s="21" t="s">
        <v>61</v>
      </c>
      <c r="AD861" s="21" t="s">
        <v>61</v>
      </c>
      <c r="AE861" s="17" t="s">
        <v>562</v>
      </c>
      <c r="AF861" s="17"/>
      <c r="AG861" s="15"/>
      <c r="AH861" s="16"/>
      <c r="AI861" s="16"/>
      <c r="AJ861" s="42">
        <f t="shared" ca="1" si="96"/>
        <v>1075</v>
      </c>
      <c r="AK861" s="42">
        <f t="shared" ca="1" si="97"/>
        <v>1065</v>
      </c>
      <c r="AL861" s="130" t="str">
        <f t="shared" si="98"/>
        <v>No Answer</v>
      </c>
      <c r="AM861" s="37">
        <v>44589</v>
      </c>
      <c r="AN861" s="38">
        <v>44599</v>
      </c>
      <c r="AO861" s="38">
        <v>44606</v>
      </c>
      <c r="AP861" s="38"/>
      <c r="AQ861" s="38"/>
      <c r="AR861" s="101" t="s">
        <v>1763</v>
      </c>
      <c r="AS861" s="38">
        <v>44599</v>
      </c>
      <c r="AT861" s="11" t="s">
        <v>7</v>
      </c>
    </row>
    <row r="862" spans="1:46" s="98" customFormat="1" x14ac:dyDescent="0.3">
      <c r="A862" s="16"/>
      <c r="B862" s="16" cm="1">
        <f t="array" ref="B862">+_xlfn.IFS(D862="In Touch - Positive",2,D862="Pending",1,D862="No Answer",4,D862="In Touch - Negative",3)</f>
        <v>4</v>
      </c>
      <c r="C862" s="16" t="s">
        <v>1958</v>
      </c>
      <c r="D862" s="99" t="str">
        <f t="shared" si="94"/>
        <v>No Answer</v>
      </c>
      <c r="E862" s="12" t="s">
        <v>2501</v>
      </c>
      <c r="F862" s="12"/>
      <c r="G862" s="13" t="s">
        <v>326</v>
      </c>
      <c r="H862" s="14" t="s">
        <v>2502</v>
      </c>
      <c r="I862" s="13"/>
      <c r="J862" s="13" t="s">
        <v>375</v>
      </c>
      <c r="K862" s="15" t="s">
        <v>2503</v>
      </c>
      <c r="L862" s="15"/>
      <c r="M862" s="15"/>
      <c r="N862" s="15"/>
      <c r="O862" s="15"/>
      <c r="P862" s="15"/>
      <c r="Q862" s="15"/>
      <c r="R862" s="16"/>
      <c r="S862" s="35"/>
      <c r="T862" s="13"/>
      <c r="U862" s="17"/>
      <c r="V862" s="17"/>
      <c r="W862" s="60" t="e">
        <f t="shared" si="95"/>
        <v>#DIV/0!</v>
      </c>
      <c r="X862" s="17"/>
      <c r="Y862" s="17"/>
      <c r="Z862" s="16"/>
      <c r="AA862" s="15" t="s">
        <v>140</v>
      </c>
      <c r="AB862" s="17"/>
      <c r="AC862" s="21" t="s">
        <v>61</v>
      </c>
      <c r="AD862" s="21" t="s">
        <v>61</v>
      </c>
      <c r="AE862" s="17" t="s">
        <v>562</v>
      </c>
      <c r="AF862" s="17"/>
      <c r="AG862" s="15"/>
      <c r="AH862" s="16"/>
      <c r="AI862" s="16"/>
      <c r="AJ862" s="42">
        <f t="shared" ca="1" si="96"/>
        <v>1075</v>
      </c>
      <c r="AK862" s="42">
        <f t="shared" ca="1" si="97"/>
        <v>1065</v>
      </c>
      <c r="AL862" s="130" t="str">
        <f t="shared" si="98"/>
        <v>No Answer</v>
      </c>
      <c r="AM862" s="37">
        <v>44589</v>
      </c>
      <c r="AN862" s="38">
        <v>44599</v>
      </c>
      <c r="AO862" s="38">
        <v>44606</v>
      </c>
      <c r="AP862" s="38"/>
      <c r="AQ862" s="38"/>
      <c r="AR862" s="101" t="s">
        <v>1763</v>
      </c>
      <c r="AS862" s="38">
        <v>44599</v>
      </c>
      <c r="AT862" s="11" t="s">
        <v>7</v>
      </c>
    </row>
    <row r="863" spans="1:46" s="98" customFormat="1" x14ac:dyDescent="0.3">
      <c r="A863" s="16"/>
      <c r="B863" s="16" cm="1">
        <f t="array" ref="B863">+_xlfn.IFS(D863="In Touch - Positive",2,D863="Pending",1,D863="No Answer",4,D863="In Touch - Negative",3)</f>
        <v>4</v>
      </c>
      <c r="C863" s="16" t="s">
        <v>1940</v>
      </c>
      <c r="D863" s="99" t="str">
        <f t="shared" si="94"/>
        <v>No Answer</v>
      </c>
      <c r="E863" s="12" t="s">
        <v>2504</v>
      </c>
      <c r="F863" s="12"/>
      <c r="G863" s="13" t="s">
        <v>340</v>
      </c>
      <c r="H863" s="14" t="s">
        <v>2505</v>
      </c>
      <c r="I863" s="13"/>
      <c r="J863" s="13" t="s">
        <v>149</v>
      </c>
      <c r="K863" s="15" t="s">
        <v>2506</v>
      </c>
      <c r="L863" s="15"/>
      <c r="M863" s="15"/>
      <c r="N863" s="15"/>
      <c r="O863" s="15"/>
      <c r="P863" s="15"/>
      <c r="Q863" s="15"/>
      <c r="R863" s="16"/>
      <c r="S863" s="35"/>
      <c r="T863" s="13"/>
      <c r="U863" s="17"/>
      <c r="V863" s="17"/>
      <c r="W863" s="60" t="e">
        <f t="shared" si="95"/>
        <v>#DIV/0!</v>
      </c>
      <c r="X863" s="17"/>
      <c r="Y863" s="17"/>
      <c r="Z863" s="16"/>
      <c r="AA863" s="15" t="s">
        <v>140</v>
      </c>
      <c r="AB863" s="17"/>
      <c r="AC863" s="21" t="s">
        <v>61</v>
      </c>
      <c r="AD863" s="21" t="s">
        <v>61</v>
      </c>
      <c r="AE863" s="17" t="s">
        <v>562</v>
      </c>
      <c r="AF863" s="17"/>
      <c r="AG863" s="15"/>
      <c r="AH863" s="16"/>
      <c r="AI863" s="16"/>
      <c r="AJ863" s="42">
        <f t="shared" ca="1" si="96"/>
        <v>1075</v>
      </c>
      <c r="AK863" s="42">
        <f t="shared" ca="1" si="97"/>
        <v>1065</v>
      </c>
      <c r="AL863" s="130" t="str">
        <f t="shared" si="98"/>
        <v>No Answer</v>
      </c>
      <c r="AM863" s="37">
        <v>44589</v>
      </c>
      <c r="AN863" s="38">
        <v>44599</v>
      </c>
      <c r="AO863" s="38">
        <v>44606</v>
      </c>
      <c r="AP863" s="38"/>
      <c r="AQ863" s="38"/>
      <c r="AR863" s="101" t="s">
        <v>1763</v>
      </c>
      <c r="AS863" s="38">
        <v>44599</v>
      </c>
      <c r="AT863" s="11" t="s">
        <v>7</v>
      </c>
    </row>
    <row r="864" spans="1:46" s="98" customFormat="1" x14ac:dyDescent="0.3">
      <c r="A864" s="16"/>
      <c r="B864" s="16" cm="1">
        <f t="array" ref="B864">+_xlfn.IFS(D864="In Touch - Positive",2,D864="Pending",1,D864="No Answer",4,D864="In Touch - Negative",3)</f>
        <v>4</v>
      </c>
      <c r="C864" s="16" t="s">
        <v>1940</v>
      </c>
      <c r="D864" s="99" t="str">
        <f t="shared" si="94"/>
        <v>No Answer</v>
      </c>
      <c r="E864" s="12" t="s">
        <v>2507</v>
      </c>
      <c r="F864" s="12"/>
      <c r="G864" s="13" t="s">
        <v>68</v>
      </c>
      <c r="H864" s="14" t="s">
        <v>2508</v>
      </c>
      <c r="I864" s="13"/>
      <c r="J864" s="13" t="s">
        <v>111</v>
      </c>
      <c r="K864" s="15" t="s">
        <v>2509</v>
      </c>
      <c r="L864" s="15"/>
      <c r="M864" s="15"/>
      <c r="N864" s="15"/>
      <c r="O864" s="15"/>
      <c r="P864" s="15"/>
      <c r="Q864" s="15"/>
      <c r="R864" s="16"/>
      <c r="S864" s="35"/>
      <c r="T864" s="13"/>
      <c r="U864" s="17"/>
      <c r="V864" s="17"/>
      <c r="W864" s="60" t="e">
        <f t="shared" si="95"/>
        <v>#DIV/0!</v>
      </c>
      <c r="X864" s="17"/>
      <c r="Y864" s="17"/>
      <c r="Z864" s="16"/>
      <c r="AA864" s="15" t="s">
        <v>140</v>
      </c>
      <c r="AB864" s="17"/>
      <c r="AC864" s="21" t="s">
        <v>61</v>
      </c>
      <c r="AD864" s="21" t="s">
        <v>61</v>
      </c>
      <c r="AE864" s="17" t="s">
        <v>562</v>
      </c>
      <c r="AF864" s="17"/>
      <c r="AG864" s="15"/>
      <c r="AH864" s="16"/>
      <c r="AI864" s="16"/>
      <c r="AJ864" s="42">
        <f t="shared" ca="1" si="96"/>
        <v>1075</v>
      </c>
      <c r="AK864" s="42">
        <f t="shared" ca="1" si="97"/>
        <v>1065</v>
      </c>
      <c r="AL864" s="130" t="str">
        <f t="shared" si="98"/>
        <v>No Answer</v>
      </c>
      <c r="AM864" s="37">
        <v>44589</v>
      </c>
      <c r="AN864" s="38">
        <v>44599</v>
      </c>
      <c r="AO864" s="38">
        <v>44606</v>
      </c>
      <c r="AP864" s="38"/>
      <c r="AQ864" s="38"/>
      <c r="AR864" s="101" t="s">
        <v>1763</v>
      </c>
      <c r="AS864" s="38">
        <v>44599</v>
      </c>
      <c r="AT864" s="11" t="s">
        <v>7</v>
      </c>
    </row>
    <row r="865" spans="1:46" s="98" customFormat="1" x14ac:dyDescent="0.3">
      <c r="A865" s="16"/>
      <c r="B865" s="16" cm="1">
        <f t="array" ref="B865">+_xlfn.IFS(D865="In Touch - Positive",2,D865="Pending",1,D865="No Answer",4,D865="In Touch - Negative",3)</f>
        <v>4</v>
      </c>
      <c r="C865" s="16" t="s">
        <v>1940</v>
      </c>
      <c r="D865" s="99" t="str">
        <f t="shared" si="94"/>
        <v>No Answer</v>
      </c>
      <c r="E865" s="12" t="s">
        <v>2510</v>
      </c>
      <c r="F865" s="12"/>
      <c r="G865" s="13" t="s">
        <v>340</v>
      </c>
      <c r="H865" s="14" t="s">
        <v>2511</v>
      </c>
      <c r="I865" s="13"/>
      <c r="J865" s="13" t="s">
        <v>1545</v>
      </c>
      <c r="K865" s="15" t="s">
        <v>2512</v>
      </c>
      <c r="L865" s="15"/>
      <c r="M865" s="15"/>
      <c r="N865" s="15"/>
      <c r="O865" s="15"/>
      <c r="P865" s="15"/>
      <c r="Q865" s="15"/>
      <c r="R865" s="16"/>
      <c r="S865" s="35"/>
      <c r="T865" s="13"/>
      <c r="U865" s="17"/>
      <c r="V865" s="17"/>
      <c r="W865" s="60" t="e">
        <f t="shared" si="95"/>
        <v>#DIV/0!</v>
      </c>
      <c r="X865" s="17"/>
      <c r="Y865" s="17"/>
      <c r="Z865" s="16"/>
      <c r="AA865" s="15" t="s">
        <v>140</v>
      </c>
      <c r="AB865" s="17"/>
      <c r="AC865" s="21" t="s">
        <v>61</v>
      </c>
      <c r="AD865" s="21" t="s">
        <v>61</v>
      </c>
      <c r="AE865" s="17" t="s">
        <v>562</v>
      </c>
      <c r="AF865" s="17"/>
      <c r="AG865" s="15"/>
      <c r="AH865" s="16"/>
      <c r="AI865" s="16"/>
      <c r="AJ865" s="42">
        <f t="shared" ca="1" si="96"/>
        <v>1075</v>
      </c>
      <c r="AK865" s="42">
        <f t="shared" ca="1" si="97"/>
        <v>1065</v>
      </c>
      <c r="AL865" s="130" t="str">
        <f t="shared" si="98"/>
        <v>No Answer</v>
      </c>
      <c r="AM865" s="37">
        <v>44589</v>
      </c>
      <c r="AN865" s="38">
        <v>44599</v>
      </c>
      <c r="AO865" s="38">
        <v>44606</v>
      </c>
      <c r="AP865" s="38"/>
      <c r="AQ865" s="38"/>
      <c r="AR865" s="101" t="s">
        <v>1763</v>
      </c>
      <c r="AS865" s="38">
        <v>44599</v>
      </c>
      <c r="AT865" s="11" t="s">
        <v>7</v>
      </c>
    </row>
    <row r="866" spans="1:46" s="98" customFormat="1" x14ac:dyDescent="0.3">
      <c r="A866" s="16"/>
      <c r="B866" s="16" cm="1">
        <f t="array" ref="B866">+_xlfn.IFS(D866="In Touch - Positive",2,D866="Pending",1,D866="No Answer",4,D866="In Touch - Negative",3)</f>
        <v>4</v>
      </c>
      <c r="C866" s="16" t="s">
        <v>1951</v>
      </c>
      <c r="D866" s="99" t="str">
        <f t="shared" si="94"/>
        <v>No Answer</v>
      </c>
      <c r="E866" s="12" t="s">
        <v>2513</v>
      </c>
      <c r="F866" s="12"/>
      <c r="G866" s="13"/>
      <c r="H866" s="14"/>
      <c r="I866" s="13"/>
      <c r="J866" s="13"/>
      <c r="K866" s="15"/>
      <c r="L866" s="15"/>
      <c r="M866" s="15"/>
      <c r="N866" s="15"/>
      <c r="O866" s="15"/>
      <c r="P866" s="15"/>
      <c r="Q866" s="15"/>
      <c r="R866" s="16"/>
      <c r="S866" s="35"/>
      <c r="T866" s="13"/>
      <c r="U866" s="17"/>
      <c r="V866" s="17"/>
      <c r="W866" s="60" t="e">
        <f t="shared" si="95"/>
        <v>#DIV/0!</v>
      </c>
      <c r="X866" s="17"/>
      <c r="Y866" s="17"/>
      <c r="Z866" s="16"/>
      <c r="AA866" s="15" t="s">
        <v>140</v>
      </c>
      <c r="AB866" s="17"/>
      <c r="AC866" s="21" t="s">
        <v>61</v>
      </c>
      <c r="AD866" s="21" t="s">
        <v>78</v>
      </c>
      <c r="AE866" s="17" t="s">
        <v>86</v>
      </c>
      <c r="AF866" s="17"/>
      <c r="AG866" s="15"/>
      <c r="AH866" s="16"/>
      <c r="AI866" s="16"/>
      <c r="AJ866" s="42">
        <f t="shared" ca="1" si="96"/>
        <v>1071</v>
      </c>
      <c r="AK866" s="42">
        <f t="shared" ca="1" si="97"/>
        <v>1071</v>
      </c>
      <c r="AL866" s="130" t="str">
        <f t="shared" si="98"/>
        <v>No Answer</v>
      </c>
      <c r="AM866" s="37">
        <v>44593</v>
      </c>
      <c r="AN866" s="38">
        <v>44593</v>
      </c>
      <c r="AO866" s="38"/>
      <c r="AP866" s="38"/>
      <c r="AQ866" s="38"/>
      <c r="AR866" s="101" t="s">
        <v>1763</v>
      </c>
      <c r="AS866" s="38">
        <v>44593</v>
      </c>
      <c r="AT866" s="11" t="s">
        <v>7</v>
      </c>
    </row>
    <row r="867" spans="1:46" s="98" customFormat="1" x14ac:dyDescent="0.3">
      <c r="A867" s="16"/>
      <c r="B867" s="16" cm="1">
        <f t="array" ref="B867">+_xlfn.IFS(D867="In Touch - Positive",2,D867="Pending",1,D867="No Answer",4,D867="In Touch - Negative",3)</f>
        <v>4</v>
      </c>
      <c r="C867" s="16" t="s">
        <v>1940</v>
      </c>
      <c r="D867" s="99" t="str">
        <f t="shared" si="94"/>
        <v>No Answer</v>
      </c>
      <c r="E867" s="12" t="s">
        <v>2514</v>
      </c>
      <c r="F867" s="12"/>
      <c r="G867" s="13" t="s">
        <v>340</v>
      </c>
      <c r="H867" s="14" t="s">
        <v>2515</v>
      </c>
      <c r="I867" s="13"/>
      <c r="J867" s="13" t="s">
        <v>111</v>
      </c>
      <c r="K867" s="15" t="s">
        <v>2516</v>
      </c>
      <c r="L867" s="15"/>
      <c r="M867" s="15"/>
      <c r="N867" s="15"/>
      <c r="O867" s="15"/>
      <c r="P867" s="15"/>
      <c r="Q867" s="15"/>
      <c r="R867" s="16"/>
      <c r="S867" s="35"/>
      <c r="T867" s="13"/>
      <c r="U867" s="17"/>
      <c r="V867" s="17"/>
      <c r="W867" s="60" t="e">
        <f t="shared" si="95"/>
        <v>#DIV/0!</v>
      </c>
      <c r="X867" s="17"/>
      <c r="Y867" s="17"/>
      <c r="Z867" s="16"/>
      <c r="AA867" s="15" t="s">
        <v>140</v>
      </c>
      <c r="AB867" s="17"/>
      <c r="AC867" s="21" t="s">
        <v>61</v>
      </c>
      <c r="AD867" s="21" t="s">
        <v>61</v>
      </c>
      <c r="AE867" s="17" t="s">
        <v>562</v>
      </c>
      <c r="AF867" s="17"/>
      <c r="AG867" s="15"/>
      <c r="AH867" s="16"/>
      <c r="AI867" s="16"/>
      <c r="AJ867" s="42">
        <f t="shared" ca="1" si="96"/>
        <v>1075</v>
      </c>
      <c r="AK867" s="42">
        <f t="shared" ca="1" si="97"/>
        <v>1075</v>
      </c>
      <c r="AL867" s="130" t="str">
        <f t="shared" si="98"/>
        <v>No Answer</v>
      </c>
      <c r="AM867" s="37">
        <v>44589</v>
      </c>
      <c r="AN867" s="38">
        <v>44589</v>
      </c>
      <c r="AO867" s="38">
        <v>44599</v>
      </c>
      <c r="AP867" s="38"/>
      <c r="AQ867" s="38"/>
      <c r="AR867" s="101" t="s">
        <v>1763</v>
      </c>
      <c r="AS867" s="38">
        <v>44589</v>
      </c>
      <c r="AT867" s="11" t="s">
        <v>7</v>
      </c>
    </row>
    <row r="868" spans="1:46" s="98" customFormat="1" x14ac:dyDescent="0.3">
      <c r="A868" s="16"/>
      <c r="B868" s="16" cm="1">
        <f t="array" ref="B868">+_xlfn.IFS(D868="In Touch - Positive",2,D868="Pending",1,D868="No Answer",4,D868="In Touch - Negative",3)</f>
        <v>4</v>
      </c>
      <c r="C868" s="16" t="s">
        <v>1940</v>
      </c>
      <c r="D868" s="99" t="str">
        <f t="shared" si="94"/>
        <v>No Answer</v>
      </c>
      <c r="E868" s="12" t="s">
        <v>2517</v>
      </c>
      <c r="F868" s="12"/>
      <c r="G868" s="13" t="s">
        <v>68</v>
      </c>
      <c r="H868" s="14" t="s">
        <v>2518</v>
      </c>
      <c r="I868" s="13"/>
      <c r="J868" s="13" t="s">
        <v>111</v>
      </c>
      <c r="K868" s="15" t="s">
        <v>2519</v>
      </c>
      <c r="L868" s="15"/>
      <c r="M868" s="15"/>
      <c r="N868" s="15"/>
      <c r="O868" s="15"/>
      <c r="P868" s="15"/>
      <c r="Q868" s="15"/>
      <c r="R868" s="16"/>
      <c r="S868" s="35"/>
      <c r="T868" s="13"/>
      <c r="U868" s="17"/>
      <c r="V868" s="17"/>
      <c r="W868" s="60" t="e">
        <f t="shared" si="95"/>
        <v>#DIV/0!</v>
      </c>
      <c r="X868" s="17"/>
      <c r="Y868" s="17"/>
      <c r="Z868" s="16"/>
      <c r="AA868" s="15" t="s">
        <v>140</v>
      </c>
      <c r="AB868" s="17"/>
      <c r="AC868" s="21" t="s">
        <v>61</v>
      </c>
      <c r="AD868" s="21" t="s">
        <v>61</v>
      </c>
      <c r="AE868" s="17" t="s">
        <v>562</v>
      </c>
      <c r="AF868" s="17"/>
      <c r="AG868" s="15"/>
      <c r="AH868" s="16"/>
      <c r="AI868" s="16"/>
      <c r="AJ868" s="42">
        <f t="shared" ca="1" si="96"/>
        <v>1075</v>
      </c>
      <c r="AK868" s="42">
        <f t="shared" ca="1" si="97"/>
        <v>1075</v>
      </c>
      <c r="AL868" s="130" t="str">
        <f t="shared" si="98"/>
        <v>No Answer</v>
      </c>
      <c r="AM868" s="37">
        <v>44589</v>
      </c>
      <c r="AN868" s="38">
        <v>44589</v>
      </c>
      <c r="AO868" s="38">
        <v>44599</v>
      </c>
      <c r="AP868" s="38"/>
      <c r="AQ868" s="38"/>
      <c r="AR868" s="101" t="s">
        <v>1763</v>
      </c>
      <c r="AS868" s="38">
        <v>44589</v>
      </c>
      <c r="AT868" s="11" t="s">
        <v>7</v>
      </c>
    </row>
    <row r="869" spans="1:46" s="98" customFormat="1" x14ac:dyDescent="0.3">
      <c r="B869" s="16" cm="1">
        <f t="array" ref="B869">+_xlfn.IFS(D869="In Touch - Positive",2,D869="Pending",1,D869="No Answer",4,D869="In Touch - Negative",3)</f>
        <v>4</v>
      </c>
      <c r="C869" s="16" t="s">
        <v>57</v>
      </c>
      <c r="D869" s="99" t="str">
        <f t="shared" si="94"/>
        <v>No Answer</v>
      </c>
      <c r="E869" s="12" t="s">
        <v>2520</v>
      </c>
      <c r="F869" s="12"/>
      <c r="G869" s="13"/>
      <c r="H869" s="14"/>
      <c r="I869" s="13"/>
      <c r="J869" s="13" t="s">
        <v>57</v>
      </c>
      <c r="K869" s="15"/>
      <c r="L869" s="15"/>
      <c r="M869" s="15"/>
      <c r="N869" s="15"/>
      <c r="O869" s="15"/>
      <c r="P869" s="15"/>
      <c r="Q869" s="15"/>
      <c r="R869" s="16"/>
      <c r="S869" s="35"/>
      <c r="T869" s="13"/>
      <c r="U869" s="17"/>
      <c r="V869" s="17"/>
      <c r="W869" s="60" t="e">
        <f t="shared" si="95"/>
        <v>#DIV/0!</v>
      </c>
      <c r="X869" s="17"/>
      <c r="Y869" s="17"/>
      <c r="Z869" s="16"/>
      <c r="AA869" s="15" t="s">
        <v>140</v>
      </c>
      <c r="AB869" s="17"/>
      <c r="AC869" s="21" t="s">
        <v>61</v>
      </c>
      <c r="AD869" s="21" t="s">
        <v>61</v>
      </c>
      <c r="AE869" s="17" t="s">
        <v>62</v>
      </c>
      <c r="AF869" s="17"/>
      <c r="AG869" s="15"/>
      <c r="AH869" s="16"/>
      <c r="AI869" s="16"/>
      <c r="AJ869" s="42">
        <f t="shared" ca="1" si="96"/>
        <v>1075</v>
      </c>
      <c r="AK869" s="42">
        <f t="shared" ca="1" si="97"/>
        <v>1075</v>
      </c>
      <c r="AL869" s="130" t="str">
        <f t="shared" si="98"/>
        <v>No Answer</v>
      </c>
      <c r="AM869" s="37">
        <v>44589</v>
      </c>
      <c r="AN869" s="38"/>
      <c r="AO869" s="38"/>
      <c r="AP869" s="38"/>
      <c r="AQ869" s="38"/>
      <c r="AR869" s="101" t="s">
        <v>1763</v>
      </c>
      <c r="AS869" s="38">
        <v>44589</v>
      </c>
      <c r="AT869" s="11" t="s">
        <v>7</v>
      </c>
    </row>
    <row r="870" spans="1:46" s="98" customFormat="1" x14ac:dyDescent="0.3">
      <c r="B870" s="16" cm="1">
        <f t="array" ref="B870">+_xlfn.IFS(D870="In Touch - Positive",2,D870="Pending",1,D870="No Answer",4,D870="In Touch - Negative",3)</f>
        <v>4</v>
      </c>
      <c r="C870" s="16" t="s">
        <v>57</v>
      </c>
      <c r="D870" s="99" t="str">
        <f t="shared" si="94"/>
        <v>No Answer</v>
      </c>
      <c r="E870" s="12" t="s">
        <v>2521</v>
      </c>
      <c r="F870" s="12"/>
      <c r="G870" s="13"/>
      <c r="H870" s="14"/>
      <c r="I870" s="13"/>
      <c r="J870" s="13" t="s">
        <v>57</v>
      </c>
      <c r="K870" s="15"/>
      <c r="L870" s="15"/>
      <c r="M870" s="15"/>
      <c r="N870" s="15"/>
      <c r="O870" s="15"/>
      <c r="P870" s="15"/>
      <c r="Q870" s="15"/>
      <c r="R870" s="16"/>
      <c r="S870" s="35"/>
      <c r="T870" s="13"/>
      <c r="U870" s="17"/>
      <c r="V870" s="17"/>
      <c r="W870" s="60" t="e">
        <f t="shared" si="95"/>
        <v>#DIV/0!</v>
      </c>
      <c r="X870" s="17"/>
      <c r="Y870" s="17"/>
      <c r="Z870" s="16"/>
      <c r="AA870" s="15" t="s">
        <v>140</v>
      </c>
      <c r="AB870" s="17"/>
      <c r="AC870" s="21" t="s">
        <v>61</v>
      </c>
      <c r="AD870" s="21" t="s">
        <v>61</v>
      </c>
      <c r="AE870" s="17" t="s">
        <v>62</v>
      </c>
      <c r="AF870" s="17"/>
      <c r="AG870" s="15"/>
      <c r="AH870" s="16"/>
      <c r="AI870" s="16"/>
      <c r="AJ870" s="42">
        <f t="shared" ca="1" si="96"/>
        <v>1075</v>
      </c>
      <c r="AK870" s="42">
        <f t="shared" ca="1" si="97"/>
        <v>1075</v>
      </c>
      <c r="AL870" s="130" t="str">
        <f t="shared" si="98"/>
        <v>No Answer</v>
      </c>
      <c r="AM870" s="37">
        <v>44589</v>
      </c>
      <c r="AN870" s="38"/>
      <c r="AO870" s="38"/>
      <c r="AP870" s="38"/>
      <c r="AQ870" s="38"/>
      <c r="AR870" s="101" t="s">
        <v>1763</v>
      </c>
      <c r="AS870" s="38">
        <v>44589</v>
      </c>
      <c r="AT870" s="11" t="s">
        <v>7</v>
      </c>
    </row>
    <row r="871" spans="1:46" s="98" customFormat="1" x14ac:dyDescent="0.3">
      <c r="A871" s="16"/>
      <c r="B871" s="16" cm="1">
        <f t="array" ref="B871">+_xlfn.IFS(D871="In Touch - Positive",2,D871="Pending",1,D871="No Answer",4,D871="In Touch - Negative",3)</f>
        <v>4</v>
      </c>
      <c r="C871" s="16" t="s">
        <v>1953</v>
      </c>
      <c r="D871" s="99" t="str">
        <f t="shared" si="94"/>
        <v>No Answer</v>
      </c>
      <c r="E871" s="12" t="s">
        <v>2522</v>
      </c>
      <c r="F871" s="12"/>
      <c r="G871" s="13"/>
      <c r="H871" s="14"/>
      <c r="I871" s="13"/>
      <c r="J871" s="13" t="s">
        <v>2523</v>
      </c>
      <c r="K871" s="15"/>
      <c r="L871" s="15"/>
      <c r="M871" s="15"/>
      <c r="N871" s="15"/>
      <c r="O871" s="15"/>
      <c r="P871" s="15"/>
      <c r="Q871" s="15"/>
      <c r="R871" s="16"/>
      <c r="S871" s="35"/>
      <c r="T871" s="13"/>
      <c r="U871" s="17"/>
      <c r="V871" s="17"/>
      <c r="W871" s="60" t="e">
        <f t="shared" si="95"/>
        <v>#DIV/0!</v>
      </c>
      <c r="X871" s="17"/>
      <c r="Y871" s="17"/>
      <c r="Z871" s="16"/>
      <c r="AA871" s="15" t="s">
        <v>140</v>
      </c>
      <c r="AB871" s="17"/>
      <c r="AC871" s="21" t="s">
        <v>61</v>
      </c>
      <c r="AD871" s="21" t="s">
        <v>61</v>
      </c>
      <c r="AE871" s="17" t="s">
        <v>62</v>
      </c>
      <c r="AF871" s="17"/>
      <c r="AG871" s="15"/>
      <c r="AH871" s="16"/>
      <c r="AI871" s="16"/>
      <c r="AJ871" s="42">
        <f t="shared" ca="1" si="96"/>
        <v>1075</v>
      </c>
      <c r="AK871" s="42">
        <f t="shared" ca="1" si="97"/>
        <v>1075</v>
      </c>
      <c r="AL871" s="130" t="str">
        <f t="shared" si="98"/>
        <v>No Answer</v>
      </c>
      <c r="AM871" s="37">
        <v>44589</v>
      </c>
      <c r="AN871" s="38"/>
      <c r="AO871" s="38"/>
      <c r="AP871" s="38"/>
      <c r="AQ871" s="38"/>
      <c r="AR871" s="101" t="s">
        <v>1763</v>
      </c>
      <c r="AS871" s="38">
        <v>44589</v>
      </c>
      <c r="AT871" s="11" t="s">
        <v>7</v>
      </c>
    </row>
    <row r="872" spans="1:46" s="98" customFormat="1" x14ac:dyDescent="0.3">
      <c r="A872" s="16"/>
      <c r="B872" s="16" cm="1">
        <f t="array" ref="B872">+_xlfn.IFS(D872="In Touch - Positive",2,D872="Pending",1,D872="No Answer",4,D872="In Touch - Negative",3)</f>
        <v>4</v>
      </c>
      <c r="C872" s="16" t="s">
        <v>1953</v>
      </c>
      <c r="D872" s="99" t="str">
        <f t="shared" si="94"/>
        <v>No Answer</v>
      </c>
      <c r="E872" s="12" t="s">
        <v>2524</v>
      </c>
      <c r="F872" s="12"/>
      <c r="G872" s="13"/>
      <c r="H872" s="14"/>
      <c r="I872" s="13"/>
      <c r="J872" s="13" t="s">
        <v>1010</v>
      </c>
      <c r="K872" s="15"/>
      <c r="L872" s="15"/>
      <c r="M872" s="15"/>
      <c r="N872" s="15"/>
      <c r="O872" s="15"/>
      <c r="P872" s="15"/>
      <c r="Q872" s="15"/>
      <c r="R872" s="16"/>
      <c r="S872" s="35"/>
      <c r="T872" s="13"/>
      <c r="U872" s="17"/>
      <c r="V872" s="17"/>
      <c r="W872" s="60" t="e">
        <f t="shared" si="95"/>
        <v>#DIV/0!</v>
      </c>
      <c r="X872" s="17"/>
      <c r="Y872" s="17"/>
      <c r="Z872" s="16"/>
      <c r="AA872" s="15" t="s">
        <v>140</v>
      </c>
      <c r="AB872" s="17"/>
      <c r="AC872" s="21" t="s">
        <v>61</v>
      </c>
      <c r="AD872" s="21" t="s">
        <v>61</v>
      </c>
      <c r="AE872" s="17" t="s">
        <v>62</v>
      </c>
      <c r="AF872" s="17"/>
      <c r="AG872" s="15"/>
      <c r="AH872" s="16"/>
      <c r="AI872" s="16"/>
      <c r="AJ872" s="42">
        <f t="shared" ca="1" si="96"/>
        <v>1075</v>
      </c>
      <c r="AK872" s="42">
        <f t="shared" ca="1" si="97"/>
        <v>1075</v>
      </c>
      <c r="AL872" s="130" t="str">
        <f t="shared" si="98"/>
        <v>No Answer</v>
      </c>
      <c r="AM872" s="37">
        <v>44589</v>
      </c>
      <c r="AN872" s="38"/>
      <c r="AO872" s="38"/>
      <c r="AP872" s="38"/>
      <c r="AQ872" s="38"/>
      <c r="AR872" s="101" t="s">
        <v>1763</v>
      </c>
      <c r="AS872" s="38">
        <v>44589</v>
      </c>
      <c r="AT872" s="11" t="s">
        <v>7</v>
      </c>
    </row>
    <row r="873" spans="1:46" s="98" customFormat="1" x14ac:dyDescent="0.3">
      <c r="A873" s="16"/>
      <c r="B873" s="16" cm="1">
        <f t="array" ref="B873">+_xlfn.IFS(D873="In Touch - Positive",2,D873="Pending",1,D873="No Answer",4,D873="In Touch - Negative",3)</f>
        <v>4</v>
      </c>
      <c r="C873" s="16" t="s">
        <v>1953</v>
      </c>
      <c r="D873" s="99" t="str">
        <f t="shared" si="94"/>
        <v>No Answer</v>
      </c>
      <c r="E873" s="12" t="s">
        <v>2525</v>
      </c>
      <c r="F873" s="12"/>
      <c r="G873" s="13"/>
      <c r="H873" s="14"/>
      <c r="I873" s="13"/>
      <c r="J873" s="13" t="s">
        <v>1010</v>
      </c>
      <c r="K873" s="15"/>
      <c r="L873" s="15"/>
      <c r="M873" s="15"/>
      <c r="N873" s="15"/>
      <c r="O873" s="15"/>
      <c r="P873" s="15"/>
      <c r="Q873" s="15"/>
      <c r="R873" s="16"/>
      <c r="S873" s="35"/>
      <c r="T873" s="13"/>
      <c r="U873" s="17"/>
      <c r="V873" s="17"/>
      <c r="W873" s="60" t="e">
        <f t="shared" si="95"/>
        <v>#DIV/0!</v>
      </c>
      <c r="X873" s="17"/>
      <c r="Y873" s="17"/>
      <c r="Z873" s="16"/>
      <c r="AA873" s="15" t="s">
        <v>140</v>
      </c>
      <c r="AB873" s="17"/>
      <c r="AC873" s="21" t="s">
        <v>61</v>
      </c>
      <c r="AD873" s="21" t="s">
        <v>61</v>
      </c>
      <c r="AE873" s="17" t="s">
        <v>62</v>
      </c>
      <c r="AF873" s="17"/>
      <c r="AG873" s="15"/>
      <c r="AH873" s="16"/>
      <c r="AI873" s="16"/>
      <c r="AJ873" s="42">
        <f t="shared" ca="1" si="96"/>
        <v>1075</v>
      </c>
      <c r="AK873" s="42">
        <f t="shared" ca="1" si="97"/>
        <v>1075</v>
      </c>
      <c r="AL873" s="130" t="str">
        <f t="shared" si="98"/>
        <v>No Answer</v>
      </c>
      <c r="AM873" s="37">
        <v>44589</v>
      </c>
      <c r="AN873" s="38"/>
      <c r="AO873" s="38"/>
      <c r="AP873" s="38"/>
      <c r="AQ873" s="38"/>
      <c r="AR873" s="101" t="s">
        <v>1763</v>
      </c>
      <c r="AS873" s="38">
        <v>44589</v>
      </c>
      <c r="AT873" s="11" t="s">
        <v>7</v>
      </c>
    </row>
    <row r="874" spans="1:46" s="98" customFormat="1" x14ac:dyDescent="0.3">
      <c r="A874" s="16"/>
      <c r="B874" s="16"/>
      <c r="C874" s="16" t="s">
        <v>5125</v>
      </c>
      <c r="D874" s="99" t="s">
        <v>1763</v>
      </c>
      <c r="E874" s="12" t="s">
        <v>5082</v>
      </c>
      <c r="F874" s="12"/>
      <c r="G874" s="13" t="s">
        <v>68</v>
      </c>
      <c r="H874" s="14"/>
      <c r="I874" s="15" t="s">
        <v>5097</v>
      </c>
      <c r="J874" s="13" t="s">
        <v>69</v>
      </c>
      <c r="K874" s="15"/>
      <c r="L874" s="15"/>
      <c r="M874" s="15"/>
      <c r="N874" s="15"/>
      <c r="O874" s="15"/>
      <c r="P874" s="15"/>
      <c r="Q874" s="15"/>
      <c r="R874" s="16"/>
      <c r="S874" s="35"/>
      <c r="T874" s="13"/>
      <c r="U874" s="17"/>
      <c r="V874" s="17"/>
      <c r="W874" s="60"/>
      <c r="X874" s="17"/>
      <c r="Y874" s="17"/>
      <c r="Z874" s="16"/>
      <c r="AA874" s="15"/>
      <c r="AB874" s="17"/>
      <c r="AC874" s="21"/>
      <c r="AD874" s="21"/>
      <c r="AE874" s="17"/>
      <c r="AF874" s="17"/>
      <c r="AG874" s="15"/>
      <c r="AH874" s="16"/>
      <c r="AI874" s="16"/>
      <c r="AJ874" s="42"/>
      <c r="AK874" s="42"/>
      <c r="AL874" s="130"/>
      <c r="AM874" s="37"/>
      <c r="AN874" s="38"/>
      <c r="AO874" s="38"/>
      <c r="AP874" s="38"/>
      <c r="AQ874" s="38"/>
      <c r="AR874" s="101"/>
      <c r="AS874" s="38"/>
      <c r="AT874" s="11"/>
    </row>
    <row r="875" spans="1:46" s="98" customFormat="1" x14ac:dyDescent="0.3">
      <c r="A875" s="16"/>
      <c r="B875" s="16"/>
      <c r="C875" s="16" t="s">
        <v>5125</v>
      </c>
      <c r="D875" s="99" t="s">
        <v>1763</v>
      </c>
      <c r="E875" s="12" t="s">
        <v>5083</v>
      </c>
      <c r="F875" s="12"/>
      <c r="G875" s="13" t="s">
        <v>1286</v>
      </c>
      <c r="H875" s="14"/>
      <c r="I875" s="15" t="s">
        <v>5098</v>
      </c>
      <c r="J875" s="13" t="s">
        <v>375</v>
      </c>
      <c r="K875" s="15"/>
      <c r="L875" s="15"/>
      <c r="M875" s="15"/>
      <c r="N875" s="15"/>
      <c r="O875" s="15"/>
      <c r="P875" s="15"/>
      <c r="Q875" s="15"/>
      <c r="R875" s="16"/>
      <c r="S875" s="35"/>
      <c r="T875" s="13"/>
      <c r="U875" s="17"/>
      <c r="V875" s="17"/>
      <c r="W875" s="60"/>
      <c r="X875" s="17"/>
      <c r="Y875" s="17"/>
      <c r="Z875" s="16"/>
      <c r="AA875" s="15"/>
      <c r="AB875" s="17"/>
      <c r="AC875" s="21"/>
      <c r="AD875" s="21"/>
      <c r="AE875" s="17"/>
      <c r="AF875" s="17"/>
      <c r="AG875" s="15"/>
      <c r="AH875" s="16"/>
      <c r="AI875" s="16"/>
      <c r="AJ875" s="42"/>
      <c r="AK875" s="42"/>
      <c r="AL875" s="130"/>
      <c r="AM875" s="37"/>
      <c r="AN875" s="38"/>
      <c r="AO875" s="38"/>
      <c r="AP875" s="38"/>
      <c r="AQ875" s="38"/>
      <c r="AR875" s="101"/>
      <c r="AS875" s="38"/>
      <c r="AT875" s="11"/>
    </row>
    <row r="876" spans="1:46" s="98" customFormat="1" x14ac:dyDescent="0.3">
      <c r="A876" s="16"/>
      <c r="B876" s="16"/>
      <c r="C876" s="16" t="s">
        <v>5125</v>
      </c>
      <c r="D876" s="99" t="s">
        <v>1763</v>
      </c>
      <c r="E876" s="12" t="s">
        <v>5084</v>
      </c>
      <c r="F876" s="12"/>
      <c r="G876" s="13" t="s">
        <v>68</v>
      </c>
      <c r="H876" s="14"/>
      <c r="I876" s="15" t="s">
        <v>5099</v>
      </c>
      <c r="J876" s="13" t="s">
        <v>119</v>
      </c>
      <c r="K876" s="15"/>
      <c r="L876" s="15"/>
      <c r="M876" s="15"/>
      <c r="N876" s="15"/>
      <c r="O876" s="15"/>
      <c r="P876" s="15"/>
      <c r="Q876" s="15"/>
      <c r="R876" s="16"/>
      <c r="S876" s="35"/>
      <c r="T876" s="13"/>
      <c r="U876" s="17"/>
      <c r="V876" s="17"/>
      <c r="W876" s="60"/>
      <c r="X876" s="17"/>
      <c r="Y876" s="17"/>
      <c r="Z876" s="16"/>
      <c r="AA876" s="15"/>
      <c r="AB876" s="17"/>
      <c r="AC876" s="21"/>
      <c r="AD876" s="21"/>
      <c r="AE876" s="17"/>
      <c r="AF876" s="17"/>
      <c r="AG876" s="15"/>
      <c r="AH876" s="16"/>
      <c r="AI876" s="16"/>
      <c r="AJ876" s="42"/>
      <c r="AK876" s="42"/>
      <c r="AL876" s="130"/>
      <c r="AM876" s="37"/>
      <c r="AN876" s="38"/>
      <c r="AO876" s="38"/>
      <c r="AP876" s="38"/>
      <c r="AQ876" s="38"/>
      <c r="AR876" s="101"/>
      <c r="AS876" s="38"/>
      <c r="AT876" s="11"/>
    </row>
    <row r="877" spans="1:46" s="98" customFormat="1" x14ac:dyDescent="0.3">
      <c r="A877" s="16"/>
      <c r="B877" s="16"/>
      <c r="C877" s="16" t="s">
        <v>5125</v>
      </c>
      <c r="D877" s="99" t="s">
        <v>1763</v>
      </c>
      <c r="E877" s="12" t="s">
        <v>5085</v>
      </c>
      <c r="F877" s="12"/>
      <c r="G877" s="13" t="s">
        <v>68</v>
      </c>
      <c r="H877" s="14"/>
      <c r="I877" s="15" t="s">
        <v>5100</v>
      </c>
      <c r="J877" s="13" t="s">
        <v>119</v>
      </c>
      <c r="K877" s="15"/>
      <c r="L877" s="15"/>
      <c r="M877" s="15"/>
      <c r="N877" s="15"/>
      <c r="O877" s="15"/>
      <c r="P877" s="15"/>
      <c r="Q877" s="15"/>
      <c r="R877" s="16"/>
      <c r="S877" s="35"/>
      <c r="T877" s="13"/>
      <c r="U877" s="17"/>
      <c r="V877" s="17"/>
      <c r="W877" s="60"/>
      <c r="X877" s="17"/>
      <c r="Y877" s="17"/>
      <c r="Z877" s="16"/>
      <c r="AA877" s="15"/>
      <c r="AB877" s="17"/>
      <c r="AC877" s="21"/>
      <c r="AD877" s="21"/>
      <c r="AE877" s="17"/>
      <c r="AF877" s="17"/>
      <c r="AG877" s="15"/>
      <c r="AH877" s="16"/>
      <c r="AI877" s="16"/>
      <c r="AJ877" s="42"/>
      <c r="AK877" s="42"/>
      <c r="AL877" s="130"/>
      <c r="AM877" s="37"/>
      <c r="AN877" s="38"/>
      <c r="AO877" s="38"/>
      <c r="AP877" s="38"/>
      <c r="AQ877" s="38"/>
      <c r="AR877" s="101"/>
      <c r="AS877" s="38"/>
      <c r="AT877" s="11"/>
    </row>
    <row r="878" spans="1:46" s="98" customFormat="1" x14ac:dyDescent="0.3">
      <c r="A878" s="16"/>
      <c r="B878" s="16"/>
      <c r="C878" s="16" t="s">
        <v>5125</v>
      </c>
      <c r="D878" s="99" t="s">
        <v>1763</v>
      </c>
      <c r="E878" s="12" t="s">
        <v>5086</v>
      </c>
      <c r="F878" s="12"/>
      <c r="G878" s="13" t="s">
        <v>68</v>
      </c>
      <c r="H878" s="14"/>
      <c r="I878" s="15" t="s">
        <v>5101</v>
      </c>
      <c r="J878" s="13" t="s">
        <v>149</v>
      </c>
      <c r="K878" s="15"/>
      <c r="L878" s="15"/>
      <c r="M878" s="15"/>
      <c r="N878" s="15"/>
      <c r="O878" s="15"/>
      <c r="P878" s="15"/>
      <c r="Q878" s="15"/>
      <c r="R878" s="16"/>
      <c r="S878" s="35"/>
      <c r="T878" s="13"/>
      <c r="U878" s="17"/>
      <c r="V878" s="17"/>
      <c r="W878" s="60"/>
      <c r="X878" s="17"/>
      <c r="Y878" s="17"/>
      <c r="Z878" s="16"/>
      <c r="AA878" s="15"/>
      <c r="AB878" s="17"/>
      <c r="AC878" s="21"/>
      <c r="AD878" s="21"/>
      <c r="AE878" s="17"/>
      <c r="AF878" s="17"/>
      <c r="AG878" s="15"/>
      <c r="AH878" s="16"/>
      <c r="AI878" s="16"/>
      <c r="AJ878" s="42"/>
      <c r="AK878" s="42"/>
      <c r="AL878" s="130"/>
      <c r="AM878" s="37"/>
      <c r="AN878" s="38"/>
      <c r="AO878" s="38"/>
      <c r="AP878" s="38"/>
      <c r="AQ878" s="38"/>
      <c r="AR878" s="101"/>
      <c r="AS878" s="38"/>
      <c r="AT878" s="11"/>
    </row>
    <row r="879" spans="1:46" s="98" customFormat="1" x14ac:dyDescent="0.3">
      <c r="A879" s="16"/>
      <c r="B879" s="16"/>
      <c r="C879" s="16" t="s">
        <v>5125</v>
      </c>
      <c r="D879" s="99" t="s">
        <v>1963</v>
      </c>
      <c r="E879" s="12" t="s">
        <v>5087</v>
      </c>
      <c r="F879" s="12"/>
      <c r="G879" s="13" t="s">
        <v>68</v>
      </c>
      <c r="H879" s="14"/>
      <c r="I879" s="15" t="s">
        <v>5110</v>
      </c>
      <c r="J879" s="13" t="s">
        <v>149</v>
      </c>
      <c r="K879" s="15"/>
      <c r="L879" s="15"/>
      <c r="M879" s="15"/>
      <c r="N879" s="15"/>
      <c r="O879" s="15"/>
      <c r="P879" s="15"/>
      <c r="Q879" s="15"/>
      <c r="R879" s="16"/>
      <c r="S879" s="35"/>
      <c r="T879" s="13"/>
      <c r="U879" s="17"/>
      <c r="V879" s="17"/>
      <c r="W879" s="60"/>
      <c r="X879" s="17"/>
      <c r="Y879" s="17"/>
      <c r="Z879" s="16"/>
      <c r="AA879" s="15"/>
      <c r="AB879" s="17"/>
      <c r="AC879" s="21"/>
      <c r="AD879" s="21"/>
      <c r="AE879" s="17"/>
      <c r="AF879" s="17"/>
      <c r="AG879" s="15"/>
      <c r="AH879" s="16"/>
      <c r="AI879" s="16"/>
      <c r="AJ879" s="42"/>
      <c r="AK879" s="42"/>
      <c r="AL879" s="130"/>
      <c r="AM879" s="37"/>
      <c r="AN879" s="38"/>
      <c r="AO879" s="38"/>
      <c r="AP879" s="38"/>
      <c r="AQ879" s="38"/>
      <c r="AR879" s="101"/>
      <c r="AS879" s="38"/>
      <c r="AT879" s="11"/>
    </row>
    <row r="880" spans="1:46" s="98" customFormat="1" x14ac:dyDescent="0.3">
      <c r="A880" s="16"/>
      <c r="B880" s="16"/>
      <c r="C880" s="16" t="s">
        <v>5125</v>
      </c>
      <c r="D880" s="99" t="s">
        <v>5081</v>
      </c>
      <c r="E880" s="12" t="s">
        <v>5088</v>
      </c>
      <c r="F880" s="12"/>
      <c r="G880" s="13" t="s">
        <v>68</v>
      </c>
      <c r="H880" s="14"/>
      <c r="I880" s="15" t="s">
        <v>5102</v>
      </c>
      <c r="J880" s="13" t="s">
        <v>111</v>
      </c>
      <c r="K880" s="15"/>
      <c r="L880" s="15"/>
      <c r="M880" s="15"/>
      <c r="N880" s="15"/>
      <c r="O880" s="15"/>
      <c r="P880" s="15"/>
      <c r="Q880" s="15"/>
      <c r="R880" s="16"/>
      <c r="S880" s="35"/>
      <c r="T880" s="13"/>
      <c r="U880" s="17"/>
      <c r="V880" s="17"/>
      <c r="W880" s="60"/>
      <c r="X880" s="17"/>
      <c r="Y880" s="17"/>
      <c r="Z880" s="16"/>
      <c r="AA880" s="15"/>
      <c r="AB880" s="17"/>
      <c r="AC880" s="21"/>
      <c r="AD880" s="21"/>
      <c r="AE880" s="17"/>
      <c r="AF880" s="17"/>
      <c r="AG880" s="15"/>
      <c r="AH880" s="16"/>
      <c r="AI880" s="16"/>
      <c r="AJ880" s="42"/>
      <c r="AK880" s="42"/>
      <c r="AL880" s="130"/>
      <c r="AM880" s="37"/>
      <c r="AN880" s="38"/>
      <c r="AO880" s="38"/>
      <c r="AP880" s="38"/>
      <c r="AQ880" s="38"/>
      <c r="AR880" s="101"/>
      <c r="AS880" s="38"/>
      <c r="AT880" s="11"/>
    </row>
    <row r="881" spans="1:46" s="98" customFormat="1" x14ac:dyDescent="0.3">
      <c r="A881" s="16"/>
      <c r="B881" s="16"/>
      <c r="C881" s="16" t="s">
        <v>5125</v>
      </c>
      <c r="D881" s="99" t="s">
        <v>1763</v>
      </c>
      <c r="E881" s="12" t="s">
        <v>5089</v>
      </c>
      <c r="F881" s="12"/>
      <c r="G881" s="13" t="s">
        <v>463</v>
      </c>
      <c r="H881" s="14"/>
      <c r="I881" s="15" t="s">
        <v>5109</v>
      </c>
      <c r="J881" s="13" t="s">
        <v>111</v>
      </c>
      <c r="K881" s="15"/>
      <c r="L881" s="15"/>
      <c r="M881" s="15"/>
      <c r="N881" s="15"/>
      <c r="O881" s="15"/>
      <c r="P881" s="15"/>
      <c r="Q881" s="15"/>
      <c r="R881" s="16"/>
      <c r="S881" s="35"/>
      <c r="T881" s="13"/>
      <c r="U881" s="17"/>
      <c r="V881" s="17"/>
      <c r="W881" s="60"/>
      <c r="X881" s="17"/>
      <c r="Y881" s="17"/>
      <c r="Z881" s="16"/>
      <c r="AA881" s="15"/>
      <c r="AB881" s="17"/>
      <c r="AC881" s="21"/>
      <c r="AD881" s="21"/>
      <c r="AE881" s="17"/>
      <c r="AF881" s="17"/>
      <c r="AG881" s="15"/>
      <c r="AH881" s="16"/>
      <c r="AI881" s="16"/>
      <c r="AJ881" s="42"/>
      <c r="AK881" s="42"/>
      <c r="AL881" s="130"/>
      <c r="AM881" s="37"/>
      <c r="AN881" s="38"/>
      <c r="AO881" s="38"/>
      <c r="AP881" s="38"/>
      <c r="AQ881" s="38"/>
      <c r="AR881" s="101"/>
      <c r="AS881" s="38"/>
      <c r="AT881" s="11"/>
    </row>
    <row r="882" spans="1:46" s="98" customFormat="1" x14ac:dyDescent="0.3">
      <c r="A882" s="16"/>
      <c r="B882" s="16"/>
      <c r="C882" s="16" t="s">
        <v>5125</v>
      </c>
      <c r="D882" s="99" t="s">
        <v>1963</v>
      </c>
      <c r="E882" s="12" t="s">
        <v>5090</v>
      </c>
      <c r="F882" s="12"/>
      <c r="G882" s="13" t="s">
        <v>68</v>
      </c>
      <c r="H882" s="14"/>
      <c r="I882" s="15" t="s">
        <v>5108</v>
      </c>
      <c r="J882" s="13" t="s">
        <v>111</v>
      </c>
      <c r="K882" s="15"/>
      <c r="L882" s="15"/>
      <c r="M882" s="15"/>
      <c r="N882" s="15"/>
      <c r="O882" s="15"/>
      <c r="P882" s="15"/>
      <c r="Q882" s="15"/>
      <c r="R882" s="16"/>
      <c r="S882" s="35"/>
      <c r="T882" s="13"/>
      <c r="U882" s="17"/>
      <c r="V882" s="17"/>
      <c r="W882" s="60"/>
      <c r="X882" s="17"/>
      <c r="Y882" s="17"/>
      <c r="Z882" s="16"/>
      <c r="AA882" s="15"/>
      <c r="AB882" s="17"/>
      <c r="AC882" s="21"/>
      <c r="AD882" s="21"/>
      <c r="AE882" s="17"/>
      <c r="AF882" s="17"/>
      <c r="AG882" s="15"/>
      <c r="AH882" s="16"/>
      <c r="AI882" s="16"/>
      <c r="AJ882" s="42"/>
      <c r="AK882" s="42"/>
      <c r="AL882" s="130"/>
      <c r="AM882" s="37"/>
      <c r="AN882" s="38"/>
      <c r="AO882" s="38"/>
      <c r="AP882" s="38"/>
      <c r="AQ882" s="38"/>
      <c r="AR882" s="101"/>
      <c r="AS882" s="38"/>
      <c r="AT882" s="11"/>
    </row>
    <row r="883" spans="1:46" s="98" customFormat="1" x14ac:dyDescent="0.3">
      <c r="A883" s="16"/>
      <c r="B883" s="16"/>
      <c r="C883" s="16" t="s">
        <v>5125</v>
      </c>
      <c r="D883" s="99" t="s">
        <v>1763</v>
      </c>
      <c r="E883" s="12" t="s">
        <v>5091</v>
      </c>
      <c r="F883" s="12"/>
      <c r="G883" s="13" t="s">
        <v>463</v>
      </c>
      <c r="H883" s="14"/>
      <c r="I883" s="15" t="s">
        <v>5106</v>
      </c>
      <c r="J883" s="13" t="s">
        <v>111</v>
      </c>
      <c r="K883" s="15"/>
      <c r="L883" s="15"/>
      <c r="M883" s="15"/>
      <c r="N883" s="15"/>
      <c r="O883" s="15"/>
      <c r="P883" s="15"/>
      <c r="Q883" s="15"/>
      <c r="R883" s="16"/>
      <c r="S883" s="35"/>
      <c r="T883" s="13"/>
      <c r="U883" s="17"/>
      <c r="V883" s="17"/>
      <c r="W883" s="60"/>
      <c r="X883" s="17"/>
      <c r="Y883" s="17"/>
      <c r="Z883" s="16"/>
      <c r="AA883" s="15"/>
      <c r="AB883" s="17"/>
      <c r="AC883" s="21"/>
      <c r="AD883" s="21"/>
      <c r="AE883" s="17"/>
      <c r="AF883" s="17"/>
      <c r="AG883" s="15"/>
      <c r="AH883" s="16"/>
      <c r="AI883" s="16"/>
      <c r="AJ883" s="42"/>
      <c r="AK883" s="42"/>
      <c r="AL883" s="130"/>
      <c r="AM883" s="37"/>
      <c r="AN883" s="38"/>
      <c r="AO883" s="38"/>
      <c r="AP883" s="38"/>
      <c r="AQ883" s="38"/>
      <c r="AR883" s="101"/>
      <c r="AS883" s="38"/>
      <c r="AT883" s="11"/>
    </row>
    <row r="884" spans="1:46" s="98" customFormat="1" ht="15.75" customHeight="1" x14ac:dyDescent="0.3">
      <c r="A884" s="16"/>
      <c r="B884" s="16"/>
      <c r="C884" s="16" t="s">
        <v>5125</v>
      </c>
      <c r="D884" s="99" t="s">
        <v>1763</v>
      </c>
      <c r="E884" s="12" t="s">
        <v>5092</v>
      </c>
      <c r="F884" s="12"/>
      <c r="G884" s="13" t="s">
        <v>68</v>
      </c>
      <c r="H884" s="14"/>
      <c r="I884" s="1177" t="s">
        <v>5107</v>
      </c>
      <c r="J884" s="13" t="s">
        <v>111</v>
      </c>
      <c r="K884" s="15"/>
      <c r="L884" s="15"/>
      <c r="M884" s="15"/>
      <c r="N884" s="15"/>
      <c r="O884" s="15"/>
      <c r="P884" s="15"/>
      <c r="Q884" s="15"/>
      <c r="R884" s="16"/>
      <c r="S884" s="35"/>
      <c r="T884" s="13"/>
      <c r="U884" s="17"/>
      <c r="V884" s="17"/>
      <c r="W884" s="60"/>
      <c r="X884" s="17"/>
      <c r="Y884" s="17"/>
      <c r="Z884" s="16"/>
      <c r="AA884" s="15"/>
      <c r="AB884" s="17"/>
      <c r="AC884" s="21"/>
      <c r="AD884" s="21"/>
      <c r="AE884" s="17"/>
      <c r="AF884" s="17"/>
      <c r="AG884" s="15"/>
      <c r="AH884" s="16"/>
      <c r="AI884" s="16"/>
      <c r="AJ884" s="42"/>
      <c r="AK884" s="42"/>
      <c r="AL884" s="130"/>
      <c r="AM884" s="37"/>
      <c r="AN884" s="38"/>
      <c r="AO884" s="38"/>
      <c r="AP884" s="38"/>
      <c r="AQ884" s="38"/>
      <c r="AR884" s="101"/>
      <c r="AS884" s="38"/>
      <c r="AT884" s="11"/>
    </row>
    <row r="885" spans="1:46" s="98" customFormat="1" x14ac:dyDescent="0.3">
      <c r="A885" s="16"/>
      <c r="B885" s="16"/>
      <c r="C885" s="16" t="s">
        <v>5125</v>
      </c>
      <c r="D885" s="99" t="s">
        <v>1763</v>
      </c>
      <c r="E885" s="12" t="s">
        <v>5093</v>
      </c>
      <c r="F885" s="12"/>
      <c r="G885" s="13" t="s">
        <v>68</v>
      </c>
      <c r="H885" s="14"/>
      <c r="I885" s="15" t="s">
        <v>5105</v>
      </c>
      <c r="J885" s="13" t="s">
        <v>111</v>
      </c>
      <c r="K885" s="15"/>
      <c r="L885" s="15"/>
      <c r="M885" s="15"/>
      <c r="N885" s="15"/>
      <c r="O885" s="15"/>
      <c r="P885" s="15"/>
      <c r="Q885" s="15"/>
      <c r="R885" s="16"/>
      <c r="S885" s="35"/>
      <c r="T885" s="13"/>
      <c r="U885" s="17"/>
      <c r="V885" s="17"/>
      <c r="W885" s="60"/>
      <c r="X885" s="17"/>
      <c r="Y885" s="17"/>
      <c r="Z885" s="16"/>
      <c r="AA885" s="15"/>
      <c r="AB885" s="17"/>
      <c r="AC885" s="21"/>
      <c r="AD885" s="21"/>
      <c r="AE885" s="17"/>
      <c r="AF885" s="17"/>
      <c r="AG885" s="15"/>
      <c r="AH885" s="16"/>
      <c r="AI885" s="16"/>
      <c r="AJ885" s="42"/>
      <c r="AK885" s="42"/>
      <c r="AL885" s="130"/>
      <c r="AM885" s="37"/>
      <c r="AN885" s="38"/>
      <c r="AO885" s="38"/>
      <c r="AP885" s="38"/>
      <c r="AQ885" s="38"/>
      <c r="AR885" s="101"/>
      <c r="AS885" s="38"/>
      <c r="AT885" s="11"/>
    </row>
    <row r="886" spans="1:46" s="98" customFormat="1" x14ac:dyDescent="0.3">
      <c r="A886" s="16"/>
      <c r="B886" s="16"/>
      <c r="C886" s="16" t="s">
        <v>5125</v>
      </c>
      <c r="D886" s="99" t="s">
        <v>1963</v>
      </c>
      <c r="E886" s="12" t="s">
        <v>5094</v>
      </c>
      <c r="F886" s="12"/>
      <c r="G886" s="13" t="s">
        <v>68</v>
      </c>
      <c r="H886" s="14"/>
      <c r="I886" s="15" t="s">
        <v>5098</v>
      </c>
      <c r="J886" s="13" t="s">
        <v>111</v>
      </c>
      <c r="K886" s="15"/>
      <c r="L886" s="15"/>
      <c r="M886" s="15"/>
      <c r="N886" s="15"/>
      <c r="O886" s="15"/>
      <c r="P886" s="15"/>
      <c r="Q886" s="15"/>
      <c r="R886" s="16"/>
      <c r="S886" s="35"/>
      <c r="T886" s="13"/>
      <c r="U886" s="17"/>
      <c r="V886" s="17"/>
      <c r="W886" s="60"/>
      <c r="X886" s="17"/>
      <c r="Y886" s="17"/>
      <c r="Z886" s="16"/>
      <c r="AA886" s="15"/>
      <c r="AB886" s="17"/>
      <c r="AC886" s="21"/>
      <c r="AD886" s="21"/>
      <c r="AE886" s="17"/>
      <c r="AF886" s="17"/>
      <c r="AG886" s="15"/>
      <c r="AH886" s="16"/>
      <c r="AI886" s="16"/>
      <c r="AJ886" s="42"/>
      <c r="AK886" s="42"/>
      <c r="AL886" s="130"/>
      <c r="AM886" s="37"/>
      <c r="AN886" s="38"/>
      <c r="AO886" s="38"/>
      <c r="AP886" s="38"/>
      <c r="AQ886" s="38"/>
      <c r="AR886" s="101"/>
      <c r="AS886" s="38"/>
      <c r="AT886" s="11"/>
    </row>
    <row r="887" spans="1:46" s="98" customFormat="1" x14ac:dyDescent="0.3">
      <c r="A887" s="16"/>
      <c r="B887" s="16"/>
      <c r="C887" s="16" t="s">
        <v>5125</v>
      </c>
      <c r="D887" s="99" t="s">
        <v>1763</v>
      </c>
      <c r="E887" s="12" t="s">
        <v>5095</v>
      </c>
      <c r="F887" s="12"/>
      <c r="G887" s="13" t="s">
        <v>68</v>
      </c>
      <c r="H887" s="14"/>
      <c r="I887" s="15" t="s">
        <v>5104</v>
      </c>
      <c r="J887" s="13" t="s">
        <v>149</v>
      </c>
      <c r="K887" s="15"/>
      <c r="L887" s="15"/>
      <c r="M887" s="15"/>
      <c r="N887" s="15"/>
      <c r="O887" s="15"/>
      <c r="P887" s="15"/>
      <c r="Q887" s="15"/>
      <c r="R887" s="16"/>
      <c r="S887" s="35"/>
      <c r="T887" s="13"/>
      <c r="U887" s="17"/>
      <c r="V887" s="17"/>
      <c r="W887" s="60"/>
      <c r="X887" s="17"/>
      <c r="Y887" s="17"/>
      <c r="Z887" s="16"/>
      <c r="AA887" s="15"/>
      <c r="AB887" s="17"/>
      <c r="AC887" s="21"/>
      <c r="AD887" s="21"/>
      <c r="AE887" s="17"/>
      <c r="AF887" s="17"/>
      <c r="AG887" s="15"/>
      <c r="AH887" s="16"/>
      <c r="AI887" s="16"/>
      <c r="AJ887" s="42"/>
      <c r="AK887" s="42"/>
      <c r="AL887" s="130"/>
      <c r="AM887" s="37"/>
      <c r="AN887" s="38"/>
      <c r="AO887" s="38"/>
      <c r="AP887" s="38"/>
      <c r="AQ887" s="38"/>
      <c r="AR887" s="101"/>
      <c r="AS887" s="38"/>
      <c r="AT887" s="11"/>
    </row>
    <row r="888" spans="1:46" s="98" customFormat="1" x14ac:dyDescent="0.3">
      <c r="A888" s="16"/>
      <c r="B888" s="16"/>
      <c r="C888" s="16" t="s">
        <v>5125</v>
      </c>
      <c r="D888" s="99" t="s">
        <v>1763</v>
      </c>
      <c r="E888" s="12" t="s">
        <v>5096</v>
      </c>
      <c r="F888" s="12"/>
      <c r="G888" s="13" t="s">
        <v>68</v>
      </c>
      <c r="H888" s="14"/>
      <c r="I888" s="15" t="s">
        <v>5103</v>
      </c>
      <c r="J888" s="13" t="s">
        <v>375</v>
      </c>
      <c r="K888" s="15"/>
      <c r="L888" s="15"/>
      <c r="M888" s="15"/>
      <c r="N888" s="15"/>
      <c r="O888" s="15"/>
      <c r="P888" s="15"/>
      <c r="Q888" s="15"/>
      <c r="R888" s="16"/>
      <c r="S888" s="35"/>
      <c r="T888" s="13"/>
      <c r="U888" s="17"/>
      <c r="V888" s="17"/>
      <c r="W888" s="60"/>
      <c r="X888" s="17"/>
      <c r="Y888" s="17"/>
      <c r="Z888" s="16"/>
      <c r="AA888" s="15"/>
      <c r="AB888" s="17"/>
      <c r="AC888" s="21"/>
      <c r="AD888" s="21"/>
      <c r="AE888" s="17"/>
      <c r="AF888" s="17"/>
      <c r="AG888" s="15"/>
      <c r="AH888" s="16"/>
      <c r="AI888" s="16"/>
      <c r="AJ888" s="42"/>
      <c r="AK888" s="42"/>
      <c r="AL888" s="130"/>
      <c r="AM888" s="37"/>
      <c r="AN888" s="38"/>
      <c r="AO888" s="38"/>
      <c r="AP888" s="38"/>
      <c r="AQ888" s="38"/>
      <c r="AR888" s="101"/>
      <c r="AS888" s="38"/>
      <c r="AT888" s="11"/>
    </row>
    <row r="889" spans="1:46" s="98" customFormat="1" x14ac:dyDescent="0.3">
      <c r="A889" s="16"/>
      <c r="B889" s="954"/>
      <c r="C889" s="954"/>
      <c r="D889" s="955" t="str">
        <f>+AR889</f>
        <v>Pending</v>
      </c>
      <c r="E889" s="1133" t="s">
        <v>4872</v>
      </c>
      <c r="F889" s="956"/>
      <c r="G889" s="1117" t="s">
        <v>572</v>
      </c>
      <c r="H889" s="958"/>
      <c r="I889" s="957"/>
      <c r="J889" s="1114" t="s">
        <v>111</v>
      </c>
      <c r="K889" s="1114" t="s">
        <v>4880</v>
      </c>
      <c r="L889" s="959"/>
      <c r="M889" s="959"/>
      <c r="N889" s="959"/>
      <c r="O889" s="959"/>
      <c r="P889" s="959"/>
      <c r="Q889" s="959"/>
      <c r="R889" s="954"/>
      <c r="S889" s="960" t="s">
        <v>77</v>
      </c>
      <c r="T889" s="957">
        <v>2023</v>
      </c>
      <c r="U889" s="961">
        <v>38.4</v>
      </c>
      <c r="V889" s="961">
        <v>6.4</v>
      </c>
      <c r="W889" s="962">
        <f>+V889/U889</f>
        <v>0.16666666666666669</v>
      </c>
      <c r="X889" s="961"/>
      <c r="Y889" s="961"/>
      <c r="Z889" s="954"/>
      <c r="AA889" s="959" t="s">
        <v>140</v>
      </c>
      <c r="AB889" s="961"/>
      <c r="AC889" s="1122" t="s">
        <v>86</v>
      </c>
      <c r="AD889" s="1122" t="s">
        <v>3598</v>
      </c>
      <c r="AE889" s="963" t="s">
        <v>86</v>
      </c>
      <c r="AF889" s="961"/>
      <c r="AG889" s="959"/>
      <c r="AH889" s="954"/>
      <c r="AI889" s="954"/>
      <c r="AJ889" s="964">
        <f ca="1">+TODAY()-AM889</f>
        <v>78</v>
      </c>
      <c r="AK889" s="964">
        <f ca="1">+TODAY()-AS889</f>
        <v>64</v>
      </c>
      <c r="AL889" s="965">
        <f>+IF(D889="Pending",COUNTA(AM889:AQ889)/5,D889)</f>
        <v>0.6</v>
      </c>
      <c r="AM889" s="952">
        <v>45586</v>
      </c>
      <c r="AN889" s="966">
        <v>45600</v>
      </c>
      <c r="AO889" s="966">
        <v>45631</v>
      </c>
      <c r="AP889" s="966"/>
      <c r="AQ889" s="966"/>
      <c r="AR889" s="967" t="s">
        <v>1770</v>
      </c>
      <c r="AS889" s="966">
        <v>45600</v>
      </c>
      <c r="AT889" s="11" t="s">
        <v>7</v>
      </c>
    </row>
    <row r="890" spans="1:46" s="98" customFormat="1" x14ac:dyDescent="0.3">
      <c r="A890" s="16"/>
      <c r="B890" s="954"/>
      <c r="C890" s="954"/>
      <c r="D890" s="955" t="str">
        <f>+AR890</f>
        <v>Pending</v>
      </c>
      <c r="E890" s="1133" t="s">
        <v>4873</v>
      </c>
      <c r="F890" s="956"/>
      <c r="G890" s="1117" t="s">
        <v>246</v>
      </c>
      <c r="H890" s="958"/>
      <c r="I890" s="957"/>
      <c r="J890" s="1114" t="s">
        <v>111</v>
      </c>
      <c r="K890" s="1114" t="s">
        <v>4879</v>
      </c>
      <c r="L890" s="959"/>
      <c r="M890" s="959"/>
      <c r="N890" s="959"/>
      <c r="O890" s="959"/>
      <c r="P890" s="959"/>
      <c r="Q890" s="959"/>
      <c r="R890" s="954"/>
      <c r="S890" s="960" t="s">
        <v>77</v>
      </c>
      <c r="T890" s="957">
        <v>2023</v>
      </c>
      <c r="U890" s="961">
        <v>37.700000000000003</v>
      </c>
      <c r="V890" s="961">
        <v>6.1</v>
      </c>
      <c r="W890" s="962">
        <f>+V890/U890</f>
        <v>0.16180371352785144</v>
      </c>
      <c r="X890" s="961"/>
      <c r="Y890" s="961"/>
      <c r="Z890" s="954"/>
      <c r="AA890" s="959" t="s">
        <v>140</v>
      </c>
      <c r="AB890" s="961"/>
      <c r="AC890" s="1122" t="s">
        <v>86</v>
      </c>
      <c r="AD890" s="1122" t="s">
        <v>3598</v>
      </c>
      <c r="AE890" s="963" t="s">
        <v>86</v>
      </c>
      <c r="AF890" s="961"/>
      <c r="AG890" s="959"/>
      <c r="AH890" s="954"/>
      <c r="AI890" s="954"/>
      <c r="AJ890" s="964">
        <f ca="1">+TODAY()-AM890</f>
        <v>78</v>
      </c>
      <c r="AK890" s="964">
        <f ca="1">+TODAY()-AS890</f>
        <v>64</v>
      </c>
      <c r="AL890" s="965">
        <f>+IF(D890="Pending",COUNTA(AM890:AQ890)/5,D890)</f>
        <v>0.6</v>
      </c>
      <c r="AM890" s="952">
        <v>45586</v>
      </c>
      <c r="AN890" s="966">
        <v>45600</v>
      </c>
      <c r="AO890" s="966">
        <v>45631</v>
      </c>
      <c r="AP890" s="966"/>
      <c r="AQ890" s="966"/>
      <c r="AR890" s="967" t="s">
        <v>1770</v>
      </c>
      <c r="AS890" s="966">
        <v>45600</v>
      </c>
      <c r="AT890" s="11" t="s">
        <v>7</v>
      </c>
    </row>
    <row r="891" spans="1:46" s="98" customFormat="1" x14ac:dyDescent="0.3">
      <c r="A891" s="16"/>
      <c r="B891" s="954"/>
      <c r="C891" s="954"/>
      <c r="D891" s="955" t="str">
        <f>+AR891</f>
        <v>Pending</v>
      </c>
      <c r="E891" s="12" t="s">
        <v>4874</v>
      </c>
      <c r="F891" s="956"/>
      <c r="G891" s="1117" t="s">
        <v>174</v>
      </c>
      <c r="H891" s="958"/>
      <c r="I891" s="957"/>
      <c r="J891" s="1114" t="s">
        <v>111</v>
      </c>
      <c r="K891" s="1114" t="s">
        <v>4878</v>
      </c>
      <c r="L891" s="959"/>
      <c r="M891" s="959"/>
      <c r="N891" s="959"/>
      <c r="O891" s="959"/>
      <c r="P891" s="959"/>
      <c r="Q891" s="959"/>
      <c r="R891" s="954"/>
      <c r="S891" s="960" t="s">
        <v>77</v>
      </c>
      <c r="T891" s="957">
        <v>2023</v>
      </c>
      <c r="U891" s="961">
        <v>35.6</v>
      </c>
      <c r="V891" s="961">
        <v>5.5</v>
      </c>
      <c r="W891" s="962">
        <f>+V891/U891</f>
        <v>0.1544943820224719</v>
      </c>
      <c r="X891" s="961"/>
      <c r="Y891" s="961"/>
      <c r="Z891" s="954"/>
      <c r="AA891" s="959" t="s">
        <v>140</v>
      </c>
      <c r="AB891" s="961"/>
      <c r="AC891" s="1122" t="s">
        <v>86</v>
      </c>
      <c r="AD891" s="1122" t="s">
        <v>3598</v>
      </c>
      <c r="AE891" s="963" t="s">
        <v>86</v>
      </c>
      <c r="AF891" s="961"/>
      <c r="AG891" s="959"/>
      <c r="AH891" s="954"/>
      <c r="AI891" s="954"/>
      <c r="AJ891" s="964">
        <f ca="1">+TODAY()-AM891</f>
        <v>78</v>
      </c>
      <c r="AK891" s="964">
        <f ca="1">+TODAY()-AS891</f>
        <v>78</v>
      </c>
      <c r="AL891" s="965">
        <f>+IF(D891="Pending",COUNTA(AM891:AQ891)/5,D891)</f>
        <v>0.4</v>
      </c>
      <c r="AM891" s="952">
        <v>45586</v>
      </c>
      <c r="AN891" s="966"/>
      <c r="AO891" s="966">
        <v>45631</v>
      </c>
      <c r="AP891" s="966"/>
      <c r="AQ891" s="966"/>
      <c r="AR891" s="967" t="s">
        <v>1770</v>
      </c>
      <c r="AS891" s="966">
        <v>45586</v>
      </c>
      <c r="AT891" s="11" t="s">
        <v>7</v>
      </c>
    </row>
    <row r="892" spans="1:46" s="98" customFormat="1" x14ac:dyDescent="0.3">
      <c r="A892" s="16"/>
      <c r="B892" s="954"/>
      <c r="C892" s="954"/>
      <c r="D892" s="955" t="str">
        <f>+AR892</f>
        <v>Pending</v>
      </c>
      <c r="E892" s="1133" t="s">
        <v>4875</v>
      </c>
      <c r="F892" s="956"/>
      <c r="G892" s="1117" t="s">
        <v>226</v>
      </c>
      <c r="H892" s="958"/>
      <c r="I892" s="957"/>
      <c r="J892" s="1114" t="s">
        <v>111</v>
      </c>
      <c r="K892" s="1114" t="s">
        <v>4877</v>
      </c>
      <c r="L892" s="959"/>
      <c r="M892" s="959"/>
      <c r="N892" s="959"/>
      <c r="O892" s="959"/>
      <c r="P892" s="959"/>
      <c r="Q892" s="959"/>
      <c r="R892" s="954"/>
      <c r="S892" s="960" t="s">
        <v>77</v>
      </c>
      <c r="T892" s="957">
        <v>2023</v>
      </c>
      <c r="U892" s="961">
        <v>32.5</v>
      </c>
      <c r="V892" s="961">
        <v>6</v>
      </c>
      <c r="W892" s="962">
        <f>+V892/U892</f>
        <v>0.18461538461538463</v>
      </c>
      <c r="X892" s="961"/>
      <c r="Y892" s="961"/>
      <c r="Z892" s="954"/>
      <c r="AA892" s="959" t="s">
        <v>140</v>
      </c>
      <c r="AB892" s="961"/>
      <c r="AC892" s="1122" t="s">
        <v>86</v>
      </c>
      <c r="AD892" s="1122" t="s">
        <v>3598</v>
      </c>
      <c r="AE892" s="963" t="s">
        <v>86</v>
      </c>
      <c r="AF892" s="961"/>
      <c r="AG892" s="959"/>
      <c r="AH892" s="954"/>
      <c r="AI892" s="954"/>
      <c r="AJ892" s="964">
        <f ca="1">+TODAY()-AM892</f>
        <v>78</v>
      </c>
      <c r="AK892" s="964">
        <f ca="1">+TODAY()-AS892</f>
        <v>62</v>
      </c>
      <c r="AL892" s="965">
        <f>+IF(D892="Pending",COUNTA(AM892:AQ892)/5,D892)</f>
        <v>0.6</v>
      </c>
      <c r="AM892" s="952">
        <v>45586</v>
      </c>
      <c r="AN892" s="966">
        <v>45602</v>
      </c>
      <c r="AO892" s="966">
        <v>45631</v>
      </c>
      <c r="AP892" s="38"/>
      <c r="AQ892" s="966"/>
      <c r="AR892" s="967" t="s">
        <v>1770</v>
      </c>
      <c r="AS892" s="966">
        <v>45602</v>
      </c>
      <c r="AT892" s="11" t="s">
        <v>7</v>
      </c>
    </row>
    <row r="893" spans="1:46" s="98" customFormat="1" x14ac:dyDescent="0.3">
      <c r="A893" s="16"/>
      <c r="B893" s="16"/>
      <c r="C893" s="16" t="s">
        <v>5686</v>
      </c>
      <c r="D893" s="20"/>
      <c r="E893" s="1435" t="s">
        <v>5488</v>
      </c>
      <c r="F893" s="20"/>
      <c r="G893" s="13" t="s">
        <v>444</v>
      </c>
      <c r="H893" s="13"/>
      <c r="I893" s="15" t="s">
        <v>5490</v>
      </c>
      <c r="J893" s="13" t="s">
        <v>111</v>
      </c>
      <c r="K893" s="13"/>
      <c r="L893" s="15"/>
      <c r="M893" s="15"/>
      <c r="N893" s="15"/>
      <c r="O893" s="15"/>
      <c r="P893" s="15"/>
      <c r="Q893" s="15"/>
      <c r="R893" s="16"/>
      <c r="S893" s="35"/>
      <c r="T893" s="13"/>
      <c r="U893" s="17">
        <v>177</v>
      </c>
      <c r="V893" s="17"/>
      <c r="W893" s="36"/>
      <c r="X893" s="17"/>
      <c r="Y893" s="17"/>
      <c r="Z893" s="16"/>
      <c r="AA893" s="15"/>
      <c r="AB893" s="15"/>
      <c r="AC893" s="13"/>
      <c r="AD893" s="13"/>
      <c r="AE893" s="13"/>
      <c r="AF893" s="13"/>
      <c r="AG893" s="15"/>
      <c r="AH893" s="16"/>
      <c r="AI893" s="16"/>
      <c r="AJ893" s="42"/>
      <c r="AK893" s="42"/>
      <c r="AL893" s="130"/>
      <c r="AM893" s="106"/>
      <c r="AN893" s="38"/>
      <c r="AO893" s="38"/>
      <c r="AP893" s="107"/>
      <c r="AQ893" s="38"/>
      <c r="AR893" s="106"/>
      <c r="AS893" s="38"/>
      <c r="AT893" s="11" t="s">
        <v>7</v>
      </c>
    </row>
    <row r="894" spans="1:46" s="98" customFormat="1" x14ac:dyDescent="0.3">
      <c r="A894" s="16"/>
      <c r="B894" s="16"/>
      <c r="C894" s="16" t="s">
        <v>5686</v>
      </c>
      <c r="D894" s="16"/>
      <c r="E894" s="1435" t="s">
        <v>5489</v>
      </c>
      <c r="F894" s="16"/>
      <c r="G894" s="13" t="s">
        <v>137</v>
      </c>
      <c r="H894" s="23"/>
      <c r="I894" s="15" t="s">
        <v>5491</v>
      </c>
      <c r="J894" s="13" t="s">
        <v>375</v>
      </c>
      <c r="K894" s="24"/>
      <c r="L894" s="24"/>
      <c r="M894" s="24"/>
      <c r="N894" s="24"/>
      <c r="O894" s="24"/>
      <c r="P894" s="24"/>
      <c r="Q894" s="24"/>
      <c r="R894" s="16"/>
      <c r="S894" s="58"/>
      <c r="T894" s="23">
        <v>2023</v>
      </c>
      <c r="U894" s="774">
        <v>125</v>
      </c>
      <c r="V894" s="25"/>
      <c r="W894" s="59"/>
      <c r="X894" s="25"/>
      <c r="Y894" s="25"/>
      <c r="Z894" s="16"/>
      <c r="AA894" s="24"/>
      <c r="AB894" s="24"/>
      <c r="AC894" s="23"/>
      <c r="AD894" s="23"/>
      <c r="AE894" s="23"/>
      <c r="AF894" s="23"/>
      <c r="AG894" s="24"/>
      <c r="AH894" s="16"/>
      <c r="AI894" s="16"/>
      <c r="AJ894" s="23"/>
      <c r="AK894" s="23"/>
      <c r="AL894" s="24"/>
      <c r="AM894" s="26"/>
      <c r="AN894" s="107"/>
      <c r="AO894" s="107"/>
      <c r="AP894" s="108"/>
      <c r="AQ894" s="107"/>
      <c r="AR894" s="26"/>
      <c r="AS894" s="26"/>
      <c r="AT894" s="11" t="s">
        <v>7</v>
      </c>
    </row>
    <row r="895" spans="1:46" s="98" customFormat="1" x14ac:dyDescent="0.3">
      <c r="A895" s="16"/>
      <c r="B895" s="16"/>
      <c r="C895" s="16" t="s">
        <v>5686</v>
      </c>
      <c r="D895" s="11" t="s">
        <v>240</v>
      </c>
      <c r="E895" s="1435" t="s">
        <v>5468</v>
      </c>
      <c r="F895" s="11"/>
      <c r="G895" s="13" t="s">
        <v>444</v>
      </c>
      <c r="H895" s="11" t="s">
        <v>240</v>
      </c>
      <c r="I895" s="15" t="s">
        <v>5492</v>
      </c>
      <c r="J895" s="13" t="s">
        <v>111</v>
      </c>
      <c r="K895" s="11" t="s">
        <v>240</v>
      </c>
      <c r="L895" s="11" t="s">
        <v>240</v>
      </c>
      <c r="M895" s="11" t="s">
        <v>240</v>
      </c>
      <c r="N895" s="11" t="s">
        <v>240</v>
      </c>
      <c r="O895" s="11" t="s">
        <v>240</v>
      </c>
      <c r="P895" s="11" t="s">
        <v>240</v>
      </c>
      <c r="Q895" s="11" t="s">
        <v>240</v>
      </c>
      <c r="R895" s="11" t="s">
        <v>240</v>
      </c>
      <c r="S895" s="11" t="s">
        <v>240</v>
      </c>
      <c r="T895" s="23">
        <v>2023</v>
      </c>
      <c r="U895" s="774">
        <v>115</v>
      </c>
      <c r="V895" s="11" t="s">
        <v>240</v>
      </c>
      <c r="W895" s="11" t="s">
        <v>240</v>
      </c>
      <c r="X895" s="11" t="s">
        <v>240</v>
      </c>
      <c r="Y895" s="11" t="s">
        <v>240</v>
      </c>
      <c r="Z895" s="11"/>
      <c r="AA895" s="11" t="s">
        <v>240</v>
      </c>
      <c r="AB895" s="11" t="s">
        <v>240</v>
      </c>
      <c r="AC895" s="11" t="s">
        <v>240</v>
      </c>
      <c r="AD895" s="11" t="s">
        <v>240</v>
      </c>
      <c r="AE895" s="11" t="s">
        <v>240</v>
      </c>
      <c r="AF895" s="11"/>
      <c r="AG895" s="11"/>
      <c r="AH895" s="11" t="s">
        <v>240</v>
      </c>
      <c r="AI895" s="11"/>
      <c r="AJ895" s="11" t="s">
        <v>240</v>
      </c>
      <c r="AK895" s="11" t="s">
        <v>240</v>
      </c>
      <c r="AL895" s="131"/>
      <c r="AM895" s="11" t="s">
        <v>240</v>
      </c>
      <c r="AN895" s="108" t="s">
        <v>240</v>
      </c>
      <c r="AO895" s="108" t="s">
        <v>240</v>
      </c>
      <c r="AP895" s="110"/>
      <c r="AQ895" s="108" t="s">
        <v>240</v>
      </c>
      <c r="AR895" s="11"/>
      <c r="AS895" s="11"/>
      <c r="AT895" s="11" t="s">
        <v>7</v>
      </c>
    </row>
    <row r="896" spans="1:46" x14ac:dyDescent="0.3">
      <c r="C896" s="16" t="s">
        <v>5686</v>
      </c>
      <c r="E896" s="1435" t="s">
        <v>5469</v>
      </c>
      <c r="G896" s="13" t="s">
        <v>5509</v>
      </c>
      <c r="I896" s="15" t="s">
        <v>5493</v>
      </c>
      <c r="J896" s="13" t="s">
        <v>375</v>
      </c>
      <c r="T896" s="23">
        <v>2023</v>
      </c>
      <c r="U896" s="774">
        <v>355</v>
      </c>
    </row>
    <row r="897" spans="3:21" x14ac:dyDescent="0.3">
      <c r="C897" s="16" t="s">
        <v>5686</v>
      </c>
      <c r="E897" s="1435" t="s">
        <v>5470</v>
      </c>
      <c r="G897" s="13" t="s">
        <v>391</v>
      </c>
      <c r="I897" s="15" t="s">
        <v>5494</v>
      </c>
      <c r="J897" s="13" t="s">
        <v>5687</v>
      </c>
      <c r="T897" s="23">
        <v>2023</v>
      </c>
      <c r="U897" s="774">
        <v>267</v>
      </c>
    </row>
    <row r="898" spans="3:21" x14ac:dyDescent="0.3">
      <c r="C898" s="16" t="s">
        <v>5686</v>
      </c>
      <c r="E898" s="1435" t="s">
        <v>5471</v>
      </c>
      <c r="G898" s="13" t="s">
        <v>391</v>
      </c>
      <c r="I898" s="15" t="s">
        <v>5495</v>
      </c>
      <c r="J898" s="13" t="s">
        <v>111</v>
      </c>
      <c r="T898" s="23">
        <v>2023</v>
      </c>
      <c r="U898" s="774">
        <v>128</v>
      </c>
    </row>
    <row r="899" spans="3:21" x14ac:dyDescent="0.3">
      <c r="C899" s="16" t="s">
        <v>5686</v>
      </c>
      <c r="E899" s="1435" t="s">
        <v>5472</v>
      </c>
      <c r="G899" s="13" t="s">
        <v>137</v>
      </c>
      <c r="I899" s="15" t="s">
        <v>5496</v>
      </c>
      <c r="J899" s="13" t="s">
        <v>83</v>
      </c>
      <c r="T899" s="23">
        <v>2023</v>
      </c>
      <c r="U899" s="774">
        <v>949</v>
      </c>
    </row>
    <row r="900" spans="3:21" x14ac:dyDescent="0.3">
      <c r="C900" s="16" t="s">
        <v>5686</v>
      </c>
      <c r="E900" s="1435" t="s">
        <v>5473</v>
      </c>
      <c r="G900" s="13" t="s">
        <v>137</v>
      </c>
      <c r="I900" s="15" t="s">
        <v>5497</v>
      </c>
      <c r="J900" s="13" t="s">
        <v>111</v>
      </c>
      <c r="T900" s="23">
        <v>2023</v>
      </c>
      <c r="U900" s="774">
        <v>247</v>
      </c>
    </row>
    <row r="901" spans="3:21" x14ac:dyDescent="0.3">
      <c r="C901" s="16" t="s">
        <v>5686</v>
      </c>
      <c r="E901" s="1435" t="s">
        <v>5474</v>
      </c>
      <c r="G901" s="13" t="s">
        <v>5510</v>
      </c>
      <c r="I901" s="15" t="s">
        <v>5494</v>
      </c>
      <c r="J901" s="13" t="s">
        <v>5687</v>
      </c>
      <c r="T901" s="23">
        <v>2023</v>
      </c>
      <c r="U901" s="774">
        <v>227</v>
      </c>
    </row>
    <row r="902" spans="3:21" x14ac:dyDescent="0.3">
      <c r="C902" s="16" t="s">
        <v>5686</v>
      </c>
      <c r="E902" s="1435" t="s">
        <v>5475</v>
      </c>
      <c r="G902" s="13" t="s">
        <v>5275</v>
      </c>
      <c r="I902" s="15" t="s">
        <v>5498</v>
      </c>
      <c r="J902" s="13" t="s">
        <v>83</v>
      </c>
      <c r="T902" s="23">
        <v>2023</v>
      </c>
      <c r="U902" s="774">
        <v>278</v>
      </c>
    </row>
    <row r="903" spans="3:21" x14ac:dyDescent="0.3">
      <c r="C903" s="16" t="s">
        <v>5686</v>
      </c>
      <c r="E903" s="1435" t="s">
        <v>5476</v>
      </c>
      <c r="G903" s="13" t="s">
        <v>5275</v>
      </c>
      <c r="I903" s="15" t="s">
        <v>5499</v>
      </c>
      <c r="J903" s="13" t="s">
        <v>83</v>
      </c>
      <c r="T903" s="23">
        <v>2023</v>
      </c>
      <c r="U903" s="774">
        <v>153</v>
      </c>
    </row>
    <row r="904" spans="3:21" x14ac:dyDescent="0.3">
      <c r="C904" s="16" t="s">
        <v>5686</v>
      </c>
      <c r="E904" s="1435" t="s">
        <v>5477</v>
      </c>
      <c r="G904" s="13" t="s">
        <v>5275</v>
      </c>
      <c r="I904" s="15" t="s">
        <v>5500</v>
      </c>
      <c r="J904" s="13" t="s">
        <v>111</v>
      </c>
      <c r="T904" s="23">
        <v>2023</v>
      </c>
      <c r="U904" s="774">
        <v>124</v>
      </c>
    </row>
    <row r="905" spans="3:21" x14ac:dyDescent="0.3">
      <c r="C905" s="16" t="s">
        <v>5686</v>
      </c>
      <c r="E905" s="1435" t="s">
        <v>5478</v>
      </c>
      <c r="G905" s="13" t="s">
        <v>838</v>
      </c>
      <c r="I905" s="15" t="s">
        <v>5501</v>
      </c>
      <c r="J905" s="13" t="s">
        <v>83</v>
      </c>
      <c r="T905" s="23">
        <v>2023</v>
      </c>
      <c r="U905" s="774">
        <v>330</v>
      </c>
    </row>
    <row r="906" spans="3:21" x14ac:dyDescent="0.3">
      <c r="C906" s="16" t="s">
        <v>5686</v>
      </c>
      <c r="E906" s="1435" t="s">
        <v>5479</v>
      </c>
      <c r="G906" s="13" t="s">
        <v>838</v>
      </c>
      <c r="I906" s="15" t="s">
        <v>5499</v>
      </c>
      <c r="J906" s="13" t="s">
        <v>83</v>
      </c>
      <c r="T906" s="23">
        <v>2023</v>
      </c>
      <c r="U906" s="774">
        <v>101</v>
      </c>
    </row>
    <row r="907" spans="3:21" x14ac:dyDescent="0.3">
      <c r="C907" s="16" t="s">
        <v>5686</v>
      </c>
      <c r="E907" s="1435" t="s">
        <v>5480</v>
      </c>
      <c r="G907" s="13" t="s">
        <v>5511</v>
      </c>
      <c r="I907" s="15" t="s">
        <v>5502</v>
      </c>
      <c r="J907" s="13" t="s">
        <v>111</v>
      </c>
      <c r="T907" s="23">
        <v>2023</v>
      </c>
      <c r="U907" s="774">
        <v>88</v>
      </c>
    </row>
    <row r="908" spans="3:21" x14ac:dyDescent="0.3">
      <c r="C908" s="16" t="s">
        <v>5686</v>
      </c>
      <c r="E908" s="1435" t="s">
        <v>5481</v>
      </c>
      <c r="G908" s="13" t="s">
        <v>413</v>
      </c>
      <c r="I908" s="15" t="s">
        <v>5503</v>
      </c>
      <c r="J908" s="13" t="s">
        <v>111</v>
      </c>
      <c r="T908" s="23">
        <v>2023</v>
      </c>
      <c r="U908" s="774">
        <v>1337</v>
      </c>
    </row>
    <row r="909" spans="3:21" x14ac:dyDescent="0.3">
      <c r="C909" s="16" t="s">
        <v>5686</v>
      </c>
      <c r="E909" s="1435" t="s">
        <v>5482</v>
      </c>
      <c r="G909" s="13" t="s">
        <v>413</v>
      </c>
      <c r="I909" s="15" t="s">
        <v>5504</v>
      </c>
      <c r="J909" s="13" t="s">
        <v>83</v>
      </c>
      <c r="T909" s="23">
        <v>2023</v>
      </c>
      <c r="U909" s="774">
        <v>489</v>
      </c>
    </row>
    <row r="910" spans="3:21" x14ac:dyDescent="0.3">
      <c r="C910" s="16" t="s">
        <v>5686</v>
      </c>
      <c r="E910" s="1435" t="s">
        <v>5483</v>
      </c>
      <c r="G910" s="13" t="s">
        <v>413</v>
      </c>
      <c r="I910" s="15" t="s">
        <v>5505</v>
      </c>
      <c r="J910" s="13" t="s">
        <v>111</v>
      </c>
      <c r="T910" s="23">
        <v>2023</v>
      </c>
      <c r="U910" s="774">
        <v>158</v>
      </c>
    </row>
    <row r="911" spans="3:21" x14ac:dyDescent="0.3">
      <c r="C911" s="16" t="s">
        <v>5686</v>
      </c>
      <c r="E911" s="1435" t="s">
        <v>5484</v>
      </c>
      <c r="G911" s="13" t="s">
        <v>413</v>
      </c>
      <c r="I911" s="15" t="s">
        <v>5506</v>
      </c>
      <c r="J911" s="13" t="s">
        <v>111</v>
      </c>
      <c r="T911" s="23">
        <v>2023</v>
      </c>
      <c r="U911" s="774">
        <v>278</v>
      </c>
    </row>
    <row r="912" spans="3:21" x14ac:dyDescent="0.3">
      <c r="C912" s="16" t="s">
        <v>5686</v>
      </c>
      <c r="E912" s="1435" t="s">
        <v>5485</v>
      </c>
      <c r="G912" s="13" t="s">
        <v>413</v>
      </c>
      <c r="I912" s="15" t="s">
        <v>5494</v>
      </c>
      <c r="J912" s="13" t="s">
        <v>5687</v>
      </c>
      <c r="T912" s="23">
        <v>2023</v>
      </c>
      <c r="U912" s="774">
        <v>115</v>
      </c>
    </row>
    <row r="913" spans="3:21" x14ac:dyDescent="0.3">
      <c r="C913" s="16" t="s">
        <v>5686</v>
      </c>
      <c r="E913" s="1435" t="s">
        <v>5486</v>
      </c>
      <c r="G913" s="13" t="s">
        <v>413</v>
      </c>
      <c r="I913" s="15" t="s">
        <v>5507</v>
      </c>
      <c r="J913" s="13" t="s">
        <v>111</v>
      </c>
      <c r="T913" s="23">
        <v>2023</v>
      </c>
      <c r="U913" s="774">
        <v>134</v>
      </c>
    </row>
    <row r="914" spans="3:21" x14ac:dyDescent="0.3">
      <c r="C914" s="16" t="s">
        <v>5686</v>
      </c>
      <c r="E914" s="1435" t="s">
        <v>5487</v>
      </c>
      <c r="G914" s="13" t="s">
        <v>413</v>
      </c>
      <c r="I914" s="15" t="s">
        <v>5508</v>
      </c>
      <c r="J914" s="13" t="s">
        <v>111</v>
      </c>
      <c r="T914" s="23">
        <v>2023</v>
      </c>
      <c r="U914" s="774">
        <v>118</v>
      </c>
    </row>
  </sheetData>
  <autoFilter ref="B2:AS892" xr:uid="{EB35A269-57F1-4998-9D69-DF2FE904C786}">
    <sortState xmlns:xlrd2="http://schemas.microsoft.com/office/spreadsheetml/2017/richdata2" ref="B3:AS892">
      <sortCondition ref="B2:B892"/>
    </sortState>
  </autoFilter>
  <sortState xmlns:xlrd2="http://schemas.microsoft.com/office/spreadsheetml/2017/richdata2" ref="A419:BC892">
    <sortCondition ref="B419:B892"/>
  </sortState>
  <phoneticPr fontId="165" type="noConversion"/>
  <conditionalFormatting sqref="C56:C76">
    <cfRule type="cellIs" dxfId="88" priority="62" operator="equal">
      <formula>"In Touch - Negative"</formula>
    </cfRule>
    <cfRule type="containsText" dxfId="87" priority="63" operator="containsText" text="No Answer">
      <formula>NOT(ISERROR(SEARCH("No Answer",C56)))</formula>
    </cfRule>
  </conditionalFormatting>
  <conditionalFormatting sqref="D535:D542 D1:D434">
    <cfRule type="cellIs" dxfId="86" priority="98" operator="equal">
      <formula>"In Touch - Negative"</formula>
    </cfRule>
    <cfRule type="containsText" dxfId="85" priority="99" operator="containsText" text="No Answer">
      <formula>NOT(ISERROR(SEARCH("No Answer",D1)))</formula>
    </cfRule>
  </conditionalFormatting>
  <conditionalFormatting sqref="D97:D106 D111:AL265 D514:AL892 F893:H893 D893:D914 F894:F914 H894:H914 D915:AL1048576 G2:AL2 D2:E2 D3:D11 R3:R11 Z3:Z11 AH3:AI11 AL3:AL11">
    <cfRule type="cellIs" dxfId="84" priority="96" operator="equal">
      <formula>"cls"</formula>
    </cfRule>
  </conditionalFormatting>
  <conditionalFormatting sqref="D314 D440:D493 D496 D529:D654 D656:D1048576">
    <cfRule type="containsText" dxfId="83" priority="191" operator="containsText" text="No Answer">
      <formula>NOT(ISERROR(SEARCH("No Answer",D314)))</formula>
    </cfRule>
  </conditionalFormatting>
  <conditionalFormatting sqref="D438 D495:D500">
    <cfRule type="cellIs" dxfId="82" priority="129" operator="equal">
      <formula>"In Touch - Negative"</formula>
    </cfRule>
    <cfRule type="containsText" dxfId="81" priority="130" operator="containsText" text="No Answer">
      <formula>NOT(ISERROR(SEARCH("No Answer",D438)))</formula>
    </cfRule>
  </conditionalFormatting>
  <conditionalFormatting sqref="D440:D493 D529:D654 D435:F439 D496 D314 D449:F449 D656:D1048576">
    <cfRule type="cellIs" dxfId="80" priority="190" operator="equal">
      <formula>"In Touch - Negative"</formula>
    </cfRule>
  </conditionalFormatting>
  <conditionalFormatting sqref="D460 D485 D571">
    <cfRule type="cellIs" dxfId="79" priority="168" operator="equal">
      <formula>"In Touch - Negative"</formula>
    </cfRule>
    <cfRule type="containsText" dxfId="78" priority="169" operator="containsText" text="No Answer">
      <formula>NOT(ISERROR(SEARCH("No Answer",D460)))</formula>
    </cfRule>
  </conditionalFormatting>
  <conditionalFormatting sqref="D435:F439 D449:F449">
    <cfRule type="containsText" dxfId="77" priority="250" operator="containsText" text="No Answer">
      <formula>NOT(ISERROR(SEARCH("No Answer",D435)))</formula>
    </cfRule>
  </conditionalFormatting>
  <conditionalFormatting sqref="D453:F453 D494:F530 D624:F635 D656:F677 D702:F702">
    <cfRule type="containsText" dxfId="76" priority="352" operator="containsText" text="No Answer">
      <formula>NOT(ISERROR(SEARCH("No Answer",D453)))</formula>
    </cfRule>
  </conditionalFormatting>
  <conditionalFormatting sqref="D653:F681">
    <cfRule type="cellIs" dxfId="75" priority="336" operator="equal">
      <formula>"In Touch - Negative"</formula>
    </cfRule>
    <cfRule type="containsText" dxfId="74" priority="337" operator="containsText" text="No Answer">
      <formula>NOT(ISERROR(SEARCH("No Answer",D653)))</formula>
    </cfRule>
  </conditionalFormatting>
  <conditionalFormatting sqref="D656:F677 D453:F453 D494:F530 D624:F635 D702:F702">
    <cfRule type="cellIs" dxfId="73" priority="351" operator="equal">
      <formula>"In Touch - Negative"</formula>
    </cfRule>
  </conditionalFormatting>
  <conditionalFormatting sqref="D438:I438 D97:E108 D266:I267 D267:AL280 D280:I303 D323:K323 D323:E324 D399:D414 L266:AL303 M323:AL323 L438:AL438">
    <cfRule type="cellIs" dxfId="72" priority="211" operator="equal">
      <formula>"cls"</formula>
    </cfRule>
  </conditionalFormatting>
  <conditionalFormatting sqref="D50:T55">
    <cfRule type="cellIs" dxfId="71" priority="20" operator="equal">
      <formula>"cls"</formula>
    </cfRule>
  </conditionalFormatting>
  <conditionalFormatting sqref="D12:AL36 U37:AL46 E37:T49 D37:D50 C56:V65 C66:AL76">
    <cfRule type="cellIs" dxfId="70" priority="51" operator="equal">
      <formula>"cls"</formula>
    </cfRule>
  </conditionalFormatting>
  <conditionalFormatting sqref="D77:AL96">
    <cfRule type="cellIs" dxfId="69" priority="74" operator="equal">
      <formula>"cls"</formula>
    </cfRule>
  </conditionalFormatting>
  <conditionalFormatting sqref="D304:AL312">
    <cfRule type="cellIs" dxfId="68" priority="120" operator="equal">
      <formula>"cls"</formula>
    </cfRule>
  </conditionalFormatting>
  <conditionalFormatting sqref="D313:AL316 D109:I109 D110:R110 J108:R109 S108:V110">
    <cfRule type="cellIs" dxfId="67" priority="237" operator="equal">
      <formula>"cls"</formula>
    </cfRule>
  </conditionalFormatting>
  <conditionalFormatting sqref="D317:AL322 D419:AI419 AL415:AL419">
    <cfRule type="cellIs" dxfId="66" priority="188" operator="equal">
      <formula>"cls"</formula>
    </cfRule>
  </conditionalFormatting>
  <conditionalFormatting sqref="D324:AL374 D1 F1:AL1 L409 D513:W513 Y513:AL513">
    <cfRule type="cellIs" dxfId="65" priority="349" operator="equal">
      <formula>"cls"</formula>
    </cfRule>
  </conditionalFormatting>
  <conditionalFormatting sqref="D375:AL391">
    <cfRule type="cellIs" dxfId="64" priority="119" operator="equal">
      <formula>"cls"</formula>
    </cfRule>
  </conditionalFormatting>
  <conditionalFormatting sqref="D392:AL512">
    <cfRule type="cellIs" dxfId="63" priority="146" operator="equal">
      <formula>"cls"</formula>
    </cfRule>
  </conditionalFormatting>
  <conditionalFormatting sqref="E894">
    <cfRule type="cellIs" dxfId="62" priority="14" operator="equal">
      <formula>"cls"</formula>
    </cfRule>
  </conditionalFormatting>
  <conditionalFormatting sqref="F97:I108">
    <cfRule type="cellIs" dxfId="61" priority="92" operator="equal">
      <formula>"cls"</formula>
    </cfRule>
  </conditionalFormatting>
  <conditionalFormatting sqref="G894">
    <cfRule type="cellIs" dxfId="60" priority="13" operator="equal">
      <formula>"cls"</formula>
    </cfRule>
  </conditionalFormatting>
  <conditionalFormatting sqref="I893:AL914">
    <cfRule type="cellIs" dxfId="59" priority="9" operator="equal">
      <formula>"cls"</formula>
    </cfRule>
  </conditionalFormatting>
  <conditionalFormatting sqref="J97:V107">
    <cfRule type="cellIs" dxfId="58" priority="100" operator="equal">
      <formula>"cls"</formula>
    </cfRule>
  </conditionalFormatting>
  <conditionalFormatting sqref="U47:V55 W47:AL65">
    <cfRule type="cellIs" dxfId="57" priority="16" operator="equal">
      <formula>"cls"</formula>
    </cfRule>
  </conditionalFormatting>
  <conditionalFormatting sqref="W97:AL110">
    <cfRule type="cellIs" dxfId="56" priority="91" operator="equal">
      <formula>"cls"</formula>
    </cfRule>
  </conditionalFormatting>
  <conditionalFormatting sqref="AI56:AI76">
    <cfRule type="colorScale" priority="7911">
      <colorScale>
        <cfvo type="min"/>
        <cfvo type="max"/>
        <color rgb="FFFCFCFF"/>
        <color rgb="FFF8696B"/>
      </colorScale>
    </cfRule>
  </conditionalFormatting>
  <conditionalFormatting sqref="AJ115:AJ117">
    <cfRule type="colorScale" priority="7767">
      <colorScale>
        <cfvo type="min"/>
        <cfvo type="max"/>
        <color rgb="FFFCFCFF"/>
        <color rgb="FFF8696B"/>
      </colorScale>
    </cfRule>
  </conditionalFormatting>
  <conditionalFormatting sqref="AJ327 AJ485 AJ571 AJ329:AJ336">
    <cfRule type="colorScale" priority="5105">
      <colorScale>
        <cfvo type="min"/>
        <cfvo type="max"/>
        <color rgb="FFFCFCFF"/>
        <color rgb="FFF8696B"/>
      </colorScale>
    </cfRule>
  </conditionalFormatting>
  <conditionalFormatting sqref="AJ500">
    <cfRule type="colorScale" priority="139">
      <colorScale>
        <cfvo type="min"/>
        <cfvo type="max"/>
        <color rgb="FFFCFCFF"/>
        <color rgb="FFF8696B"/>
      </colorScale>
    </cfRule>
  </conditionalFormatting>
  <conditionalFormatting sqref="AJ655">
    <cfRule type="colorScale" priority="346">
      <colorScale>
        <cfvo type="min"/>
        <cfvo type="max"/>
        <color rgb="FFFCFCFF"/>
        <color rgb="FFF8696B"/>
      </colorScale>
    </cfRule>
  </conditionalFormatting>
  <conditionalFormatting sqref="AJ656:AJ1048576 AJ328 AJ572:AJ654 AJ486:AJ499 AJ337:AJ484 AJ118:AJ326 AJ501:AJ570 AJ1:AJ114">
    <cfRule type="colorScale" priority="6537">
      <colorScale>
        <cfvo type="min"/>
        <cfvo type="max"/>
        <color rgb="FFFCFCFF"/>
        <color rgb="FFF8696B"/>
      </colorScale>
    </cfRule>
  </conditionalFormatting>
  <conditionalFormatting sqref="AK79">
    <cfRule type="cellIs" dxfId="55" priority="77" operator="equal">
      <formula>"cls"</formula>
    </cfRule>
  </conditionalFormatting>
  <conditionalFormatting sqref="AK115:AK117">
    <cfRule type="colorScale" priority="7779">
      <colorScale>
        <cfvo type="min"/>
        <cfvo type="max"/>
        <color rgb="FFFCFCFF"/>
        <color rgb="FFF8696B"/>
      </colorScale>
    </cfRule>
  </conditionalFormatting>
  <conditionalFormatting sqref="AK327 AK485 AK571 AK329:AK336">
    <cfRule type="colorScale" priority="5114">
      <colorScale>
        <cfvo type="min"/>
        <cfvo type="max"/>
        <color rgb="FFFCFCFF"/>
        <color rgb="FFF8696B"/>
      </colorScale>
    </cfRule>
  </conditionalFormatting>
  <conditionalFormatting sqref="AK500">
    <cfRule type="colorScale" priority="140">
      <colorScale>
        <cfvo type="min"/>
        <cfvo type="max"/>
        <color rgb="FFFCFCFF"/>
        <color rgb="FFF8696B"/>
      </colorScale>
    </cfRule>
  </conditionalFormatting>
  <conditionalFormatting sqref="AK655">
    <cfRule type="colorScale" priority="347">
      <colorScale>
        <cfvo type="min"/>
        <cfvo type="max"/>
        <color rgb="FFFCFCFF"/>
        <color rgb="FFF8696B"/>
      </colorScale>
    </cfRule>
  </conditionalFormatting>
  <conditionalFormatting sqref="AK656:AK1048576 AK328 AK572:AK654 AK486:AK499 AK337:AK484 AK118:AK326 AK501:AK570 AK1:AK114">
    <cfRule type="colorScale" priority="6549">
      <colorScale>
        <cfvo type="min"/>
        <cfvo type="max"/>
        <color rgb="FFFCFCFF"/>
        <color rgb="FFF8696B"/>
      </colorScale>
    </cfRule>
  </conditionalFormatting>
  <conditionalFormatting sqref="AL118:AL326 AL328 AL337:AL418 AL420:AL1048576 AL1:AL114">
    <cfRule type="containsText" dxfId="54" priority="356" operator="containsText" text="No Answer">
      <formula>NOT(ISERROR(SEARCH("No Answer",AL1)))</formula>
    </cfRule>
    <cfRule type="containsText" dxfId="53" priority="359" operator="containsText" text="hld">
      <formula>NOT(ISERROR(SEARCH("hld",AL1)))</formula>
    </cfRule>
  </conditionalFormatting>
  <conditionalFormatting sqref="AL1:AL1048576">
    <cfRule type="cellIs" dxfId="52" priority="97" operator="equal">
      <formula>"In Touch - Negative"</formula>
    </cfRule>
  </conditionalFormatting>
  <conditionalFormatting sqref="AL681:AL1048576 AL1:AL50">
    <cfRule type="dataBar" priority="5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{53B43B96-04C2-4DDC-A783-FA58835D4EAB}</x14:id>
        </ext>
      </extLst>
    </cfRule>
  </conditionalFormatting>
  <conditionalFormatting sqref="AL115:AL117">
    <cfRule type="containsText" dxfId="51" priority="103" operator="containsText" text="No Answer">
      <formula>NOT(ISERROR(SEARCH("No Answer",AL115)))</formula>
    </cfRule>
    <cfRule type="containsText" dxfId="50" priority="106" operator="containsText" text="hld">
      <formula>NOT(ISERROR(SEARCH("hld",AL115)))</formula>
    </cfRule>
    <cfRule type="dataBar" priority="10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{10ED2301-648B-4404-951E-ED77916C8E37}</x14:id>
        </ext>
      </extLst>
    </cfRule>
  </conditionalFormatting>
  <conditionalFormatting sqref="AL118:AL418 AL420:AL654">
    <cfRule type="dataBar" priority="4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{8D4E0927-1FA3-46DC-8634-AEA242D17296}</x14:id>
        </ext>
      </extLst>
    </cfRule>
  </conditionalFormatting>
  <conditionalFormatting sqref="AL327:AL336 AL485 AL571">
    <cfRule type="containsText" dxfId="49" priority="176" operator="containsText" text="hld">
      <formula>NOT(ISERROR(SEARCH("hld",AL327)))</formula>
    </cfRule>
  </conditionalFormatting>
  <conditionalFormatting sqref="AL419">
    <cfRule type="containsText" dxfId="48" priority="194" operator="containsText" text="No Answer">
      <formula>NOT(ISERROR(SEARCH("No Answer",AL419)))</formula>
    </cfRule>
    <cfRule type="containsText" dxfId="47" priority="197" operator="containsText" text="hld">
      <formula>NOT(ISERROR(SEARCH("hld",AL419)))</formula>
    </cfRule>
    <cfRule type="dataBar" priority="19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{B7B1ACA0-7ABA-442A-8B80-17100BD111F2}</x14:id>
        </ext>
      </extLst>
    </cfRule>
    <cfRule type="dataBar" priority="19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{BA6929C2-DA65-4888-BE41-AD26F7D3E8B9}</x14:id>
        </ext>
      </extLst>
    </cfRule>
    <cfRule type="containsText" dxfId="46" priority="203" operator="containsText" text="No Answer">
      <formula>NOT(ISERROR(SEARCH("No Answer",AL419)))</formula>
    </cfRule>
    <cfRule type="containsText" dxfId="45" priority="206" operator="containsText" text="hld">
      <formula>NOT(ISERROR(SEARCH("hld",AL419)))</formula>
    </cfRule>
  </conditionalFormatting>
  <conditionalFormatting sqref="AL485 AL327:AL336 AL571">
    <cfRule type="containsText" dxfId="44" priority="173" operator="containsText" text="No Answer">
      <formula>NOT(ISERROR(SEARCH("No Answer",AL327)))</formula>
    </cfRule>
  </conditionalFormatting>
  <conditionalFormatting sqref="AL500">
    <cfRule type="dataBar" priority="13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{66FF6222-1B39-4FEF-94FA-2B6CF5656F89}</x14:id>
        </ext>
      </extLst>
    </cfRule>
    <cfRule type="containsText" dxfId="43" priority="135" operator="containsText" text="No Answer">
      <formula>NOT(ISERROR(SEARCH("No Answer",AL500)))</formula>
    </cfRule>
    <cfRule type="containsText" dxfId="42" priority="138" operator="containsText" text="hld">
      <formula>NOT(ISERROR(SEARCH("hld",AL500)))</formula>
    </cfRule>
  </conditionalFormatting>
  <conditionalFormatting sqref="AL571 AL485 AL460 AL51:AL114">
    <cfRule type="dataBar" priority="17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{1D7F0816-37EE-47A4-ADB1-F22275CFDA54}</x14:id>
        </ext>
      </extLst>
    </cfRule>
  </conditionalFormatting>
  <conditionalFormatting sqref="AL600:AL602 AL416">
    <cfRule type="dataBar" priority="27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{E44E7EB0-8AD8-40EA-BA6B-EE9603CB9F86}</x14:id>
        </ext>
      </extLst>
    </cfRule>
  </conditionalFormatting>
  <conditionalFormatting sqref="AL655:AL680">
    <cfRule type="dataBar" priority="34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{E8DDEDD0-5547-49BB-876D-A771C961450A}</x14:id>
        </ext>
      </extLst>
    </cfRule>
  </conditionalFormatting>
  <conditionalFormatting sqref="AL656:AL680">
    <cfRule type="dataBar" priority="29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{CCD2ED33-23CE-405E-95CB-BC950414038F}</x14:id>
        </ext>
      </extLst>
    </cfRule>
  </conditionalFormatting>
  <conditionalFormatting sqref="AL657:AL677">
    <cfRule type="dataBar" priority="25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{EDC9E50A-A597-4EED-91FB-D7B342E3DB8C}</x14:id>
        </ext>
      </extLst>
    </cfRule>
  </conditionalFormatting>
  <conditionalFormatting sqref="AL728 AL687">
    <cfRule type="dataBar" priority="3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{17D6420B-90C8-4228-8464-C19BE61CB668}</x14:id>
        </ext>
      </extLst>
    </cfRule>
  </conditionalFormatting>
  <conditionalFormatting sqref="AL732:AL739">
    <cfRule type="dataBar" priority="39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{04E539A9-9CA6-435E-9DE6-D7F22D971593}</x14:id>
        </ext>
      </extLst>
    </cfRule>
  </conditionalFormatting>
  <conditionalFormatting sqref="AP1">
    <cfRule type="cellIs" dxfId="41" priority="826" operator="equal">
      <formula>"RIP"</formula>
    </cfRule>
    <cfRule type="containsText" dxfId="40" priority="827" operator="containsText" text="abt">
      <formula>NOT(ISERROR(SEARCH("abt",AP1)))</formula>
    </cfRule>
    <cfRule type="containsText" dxfId="39" priority="828" operator="containsText" text="sgn">
      <formula>NOT(ISERROR(SEARCH("sgn",AP1)))</formula>
    </cfRule>
    <cfRule type="containsText" dxfId="38" priority="829" operator="containsText" text="wip">
      <formula>NOT(ISERROR(SEARCH("wip",AP1)))</formula>
    </cfRule>
    <cfRule type="containsText" dxfId="37" priority="830" operator="containsText" text="hld">
      <formula>NOT(ISERROR(SEARCH("hld",AP1)))</formula>
    </cfRule>
    <cfRule type="cellIs" dxfId="36" priority="831" operator="equal">
      <formula>"cls"</formula>
    </cfRule>
  </conditionalFormatting>
  <conditionalFormatting sqref="D3:D11">
    <cfRule type="cellIs" dxfId="35" priority="8" operator="equal">
      <formula>"cls"</formula>
    </cfRule>
  </conditionalFormatting>
  <conditionalFormatting sqref="E3:Q11">
    <cfRule type="cellIs" dxfId="34" priority="7" operator="equal">
      <formula>"cls"</formula>
    </cfRule>
  </conditionalFormatting>
  <conditionalFormatting sqref="S3:S11">
    <cfRule type="cellIs" dxfId="33" priority="6" operator="equal">
      <formula>"cls"</formula>
    </cfRule>
  </conditionalFormatting>
  <conditionalFormatting sqref="AB3:AG11">
    <cfRule type="cellIs" dxfId="32" priority="5" operator="equal">
      <formula>"cls"</formula>
    </cfRule>
  </conditionalFormatting>
  <conditionalFormatting sqref="AJ3:AK11">
    <cfRule type="cellIs" dxfId="31" priority="4" operator="equal">
      <formula>"cls"</formula>
    </cfRule>
  </conditionalFormatting>
  <conditionalFormatting sqref="AL3:AL11">
    <cfRule type="cellIs" dxfId="30" priority="3" operator="equal">
      <formula>"cls"</formula>
    </cfRule>
  </conditionalFormatting>
  <conditionalFormatting sqref="AA3:AA11">
    <cfRule type="cellIs" dxfId="29" priority="2" operator="equal">
      <formula>"cls"</formula>
    </cfRule>
  </conditionalFormatting>
  <conditionalFormatting sqref="T3:Y11">
    <cfRule type="cellIs" dxfId="28" priority="1" operator="equal">
      <formula>"cls"</formula>
    </cfRule>
  </conditionalFormatting>
  <dataValidations count="1">
    <dataValidation type="list" allowBlank="1" showInputMessage="1" showErrorMessage="1" sqref="AR485 AR483 AR475 AR479:AR480 AR488:AR501 AR503:AR872 AR3:AR473" xr:uid="{9FCCF922-93B0-4F95-ACD2-E0FA98ED214D}">
      <formula1>"In touch - Positive,In touch - Negative,Pending,No Answer"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B43B96-04C2-4DDC-A783-FA58835D4EA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AL681:AL1048576 AL1:AL50</xm:sqref>
        </x14:conditionalFormatting>
        <x14:conditionalFormatting xmlns:xm="http://schemas.microsoft.com/office/excel/2006/main">
          <x14:cfRule type="dataBar" id="{10ED2301-648B-4404-951E-ED77916C8E3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AL115:AL117</xm:sqref>
        </x14:conditionalFormatting>
        <x14:conditionalFormatting xmlns:xm="http://schemas.microsoft.com/office/excel/2006/main">
          <x14:cfRule type="dataBar" id="{8D4E0927-1FA3-46DC-8634-AEA242D1729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AL118:AL418 AL420:AL654</xm:sqref>
        </x14:conditionalFormatting>
        <x14:conditionalFormatting xmlns:xm="http://schemas.microsoft.com/office/excel/2006/main">
          <x14:cfRule type="dataBar" id="{B7B1ACA0-7ABA-442A-8B80-17100BD111F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6929C2-DA65-4888-BE41-AD26F7D3E8B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AL419</xm:sqref>
        </x14:conditionalFormatting>
        <x14:conditionalFormatting xmlns:xm="http://schemas.microsoft.com/office/excel/2006/main">
          <x14:cfRule type="dataBar" id="{66FF6222-1B39-4FEF-94FA-2B6CF5656F8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AL500</xm:sqref>
        </x14:conditionalFormatting>
        <x14:conditionalFormatting xmlns:xm="http://schemas.microsoft.com/office/excel/2006/main">
          <x14:cfRule type="dataBar" id="{1D7F0816-37EE-47A4-ADB1-F22275CFDA5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AL571 AL485 AL460 AL51:AL114</xm:sqref>
        </x14:conditionalFormatting>
        <x14:conditionalFormatting xmlns:xm="http://schemas.microsoft.com/office/excel/2006/main">
          <x14:cfRule type="dataBar" id="{E44E7EB0-8AD8-40EA-BA6B-EE9603CB9F8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AL600:AL602 AL416</xm:sqref>
        </x14:conditionalFormatting>
        <x14:conditionalFormatting xmlns:xm="http://schemas.microsoft.com/office/excel/2006/main">
          <x14:cfRule type="dataBar" id="{E8DDEDD0-5547-49BB-876D-A771C961450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AL655:AL680</xm:sqref>
        </x14:conditionalFormatting>
        <x14:conditionalFormatting xmlns:xm="http://schemas.microsoft.com/office/excel/2006/main">
          <x14:cfRule type="dataBar" id="{CCD2ED33-23CE-405E-95CB-BC950414038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AL656:AL680</xm:sqref>
        </x14:conditionalFormatting>
        <x14:conditionalFormatting xmlns:xm="http://schemas.microsoft.com/office/excel/2006/main">
          <x14:cfRule type="dataBar" id="{EDC9E50A-A597-4EED-91FB-D7B342E3DB8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AL657:AL677</xm:sqref>
        </x14:conditionalFormatting>
        <x14:conditionalFormatting xmlns:xm="http://schemas.microsoft.com/office/excel/2006/main">
          <x14:cfRule type="dataBar" id="{17D6420B-90C8-4228-8464-C19BE61CB66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AL728 AL687</xm:sqref>
        </x14:conditionalFormatting>
        <x14:conditionalFormatting xmlns:xm="http://schemas.microsoft.com/office/excel/2006/main">
          <x14:cfRule type="dataBar" id="{04E539A9-9CA6-435E-9DE6-D7F22D97159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AL732:AL739</xm:sqref>
        </x14:conditionalFormatting>
        <x14:conditionalFormatting xmlns:xm="http://schemas.microsoft.com/office/excel/2006/main">
          <x14:cfRule type="containsText" priority="64" operator="containsText" id="{0F3D9AF5-39AC-4ED4-A20A-6C26576C17A2}">
            <xm:f>NOT(ISERROR(SEARCH("In Touch - Positive",C56)))</xm:f>
            <xm:f>"In Touch - Positive"</xm:f>
            <x14:dxf>
              <fill>
                <patternFill>
                  <bgColor rgb="FFCDC2F6"/>
                </patternFill>
              </fill>
            </x14:dxf>
          </x14:cfRule>
          <x14:cfRule type="containsText" priority="65" operator="containsText" id="{363A6A71-75BF-4187-83C0-52D4D66D2FA5}">
            <xm:f>NOT(ISERROR(SEARCH("Pending",C56)))</xm:f>
            <xm:f>"Pending"</xm:f>
            <x14:dxf>
              <fill>
                <patternFill>
                  <bgColor rgb="FFFCF6BC"/>
                </patternFill>
              </fill>
            </x14:dxf>
          </x14:cfRule>
          <xm:sqref>C56:C76</xm:sqref>
        </x14:conditionalFormatting>
        <x14:conditionalFormatting xmlns:xm="http://schemas.microsoft.com/office/excel/2006/main">
          <x14:cfRule type="containsText" priority="354" operator="containsText" id="{CCFBA7DA-78DA-4A30-B3F0-3D95B785D462}">
            <xm:f>NOT(ISERROR(SEARCH("Pending",D1)))</xm:f>
            <xm:f>"Pending"</xm:f>
            <x14:dxf>
              <fill>
                <patternFill>
                  <bgColor rgb="FFFCF6BC"/>
                </patternFill>
              </fill>
            </x14:dxf>
          </x14:cfRule>
          <xm:sqref>D118:D326 D328 D337:D418 D435:F439 D440:D493 D449:F449 D453:F453 D494:F530 D529:D654 D624:F635 D653:F654 D656:F677 D656:D1048576 D681:F681 D702:F702 D1:D114</xm:sqref>
        </x14:conditionalFormatting>
        <x14:conditionalFormatting xmlns:xm="http://schemas.microsoft.com/office/excel/2006/main">
          <x14:cfRule type="containsText" priority="101" operator="containsText" id="{B487C9E9-5D8C-404C-AE49-3F09BC1CB8D6}">
            <xm:f>NOT(ISERROR(SEARCH("In Touch - Positive",D115)))</xm:f>
            <xm:f>"In Touch - Positive"</xm:f>
            <x14:dxf>
              <fill>
                <patternFill>
                  <bgColor rgb="FFCDC2F6"/>
                </patternFill>
              </fill>
            </x14:dxf>
          </x14:cfRule>
          <x14:cfRule type="containsText" priority="102" operator="containsText" id="{3E697DCA-93F1-4F8A-BD46-FE6E04C8CF26}">
            <xm:f>NOT(ISERROR(SEARCH("Pending",D115)))</xm:f>
            <xm:f>"Pending"</xm:f>
            <x14:dxf>
              <fill>
                <patternFill>
                  <bgColor rgb="FFFCF6BC"/>
                </patternFill>
              </fill>
            </x14:dxf>
          </x14:cfRule>
          <xm:sqref>D115:D117</xm:sqref>
        </x14:conditionalFormatting>
        <x14:conditionalFormatting xmlns:xm="http://schemas.microsoft.com/office/excel/2006/main">
          <x14:cfRule type="containsText" priority="172" operator="containsText" id="{0DCA171B-37B5-4127-A2A4-F29586133692}">
            <xm:f>NOT(ISERROR(SEARCH("Pending",D327)))</xm:f>
            <xm:f>"Pending"</xm:f>
            <x14:dxf>
              <fill>
                <patternFill>
                  <bgColor rgb="FFFCF6BC"/>
                </patternFill>
              </fill>
            </x14:dxf>
          </x14:cfRule>
          <xm:sqref>D327:D336 D485 D571</xm:sqref>
        </x14:conditionalFormatting>
        <x14:conditionalFormatting xmlns:xm="http://schemas.microsoft.com/office/excel/2006/main">
          <x14:cfRule type="containsText" priority="201" operator="containsText" id="{55879D1B-042F-44E6-A225-DB2996C3C69C}">
            <xm:f>NOT(ISERROR(SEARCH("In Touch - Positive",D415)))</xm:f>
            <xm:f>"In Touch - Positive"</xm:f>
            <x14:dxf>
              <fill>
                <patternFill>
                  <bgColor rgb="FFCDC2F6"/>
                </patternFill>
              </fill>
            </x14:dxf>
          </x14:cfRule>
          <x14:cfRule type="containsText" priority="202" operator="containsText" id="{D206AA85-F7E0-4ECF-A3A6-1AEAAF5F8FE6}">
            <xm:f>NOT(ISERROR(SEARCH("Pending",D415)))</xm:f>
            <xm:f>"Pending"</xm:f>
            <x14:dxf>
              <fill>
                <patternFill>
                  <bgColor rgb="FFFCF6BC"/>
                </patternFill>
              </fill>
            </x14:dxf>
          </x14:cfRule>
          <xm:sqref>D415:D434</xm:sqref>
        </x14:conditionalFormatting>
        <x14:conditionalFormatting xmlns:xm="http://schemas.microsoft.com/office/excel/2006/main">
          <x14:cfRule type="containsText" priority="192" operator="containsText" id="{2DDE5246-799C-4742-8D52-9F09D802B912}">
            <xm:f>NOT(ISERROR(SEARCH("In Touch - Positive",D419)))</xm:f>
            <xm:f>"In Touch - Positive"</xm:f>
            <x14:dxf>
              <fill>
                <patternFill>
                  <bgColor rgb="FFCDC2F6"/>
                </patternFill>
              </fill>
            </x14:dxf>
          </x14:cfRule>
          <x14:cfRule type="containsText" priority="193" operator="containsText" id="{FDF71FEE-8608-4F8D-A039-C03FF44B1B56}">
            <xm:f>NOT(ISERROR(SEARCH("Pending",D419)))</xm:f>
            <xm:f>"Pending"</xm:f>
            <x14:dxf>
              <fill>
                <patternFill>
                  <bgColor rgb="FFFCF6BC"/>
                </patternFill>
              </fill>
            </x14:dxf>
          </x14:cfRule>
          <xm:sqref>D419</xm:sqref>
        </x14:conditionalFormatting>
        <x14:conditionalFormatting xmlns:xm="http://schemas.microsoft.com/office/excel/2006/main">
          <x14:cfRule type="containsText" priority="353" operator="containsText" id="{4567AF4F-B635-4FE3-B4B6-791EC00F7498}">
            <xm:f>NOT(ISERROR(SEARCH("In Touch - Positive",D1)))</xm:f>
            <xm:f>"In Touch - Positive"</xm:f>
            <x14:dxf>
              <fill>
                <patternFill>
                  <bgColor rgb="FFCDC2F6"/>
                </patternFill>
              </fill>
            </x14:dxf>
          </x14:cfRule>
          <xm:sqref>D440:D493 D453:F453 D494:F530 D529:D654 D624:F635 D656:F677 D656:D1048576 D702:F702 D118:D326 D328 D337:D418 D435:F439 D449:F449 D1:D114</xm:sqref>
        </x14:conditionalFormatting>
        <x14:conditionalFormatting xmlns:xm="http://schemas.microsoft.com/office/excel/2006/main">
          <x14:cfRule type="containsText" priority="171" operator="containsText" id="{04B87656-D9BF-4026-88F8-4F6EDA4A7B7B}">
            <xm:f>NOT(ISERROR(SEARCH("In Touch - Positive",D327)))</xm:f>
            <xm:f>"In Touch - Positive"</xm:f>
            <x14:dxf>
              <fill>
                <patternFill>
                  <bgColor rgb="FFCDC2F6"/>
                </patternFill>
              </fill>
            </x14:dxf>
          </x14:cfRule>
          <xm:sqref>D485 D571 D327:D336</xm:sqref>
        </x14:conditionalFormatting>
        <x14:conditionalFormatting xmlns:xm="http://schemas.microsoft.com/office/excel/2006/main">
          <x14:cfRule type="containsText" priority="133" operator="containsText" id="{0B1317A7-D1FF-4F63-9AEC-4C696DE24BD2}">
            <xm:f>NOT(ISERROR(SEARCH("In Touch - Positive",D500)))</xm:f>
            <xm:f>"In Touch - Positive"</xm:f>
            <x14:dxf>
              <fill>
                <patternFill>
                  <bgColor rgb="FFCDC2F6"/>
                </patternFill>
              </fill>
            </x14:dxf>
          </x14:cfRule>
          <x14:cfRule type="containsText" priority="134" operator="containsText" id="{3455B073-E3CF-4618-945F-82172A05CAE7}">
            <xm:f>NOT(ISERROR(SEARCH("Pending",D500)))</xm:f>
            <xm:f>"Pending"</xm:f>
            <x14:dxf>
              <fill>
                <patternFill>
                  <bgColor rgb="FFFCF6BC"/>
                </patternFill>
              </fill>
            </x14:dxf>
          </x14:cfRule>
          <xm:sqref>D500</xm:sqref>
        </x14:conditionalFormatting>
        <x14:conditionalFormatting xmlns:xm="http://schemas.microsoft.com/office/excel/2006/main">
          <x14:cfRule type="containsText" priority="338" operator="containsText" id="{8DD5FD02-FC4F-4C68-94E1-15AF9865E4B9}">
            <xm:f>NOT(ISERROR(SEARCH("In Touch - Positive",D653)))</xm:f>
            <xm:f>"In Touch - Positive"</xm:f>
            <x14:dxf>
              <fill>
                <patternFill>
                  <bgColor rgb="FFCDC2F6"/>
                </patternFill>
              </fill>
            </x14:dxf>
          </x14:cfRule>
          <xm:sqref>D653:F681</xm:sqref>
        </x14:conditionalFormatting>
        <x14:conditionalFormatting xmlns:xm="http://schemas.microsoft.com/office/excel/2006/main">
          <x14:cfRule type="containsText" priority="339" operator="containsText" id="{FAC9EDD7-5AF5-4A13-AC74-D451BC0852F8}">
            <xm:f>NOT(ISERROR(SEARCH("Pending",D655)))</xm:f>
            <xm:f>"Pending"</xm:f>
            <x14:dxf>
              <fill>
                <patternFill>
                  <bgColor rgb="FFFCF6BC"/>
                </patternFill>
              </fill>
            </x14:dxf>
          </x14:cfRule>
          <xm:sqref>D655:F680</xm:sqref>
        </x14:conditionalFormatting>
        <x14:conditionalFormatting xmlns:xm="http://schemas.microsoft.com/office/excel/2006/main">
          <x14:cfRule type="containsText" priority="357" operator="containsText" id="{26C79C6C-A51D-4C82-93F0-0FDACE03A8CB}">
            <xm:f>NOT(ISERROR(SEARCH("In Touch - Positive",AL1)))</xm:f>
            <xm:f>"In Touch - Positive"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58" operator="containsText" id="{48DB3355-3424-4913-B508-60B6C0BE28A0}">
            <xm:f>NOT(ISERROR(SEARCH("Pending",AL1)))</xm:f>
            <xm:f>"Pending"</xm:f>
            <x14:dxf>
              <fill>
                <patternFill>
                  <bgColor theme="8" tint="0.79998168889431442"/>
                </patternFill>
              </fill>
            </x14:dxf>
          </x14:cfRule>
          <xm:sqref>AL118:AL326 AL328 AL337:AL418 AL420:AL1048576 AL1:AL114</xm:sqref>
        </x14:conditionalFormatting>
        <x14:conditionalFormatting xmlns:xm="http://schemas.microsoft.com/office/excel/2006/main">
          <x14:cfRule type="containsText" priority="104" operator="containsText" id="{E32B5B8C-9158-4CA1-84B3-F40C00974F4E}">
            <xm:f>NOT(ISERROR(SEARCH("In Touch - Positive",AL115)))</xm:f>
            <xm:f>"In Touch - Positive"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5" operator="containsText" id="{3C6C6101-B6EB-40BC-AAFF-18894A7CEB0E}">
            <xm:f>NOT(ISERROR(SEARCH("Pending",AL115)))</xm:f>
            <xm:f>"Pending"</xm:f>
            <x14:dxf>
              <fill>
                <patternFill>
                  <bgColor theme="8" tint="0.79998168889431442"/>
                </patternFill>
              </fill>
            </x14:dxf>
          </x14:cfRule>
          <xm:sqref>AL115:AL117</xm:sqref>
        </x14:conditionalFormatting>
        <x14:conditionalFormatting xmlns:xm="http://schemas.microsoft.com/office/excel/2006/main">
          <x14:cfRule type="containsText" priority="174" operator="containsText" id="{449B8AF7-D847-4E77-B7C7-CAF6F923661A}">
            <xm:f>NOT(ISERROR(SEARCH("In Touch - Positive",AL327)))</xm:f>
            <xm:f>"In Touch - Positive"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75" operator="containsText" id="{327CB79C-3A94-4D2A-9451-63E8A3EB0FFF}">
            <xm:f>NOT(ISERROR(SEARCH("Pending",AL327)))</xm:f>
            <xm:f>"Pending"</xm:f>
            <x14:dxf>
              <fill>
                <patternFill>
                  <bgColor theme="8" tint="0.79998168889431442"/>
                </patternFill>
              </fill>
            </x14:dxf>
          </x14:cfRule>
          <xm:sqref>AL327:AL336 AL485 AL571</xm:sqref>
        </x14:conditionalFormatting>
        <x14:conditionalFormatting xmlns:xm="http://schemas.microsoft.com/office/excel/2006/main">
          <x14:cfRule type="containsText" priority="195" operator="containsText" id="{B9891ABE-3AFE-4C87-BAA3-03EF5E625BDE}">
            <xm:f>NOT(ISERROR(SEARCH("In Touch - Positive",AL419)))</xm:f>
            <xm:f>"In Touch - Positive"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96" operator="containsText" id="{8D216C90-B72E-4D5F-8C12-67C814F5DC9A}">
            <xm:f>NOT(ISERROR(SEARCH("Pending",AL419)))</xm:f>
            <xm:f>"Pending"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04" operator="containsText" id="{72D42802-4951-481C-8981-18007D5FD2F1}">
            <xm:f>NOT(ISERROR(SEARCH("In Touch - Positive",AL419)))</xm:f>
            <xm:f>"In Touch - Positive"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05" operator="containsText" id="{D1104279-5985-4A2B-99CB-B3A558ED8008}">
            <xm:f>NOT(ISERROR(SEARCH("Pending",AL419)))</xm:f>
            <xm:f>"Pending"</xm:f>
            <x14:dxf>
              <fill>
                <patternFill>
                  <bgColor theme="8" tint="0.79998168889431442"/>
                </patternFill>
              </fill>
            </x14:dxf>
          </x14:cfRule>
          <xm:sqref>AL419</xm:sqref>
        </x14:conditionalFormatting>
        <x14:conditionalFormatting xmlns:xm="http://schemas.microsoft.com/office/excel/2006/main">
          <x14:cfRule type="containsText" priority="136" operator="containsText" id="{171937A3-2597-48B3-A716-57CF06124A1B}">
            <xm:f>NOT(ISERROR(SEARCH("In Touch - Positive",AL500)))</xm:f>
            <xm:f>"In Touch - Positive"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37" operator="containsText" id="{F2B89635-7F78-477E-AC8B-861C8739CCB5}">
            <xm:f>NOT(ISERROR(SEARCH("Pending",AL500)))</xm:f>
            <xm:f>"Pending"</xm:f>
            <x14:dxf>
              <fill>
                <patternFill>
                  <bgColor theme="8" tint="0.79998168889431442"/>
                </patternFill>
              </fill>
            </x14:dxf>
          </x14:cfRule>
          <xm:sqref>AL500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F178-B947-47FE-BCFB-6DFA04ACF5C6}">
  <sheetPr codeName="Sheet2">
    <tabColor rgb="FFFFC000"/>
  </sheetPr>
  <dimension ref="B1:F188"/>
  <sheetViews>
    <sheetView zoomScale="77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2" sqref="A32"/>
    </sheetView>
  </sheetViews>
  <sheetFormatPr defaultRowHeight="13.5" x14ac:dyDescent="0.35"/>
  <cols>
    <col min="2" max="2" width="57" customWidth="1"/>
    <col min="3" max="6" width="17" style="627" customWidth="1"/>
  </cols>
  <sheetData>
    <row r="1" spans="2:6" ht="29.25" customHeight="1" x14ac:dyDescent="0.35">
      <c r="C1" s="1451" t="s">
        <v>3698</v>
      </c>
      <c r="D1" s="1451"/>
      <c r="E1" s="1451"/>
      <c r="F1"/>
    </row>
    <row r="2" spans="2:6" s="622" customFormat="1" ht="27" x14ac:dyDescent="0.35">
      <c r="B2" s="623" t="s">
        <v>3697</v>
      </c>
      <c r="C2" s="626" t="s">
        <v>1010</v>
      </c>
      <c r="D2" s="626" t="s">
        <v>3699</v>
      </c>
      <c r="E2" s="626" t="s">
        <v>3700</v>
      </c>
      <c r="F2" s="874" t="s">
        <v>4438</v>
      </c>
    </row>
    <row r="3" spans="2:6" x14ac:dyDescent="0.35">
      <c r="B3" s="624" t="s">
        <v>3701</v>
      </c>
      <c r="C3" s="627" t="s">
        <v>3797</v>
      </c>
    </row>
    <row r="4" spans="2:6" x14ac:dyDescent="0.35">
      <c r="B4" s="624" t="s">
        <v>3702</v>
      </c>
      <c r="C4" s="627" t="s">
        <v>3797</v>
      </c>
    </row>
    <row r="5" spans="2:6" x14ac:dyDescent="0.35">
      <c r="B5" s="625" t="s">
        <v>3703</v>
      </c>
      <c r="C5" s="627" t="s">
        <v>3797</v>
      </c>
    </row>
    <row r="6" spans="2:6" x14ac:dyDescent="0.35">
      <c r="B6" s="625" t="s">
        <v>3704</v>
      </c>
      <c r="C6" s="627" t="s">
        <v>3797</v>
      </c>
    </row>
    <row r="7" spans="2:6" x14ac:dyDescent="0.35">
      <c r="B7" s="625" t="s">
        <v>2104</v>
      </c>
      <c r="C7" s="627" t="s">
        <v>3797</v>
      </c>
    </row>
    <row r="8" spans="2:6" x14ac:dyDescent="0.35">
      <c r="B8" s="625" t="s">
        <v>3705</v>
      </c>
      <c r="C8" s="627" t="s">
        <v>3797</v>
      </c>
    </row>
    <row r="9" spans="2:6" x14ac:dyDescent="0.35">
      <c r="B9" s="625" t="s">
        <v>3706</v>
      </c>
      <c r="C9" s="627" t="s">
        <v>3797</v>
      </c>
    </row>
    <row r="10" spans="2:6" x14ac:dyDescent="0.35">
      <c r="B10" s="625" t="s">
        <v>3707</v>
      </c>
      <c r="C10" s="627" t="s">
        <v>3797</v>
      </c>
    </row>
    <row r="11" spans="2:6" x14ac:dyDescent="0.35">
      <c r="B11" s="625" t="s">
        <v>3708</v>
      </c>
      <c r="C11" s="627" t="s">
        <v>3797</v>
      </c>
    </row>
    <row r="12" spans="2:6" x14ac:dyDescent="0.35">
      <c r="B12" s="625" t="s">
        <v>3709</v>
      </c>
      <c r="C12" s="627" t="s">
        <v>3797</v>
      </c>
    </row>
    <row r="13" spans="2:6" x14ac:dyDescent="0.35">
      <c r="B13" s="625" t="s">
        <v>3710</v>
      </c>
      <c r="C13" s="627" t="s">
        <v>3797</v>
      </c>
    </row>
    <row r="14" spans="2:6" x14ac:dyDescent="0.35">
      <c r="B14" s="625" t="s">
        <v>3711</v>
      </c>
      <c r="C14" s="627" t="s">
        <v>3797</v>
      </c>
    </row>
    <row r="15" spans="2:6" x14ac:dyDescent="0.35">
      <c r="B15" s="625" t="s">
        <v>3712</v>
      </c>
      <c r="C15" s="627" t="s">
        <v>3797</v>
      </c>
    </row>
    <row r="16" spans="2:6" x14ac:dyDescent="0.35">
      <c r="B16" s="625" t="s">
        <v>3713</v>
      </c>
      <c r="C16" s="627" t="s">
        <v>3797</v>
      </c>
    </row>
    <row r="17" spans="2:3" x14ac:dyDescent="0.35">
      <c r="B17" s="625" t="s">
        <v>3714</v>
      </c>
      <c r="C17" s="627" t="s">
        <v>3797</v>
      </c>
    </row>
    <row r="18" spans="2:3" x14ac:dyDescent="0.35">
      <c r="B18" s="625" t="s">
        <v>3715</v>
      </c>
      <c r="C18" s="627" t="s">
        <v>3797</v>
      </c>
    </row>
    <row r="19" spans="2:3" x14ac:dyDescent="0.35">
      <c r="B19" s="625" t="s">
        <v>3716</v>
      </c>
      <c r="C19" s="627" t="s">
        <v>3797</v>
      </c>
    </row>
    <row r="20" spans="2:3" x14ac:dyDescent="0.35">
      <c r="B20" s="625" t="s">
        <v>3717</v>
      </c>
      <c r="C20" s="627" t="s">
        <v>3797</v>
      </c>
    </row>
    <row r="21" spans="2:3" x14ac:dyDescent="0.35">
      <c r="B21" s="625" t="s">
        <v>3718</v>
      </c>
      <c r="C21" s="627" t="s">
        <v>3797</v>
      </c>
    </row>
    <row r="22" spans="2:3" x14ac:dyDescent="0.35">
      <c r="B22" s="625" t="s">
        <v>3719</v>
      </c>
      <c r="C22" s="627" t="s">
        <v>3797</v>
      </c>
    </row>
    <row r="23" spans="2:3" x14ac:dyDescent="0.35">
      <c r="B23" s="625" t="s">
        <v>3720</v>
      </c>
      <c r="C23" s="627" t="s">
        <v>3797</v>
      </c>
    </row>
    <row r="24" spans="2:3" x14ac:dyDescent="0.35">
      <c r="B24" s="625" t="s">
        <v>3721</v>
      </c>
      <c r="C24" s="627" t="s">
        <v>3797</v>
      </c>
    </row>
    <row r="25" spans="2:3" x14ac:dyDescent="0.35">
      <c r="B25" s="625" t="s">
        <v>3722</v>
      </c>
      <c r="C25" s="627" t="s">
        <v>3797</v>
      </c>
    </row>
    <row r="26" spans="2:3" x14ac:dyDescent="0.35">
      <c r="B26" s="625" t="s">
        <v>3723</v>
      </c>
      <c r="C26" s="627" t="s">
        <v>3797</v>
      </c>
    </row>
    <row r="27" spans="2:3" x14ac:dyDescent="0.35">
      <c r="B27" s="625" t="s">
        <v>3724</v>
      </c>
      <c r="C27" s="627" t="s">
        <v>3797</v>
      </c>
    </row>
    <row r="28" spans="2:3" x14ac:dyDescent="0.35">
      <c r="B28" s="625" t="s">
        <v>3725</v>
      </c>
      <c r="C28" s="627" t="s">
        <v>3797</v>
      </c>
    </row>
    <row r="29" spans="2:3" x14ac:dyDescent="0.35">
      <c r="B29" s="625" t="s">
        <v>3726</v>
      </c>
      <c r="C29" s="627" t="s">
        <v>3797</v>
      </c>
    </row>
    <row r="30" spans="2:3" x14ac:dyDescent="0.35">
      <c r="B30" s="625" t="s">
        <v>3727</v>
      </c>
      <c r="C30" s="627" t="s">
        <v>3797</v>
      </c>
    </row>
    <row r="31" spans="2:3" x14ac:dyDescent="0.35">
      <c r="B31" s="625" t="s">
        <v>3728</v>
      </c>
      <c r="C31" s="627" t="s">
        <v>3797</v>
      </c>
    </row>
    <row r="32" spans="2:3" x14ac:dyDescent="0.35">
      <c r="B32" s="625" t="s">
        <v>3729</v>
      </c>
      <c r="C32" s="627" t="s">
        <v>3797</v>
      </c>
    </row>
    <row r="33" spans="2:3" x14ac:dyDescent="0.35">
      <c r="B33" s="625" t="s">
        <v>3730</v>
      </c>
      <c r="C33" s="627" t="s">
        <v>3797</v>
      </c>
    </row>
    <row r="34" spans="2:3" x14ac:dyDescent="0.35">
      <c r="B34" s="625" t="s">
        <v>3731</v>
      </c>
      <c r="C34" s="627" t="s">
        <v>3797</v>
      </c>
    </row>
    <row r="35" spans="2:3" x14ac:dyDescent="0.35">
      <c r="B35" s="625" t="s">
        <v>3732</v>
      </c>
      <c r="C35" s="627" t="s">
        <v>3797</v>
      </c>
    </row>
    <row r="36" spans="2:3" x14ac:dyDescent="0.35">
      <c r="B36" s="625" t="s">
        <v>3733</v>
      </c>
      <c r="C36" s="627" t="s">
        <v>3797</v>
      </c>
    </row>
    <row r="37" spans="2:3" x14ac:dyDescent="0.35">
      <c r="B37" s="625" t="s">
        <v>3734</v>
      </c>
      <c r="C37" s="627" t="s">
        <v>3797</v>
      </c>
    </row>
    <row r="38" spans="2:3" ht="27" x14ac:dyDescent="0.35">
      <c r="B38" s="625" t="s">
        <v>3735</v>
      </c>
      <c r="C38" s="627" t="s">
        <v>3797</v>
      </c>
    </row>
    <row r="39" spans="2:3" x14ac:dyDescent="0.35">
      <c r="B39" s="625" t="s">
        <v>3736</v>
      </c>
      <c r="C39" s="627" t="s">
        <v>3797</v>
      </c>
    </row>
    <row r="40" spans="2:3" x14ac:dyDescent="0.35">
      <c r="B40" s="625" t="s">
        <v>1833</v>
      </c>
      <c r="C40" s="627" t="s">
        <v>3797</v>
      </c>
    </row>
    <row r="41" spans="2:3" x14ac:dyDescent="0.35">
      <c r="B41" s="625" t="s">
        <v>1969</v>
      </c>
      <c r="C41" s="627" t="s">
        <v>3797</v>
      </c>
    </row>
    <row r="42" spans="2:3" x14ac:dyDescent="0.35">
      <c r="B42" s="625" t="s">
        <v>3737</v>
      </c>
      <c r="C42" s="627" t="s">
        <v>3797</v>
      </c>
    </row>
    <row r="43" spans="2:3" x14ac:dyDescent="0.35">
      <c r="B43" s="625" t="s">
        <v>3738</v>
      </c>
      <c r="C43" s="627" t="s">
        <v>3797</v>
      </c>
    </row>
    <row r="44" spans="2:3" x14ac:dyDescent="0.35">
      <c r="B44" s="625" t="s">
        <v>3739</v>
      </c>
      <c r="C44" s="627" t="s">
        <v>3797</v>
      </c>
    </row>
    <row r="45" spans="2:3" x14ac:dyDescent="0.35">
      <c r="B45" s="625" t="s">
        <v>2105</v>
      </c>
      <c r="C45" s="627" t="s">
        <v>3797</v>
      </c>
    </row>
    <row r="46" spans="2:3" x14ac:dyDescent="0.35">
      <c r="B46" s="625" t="s">
        <v>3740</v>
      </c>
      <c r="C46" s="627" t="s">
        <v>3797</v>
      </c>
    </row>
    <row r="47" spans="2:3" x14ac:dyDescent="0.35">
      <c r="B47" s="625" t="s">
        <v>3741</v>
      </c>
      <c r="C47" s="627" t="s">
        <v>3797</v>
      </c>
    </row>
    <row r="48" spans="2:3" x14ac:dyDescent="0.35">
      <c r="B48" s="625" t="s">
        <v>2099</v>
      </c>
      <c r="C48" s="627" t="s">
        <v>3797</v>
      </c>
    </row>
    <row r="49" spans="2:3" x14ac:dyDescent="0.35">
      <c r="B49" s="625" t="s">
        <v>3742</v>
      </c>
      <c r="C49" s="627" t="s">
        <v>3797</v>
      </c>
    </row>
    <row r="50" spans="2:3" x14ac:dyDescent="0.35">
      <c r="B50" s="625" t="s">
        <v>3743</v>
      </c>
      <c r="C50" s="627" t="s">
        <v>3797</v>
      </c>
    </row>
    <row r="51" spans="2:3" x14ac:dyDescent="0.35">
      <c r="B51" s="625" t="s">
        <v>3744</v>
      </c>
      <c r="C51" s="627" t="s">
        <v>3797</v>
      </c>
    </row>
    <row r="52" spans="2:3" x14ac:dyDescent="0.35">
      <c r="B52" s="625" t="s">
        <v>3745</v>
      </c>
      <c r="C52" s="627" t="s">
        <v>3797</v>
      </c>
    </row>
    <row r="53" spans="2:3" x14ac:dyDescent="0.35">
      <c r="B53" s="625" t="s">
        <v>3746</v>
      </c>
      <c r="C53" s="627" t="s">
        <v>3797</v>
      </c>
    </row>
    <row r="54" spans="2:3" x14ac:dyDescent="0.35">
      <c r="B54" s="625" t="s">
        <v>3747</v>
      </c>
      <c r="C54" s="627" t="s">
        <v>3797</v>
      </c>
    </row>
    <row r="55" spans="2:3" x14ac:dyDescent="0.35">
      <c r="B55" s="625" t="s">
        <v>1834</v>
      </c>
      <c r="C55" s="627" t="s">
        <v>3797</v>
      </c>
    </row>
    <row r="56" spans="2:3" x14ac:dyDescent="0.35">
      <c r="B56" s="625" t="s">
        <v>3748</v>
      </c>
      <c r="C56" s="627" t="s">
        <v>3797</v>
      </c>
    </row>
    <row r="57" spans="2:3" x14ac:dyDescent="0.35">
      <c r="B57" s="625" t="s">
        <v>3749</v>
      </c>
      <c r="C57" s="627" t="s">
        <v>3797</v>
      </c>
    </row>
    <row r="58" spans="2:3" x14ac:dyDescent="0.35">
      <c r="B58" s="625" t="s">
        <v>3750</v>
      </c>
      <c r="C58" s="627" t="s">
        <v>3797</v>
      </c>
    </row>
    <row r="59" spans="2:3" x14ac:dyDescent="0.35">
      <c r="B59" s="625" t="s">
        <v>3751</v>
      </c>
      <c r="C59" s="627" t="s">
        <v>3797</v>
      </c>
    </row>
    <row r="60" spans="2:3" x14ac:dyDescent="0.35">
      <c r="B60" s="625" t="s">
        <v>3752</v>
      </c>
      <c r="C60" s="627" t="s">
        <v>3797</v>
      </c>
    </row>
    <row r="61" spans="2:3" x14ac:dyDescent="0.35">
      <c r="B61" s="625" t="s">
        <v>3753</v>
      </c>
      <c r="C61" s="627" t="s">
        <v>3797</v>
      </c>
    </row>
    <row r="62" spans="2:3" x14ac:dyDescent="0.35">
      <c r="B62" s="625" t="s">
        <v>3754</v>
      </c>
      <c r="C62" s="627" t="s">
        <v>3797</v>
      </c>
    </row>
    <row r="63" spans="2:3" x14ac:dyDescent="0.35">
      <c r="B63" s="625" t="s">
        <v>3755</v>
      </c>
      <c r="C63" s="627" t="s">
        <v>3797</v>
      </c>
    </row>
    <row r="64" spans="2:3" x14ac:dyDescent="0.35">
      <c r="B64" s="625" t="s">
        <v>3756</v>
      </c>
      <c r="C64" s="627" t="s">
        <v>3797</v>
      </c>
    </row>
    <row r="65" spans="2:3" x14ac:dyDescent="0.35">
      <c r="B65" s="625" t="s">
        <v>3757</v>
      </c>
      <c r="C65" s="627" t="s">
        <v>3797</v>
      </c>
    </row>
    <row r="66" spans="2:3" x14ac:dyDescent="0.35">
      <c r="B66" s="625" t="s">
        <v>3758</v>
      </c>
      <c r="C66" s="627" t="s">
        <v>3797</v>
      </c>
    </row>
    <row r="67" spans="2:3" x14ac:dyDescent="0.35">
      <c r="B67" s="625" t="s">
        <v>3759</v>
      </c>
      <c r="C67" s="627" t="s">
        <v>3797</v>
      </c>
    </row>
    <row r="68" spans="2:3" x14ac:dyDescent="0.35">
      <c r="B68" s="625" t="s">
        <v>3760</v>
      </c>
      <c r="C68" s="627" t="s">
        <v>3797</v>
      </c>
    </row>
    <row r="69" spans="2:3" x14ac:dyDescent="0.35">
      <c r="B69" s="625" t="s">
        <v>3761</v>
      </c>
      <c r="C69" s="627" t="s">
        <v>3797</v>
      </c>
    </row>
    <row r="70" spans="2:3" x14ac:dyDescent="0.35">
      <c r="B70" s="625" t="s">
        <v>3762</v>
      </c>
      <c r="C70" s="627" t="s">
        <v>3797</v>
      </c>
    </row>
    <row r="71" spans="2:3" x14ac:dyDescent="0.35">
      <c r="B71" s="625" t="s">
        <v>3763</v>
      </c>
      <c r="C71" s="627" t="s">
        <v>3797</v>
      </c>
    </row>
    <row r="72" spans="2:3" x14ac:dyDescent="0.35">
      <c r="B72" s="625" t="s">
        <v>3764</v>
      </c>
      <c r="C72" s="627" t="s">
        <v>3797</v>
      </c>
    </row>
    <row r="73" spans="2:3" x14ac:dyDescent="0.35">
      <c r="B73" s="625" t="s">
        <v>3765</v>
      </c>
      <c r="C73" s="627" t="s">
        <v>3797</v>
      </c>
    </row>
    <row r="74" spans="2:3" x14ac:dyDescent="0.35">
      <c r="B74" s="625" t="s">
        <v>3766</v>
      </c>
      <c r="C74" s="627" t="s">
        <v>3797</v>
      </c>
    </row>
    <row r="75" spans="2:3" x14ac:dyDescent="0.35">
      <c r="B75" s="625" t="s">
        <v>3767</v>
      </c>
      <c r="C75" s="627" t="s">
        <v>3797</v>
      </c>
    </row>
    <row r="76" spans="2:3" x14ac:dyDescent="0.35">
      <c r="B76" s="625" t="s">
        <v>3768</v>
      </c>
      <c r="C76" s="627" t="s">
        <v>3797</v>
      </c>
    </row>
    <row r="77" spans="2:3" x14ac:dyDescent="0.35">
      <c r="B77" s="625" t="s">
        <v>3769</v>
      </c>
      <c r="C77" s="627" t="s">
        <v>3797</v>
      </c>
    </row>
    <row r="78" spans="2:3" x14ac:dyDescent="0.35">
      <c r="B78" s="625" t="s">
        <v>3770</v>
      </c>
      <c r="C78" s="627" t="s">
        <v>3797</v>
      </c>
    </row>
    <row r="79" spans="2:3" x14ac:dyDescent="0.35">
      <c r="B79" s="625" t="s">
        <v>3771</v>
      </c>
      <c r="C79" s="627" t="s">
        <v>3797</v>
      </c>
    </row>
    <row r="80" spans="2:3" x14ac:dyDescent="0.35">
      <c r="B80" s="625" t="s">
        <v>3772</v>
      </c>
      <c r="C80" s="627" t="s">
        <v>3797</v>
      </c>
    </row>
    <row r="81" spans="2:3" x14ac:dyDescent="0.35">
      <c r="B81" s="625" t="s">
        <v>3773</v>
      </c>
      <c r="C81" s="627" t="s">
        <v>3797</v>
      </c>
    </row>
    <row r="82" spans="2:3" x14ac:dyDescent="0.35">
      <c r="B82" s="625" t="s">
        <v>1996</v>
      </c>
      <c r="C82" s="627" t="s">
        <v>3797</v>
      </c>
    </row>
    <row r="83" spans="2:3" x14ac:dyDescent="0.35">
      <c r="B83" s="625" t="s">
        <v>3774</v>
      </c>
      <c r="C83" s="627" t="s">
        <v>3797</v>
      </c>
    </row>
    <row r="84" spans="2:3" x14ac:dyDescent="0.35">
      <c r="B84" s="625" t="s">
        <v>3775</v>
      </c>
      <c r="C84" s="627" t="s">
        <v>3797</v>
      </c>
    </row>
    <row r="85" spans="2:3" x14ac:dyDescent="0.35">
      <c r="B85" s="625" t="s">
        <v>3776</v>
      </c>
      <c r="C85" s="627" t="s">
        <v>3797</v>
      </c>
    </row>
    <row r="86" spans="2:3" x14ac:dyDescent="0.35">
      <c r="B86" s="625" t="s">
        <v>3777</v>
      </c>
      <c r="C86" s="627" t="s">
        <v>3797</v>
      </c>
    </row>
    <row r="87" spans="2:3" x14ac:dyDescent="0.35">
      <c r="B87" s="625" t="s">
        <v>3778</v>
      </c>
      <c r="C87" s="627" t="s">
        <v>3797</v>
      </c>
    </row>
    <row r="88" spans="2:3" ht="27" x14ac:dyDescent="0.35">
      <c r="B88" s="625" t="s">
        <v>3779</v>
      </c>
      <c r="C88" s="627" t="s">
        <v>3797</v>
      </c>
    </row>
    <row r="89" spans="2:3" x14ac:dyDescent="0.35">
      <c r="B89" s="625" t="s">
        <v>3780</v>
      </c>
      <c r="C89" s="627" t="s">
        <v>3797</v>
      </c>
    </row>
    <row r="90" spans="2:3" x14ac:dyDescent="0.35">
      <c r="B90" s="625" t="s">
        <v>3781</v>
      </c>
      <c r="C90" s="627" t="s">
        <v>3797</v>
      </c>
    </row>
    <row r="91" spans="2:3" x14ac:dyDescent="0.35">
      <c r="B91" s="625" t="s">
        <v>3782</v>
      </c>
      <c r="C91" s="627" t="s">
        <v>3797</v>
      </c>
    </row>
    <row r="92" spans="2:3" x14ac:dyDescent="0.35">
      <c r="B92" s="625" t="s">
        <v>3783</v>
      </c>
      <c r="C92" s="627" t="s">
        <v>3797</v>
      </c>
    </row>
    <row r="93" spans="2:3" x14ac:dyDescent="0.35">
      <c r="B93" s="625" t="s">
        <v>3784</v>
      </c>
      <c r="C93" s="627" t="s">
        <v>3797</v>
      </c>
    </row>
    <row r="94" spans="2:3" x14ac:dyDescent="0.35">
      <c r="B94" s="625" t="s">
        <v>3785</v>
      </c>
      <c r="C94" s="627" t="s">
        <v>3797</v>
      </c>
    </row>
    <row r="95" spans="2:3" x14ac:dyDescent="0.35">
      <c r="B95" s="625" t="s">
        <v>3786</v>
      </c>
      <c r="C95" s="627" t="s">
        <v>3797</v>
      </c>
    </row>
    <row r="96" spans="2:3" x14ac:dyDescent="0.35">
      <c r="B96" s="625" t="s">
        <v>3787</v>
      </c>
      <c r="C96" s="627" t="s">
        <v>3797</v>
      </c>
    </row>
    <row r="97" spans="2:5" x14ac:dyDescent="0.35">
      <c r="B97" s="625" t="s">
        <v>3788</v>
      </c>
      <c r="C97" s="627" t="s">
        <v>3797</v>
      </c>
    </row>
    <row r="98" spans="2:5" x14ac:dyDescent="0.35">
      <c r="B98" s="625" t="s">
        <v>3789</v>
      </c>
      <c r="C98" s="627" t="s">
        <v>3797</v>
      </c>
    </row>
    <row r="99" spans="2:5" x14ac:dyDescent="0.35">
      <c r="B99" s="625" t="s">
        <v>3790</v>
      </c>
      <c r="C99" s="627" t="s">
        <v>3797</v>
      </c>
    </row>
    <row r="100" spans="2:5" x14ac:dyDescent="0.35">
      <c r="B100" s="625" t="s">
        <v>3791</v>
      </c>
      <c r="C100" s="627" t="s">
        <v>3797</v>
      </c>
    </row>
    <row r="101" spans="2:5" x14ac:dyDescent="0.35">
      <c r="B101" s="625" t="s">
        <v>3792</v>
      </c>
      <c r="C101" s="627" t="s">
        <v>3797</v>
      </c>
    </row>
    <row r="102" spans="2:5" x14ac:dyDescent="0.35">
      <c r="B102" s="625" t="s">
        <v>2107</v>
      </c>
      <c r="C102" s="627" t="s">
        <v>3797</v>
      </c>
    </row>
    <row r="103" spans="2:5" x14ac:dyDescent="0.35">
      <c r="B103" s="625" t="s">
        <v>3793</v>
      </c>
      <c r="C103" s="627" t="s">
        <v>3797</v>
      </c>
    </row>
    <row r="104" spans="2:5" x14ac:dyDescent="0.35">
      <c r="B104" s="625" t="s">
        <v>3794</v>
      </c>
      <c r="C104" s="627" t="s">
        <v>3797</v>
      </c>
    </row>
    <row r="105" spans="2:5" x14ac:dyDescent="0.35">
      <c r="B105" s="625" t="s">
        <v>3795</v>
      </c>
      <c r="C105" s="627" t="s">
        <v>3797</v>
      </c>
    </row>
    <row r="106" spans="2:5" x14ac:dyDescent="0.35">
      <c r="B106" s="625" t="s">
        <v>2108</v>
      </c>
      <c r="C106" s="627" t="s">
        <v>3797</v>
      </c>
    </row>
    <row r="107" spans="2:5" x14ac:dyDescent="0.35">
      <c r="B107" s="625" t="s">
        <v>3796</v>
      </c>
      <c r="C107" s="627" t="s">
        <v>3797</v>
      </c>
    </row>
    <row r="108" spans="2:5" x14ac:dyDescent="0.35">
      <c r="B108" s="625" t="s">
        <v>3835</v>
      </c>
      <c r="D108" s="627" t="s">
        <v>3797</v>
      </c>
    </row>
    <row r="109" spans="2:5" x14ac:dyDescent="0.35">
      <c r="B109" s="625" t="s">
        <v>3836</v>
      </c>
      <c r="D109" s="627" t="s">
        <v>3797</v>
      </c>
    </row>
    <row r="110" spans="2:5" x14ac:dyDescent="0.35">
      <c r="B110" s="625" t="s">
        <v>3837</v>
      </c>
      <c r="D110" s="627" t="s">
        <v>3797</v>
      </c>
      <c r="E110" s="627" t="s">
        <v>3797</v>
      </c>
    </row>
    <row r="111" spans="2:5" x14ac:dyDescent="0.35">
      <c r="B111" s="625" t="s">
        <v>3838</v>
      </c>
      <c r="D111" s="627" t="s">
        <v>3797</v>
      </c>
    </row>
    <row r="112" spans="2:5" x14ac:dyDescent="0.35">
      <c r="B112" s="625" t="s">
        <v>3839</v>
      </c>
      <c r="D112" s="627" t="s">
        <v>3797</v>
      </c>
    </row>
    <row r="113" spans="2:5" x14ac:dyDescent="0.35">
      <c r="B113" s="625" t="s">
        <v>3840</v>
      </c>
      <c r="D113" s="627" t="s">
        <v>3797</v>
      </c>
    </row>
    <row r="114" spans="2:5" x14ac:dyDescent="0.35">
      <c r="B114" s="625" t="s">
        <v>3841</v>
      </c>
      <c r="D114" s="627" t="s">
        <v>3797</v>
      </c>
      <c r="E114" s="627" t="s">
        <v>3797</v>
      </c>
    </row>
    <row r="115" spans="2:5" x14ac:dyDescent="0.35">
      <c r="B115" s="624" t="s">
        <v>3854</v>
      </c>
      <c r="D115" s="627" t="s">
        <v>3797</v>
      </c>
    </row>
    <row r="116" spans="2:5" x14ac:dyDescent="0.35">
      <c r="B116" s="625" t="s">
        <v>3842</v>
      </c>
      <c r="D116" s="627" t="s">
        <v>3797</v>
      </c>
      <c r="E116" s="627" t="s">
        <v>3797</v>
      </c>
    </row>
    <row r="117" spans="2:5" x14ac:dyDescent="0.35">
      <c r="B117" s="625" t="s">
        <v>3843</v>
      </c>
      <c r="D117" s="627" t="s">
        <v>3797</v>
      </c>
    </row>
    <row r="118" spans="2:5" x14ac:dyDescent="0.35">
      <c r="B118" s="625" t="s">
        <v>3844</v>
      </c>
      <c r="D118" s="627" t="s">
        <v>3797</v>
      </c>
    </row>
    <row r="119" spans="2:5" x14ac:dyDescent="0.35">
      <c r="B119" s="625" t="s">
        <v>3845</v>
      </c>
      <c r="D119" s="627" t="s">
        <v>3797</v>
      </c>
      <c r="E119" s="627" t="s">
        <v>3797</v>
      </c>
    </row>
    <row r="120" spans="2:5" x14ac:dyDescent="0.35">
      <c r="B120" s="625" t="s">
        <v>3846</v>
      </c>
      <c r="D120" s="627" t="s">
        <v>3797</v>
      </c>
    </row>
    <row r="121" spans="2:5" x14ac:dyDescent="0.35">
      <c r="B121" s="624" t="s">
        <v>3847</v>
      </c>
      <c r="D121" s="627" t="s">
        <v>3797</v>
      </c>
    </row>
    <row r="122" spans="2:5" x14ac:dyDescent="0.35">
      <c r="B122" s="624" t="s">
        <v>3848</v>
      </c>
      <c r="D122" s="627" t="s">
        <v>3797</v>
      </c>
    </row>
    <row r="123" spans="2:5" x14ac:dyDescent="0.35">
      <c r="B123" s="624" t="s">
        <v>3849</v>
      </c>
      <c r="D123" s="627" t="s">
        <v>3797</v>
      </c>
    </row>
    <row r="124" spans="2:5" x14ac:dyDescent="0.35">
      <c r="B124" s="624" t="s">
        <v>3850</v>
      </c>
      <c r="D124" s="627" t="s">
        <v>3797</v>
      </c>
    </row>
    <row r="125" spans="2:5" x14ac:dyDescent="0.35">
      <c r="B125" s="624" t="s">
        <v>3851</v>
      </c>
      <c r="D125" s="627" t="s">
        <v>3797</v>
      </c>
    </row>
    <row r="126" spans="2:5" x14ac:dyDescent="0.35">
      <c r="B126" s="624" t="s">
        <v>3852</v>
      </c>
      <c r="D126" s="627" t="s">
        <v>3797</v>
      </c>
    </row>
    <row r="127" spans="2:5" x14ac:dyDescent="0.35">
      <c r="B127" s="624" t="s">
        <v>3853</v>
      </c>
      <c r="D127" s="627" t="s">
        <v>3797</v>
      </c>
    </row>
    <row r="128" spans="2:5" x14ac:dyDescent="0.35">
      <c r="B128" s="624" t="s">
        <v>3855</v>
      </c>
      <c r="D128" s="627" t="s">
        <v>3797</v>
      </c>
    </row>
    <row r="129" spans="2:4" x14ac:dyDescent="0.35">
      <c r="B129" s="624" t="s">
        <v>3856</v>
      </c>
      <c r="D129" s="627" t="s">
        <v>3797</v>
      </c>
    </row>
    <row r="130" spans="2:4" x14ac:dyDescent="0.35">
      <c r="B130" s="624" t="s">
        <v>3857</v>
      </c>
      <c r="D130" s="627" t="s">
        <v>3797</v>
      </c>
    </row>
    <row r="131" spans="2:4" x14ac:dyDescent="0.35">
      <c r="B131" s="624" t="s">
        <v>3858</v>
      </c>
      <c r="D131" s="627" t="s">
        <v>3797</v>
      </c>
    </row>
    <row r="132" spans="2:4" x14ac:dyDescent="0.35">
      <c r="B132" s="624" t="s">
        <v>3859</v>
      </c>
      <c r="D132" s="627" t="s">
        <v>3797</v>
      </c>
    </row>
    <row r="133" spans="2:4" x14ac:dyDescent="0.35">
      <c r="B133" s="624" t="s">
        <v>3860</v>
      </c>
      <c r="D133" s="627" t="s">
        <v>3797</v>
      </c>
    </row>
    <row r="134" spans="2:4" x14ac:dyDescent="0.35">
      <c r="B134" s="624" t="s">
        <v>3861</v>
      </c>
      <c r="D134" s="627" t="s">
        <v>3797</v>
      </c>
    </row>
    <row r="135" spans="2:4" x14ac:dyDescent="0.35">
      <c r="B135" s="624" t="s">
        <v>3862</v>
      </c>
      <c r="D135" s="627" t="s">
        <v>3797</v>
      </c>
    </row>
    <row r="136" spans="2:4" x14ac:dyDescent="0.35">
      <c r="B136" s="624" t="s">
        <v>3863</v>
      </c>
      <c r="D136" s="627" t="s">
        <v>3797</v>
      </c>
    </row>
    <row r="137" spans="2:4" x14ac:dyDescent="0.35">
      <c r="B137" s="624" t="s">
        <v>3864</v>
      </c>
      <c r="D137" s="627" t="s">
        <v>3797</v>
      </c>
    </row>
    <row r="138" spans="2:4" x14ac:dyDescent="0.35">
      <c r="B138" s="624" t="s">
        <v>3865</v>
      </c>
      <c r="D138" s="627" t="s">
        <v>3797</v>
      </c>
    </row>
    <row r="139" spans="2:4" x14ac:dyDescent="0.35">
      <c r="B139" s="624" t="s">
        <v>3866</v>
      </c>
      <c r="D139" s="627" t="s">
        <v>3797</v>
      </c>
    </row>
    <row r="140" spans="2:4" x14ac:dyDescent="0.35">
      <c r="B140" s="624" t="s">
        <v>3867</v>
      </c>
      <c r="D140" s="627" t="s">
        <v>3797</v>
      </c>
    </row>
    <row r="141" spans="2:4" x14ac:dyDescent="0.35">
      <c r="B141" s="624" t="s">
        <v>3868</v>
      </c>
      <c r="D141" s="627" t="s">
        <v>3797</v>
      </c>
    </row>
    <row r="142" spans="2:4" x14ac:dyDescent="0.35">
      <c r="B142" s="624" t="s">
        <v>3869</v>
      </c>
      <c r="D142" s="627" t="s">
        <v>3797</v>
      </c>
    </row>
    <row r="143" spans="2:4" x14ac:dyDescent="0.35">
      <c r="B143" s="624" t="s">
        <v>3870</v>
      </c>
      <c r="D143" s="627" t="s">
        <v>3797</v>
      </c>
    </row>
    <row r="144" spans="2:4" x14ac:dyDescent="0.35">
      <c r="B144" s="624" t="s">
        <v>3871</v>
      </c>
      <c r="D144" s="627" t="s">
        <v>3797</v>
      </c>
    </row>
    <row r="145" spans="2:4" x14ac:dyDescent="0.35">
      <c r="B145" s="624" t="s">
        <v>3872</v>
      </c>
      <c r="D145" s="627" t="s">
        <v>3797</v>
      </c>
    </row>
    <row r="146" spans="2:4" x14ac:dyDescent="0.35">
      <c r="B146" s="624" t="s">
        <v>3873</v>
      </c>
      <c r="D146" s="627" t="s">
        <v>3797</v>
      </c>
    </row>
    <row r="147" spans="2:4" x14ac:dyDescent="0.35">
      <c r="B147" s="624" t="s">
        <v>3874</v>
      </c>
      <c r="D147" s="627" t="s">
        <v>3797</v>
      </c>
    </row>
    <row r="148" spans="2:4" x14ac:dyDescent="0.35">
      <c r="B148" s="624" t="s">
        <v>3875</v>
      </c>
      <c r="D148" s="627" t="s">
        <v>3797</v>
      </c>
    </row>
    <row r="149" spans="2:4" x14ac:dyDescent="0.35">
      <c r="B149" s="624" t="s">
        <v>3876</v>
      </c>
      <c r="D149" s="627" t="s">
        <v>3797</v>
      </c>
    </row>
    <row r="150" spans="2:4" x14ac:dyDescent="0.35">
      <c r="B150" s="624" t="s">
        <v>3877</v>
      </c>
      <c r="D150" s="627" t="s">
        <v>3797</v>
      </c>
    </row>
    <row r="151" spans="2:4" x14ac:dyDescent="0.35">
      <c r="B151" s="624" t="s">
        <v>3878</v>
      </c>
      <c r="D151" s="627" t="s">
        <v>3797</v>
      </c>
    </row>
    <row r="152" spans="2:4" x14ac:dyDescent="0.35">
      <c r="B152" s="624" t="s">
        <v>3879</v>
      </c>
      <c r="D152" s="627" t="s">
        <v>3797</v>
      </c>
    </row>
    <row r="153" spans="2:4" x14ac:dyDescent="0.35">
      <c r="B153" s="624" t="s">
        <v>3880</v>
      </c>
      <c r="D153" s="627" t="s">
        <v>3797</v>
      </c>
    </row>
    <row r="154" spans="2:4" x14ac:dyDescent="0.35">
      <c r="B154" s="624" t="s">
        <v>3881</v>
      </c>
      <c r="D154" s="627" t="s">
        <v>3797</v>
      </c>
    </row>
    <row r="155" spans="2:4" x14ac:dyDescent="0.35">
      <c r="B155" s="624" t="s">
        <v>3882</v>
      </c>
      <c r="D155" s="627" t="s">
        <v>3797</v>
      </c>
    </row>
    <row r="156" spans="2:4" x14ac:dyDescent="0.35">
      <c r="B156" s="624" t="s">
        <v>3883</v>
      </c>
      <c r="D156" s="627" t="s">
        <v>3797</v>
      </c>
    </row>
    <row r="157" spans="2:4" x14ac:dyDescent="0.35">
      <c r="B157" s="624" t="s">
        <v>3884</v>
      </c>
      <c r="D157" s="627" t="s">
        <v>3797</v>
      </c>
    </row>
    <row r="158" spans="2:4" x14ac:dyDescent="0.35">
      <c r="B158" s="624" t="s">
        <v>3885</v>
      </c>
      <c r="D158" s="627" t="s">
        <v>3797</v>
      </c>
    </row>
    <row r="159" spans="2:4" x14ac:dyDescent="0.35">
      <c r="B159" s="624" t="s">
        <v>3886</v>
      </c>
      <c r="D159" s="627" t="s">
        <v>3797</v>
      </c>
    </row>
    <row r="160" spans="2:4" x14ac:dyDescent="0.35">
      <c r="B160" s="624" t="s">
        <v>3887</v>
      </c>
      <c r="D160" s="627" t="s">
        <v>3797</v>
      </c>
    </row>
    <row r="161" spans="2:4" x14ac:dyDescent="0.35">
      <c r="B161" s="624" t="s">
        <v>3887</v>
      </c>
      <c r="D161" s="627" t="s">
        <v>3797</v>
      </c>
    </row>
    <row r="162" spans="2:4" x14ac:dyDescent="0.35">
      <c r="B162" s="624" t="s">
        <v>3888</v>
      </c>
      <c r="D162" s="627" t="s">
        <v>3797</v>
      </c>
    </row>
    <row r="163" spans="2:4" x14ac:dyDescent="0.35">
      <c r="B163" s="624" t="s">
        <v>3889</v>
      </c>
      <c r="D163" s="627" t="s">
        <v>3797</v>
      </c>
    </row>
    <row r="164" spans="2:4" x14ac:dyDescent="0.35">
      <c r="B164" s="624" t="s">
        <v>3890</v>
      </c>
      <c r="D164" s="627" t="s">
        <v>3797</v>
      </c>
    </row>
    <row r="165" spans="2:4" x14ac:dyDescent="0.35">
      <c r="B165" s="624" t="s">
        <v>3891</v>
      </c>
      <c r="D165" s="627" t="s">
        <v>3797</v>
      </c>
    </row>
    <row r="166" spans="2:4" x14ac:dyDescent="0.35">
      <c r="B166" s="624" t="s">
        <v>3892</v>
      </c>
      <c r="D166" s="627" t="s">
        <v>3797</v>
      </c>
    </row>
    <row r="167" spans="2:4" x14ac:dyDescent="0.35">
      <c r="B167" s="624" t="s">
        <v>3893</v>
      </c>
      <c r="D167" s="627" t="s">
        <v>3797</v>
      </c>
    </row>
    <row r="168" spans="2:4" x14ac:dyDescent="0.35">
      <c r="B168" s="624" t="s">
        <v>3894</v>
      </c>
      <c r="D168" s="627" t="s">
        <v>3797</v>
      </c>
    </row>
    <row r="169" spans="2:4" x14ac:dyDescent="0.35">
      <c r="B169" s="624" t="s">
        <v>3895</v>
      </c>
      <c r="D169" s="627" t="s">
        <v>3797</v>
      </c>
    </row>
    <row r="170" spans="2:4" x14ac:dyDescent="0.35">
      <c r="B170" s="624" t="s">
        <v>3896</v>
      </c>
      <c r="D170" s="627" t="s">
        <v>3797</v>
      </c>
    </row>
    <row r="171" spans="2:4" x14ac:dyDescent="0.35">
      <c r="B171" s="624" t="s">
        <v>3897</v>
      </c>
      <c r="D171" s="627" t="s">
        <v>3797</v>
      </c>
    </row>
    <row r="172" spans="2:4" x14ac:dyDescent="0.35">
      <c r="B172" s="624" t="s">
        <v>3898</v>
      </c>
      <c r="D172" s="627" t="s">
        <v>3797</v>
      </c>
    </row>
    <row r="173" spans="2:4" x14ac:dyDescent="0.35">
      <c r="B173" s="624" t="s">
        <v>3899</v>
      </c>
      <c r="D173" s="627" t="s">
        <v>3797</v>
      </c>
    </row>
    <row r="174" spans="2:4" x14ac:dyDescent="0.35">
      <c r="B174" s="624" t="s">
        <v>3900</v>
      </c>
      <c r="D174" s="627" t="s">
        <v>3797</v>
      </c>
    </row>
    <row r="175" spans="2:4" x14ac:dyDescent="0.35">
      <c r="B175" s="624" t="s">
        <v>3901</v>
      </c>
      <c r="D175" s="627" t="s">
        <v>3797</v>
      </c>
    </row>
    <row r="176" spans="2:4" x14ac:dyDescent="0.35">
      <c r="B176" s="624" t="s">
        <v>3902</v>
      </c>
      <c r="D176" s="627" t="s">
        <v>3797</v>
      </c>
    </row>
    <row r="177" spans="2:6" x14ac:dyDescent="0.35">
      <c r="B177" s="624" t="s">
        <v>3903</v>
      </c>
      <c r="D177" s="627" t="s">
        <v>3797</v>
      </c>
    </row>
    <row r="178" spans="2:6" x14ac:dyDescent="0.35">
      <c r="B178" s="624" t="s">
        <v>3904</v>
      </c>
      <c r="D178" s="627" t="s">
        <v>3797</v>
      </c>
    </row>
    <row r="179" spans="2:6" x14ac:dyDescent="0.35">
      <c r="B179" s="624" t="s">
        <v>3905</v>
      </c>
      <c r="D179" s="627" t="s">
        <v>3797</v>
      </c>
    </row>
    <row r="180" spans="2:6" x14ac:dyDescent="0.35">
      <c r="B180" s="624" t="s">
        <v>3906</v>
      </c>
      <c r="D180" s="627" t="s">
        <v>3797</v>
      </c>
    </row>
    <row r="181" spans="2:6" x14ac:dyDescent="0.35">
      <c r="B181" s="624" t="s">
        <v>3907</v>
      </c>
      <c r="D181" s="627" t="s">
        <v>3797</v>
      </c>
    </row>
    <row r="182" spans="2:6" x14ac:dyDescent="0.35">
      <c r="B182" s="624" t="s">
        <v>3908</v>
      </c>
      <c r="D182" s="627" t="s">
        <v>3797</v>
      </c>
    </row>
    <row r="183" spans="2:6" x14ac:dyDescent="0.35">
      <c r="B183" s="624" t="s">
        <v>3909</v>
      </c>
      <c r="D183" s="627" t="s">
        <v>3797</v>
      </c>
    </row>
    <row r="184" spans="2:6" x14ac:dyDescent="0.35">
      <c r="B184" s="624" t="s">
        <v>3910</v>
      </c>
      <c r="D184" s="627" t="s">
        <v>3797</v>
      </c>
    </row>
    <row r="185" spans="2:6" x14ac:dyDescent="0.35">
      <c r="B185" s="624" t="s">
        <v>3911</v>
      </c>
      <c r="D185" s="627" t="s">
        <v>3797</v>
      </c>
    </row>
    <row r="186" spans="2:6" x14ac:dyDescent="0.35">
      <c r="B186" s="624" t="s">
        <v>3912</v>
      </c>
      <c r="D186" s="627" t="s">
        <v>3797</v>
      </c>
    </row>
    <row r="187" spans="2:6" x14ac:dyDescent="0.35">
      <c r="B187" s="1358"/>
      <c r="C187" s="1359"/>
      <c r="D187" s="1359"/>
      <c r="E187" s="1359"/>
      <c r="F187" s="1359"/>
    </row>
    <row r="188" spans="2:6" x14ac:dyDescent="0.35">
      <c r="B188" s="624" t="s">
        <v>5392</v>
      </c>
      <c r="D188" s="627" t="s">
        <v>3797</v>
      </c>
    </row>
  </sheetData>
  <autoFilter ref="B2:F2" xr:uid="{29DE191D-C7EF-4A11-BD76-8555A87F7364}"/>
  <mergeCells count="1"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3827-9A39-480D-BC31-2297C2432F29}">
  <sheetPr codeName="Sheet3"/>
  <dimension ref="B1:AR108"/>
  <sheetViews>
    <sheetView showGridLines="0" zoomScaleNormal="100" zoomScaleSheetLayoutView="85" workbookViewId="0">
      <selection activeCell="N11" sqref="N11"/>
    </sheetView>
  </sheetViews>
  <sheetFormatPr defaultColWidth="8.5625" defaultRowHeight="12.4" outlineLevelRow="1" x14ac:dyDescent="0.35"/>
  <cols>
    <col min="1" max="1" width="1.5625" style="1055" customWidth="1"/>
    <col min="2" max="2" width="6.5625" style="1055" customWidth="1"/>
    <col min="3" max="6" width="7.0625" style="1055" customWidth="1"/>
    <col min="7" max="7" width="8.5625" style="1056"/>
    <col min="8" max="9" width="8.5625" style="1055"/>
    <col min="10" max="10" width="9.0625" style="1055" bestFit="1" customWidth="1"/>
    <col min="11" max="13" width="8.5625" style="1055"/>
    <col min="14" max="14" width="8.5625" style="1056"/>
    <col min="15" max="20" width="8.5625" style="1055"/>
    <col min="21" max="21" width="8.5625" style="1056"/>
    <col min="22" max="26" width="8.5625" style="1055"/>
    <col min="27" max="27" width="8.5625" style="1055" customWidth="1"/>
    <col min="28" max="28" width="8.5625" style="1056"/>
    <col min="29" max="16384" width="8.5625" style="1055"/>
  </cols>
  <sheetData>
    <row r="1" spans="2:28" x14ac:dyDescent="0.35">
      <c r="C1" s="1055" t="s">
        <v>4682</v>
      </c>
      <c r="J1" s="1055" t="s">
        <v>2</v>
      </c>
      <c r="Q1" s="1055" t="s">
        <v>3</v>
      </c>
      <c r="X1" s="1055" t="s">
        <v>4</v>
      </c>
    </row>
    <row r="2" spans="2:28" s="1057" customFormat="1" ht="34.9" x14ac:dyDescent="0.35">
      <c r="C2" s="4" t="s">
        <v>33</v>
      </c>
      <c r="D2" s="4" t="s">
        <v>34</v>
      </c>
      <c r="E2" s="4" t="s">
        <v>35</v>
      </c>
      <c r="F2" s="4" t="s">
        <v>36</v>
      </c>
      <c r="G2" s="1058" t="s">
        <v>4683</v>
      </c>
      <c r="J2" s="4" t="s">
        <v>33</v>
      </c>
      <c r="K2" s="4" t="s">
        <v>34</v>
      </c>
      <c r="L2" s="4" t="s">
        <v>35</v>
      </c>
      <c r="M2" s="4" t="s">
        <v>36</v>
      </c>
      <c r="N2" s="1058" t="s">
        <v>4683</v>
      </c>
      <c r="Q2" s="4" t="s">
        <v>33</v>
      </c>
      <c r="R2" s="4" t="s">
        <v>34</v>
      </c>
      <c r="S2" s="4" t="s">
        <v>35</v>
      </c>
      <c r="T2" s="4" t="s">
        <v>36</v>
      </c>
      <c r="U2" s="1058" t="s">
        <v>4683</v>
      </c>
      <c r="X2" s="4" t="s">
        <v>33</v>
      </c>
      <c r="Y2" s="4" t="s">
        <v>34</v>
      </c>
      <c r="Z2" s="4" t="s">
        <v>35</v>
      </c>
      <c r="AA2" s="4" t="s">
        <v>36</v>
      </c>
      <c r="AB2" s="1058" t="s">
        <v>4683</v>
      </c>
    </row>
    <row r="3" spans="2:28" x14ac:dyDescent="0.35">
      <c r="B3" s="1059" t="s">
        <v>273</v>
      </c>
      <c r="C3" s="1059">
        <f t="shared" ref="C3:F4" si="0">+J3+Q3</f>
        <v>0</v>
      </c>
      <c r="D3" s="1059">
        <f t="shared" si="0"/>
        <v>0</v>
      </c>
      <c r="E3" s="1059">
        <f t="shared" si="0"/>
        <v>0</v>
      </c>
      <c r="F3" s="1059">
        <f t="shared" si="0"/>
        <v>0</v>
      </c>
      <c r="G3" s="1060">
        <f t="shared" ref="G3" si="1">+SUM(D3:F3)</f>
        <v>0</v>
      </c>
      <c r="I3" s="1059" t="str">
        <f t="shared" ref="I3:I11" si="2">+$B3</f>
        <v>ASP</v>
      </c>
      <c r="J3" s="1059">
        <f>+COUNTIFS(Tracking!AC:AC,Staffing!$I3,Tracking!$D:$D,Staffing!$J$1)</f>
        <v>0</v>
      </c>
      <c r="K3" s="1059">
        <f>+COUNTIFS(Tracking!AD:AD,Staffing!$I3,Tracking!$D:$D,Staffing!$J$1)</f>
        <v>0</v>
      </c>
      <c r="L3" s="1059">
        <f>+COUNTIFS(Tracking!AE:AE,Staffing!$I3,Tracking!$D:$D,Staffing!$J$1)</f>
        <v>0</v>
      </c>
      <c r="M3" s="1059">
        <f>+COUNTIFS(Tracking!AF:AF,Staffing!$I3,Tracking!$D:$D,Staffing!$J$1)</f>
        <v>0</v>
      </c>
      <c r="N3" s="1060">
        <f t="shared" ref="N3" si="3">+SUM(K3:M3)</f>
        <v>0</v>
      </c>
      <c r="P3" s="1059" t="str">
        <f t="shared" ref="P3:P11" si="4">+$B3</f>
        <v>ASP</v>
      </c>
      <c r="Q3" s="1059">
        <f>+COUNTIFS(Tracking!AC:AC,Staffing!$P3,Tracking!$D:$D,Staffing!$Q$1)</f>
        <v>0</v>
      </c>
      <c r="R3" s="1059">
        <f>+COUNTIFS(Tracking!AD:AD,Staffing!$P3,Tracking!$D:$D,Staffing!$Q$1)</f>
        <v>0</v>
      </c>
      <c r="S3" s="1059">
        <f>+COUNTIFS(Tracking!AE:AE,Staffing!$P3,Tracking!$D:$D,Staffing!$Q$1)</f>
        <v>0</v>
      </c>
      <c r="T3" s="1059">
        <f>+COUNTIFS(Tracking!AF:AF,Staffing!$P3,Tracking!$D:$D,Staffing!$Q$1)</f>
        <v>0</v>
      </c>
      <c r="U3" s="1060">
        <f t="shared" ref="U3" si="5">+SUM(R3:T3)</f>
        <v>0</v>
      </c>
      <c r="W3" s="1059" t="str">
        <f t="shared" ref="W3:W11" si="6">+$B3</f>
        <v>ASP</v>
      </c>
      <c r="X3" s="1059">
        <f>+COUNTIFS(Tracking!AC:AC,Staffing!$W3,Tracking!$D:$D,Staffing!$X$1)</f>
        <v>0</v>
      </c>
      <c r="Y3" s="1059">
        <f>+COUNTIFS(Tracking!AD:AD,Staffing!$W3,Tracking!$D:$D,Staffing!$X$1)</f>
        <v>0</v>
      </c>
      <c r="Z3" s="1059">
        <f>+COUNTIFS(Tracking!AE:AE,Staffing!$W3,Tracking!$D:$D,Staffing!$X$1)</f>
        <v>7</v>
      </c>
      <c r="AA3" s="1059">
        <f>+COUNTIFS(Tracking!AF:AF,Staffing!$W3,Tracking!$D:$D,Staffing!$X$1)</f>
        <v>1</v>
      </c>
      <c r="AB3" s="1060">
        <f t="shared" ref="AB3" si="7">+SUM(Y3:AA3)</f>
        <v>8</v>
      </c>
    </row>
    <row r="4" spans="2:28" x14ac:dyDescent="0.35">
      <c r="B4" s="1059" t="s">
        <v>128</v>
      </c>
      <c r="C4" s="1059">
        <f t="shared" si="0"/>
        <v>0</v>
      </c>
      <c r="D4" s="1059">
        <f t="shared" si="0"/>
        <v>0</v>
      </c>
      <c r="E4" s="1059">
        <f t="shared" si="0"/>
        <v>0</v>
      </c>
      <c r="F4" s="1059">
        <f t="shared" si="0"/>
        <v>4</v>
      </c>
      <c r="G4" s="1060">
        <f>+SUM(C4:F4)</f>
        <v>4</v>
      </c>
      <c r="I4" s="1059" t="str">
        <f t="shared" si="2"/>
        <v>GID</v>
      </c>
      <c r="J4" s="1059">
        <f>+COUNTIFS(Tracking!AC:AC,Staffing!$I4,Tracking!$D:$D,Staffing!$J$1)</f>
        <v>0</v>
      </c>
      <c r="K4" s="1059">
        <f>+COUNTIFS(Tracking!AD:AD,Staffing!$I4,Tracking!$D:$D,Staffing!$J$1)</f>
        <v>0</v>
      </c>
      <c r="L4" s="1059">
        <f>+COUNTIFS(Tracking!AE:AE,Staffing!$I4,Tracking!$D:$D,Staffing!$J$1)</f>
        <v>0</v>
      </c>
      <c r="M4" s="1059">
        <f>+COUNTIFS(Tracking!AF:AF,Staffing!$I4,Tracking!$D:$D,Staffing!$J$1)</f>
        <v>4</v>
      </c>
      <c r="N4" s="1060">
        <f>+SUM(J4:M4)</f>
        <v>4</v>
      </c>
      <c r="P4" s="1059" t="str">
        <f t="shared" si="4"/>
        <v>GID</v>
      </c>
      <c r="Q4" s="1059">
        <f>+COUNTIFS(Tracking!AC:AC,Staffing!$P4,Tracking!$D:$D,Staffing!$Q$1)</f>
        <v>0</v>
      </c>
      <c r="R4" s="1059">
        <f>+COUNTIFS(Tracking!AD:AD,Staffing!$P4,Tracking!$D:$D,Staffing!$Q$1)</f>
        <v>0</v>
      </c>
      <c r="S4" s="1059">
        <f>+COUNTIFS(Tracking!AE:AE,Staffing!$P4,Tracking!$D:$D,Staffing!$Q$1)</f>
        <v>0</v>
      </c>
      <c r="T4" s="1059">
        <f>+COUNTIFS(Tracking!AF:AF,Staffing!$P4,Tracking!$D:$D,Staffing!$Q$1)</f>
        <v>0</v>
      </c>
      <c r="U4" s="1060">
        <f>+SUM(Q4:T4)</f>
        <v>0</v>
      </c>
      <c r="W4" s="1059" t="str">
        <f t="shared" si="6"/>
        <v>GID</v>
      </c>
      <c r="X4" s="1059">
        <f>+COUNTIFS(Tracking!AC:AC,Staffing!$W4,Tracking!$D:$D,Staffing!$X$1)</f>
        <v>0</v>
      </c>
      <c r="Y4" s="1059">
        <f>+COUNTIFS(Tracking!AD:AD,Staffing!$W4,Tracking!$D:$D,Staffing!$X$1)</f>
        <v>0</v>
      </c>
      <c r="Z4" s="1059">
        <f>+COUNTIFS(Tracking!AE:AE,Staffing!$W4,Tracking!$D:$D,Staffing!$X$1)</f>
        <v>9</v>
      </c>
      <c r="AA4" s="1059">
        <f>+COUNTIFS(Tracking!AF:AF,Staffing!$W4,Tracking!$D:$D,Staffing!$X$1)</f>
        <v>14</v>
      </c>
      <c r="AB4" s="1060">
        <f>+SUM(X4:AA4)</f>
        <v>23</v>
      </c>
    </row>
    <row r="5" spans="2:28" x14ac:dyDescent="0.35">
      <c r="B5" s="1059" t="s">
        <v>4423</v>
      </c>
      <c r="C5" s="1059">
        <f t="shared" ref="C5:C11" si="8">+J5+Q5</f>
        <v>0</v>
      </c>
      <c r="D5" s="1059">
        <f t="shared" ref="D5:D11" si="9">+K5+R5</f>
        <v>0</v>
      </c>
      <c r="E5" s="1059">
        <f t="shared" ref="E5:E11" si="10">+L5+S5</f>
        <v>1</v>
      </c>
      <c r="F5" s="1059">
        <f t="shared" ref="F5:F11" si="11">+M5+T5</f>
        <v>0</v>
      </c>
      <c r="G5" s="1060">
        <f t="shared" ref="G5:G11" si="12">+SUM(C5:F5)</f>
        <v>1</v>
      </c>
      <c r="I5" s="1059" t="str">
        <f t="shared" si="2"/>
        <v>GIM</v>
      </c>
      <c r="J5" s="1059">
        <f>+COUNTIFS(Tracking!AC:AC,Staffing!$I5,Tracking!$D:$D,Staffing!$J$1)</f>
        <v>0</v>
      </c>
      <c r="K5" s="1059">
        <f>+COUNTIFS(Tracking!AD:AD,Staffing!$I5,Tracking!$D:$D,Staffing!$J$1)</f>
        <v>0</v>
      </c>
      <c r="L5" s="1059">
        <f>+COUNTIFS(Tracking!AE:AE,Staffing!$I5,Tracking!$D:$D,Staffing!$J$1)</f>
        <v>0</v>
      </c>
      <c r="M5" s="1059">
        <f>+COUNTIFS(Tracking!AF:AF,Staffing!$I5,Tracking!$D:$D,Staffing!$J$1)</f>
        <v>0</v>
      </c>
      <c r="N5" s="1060">
        <f t="shared" ref="N5:N11" si="13">+SUM(J5:M5)</f>
        <v>0</v>
      </c>
      <c r="P5" s="1059" t="str">
        <f t="shared" si="4"/>
        <v>GIM</v>
      </c>
      <c r="Q5" s="1059">
        <f>+COUNTIFS(Tracking!AC:AC,Staffing!$P5,Tracking!$D:$D,Staffing!$Q$1)</f>
        <v>0</v>
      </c>
      <c r="R5" s="1059">
        <f>+COUNTIFS(Tracking!AD:AD,Staffing!$P5,Tracking!$D:$D,Staffing!$Q$1)</f>
        <v>0</v>
      </c>
      <c r="S5" s="1059">
        <f>+COUNTIFS(Tracking!AE:AE,Staffing!$P5,Tracking!$D:$D,Staffing!$Q$1)</f>
        <v>1</v>
      </c>
      <c r="T5" s="1059">
        <f>+COUNTIFS(Tracking!AF:AF,Staffing!$P5,Tracking!$D:$D,Staffing!$Q$1)</f>
        <v>0</v>
      </c>
      <c r="U5" s="1060">
        <f t="shared" ref="U5:U11" si="14">+SUM(Q5:T5)</f>
        <v>1</v>
      </c>
      <c r="W5" s="1059" t="str">
        <f t="shared" si="6"/>
        <v>GIM</v>
      </c>
      <c r="X5" s="1059">
        <f>+COUNTIFS(Tracking!AC:AC,Staffing!$W5,Tracking!$D:$D,Staffing!$X$1)</f>
        <v>0</v>
      </c>
      <c r="Y5" s="1059">
        <f>+COUNTIFS(Tracking!AD:AD,Staffing!$W5,Tracking!$D:$D,Staffing!$X$1)</f>
        <v>0</v>
      </c>
      <c r="Z5" s="1059">
        <f>+COUNTIFS(Tracking!AE:AE,Staffing!$W5,Tracking!$D:$D,Staffing!$X$1)</f>
        <v>0</v>
      </c>
      <c r="AA5" s="1059">
        <f>+COUNTIFS(Tracking!AF:AF,Staffing!$W5,Tracking!$D:$D,Staffing!$X$1)</f>
        <v>0</v>
      </c>
      <c r="AB5" s="1060">
        <f t="shared" ref="AB5:AB11" si="15">+SUM(X5:AA5)</f>
        <v>0</v>
      </c>
    </row>
    <row r="6" spans="2:28" x14ac:dyDescent="0.35">
      <c r="B6" s="1059" t="s">
        <v>155</v>
      </c>
      <c r="C6" s="1059">
        <f t="shared" si="8"/>
        <v>0</v>
      </c>
      <c r="D6" s="1059">
        <f t="shared" si="9"/>
        <v>0</v>
      </c>
      <c r="E6" s="1059">
        <f t="shared" si="10"/>
        <v>1</v>
      </c>
      <c r="F6" s="1059">
        <f t="shared" si="11"/>
        <v>1</v>
      </c>
      <c r="G6" s="1060">
        <f t="shared" si="12"/>
        <v>2</v>
      </c>
      <c r="I6" s="1059" t="str">
        <f t="shared" si="2"/>
        <v>GSE</v>
      </c>
      <c r="J6" s="1059">
        <f>+COUNTIFS(Tracking!AC:AC,Staffing!$I6,Tracking!$D:$D,Staffing!$J$1)</f>
        <v>0</v>
      </c>
      <c r="K6" s="1059">
        <f>+COUNTIFS(Tracking!AD:AD,Staffing!$I6,Tracking!$D:$D,Staffing!$J$1)</f>
        <v>0</v>
      </c>
      <c r="L6" s="1059">
        <f>+COUNTIFS(Tracking!AE:AE,Staffing!$I6,Tracking!$D:$D,Staffing!$J$1)</f>
        <v>1</v>
      </c>
      <c r="M6" s="1059">
        <f>+COUNTIFS(Tracking!AF:AF,Staffing!$I6,Tracking!$D:$D,Staffing!$J$1)</f>
        <v>1</v>
      </c>
      <c r="N6" s="1060">
        <f t="shared" si="13"/>
        <v>2</v>
      </c>
      <c r="P6" s="1059" t="str">
        <f t="shared" si="4"/>
        <v>GSE</v>
      </c>
      <c r="Q6" s="1059">
        <f>+COUNTIFS(Tracking!AC:AC,Staffing!$P6,Tracking!$D:$D,Staffing!$Q$1)</f>
        <v>0</v>
      </c>
      <c r="R6" s="1059">
        <f>+COUNTIFS(Tracking!AD:AD,Staffing!$P6,Tracking!$D:$D,Staffing!$Q$1)</f>
        <v>0</v>
      </c>
      <c r="S6" s="1059">
        <f>+COUNTIFS(Tracking!AE:AE,Staffing!$P6,Tracking!$D:$D,Staffing!$Q$1)</f>
        <v>0</v>
      </c>
      <c r="T6" s="1059">
        <f>+COUNTIFS(Tracking!AF:AF,Staffing!$P6,Tracking!$D:$D,Staffing!$Q$1)</f>
        <v>0</v>
      </c>
      <c r="U6" s="1060">
        <f t="shared" si="14"/>
        <v>0</v>
      </c>
      <c r="W6" s="1059" t="str">
        <f t="shared" si="6"/>
        <v>GSE</v>
      </c>
      <c r="X6" s="1059">
        <f>+COUNTIFS(Tracking!AC:AC,Staffing!$W6,Tracking!$D:$D,Staffing!$X$1)</f>
        <v>0</v>
      </c>
      <c r="Y6" s="1059">
        <f>+COUNTIFS(Tracking!AD:AD,Staffing!$W6,Tracking!$D:$D,Staffing!$X$1)</f>
        <v>0</v>
      </c>
      <c r="Z6" s="1059">
        <f>+COUNTIFS(Tracking!AE:AE,Staffing!$W6,Tracking!$D:$D,Staffing!$X$1)</f>
        <v>6</v>
      </c>
      <c r="AA6" s="1059">
        <f>+COUNTIFS(Tracking!AF:AF,Staffing!$W6,Tracking!$D:$D,Staffing!$X$1)</f>
        <v>0</v>
      </c>
      <c r="AB6" s="1060">
        <f t="shared" si="15"/>
        <v>6</v>
      </c>
    </row>
    <row r="7" spans="2:28" x14ac:dyDescent="0.35">
      <c r="B7" s="1059" t="s">
        <v>62</v>
      </c>
      <c r="C7" s="1059">
        <f t="shared" si="8"/>
        <v>1</v>
      </c>
      <c r="D7" s="1059">
        <f t="shared" si="9"/>
        <v>0</v>
      </c>
      <c r="E7" s="1059">
        <f t="shared" si="10"/>
        <v>2</v>
      </c>
      <c r="F7" s="1059">
        <f t="shared" si="11"/>
        <v>2</v>
      </c>
      <c r="G7" s="1060">
        <f t="shared" si="12"/>
        <v>5</v>
      </c>
      <c r="I7" s="1059" t="str">
        <f t="shared" si="2"/>
        <v>LUS</v>
      </c>
      <c r="J7" s="1059">
        <f>+COUNTIFS(Tracking!AC:AC,Staffing!$I7,Tracking!$D:$D,Staffing!$J$1)</f>
        <v>1</v>
      </c>
      <c r="K7" s="1059">
        <f>+COUNTIFS(Tracking!AD:AD,Staffing!$I7,Tracking!$D:$D,Staffing!$J$1)</f>
        <v>0</v>
      </c>
      <c r="L7" s="1059">
        <f>+COUNTIFS(Tracking!AE:AE,Staffing!$I7,Tracking!$D:$D,Staffing!$J$1)</f>
        <v>2</v>
      </c>
      <c r="M7" s="1059">
        <f>+COUNTIFS(Tracking!AF:AF,Staffing!$I7,Tracking!$D:$D,Staffing!$J$1)</f>
        <v>1</v>
      </c>
      <c r="N7" s="1060">
        <f t="shared" si="13"/>
        <v>4</v>
      </c>
      <c r="P7" s="1059" t="str">
        <f t="shared" si="4"/>
        <v>LUS</v>
      </c>
      <c r="Q7" s="1059">
        <f>+COUNTIFS(Tracking!AC:AC,Staffing!$P7,Tracking!$D:$D,Staffing!$Q$1)</f>
        <v>0</v>
      </c>
      <c r="R7" s="1059">
        <f>+COUNTIFS(Tracking!AD:AD,Staffing!$P7,Tracking!$D:$D,Staffing!$Q$1)</f>
        <v>0</v>
      </c>
      <c r="S7" s="1059">
        <f>+COUNTIFS(Tracking!AE:AE,Staffing!$P7,Tracking!$D:$D,Staffing!$Q$1)</f>
        <v>0</v>
      </c>
      <c r="T7" s="1059">
        <f>+COUNTIFS(Tracking!AF:AF,Staffing!$P7,Tracking!$D:$D,Staffing!$Q$1)</f>
        <v>1</v>
      </c>
      <c r="U7" s="1060">
        <f t="shared" si="14"/>
        <v>1</v>
      </c>
      <c r="W7" s="1059" t="str">
        <f t="shared" si="6"/>
        <v>LUS</v>
      </c>
      <c r="X7" s="1059">
        <f>+COUNTIFS(Tracking!AC:AC,Staffing!$W7,Tracking!$D:$D,Staffing!$X$1)</f>
        <v>2</v>
      </c>
      <c r="Y7" s="1059">
        <f>+COUNTIFS(Tracking!AD:AD,Staffing!$W7,Tracking!$D:$D,Staffing!$X$1)</f>
        <v>0</v>
      </c>
      <c r="Z7" s="1059">
        <f>+COUNTIFS(Tracking!AE:AE,Staffing!$W7,Tracking!$D:$D,Staffing!$X$1)</f>
        <v>21</v>
      </c>
      <c r="AA7" s="1059">
        <f>+COUNTIFS(Tracking!AF:AF,Staffing!$W7,Tracking!$D:$D,Staffing!$X$1)</f>
        <v>0</v>
      </c>
      <c r="AB7" s="1060">
        <f t="shared" si="15"/>
        <v>23</v>
      </c>
    </row>
    <row r="8" spans="2:28" x14ac:dyDescent="0.35">
      <c r="B8" s="1059" t="s">
        <v>154</v>
      </c>
      <c r="C8" s="1059">
        <f t="shared" si="8"/>
        <v>0</v>
      </c>
      <c r="D8" s="1059">
        <f t="shared" si="9"/>
        <v>0</v>
      </c>
      <c r="E8" s="1059">
        <f t="shared" si="10"/>
        <v>2</v>
      </c>
      <c r="F8" s="1059">
        <f t="shared" si="11"/>
        <v>1</v>
      </c>
      <c r="G8" s="1060">
        <f t="shared" si="12"/>
        <v>3</v>
      </c>
      <c r="I8" s="1059" t="str">
        <f t="shared" si="2"/>
        <v>MMO</v>
      </c>
      <c r="J8" s="1059">
        <f>+COUNTIFS(Tracking!AC:AC,Staffing!$I8,Tracking!$D:$D,Staffing!$J$1)</f>
        <v>0</v>
      </c>
      <c r="K8" s="1059">
        <f>+COUNTIFS(Tracking!AD:AD,Staffing!$I8,Tracking!$D:$D,Staffing!$J$1)</f>
        <v>0</v>
      </c>
      <c r="L8" s="1059">
        <f>+COUNTIFS(Tracking!AE:AE,Staffing!$I8,Tracking!$D:$D,Staffing!$J$1)</f>
        <v>1</v>
      </c>
      <c r="M8" s="1059">
        <f>+COUNTIFS(Tracking!AF:AF,Staffing!$I8,Tracking!$D:$D,Staffing!$J$1)</f>
        <v>1</v>
      </c>
      <c r="N8" s="1060">
        <f t="shared" si="13"/>
        <v>2</v>
      </c>
      <c r="P8" s="1059" t="str">
        <f t="shared" si="4"/>
        <v>MMO</v>
      </c>
      <c r="Q8" s="1059">
        <f>+COUNTIFS(Tracking!AC:AC,Staffing!$P8,Tracking!$D:$D,Staffing!$Q$1)</f>
        <v>0</v>
      </c>
      <c r="R8" s="1059">
        <f>+COUNTIFS(Tracking!AD:AD,Staffing!$P8,Tracking!$D:$D,Staffing!$Q$1)</f>
        <v>0</v>
      </c>
      <c r="S8" s="1059">
        <f>+COUNTIFS(Tracking!AE:AE,Staffing!$P8,Tracking!$D:$D,Staffing!$Q$1)</f>
        <v>1</v>
      </c>
      <c r="T8" s="1059">
        <f>+COUNTIFS(Tracking!AF:AF,Staffing!$P8,Tracking!$D:$D,Staffing!$Q$1)</f>
        <v>0</v>
      </c>
      <c r="U8" s="1060">
        <f t="shared" si="14"/>
        <v>1</v>
      </c>
      <c r="W8" s="1059" t="str">
        <f t="shared" si="6"/>
        <v>MMO</v>
      </c>
      <c r="X8" s="1059">
        <f>+COUNTIFS(Tracking!AC:AC,Staffing!$W8,Tracking!$D:$D,Staffing!$X$1)</f>
        <v>8</v>
      </c>
      <c r="Y8" s="1059">
        <f>+COUNTIFS(Tracking!AD:AD,Staffing!$W8,Tracking!$D:$D,Staffing!$X$1)</f>
        <v>9</v>
      </c>
      <c r="Z8" s="1059">
        <f>+COUNTIFS(Tracking!AE:AE,Staffing!$W8,Tracking!$D:$D,Staffing!$X$1)</f>
        <v>0</v>
      </c>
      <c r="AA8" s="1059">
        <f>+COUNTIFS(Tracking!AF:AF,Staffing!$W8,Tracking!$D:$D,Staffing!$X$1)</f>
        <v>1</v>
      </c>
      <c r="AB8" s="1060">
        <f t="shared" si="15"/>
        <v>18</v>
      </c>
    </row>
    <row r="9" spans="2:28" x14ac:dyDescent="0.35">
      <c r="B9" s="1059" t="s">
        <v>79</v>
      </c>
      <c r="C9" s="1059">
        <f t="shared" si="8"/>
        <v>0</v>
      </c>
      <c r="D9" s="1059">
        <f t="shared" si="9"/>
        <v>0</v>
      </c>
      <c r="E9" s="1059">
        <f t="shared" si="10"/>
        <v>2</v>
      </c>
      <c r="F9" s="1059">
        <f t="shared" si="11"/>
        <v>0</v>
      </c>
      <c r="G9" s="1060">
        <f t="shared" si="12"/>
        <v>2</v>
      </c>
      <c r="I9" s="1059" t="str">
        <f t="shared" si="2"/>
        <v>PAD</v>
      </c>
      <c r="J9" s="1059">
        <f>+COUNTIFS(Tracking!AC:AC,Staffing!$I9,Tracking!$D:$D,Staffing!$J$1)</f>
        <v>0</v>
      </c>
      <c r="K9" s="1059">
        <f>+COUNTIFS(Tracking!AD:AD,Staffing!$I9,Tracking!$D:$D,Staffing!$J$1)</f>
        <v>0</v>
      </c>
      <c r="L9" s="1059">
        <f>+COUNTIFS(Tracking!AE:AE,Staffing!$I9,Tracking!$D:$D,Staffing!$J$1)</f>
        <v>1</v>
      </c>
      <c r="M9" s="1059">
        <f>+COUNTIFS(Tracking!AF:AF,Staffing!$I9,Tracking!$D:$D,Staffing!$J$1)</f>
        <v>0</v>
      </c>
      <c r="N9" s="1060">
        <f t="shared" si="13"/>
        <v>1</v>
      </c>
      <c r="P9" s="1059" t="str">
        <f t="shared" si="4"/>
        <v>PAD</v>
      </c>
      <c r="Q9" s="1059">
        <f>+COUNTIFS(Tracking!AC:AC,Staffing!$P9,Tracking!$D:$D,Staffing!$Q$1)</f>
        <v>0</v>
      </c>
      <c r="R9" s="1059">
        <f>+COUNTIFS(Tracking!AD:AD,Staffing!$P9,Tracking!$D:$D,Staffing!$Q$1)</f>
        <v>0</v>
      </c>
      <c r="S9" s="1059">
        <f>+COUNTIFS(Tracking!AE:AE,Staffing!$P9,Tracking!$D:$D,Staffing!$Q$1)</f>
        <v>1</v>
      </c>
      <c r="T9" s="1059">
        <f>+COUNTIFS(Tracking!AF:AF,Staffing!$P9,Tracking!$D:$D,Staffing!$Q$1)</f>
        <v>0</v>
      </c>
      <c r="U9" s="1060">
        <f t="shared" si="14"/>
        <v>1</v>
      </c>
      <c r="W9" s="1059" t="str">
        <f t="shared" si="6"/>
        <v>PAD</v>
      </c>
      <c r="X9" s="1059">
        <f>+COUNTIFS(Tracking!AC:AC,Staffing!$W9,Tracking!$D:$D,Staffing!$X$1)</f>
        <v>0</v>
      </c>
      <c r="Y9" s="1059">
        <f>+COUNTIFS(Tracking!AD:AD,Staffing!$W9,Tracking!$D:$D,Staffing!$X$1)</f>
        <v>0</v>
      </c>
      <c r="Z9" s="1059">
        <f>+COUNTIFS(Tracking!AE:AE,Staffing!$W9,Tracking!$D:$D,Staffing!$X$1)</f>
        <v>13</v>
      </c>
      <c r="AA9" s="1059">
        <f>+COUNTIFS(Tracking!AF:AF,Staffing!$W9,Tracking!$D:$D,Staffing!$X$1)</f>
        <v>5</v>
      </c>
      <c r="AB9" s="1060">
        <f t="shared" si="15"/>
        <v>18</v>
      </c>
    </row>
    <row r="10" spans="2:28" x14ac:dyDescent="0.35">
      <c r="B10" s="1059" t="s">
        <v>86</v>
      </c>
      <c r="C10" s="1059">
        <f t="shared" si="8"/>
        <v>0</v>
      </c>
      <c r="D10" s="1059">
        <f t="shared" si="9"/>
        <v>0</v>
      </c>
      <c r="E10" s="1059">
        <f t="shared" si="10"/>
        <v>4</v>
      </c>
      <c r="F10" s="1059">
        <f t="shared" si="11"/>
        <v>0</v>
      </c>
      <c r="G10" s="1060">
        <f t="shared" si="12"/>
        <v>4</v>
      </c>
      <c r="I10" s="1059" t="str">
        <f t="shared" si="2"/>
        <v>RIM</v>
      </c>
      <c r="J10" s="1059">
        <f>+COUNTIFS(Tracking!AC:AC,Staffing!$I10,Tracking!$D:$D,Staffing!$J$1)</f>
        <v>0</v>
      </c>
      <c r="K10" s="1059">
        <f>+COUNTIFS(Tracking!AD:AD,Staffing!$I10,Tracking!$D:$D,Staffing!$J$1)</f>
        <v>0</v>
      </c>
      <c r="L10" s="1059">
        <f>+COUNTIFS(Tracking!AE:AE,Staffing!$I10,Tracking!$D:$D,Staffing!$J$1)</f>
        <v>2</v>
      </c>
      <c r="M10" s="1059">
        <f>+COUNTIFS(Tracking!AF:AF,Staffing!$I10,Tracking!$D:$D,Staffing!$J$1)</f>
        <v>0</v>
      </c>
      <c r="N10" s="1060">
        <f t="shared" si="13"/>
        <v>2</v>
      </c>
      <c r="P10" s="1059" t="str">
        <f t="shared" si="4"/>
        <v>RIM</v>
      </c>
      <c r="Q10" s="1059">
        <f>+COUNTIFS(Tracking!AC:AC,Staffing!$P10,Tracking!$D:$D,Staffing!$Q$1)</f>
        <v>0</v>
      </c>
      <c r="R10" s="1059">
        <f>+COUNTIFS(Tracking!AD:AD,Staffing!$P10,Tracking!$D:$D,Staffing!$Q$1)</f>
        <v>0</v>
      </c>
      <c r="S10" s="1059">
        <f>+COUNTIFS(Tracking!AE:AE,Staffing!$P10,Tracking!$D:$D,Staffing!$Q$1)</f>
        <v>2</v>
      </c>
      <c r="T10" s="1059">
        <f>+COUNTIFS(Tracking!AF:AF,Staffing!$P10,Tracking!$D:$D,Staffing!$Q$1)</f>
        <v>0</v>
      </c>
      <c r="U10" s="1060">
        <f t="shared" si="14"/>
        <v>2</v>
      </c>
      <c r="W10" s="1059" t="str">
        <f t="shared" si="6"/>
        <v>RIM</v>
      </c>
      <c r="X10" s="1059">
        <f>+COUNTIFS(Tracking!AC:AC,Staffing!$W10,Tracking!$D:$D,Staffing!$X$1)</f>
        <v>8</v>
      </c>
      <c r="Y10" s="1059">
        <f>+COUNTIFS(Tracking!AD:AD,Staffing!$W10,Tracking!$D:$D,Staffing!$X$1)</f>
        <v>0</v>
      </c>
      <c r="Z10" s="1059">
        <f>+COUNTIFS(Tracking!AE:AE,Staffing!$W10,Tracking!$D:$D,Staffing!$X$1)</f>
        <v>32</v>
      </c>
      <c r="AA10" s="1059">
        <f>+COUNTIFS(Tracking!AF:AF,Staffing!$W10,Tracking!$D:$D,Staffing!$X$1)</f>
        <v>0</v>
      </c>
      <c r="AB10" s="1060">
        <f t="shared" si="15"/>
        <v>40</v>
      </c>
    </row>
    <row r="11" spans="2:28" x14ac:dyDescent="0.35">
      <c r="B11" s="1059" t="s">
        <v>3458</v>
      </c>
      <c r="C11" s="1059">
        <f t="shared" si="8"/>
        <v>0</v>
      </c>
      <c r="D11" s="1059">
        <f t="shared" si="9"/>
        <v>0</v>
      </c>
      <c r="E11" s="1059">
        <f t="shared" si="10"/>
        <v>0</v>
      </c>
      <c r="F11" s="1059">
        <f t="shared" si="11"/>
        <v>1</v>
      </c>
      <c r="G11" s="1060">
        <f t="shared" si="12"/>
        <v>1</v>
      </c>
      <c r="I11" s="1059" t="str">
        <f t="shared" si="2"/>
        <v>SEB</v>
      </c>
      <c r="J11" s="1059">
        <f>+COUNTIFS(Tracking!AC:AC,Staffing!$I11,Tracking!$D:$D,Staffing!$J$1)</f>
        <v>0</v>
      </c>
      <c r="K11" s="1059">
        <f>+COUNTIFS(Tracking!AD:AD,Staffing!$I11,Tracking!$D:$D,Staffing!$J$1)</f>
        <v>0</v>
      </c>
      <c r="L11" s="1059">
        <f>+COUNTIFS(Tracking!AE:AE,Staffing!$I11,Tracking!$D:$D,Staffing!$J$1)</f>
        <v>0</v>
      </c>
      <c r="M11" s="1059">
        <f>+COUNTIFS(Tracking!AF:AF,Staffing!$I11,Tracking!$D:$D,Staffing!$J$1)</f>
        <v>0</v>
      </c>
      <c r="N11" s="1060">
        <f t="shared" si="13"/>
        <v>0</v>
      </c>
      <c r="P11" s="1059" t="str">
        <f t="shared" si="4"/>
        <v>SEB</v>
      </c>
      <c r="Q11" s="1059">
        <f>+COUNTIFS(Tracking!AC:AC,Staffing!$P11,Tracking!$D:$D,Staffing!$Q$1)</f>
        <v>0</v>
      </c>
      <c r="R11" s="1059">
        <f>+COUNTIFS(Tracking!AD:AD,Staffing!$P11,Tracking!$D:$D,Staffing!$Q$1)</f>
        <v>0</v>
      </c>
      <c r="S11" s="1059">
        <f>+COUNTIFS(Tracking!AE:AE,Staffing!$P11,Tracking!$D:$D,Staffing!$Q$1)</f>
        <v>0</v>
      </c>
      <c r="T11" s="1059">
        <f>+COUNTIFS(Tracking!AF:AF,Staffing!$P11,Tracking!$D:$D,Staffing!$Q$1)</f>
        <v>1</v>
      </c>
      <c r="U11" s="1060">
        <f t="shared" si="14"/>
        <v>1</v>
      </c>
      <c r="W11" s="1059" t="str">
        <f t="shared" si="6"/>
        <v>SEB</v>
      </c>
      <c r="X11" s="1059">
        <f>+COUNTIFS(Tracking!AC:AC,Staffing!$W11,Tracking!$D:$D,Staffing!$X$1)</f>
        <v>0</v>
      </c>
      <c r="Y11" s="1059">
        <f>+COUNTIFS(Tracking!AD:AD,Staffing!$W11,Tracking!$D:$D,Staffing!$X$1)</f>
        <v>0</v>
      </c>
      <c r="Z11" s="1059">
        <f>+COUNTIFS(Tracking!AE:AE,Staffing!$W11,Tracking!$D:$D,Staffing!$X$1)</f>
        <v>0</v>
      </c>
      <c r="AA11" s="1059">
        <f>+COUNTIFS(Tracking!AF:AF,Staffing!$W11,Tracking!$D:$D,Staffing!$X$1)</f>
        <v>1</v>
      </c>
      <c r="AB11" s="1060">
        <f t="shared" si="15"/>
        <v>1</v>
      </c>
    </row>
    <row r="12" spans="2:28" s="1056" customFormat="1" x14ac:dyDescent="0.35">
      <c r="B12" s="1060" t="s">
        <v>4683</v>
      </c>
      <c r="C12" s="1060">
        <f>+SUM(C3:C11)</f>
        <v>1</v>
      </c>
      <c r="D12" s="1060">
        <f t="shared" ref="D12:F12" si="16">+SUM(D3:D11)</f>
        <v>0</v>
      </c>
      <c r="E12" s="1060">
        <f t="shared" si="16"/>
        <v>12</v>
      </c>
      <c r="F12" s="1060">
        <f t="shared" si="16"/>
        <v>9</v>
      </c>
      <c r="I12" s="1060" t="s">
        <v>4683</v>
      </c>
      <c r="J12" s="1060">
        <f>+SUM(J3:J11)</f>
        <v>1</v>
      </c>
      <c r="K12" s="1060">
        <f t="shared" ref="K12" si="17">+SUM(K3:K11)</f>
        <v>0</v>
      </c>
      <c r="L12" s="1060">
        <f t="shared" ref="L12" si="18">+SUM(L3:L11)</f>
        <v>7</v>
      </c>
      <c r="M12" s="1060">
        <f t="shared" ref="M12" si="19">+SUM(M3:M11)</f>
        <v>7</v>
      </c>
      <c r="P12" s="1060" t="s">
        <v>4683</v>
      </c>
      <c r="Q12" s="1060">
        <f>+SUM(Q3:Q11)</f>
        <v>0</v>
      </c>
      <c r="R12" s="1060">
        <f t="shared" ref="R12" si="20">+SUM(R3:R11)</f>
        <v>0</v>
      </c>
      <c r="S12" s="1060">
        <f t="shared" ref="S12" si="21">+SUM(S3:S11)</f>
        <v>5</v>
      </c>
      <c r="T12" s="1060">
        <f t="shared" ref="T12" si="22">+SUM(T3:T11)</f>
        <v>2</v>
      </c>
      <c r="W12" s="1060" t="s">
        <v>4683</v>
      </c>
      <c r="X12" s="1060">
        <f>+SUM(X3:X11)</f>
        <v>18</v>
      </c>
      <c r="Y12" s="1060">
        <f t="shared" ref="Y12" si="23">+SUM(Y3:Y11)</f>
        <v>9</v>
      </c>
      <c r="Z12" s="1060">
        <f t="shared" ref="Z12" si="24">+SUM(Z3:Z11)</f>
        <v>88</v>
      </c>
      <c r="AA12" s="1060">
        <f t="shared" ref="AA12" si="25">+SUM(AA3:AA11)</f>
        <v>22</v>
      </c>
    </row>
    <row r="73" spans="2:44" x14ac:dyDescent="0.35">
      <c r="B73" s="1055" t="s">
        <v>4684</v>
      </c>
      <c r="C73" s="1055" t="s">
        <v>4684</v>
      </c>
      <c r="D73" s="1055" t="s">
        <v>4684</v>
      </c>
      <c r="E73" s="1055" t="s">
        <v>4684</v>
      </c>
      <c r="F73" s="1055" t="s">
        <v>4684</v>
      </c>
      <c r="G73" s="1055" t="s">
        <v>4684</v>
      </c>
      <c r="H73" s="1055" t="s">
        <v>4684</v>
      </c>
      <c r="I73" s="1055" t="s">
        <v>4684</v>
      </c>
      <c r="J73" s="1055" t="s">
        <v>4684</v>
      </c>
      <c r="K73" s="1055" t="s">
        <v>4684</v>
      </c>
      <c r="L73" s="1055" t="s">
        <v>4684</v>
      </c>
      <c r="M73" s="1055" t="s">
        <v>4684</v>
      </c>
      <c r="N73" s="1055" t="s">
        <v>4684</v>
      </c>
      <c r="O73" s="1055" t="s">
        <v>4684</v>
      </c>
      <c r="P73" s="1055" t="s">
        <v>4684</v>
      </c>
      <c r="Q73" s="1055" t="s">
        <v>4684</v>
      </c>
      <c r="R73" s="1055" t="s">
        <v>4684</v>
      </c>
      <c r="S73" s="1055" t="s">
        <v>4684</v>
      </c>
      <c r="T73" s="1055" t="s">
        <v>4684</v>
      </c>
      <c r="U73" s="1055" t="s">
        <v>4684</v>
      </c>
      <c r="V73" s="1055" t="s">
        <v>4684</v>
      </c>
      <c r="W73" s="1055" t="s">
        <v>4684</v>
      </c>
      <c r="X73" s="1055" t="s">
        <v>4684</v>
      </c>
      <c r="Y73" s="1055" t="s">
        <v>4684</v>
      </c>
      <c r="Z73" s="1055" t="s">
        <v>4684</v>
      </c>
      <c r="AA73" s="1055" t="s">
        <v>4684</v>
      </c>
      <c r="AB73" s="1055" t="s">
        <v>4684</v>
      </c>
      <c r="AC73" s="1055" t="s">
        <v>4684</v>
      </c>
      <c r="AD73" s="1055" t="s">
        <v>4684</v>
      </c>
      <c r="AE73" s="1055" t="s">
        <v>4684</v>
      </c>
      <c r="AF73" s="1055" t="s">
        <v>4684</v>
      </c>
      <c r="AG73" s="1055" t="s">
        <v>4684</v>
      </c>
      <c r="AH73" s="1055" t="s">
        <v>4684</v>
      </c>
      <c r="AI73" s="1055" t="s">
        <v>4684</v>
      </c>
      <c r="AJ73" s="1055" t="s">
        <v>4684</v>
      </c>
      <c r="AK73" s="1055" t="s">
        <v>4684</v>
      </c>
      <c r="AL73" s="1055" t="s">
        <v>4684</v>
      </c>
      <c r="AM73" s="1055" t="s">
        <v>4684</v>
      </c>
      <c r="AN73" s="1055" t="s">
        <v>4684</v>
      </c>
      <c r="AO73" s="1055" t="s">
        <v>4684</v>
      </c>
      <c r="AP73" s="1055" t="s">
        <v>4684</v>
      </c>
      <c r="AQ73" s="1055" t="s">
        <v>4684</v>
      </c>
      <c r="AR73" s="1055" t="s">
        <v>4684</v>
      </c>
    </row>
    <row r="74" spans="2:44" hidden="1" outlineLevel="1" x14ac:dyDescent="0.35"/>
    <row r="75" spans="2:44" hidden="1" outlineLevel="1" x14ac:dyDescent="0.35"/>
    <row r="76" spans="2:44" hidden="1" outlineLevel="1" x14ac:dyDescent="0.35"/>
    <row r="77" spans="2:44" hidden="1" outlineLevel="1" x14ac:dyDescent="0.35"/>
    <row r="78" spans="2:44" hidden="1" outlineLevel="1" x14ac:dyDescent="0.35"/>
    <row r="79" spans="2:44" hidden="1" outlineLevel="1" x14ac:dyDescent="0.35"/>
    <row r="80" spans="2:44" hidden="1" outlineLevel="1" x14ac:dyDescent="0.35"/>
    <row r="81" hidden="1" outlineLevel="1" x14ac:dyDescent="0.35"/>
    <row r="82" hidden="1" outlineLevel="1" x14ac:dyDescent="0.35"/>
    <row r="83" hidden="1" outlineLevel="1" x14ac:dyDescent="0.35"/>
    <row r="84" hidden="1" outlineLevel="1" x14ac:dyDescent="0.35"/>
    <row r="85" hidden="1" outlineLevel="1" x14ac:dyDescent="0.35"/>
    <row r="86" hidden="1" outlineLevel="1" x14ac:dyDescent="0.35"/>
    <row r="87" hidden="1" outlineLevel="1" x14ac:dyDescent="0.35"/>
    <row r="88" hidden="1" outlineLevel="1" x14ac:dyDescent="0.35"/>
    <row r="89" hidden="1" outlineLevel="1" x14ac:dyDescent="0.35"/>
    <row r="90" hidden="1" outlineLevel="1" x14ac:dyDescent="0.35"/>
    <row r="91" hidden="1" outlineLevel="1" x14ac:dyDescent="0.35"/>
    <row r="92" hidden="1" outlineLevel="1" x14ac:dyDescent="0.35"/>
    <row r="93" hidden="1" outlineLevel="1" x14ac:dyDescent="0.35"/>
    <row r="94" hidden="1" outlineLevel="1" x14ac:dyDescent="0.35"/>
    <row r="95" hidden="1" outlineLevel="1" x14ac:dyDescent="0.35"/>
    <row r="96" hidden="1" outlineLevel="1" x14ac:dyDescent="0.35"/>
    <row r="97" spans="2:28" hidden="1" outlineLevel="1" x14ac:dyDescent="0.35"/>
    <row r="98" spans="2:28" hidden="1" outlineLevel="1" x14ac:dyDescent="0.35"/>
    <row r="99" spans="2:28" hidden="1" outlineLevel="1" x14ac:dyDescent="0.35">
      <c r="B99" s="1059" t="s">
        <v>78</v>
      </c>
      <c r="C99" s="1059">
        <f t="shared" ref="C99:F102" si="26">+J99+Q99</f>
        <v>7</v>
      </c>
      <c r="D99" s="1059">
        <f t="shared" si="26"/>
        <v>7</v>
      </c>
      <c r="E99" s="1059">
        <f t="shared" si="26"/>
        <v>0</v>
      </c>
      <c r="F99" s="1059">
        <f t="shared" si="26"/>
        <v>0</v>
      </c>
      <c r="G99" s="1060">
        <f>+SUM(D99:F99)</f>
        <v>7</v>
      </c>
      <c r="I99" s="1059" t="str">
        <f>+$B99</f>
        <v>ASC</v>
      </c>
      <c r="J99" s="1059">
        <f>+COUNTIFS(Tracking!AC:AC,Staffing!$I99,Tracking!$D:$D,Staffing!$J$1)</f>
        <v>2</v>
      </c>
      <c r="K99" s="1059">
        <f>+COUNTIFS(Tracking!AD:AD,Staffing!$I99,Tracking!$D:$D,Staffing!$J$1)</f>
        <v>2</v>
      </c>
      <c r="L99" s="1059">
        <f>+COUNTIFS(Tracking!AE:AE,Staffing!$I99,Tracking!$D:$D,Staffing!$J$1)</f>
        <v>0</v>
      </c>
      <c r="M99" s="1059">
        <f>+COUNTIFS(Tracking!AF:AF,Staffing!$I99,Tracking!$D:$D,Staffing!$J$1)</f>
        <v>0</v>
      </c>
      <c r="N99" s="1060">
        <f>+SUM(K99:M99)</f>
        <v>2</v>
      </c>
      <c r="P99" s="1059" t="str">
        <f>+$B99</f>
        <v>ASC</v>
      </c>
      <c r="Q99" s="1059">
        <f>+COUNTIFS(Tracking!AC:AC,Staffing!$P99,Tracking!$D:$D,Staffing!$Q$1)</f>
        <v>5</v>
      </c>
      <c r="R99" s="1059">
        <f>+COUNTIFS(Tracking!AD:AD,Staffing!$P99,Tracking!$D:$D,Staffing!$Q$1)</f>
        <v>5</v>
      </c>
      <c r="S99" s="1059">
        <f>+COUNTIFS(Tracking!AE:AE,Staffing!$P99,Tracking!$D:$D,Staffing!$Q$1)</f>
        <v>0</v>
      </c>
      <c r="T99" s="1059">
        <f>+COUNTIFS(Tracking!AF:AF,Staffing!$P99,Tracking!$D:$D,Staffing!$Q$1)</f>
        <v>0</v>
      </c>
      <c r="U99" s="1060">
        <f>+SUM(R99:T99)</f>
        <v>5</v>
      </c>
      <c r="W99" s="1059" t="str">
        <f>+$B99</f>
        <v>ASC</v>
      </c>
      <c r="X99" s="1059">
        <f>+COUNTIFS(Tracking!AC:AC,Staffing!$W99,Tracking!$D:$D,Staffing!$X$1)</f>
        <v>48</v>
      </c>
      <c r="Y99" s="1059">
        <f>+COUNTIFS(Tracking!AD:AD,Staffing!$W99,Tracking!$D:$D,Staffing!$X$1)</f>
        <v>50</v>
      </c>
      <c r="Z99" s="1059">
        <f>+COUNTIFS(Tracking!AE:AE,Staffing!$W99,Tracking!$D:$D,Staffing!$X$1)</f>
        <v>0</v>
      </c>
      <c r="AA99" s="1059">
        <f>+COUNTIFS(Tracking!AF:AF,Staffing!$W99,Tracking!$D:$D,Staffing!$X$1)</f>
        <v>0</v>
      </c>
      <c r="AB99" s="1060">
        <f>+SUM(Y99:AA99)</f>
        <v>50</v>
      </c>
    </row>
    <row r="100" spans="2:28" hidden="1" outlineLevel="1" x14ac:dyDescent="0.35">
      <c r="B100" s="1059" t="s">
        <v>153</v>
      </c>
      <c r="C100" s="1059">
        <f t="shared" si="26"/>
        <v>7</v>
      </c>
      <c r="D100" s="1059">
        <f t="shared" si="26"/>
        <v>7</v>
      </c>
      <c r="E100" s="1059">
        <f t="shared" si="26"/>
        <v>0</v>
      </c>
      <c r="F100" s="1059">
        <f t="shared" si="26"/>
        <v>0</v>
      </c>
      <c r="G100" s="1060">
        <f>+SUM(D100:F100)</f>
        <v>7</v>
      </c>
      <c r="I100" s="1059" t="str">
        <f>+$B100</f>
        <v>FCA</v>
      </c>
      <c r="J100" s="1059">
        <f>+COUNTIFS(Tracking!AC:AC,Staffing!$I100,Tracking!$D:$D,Staffing!$J$1)</f>
        <v>2</v>
      </c>
      <c r="K100" s="1059">
        <f>+COUNTIFS(Tracking!AD:AD,Staffing!$I100,Tracking!$D:$D,Staffing!$J$1)</f>
        <v>2</v>
      </c>
      <c r="L100" s="1059">
        <f>+COUNTIFS(Tracking!AE:AE,Staffing!$I100,Tracking!$D:$D,Staffing!$J$1)</f>
        <v>0</v>
      </c>
      <c r="M100" s="1059">
        <f>+COUNTIFS(Tracking!AF:AF,Staffing!$I100,Tracking!$D:$D,Staffing!$J$1)</f>
        <v>0</v>
      </c>
      <c r="N100" s="1060">
        <f>+SUM(K100:M100)</f>
        <v>2</v>
      </c>
      <c r="P100" s="1059" t="str">
        <f>+$B100</f>
        <v>FCA</v>
      </c>
      <c r="Q100" s="1059">
        <f>+COUNTIFS(Tracking!AC:AC,Staffing!$P100,Tracking!$D:$D,Staffing!$Q$1)</f>
        <v>5</v>
      </c>
      <c r="R100" s="1059">
        <f>+COUNTIFS(Tracking!AD:AD,Staffing!$P100,Tracking!$D:$D,Staffing!$Q$1)</f>
        <v>5</v>
      </c>
      <c r="S100" s="1059">
        <f>+COUNTIFS(Tracking!AE:AE,Staffing!$P100,Tracking!$D:$D,Staffing!$Q$1)</f>
        <v>0</v>
      </c>
      <c r="T100" s="1059">
        <f>+COUNTIFS(Tracking!AF:AF,Staffing!$P100,Tracking!$D:$D,Staffing!$Q$1)</f>
        <v>0</v>
      </c>
      <c r="U100" s="1060">
        <f>+SUM(R100:T100)</f>
        <v>5</v>
      </c>
      <c r="W100" s="1059" t="str">
        <f>+$B100</f>
        <v>FCA</v>
      </c>
      <c r="X100" s="1059">
        <f>+COUNTIFS(Tracking!AC:AC,Staffing!$W100,Tracking!$D:$D,Staffing!$X$1)</f>
        <v>19</v>
      </c>
      <c r="Y100" s="1059">
        <f>+COUNTIFS(Tracking!AD:AD,Staffing!$W100,Tracking!$D:$D,Staffing!$X$1)</f>
        <v>20</v>
      </c>
      <c r="Z100" s="1059">
        <f>+COUNTIFS(Tracking!AE:AE,Staffing!$W100,Tracking!$D:$D,Staffing!$X$1)</f>
        <v>0</v>
      </c>
      <c r="AA100" s="1059">
        <f>+COUNTIFS(Tracking!AF:AF,Staffing!$W100,Tracking!$D:$D,Staffing!$X$1)</f>
        <v>0</v>
      </c>
      <c r="AB100" s="1060">
        <f>+SUM(Y100:AA100)</f>
        <v>20</v>
      </c>
    </row>
    <row r="101" spans="2:28" hidden="1" outlineLevel="1" x14ac:dyDescent="0.35">
      <c r="B101" s="1059" t="s">
        <v>61</v>
      </c>
      <c r="C101" s="1059">
        <f t="shared" si="26"/>
        <v>1</v>
      </c>
      <c r="D101" s="1059">
        <f t="shared" si="26"/>
        <v>2</v>
      </c>
      <c r="E101" s="1059">
        <f t="shared" si="26"/>
        <v>0</v>
      </c>
      <c r="F101" s="1059">
        <f t="shared" si="26"/>
        <v>0</v>
      </c>
      <c r="G101" s="1060">
        <f>+SUM(C101:F101)</f>
        <v>3</v>
      </c>
      <c r="I101" s="1059" t="str">
        <f>+$B101</f>
        <v>LOM</v>
      </c>
      <c r="J101" s="1059">
        <f>+COUNTIFS(Tracking!AC:AC,Staffing!$I101,Tracking!$D:$D,Staffing!$J$1)</f>
        <v>1</v>
      </c>
      <c r="K101" s="1059">
        <f>+COUNTIFS(Tracking!AD:AD,Staffing!$I101,Tracking!$D:$D,Staffing!$J$1)</f>
        <v>2</v>
      </c>
      <c r="L101" s="1059">
        <f>+COUNTIFS(Tracking!AE:AE,Staffing!$I101,Tracking!$D:$D,Staffing!$J$1)</f>
        <v>0</v>
      </c>
      <c r="M101" s="1059">
        <f>+COUNTIFS(Tracking!AF:AF,Staffing!$I101,Tracking!$D:$D,Staffing!$J$1)</f>
        <v>0</v>
      </c>
      <c r="N101" s="1060">
        <f>+SUM(J101:M101)</f>
        <v>3</v>
      </c>
      <c r="P101" s="1059" t="str">
        <f>+$B101</f>
        <v>LOM</v>
      </c>
      <c r="Q101" s="1059">
        <f>+COUNTIFS(Tracking!AC:AC,Staffing!$P101,Tracking!$D:$D,Staffing!$Q$1)</f>
        <v>0</v>
      </c>
      <c r="R101" s="1059">
        <f>+COUNTIFS(Tracking!AD:AD,Staffing!$P101,Tracking!$D:$D,Staffing!$Q$1)</f>
        <v>0</v>
      </c>
      <c r="S101" s="1059">
        <f>+COUNTIFS(Tracking!AE:AE,Staffing!$P101,Tracking!$D:$D,Staffing!$Q$1)</f>
        <v>0</v>
      </c>
      <c r="T101" s="1059">
        <f>+COUNTIFS(Tracking!AF:AF,Staffing!$P101,Tracking!$D:$D,Staffing!$Q$1)</f>
        <v>0</v>
      </c>
      <c r="U101" s="1060">
        <f>+SUM(Q101:T101)</f>
        <v>0</v>
      </c>
      <c r="W101" s="1059" t="str">
        <f>+$B101</f>
        <v>LOM</v>
      </c>
      <c r="X101" s="1059">
        <f>+COUNTIFS(Tracking!AC:AC,Staffing!$W101,Tracking!$D:$D,Staffing!$X$1)</f>
        <v>31</v>
      </c>
      <c r="Y101" s="1059">
        <f>+COUNTIFS(Tracking!AD:AD,Staffing!$W101,Tracking!$D:$D,Staffing!$X$1)</f>
        <v>34</v>
      </c>
      <c r="Z101" s="1059">
        <f>+COUNTIFS(Tracking!AE:AE,Staffing!$W101,Tracking!$D:$D,Staffing!$X$1)</f>
        <v>0</v>
      </c>
      <c r="AA101" s="1059">
        <f>+COUNTIFS(Tracking!AF:AF,Staffing!$W101,Tracking!$D:$D,Staffing!$X$1)</f>
        <v>0</v>
      </c>
      <c r="AB101" s="1060">
        <f>+SUM(X101:AA101)</f>
        <v>65</v>
      </c>
    </row>
    <row r="102" spans="2:28" hidden="1" outlineLevel="1" x14ac:dyDescent="0.35">
      <c r="B102" s="1059" t="s">
        <v>3598</v>
      </c>
      <c r="C102" s="1059">
        <f t="shared" si="26"/>
        <v>1</v>
      </c>
      <c r="D102" s="1059">
        <f t="shared" si="26"/>
        <v>1</v>
      </c>
      <c r="E102" s="1059">
        <f t="shared" si="26"/>
        <v>0</v>
      </c>
      <c r="F102" s="1059">
        <f t="shared" si="26"/>
        <v>0</v>
      </c>
      <c r="G102" s="1060">
        <f>+SUM(C102:F102)</f>
        <v>2</v>
      </c>
      <c r="I102" s="1059" t="str">
        <f>+$B102</f>
        <v>ROS</v>
      </c>
      <c r="J102" s="1059">
        <f>+COUNTIFS(Tracking!AC:AC,Staffing!$I102,Tracking!$D:$D,Staffing!$J$1)</f>
        <v>1</v>
      </c>
      <c r="K102" s="1059">
        <f>+COUNTIFS(Tracking!AD:AD,Staffing!$I102,Tracking!$D:$D,Staffing!$J$1)</f>
        <v>1</v>
      </c>
      <c r="L102" s="1059">
        <f>+COUNTIFS(Tracking!AE:AE,Staffing!$I102,Tracking!$D:$D,Staffing!$J$1)</f>
        <v>0</v>
      </c>
      <c r="M102" s="1059">
        <f>+COUNTIFS(Tracking!AF:AF,Staffing!$I102,Tracking!$D:$D,Staffing!$J$1)</f>
        <v>0</v>
      </c>
      <c r="N102" s="1060">
        <f>+SUM(J102:M102)</f>
        <v>2</v>
      </c>
      <c r="P102" s="1059" t="str">
        <f>+$B102</f>
        <v>ROS</v>
      </c>
      <c r="Q102" s="1059">
        <f>+COUNTIFS(Tracking!AC:AC,Staffing!$P102,Tracking!$D:$D,Staffing!$Q$1)</f>
        <v>0</v>
      </c>
      <c r="R102" s="1059">
        <f>+COUNTIFS(Tracking!AD:AD,Staffing!$P102,Tracking!$D:$D,Staffing!$Q$1)</f>
        <v>0</v>
      </c>
      <c r="S102" s="1059">
        <f>+COUNTIFS(Tracking!AE:AE,Staffing!$P102,Tracking!$D:$D,Staffing!$Q$1)</f>
        <v>0</v>
      </c>
      <c r="T102" s="1059">
        <f>+COUNTIFS(Tracking!AF:AF,Staffing!$P102,Tracking!$D:$D,Staffing!$Q$1)</f>
        <v>0</v>
      </c>
      <c r="U102" s="1060">
        <f>+SUM(Q102:T102)</f>
        <v>0</v>
      </c>
      <c r="W102" s="1059" t="str">
        <f>+$B102</f>
        <v>ROS</v>
      </c>
      <c r="X102" s="1059">
        <f>+COUNTIFS(Tracking!AC:AC,Staffing!$W102,Tracking!$D:$D,Staffing!$X$1)</f>
        <v>3</v>
      </c>
      <c r="Y102" s="1059">
        <f>+COUNTIFS(Tracking!AD:AD,Staffing!$W102,Tracking!$D:$D,Staffing!$X$1)</f>
        <v>3</v>
      </c>
      <c r="Z102" s="1059">
        <f>+COUNTIFS(Tracking!AE:AE,Staffing!$W102,Tracking!$D:$D,Staffing!$X$1)</f>
        <v>0</v>
      </c>
      <c r="AA102" s="1059">
        <f>+COUNTIFS(Tracking!AF:AF,Staffing!$W102,Tracking!$D:$D,Staffing!$X$1)</f>
        <v>0</v>
      </c>
      <c r="AB102" s="1060">
        <f>+SUM(X102:AA102)</f>
        <v>6</v>
      </c>
    </row>
    <row r="103" spans="2:28" hidden="1" outlineLevel="1" x14ac:dyDescent="0.35"/>
    <row r="104" spans="2:28" hidden="1" outlineLevel="1" x14ac:dyDescent="0.35"/>
    <row r="105" spans="2:28" hidden="1" outlineLevel="1" x14ac:dyDescent="0.35"/>
    <row r="106" spans="2:28" hidden="1" outlineLevel="1" x14ac:dyDescent="0.35"/>
    <row r="107" spans="2:28" hidden="1" outlineLevel="1" x14ac:dyDescent="0.35"/>
    <row r="108" spans="2:28" collapsed="1" x14ac:dyDescent="0.35"/>
  </sheetData>
  <conditionalFormatting sqref="G99:G100 G3:G4">
    <cfRule type="colorScale" priority="7234">
      <colorScale>
        <cfvo type="min"/>
        <cfvo type="max"/>
        <color rgb="FF63BE7B"/>
        <color rgb="FFFFEF9C"/>
      </colorScale>
    </cfRule>
  </conditionalFormatting>
  <conditionalFormatting sqref="G99:G102 G3:G11">
    <cfRule type="colorScale" priority="3">
      <colorScale>
        <cfvo type="min"/>
        <cfvo type="max"/>
        <color rgb="FFFCFCFF"/>
        <color rgb="FF63BE7B"/>
      </colorScale>
    </cfRule>
  </conditionalFormatting>
  <conditionalFormatting sqref="G101:G102 G5:G11">
    <cfRule type="colorScale" priority="7237">
      <colorScale>
        <cfvo type="min"/>
        <cfvo type="max"/>
        <color rgb="FF63BE7B"/>
        <color rgb="FFFFEF9C"/>
      </colorScale>
    </cfRule>
  </conditionalFormatting>
  <conditionalFormatting sqref="N4">
    <cfRule type="colorScale" priority="7235">
      <colorScale>
        <cfvo type="min"/>
        <cfvo type="max"/>
        <color rgb="FFFFEF9C"/>
        <color rgb="FF63BE7B"/>
      </colorScale>
    </cfRule>
  </conditionalFormatting>
  <conditionalFormatting sqref="N99:N100 N3">
    <cfRule type="colorScale" priority="7240">
      <colorScale>
        <cfvo type="min"/>
        <cfvo type="max"/>
        <color rgb="FFFFEF9C"/>
        <color rgb="FF63BE7B"/>
      </colorScale>
    </cfRule>
  </conditionalFormatting>
  <conditionalFormatting sqref="N99:N102 N3:N11">
    <cfRule type="colorScale" priority="2">
      <colorScale>
        <cfvo type="min"/>
        <cfvo type="max"/>
        <color rgb="FFFCFCFF"/>
        <color rgb="FF63BE7B"/>
      </colorScale>
    </cfRule>
  </conditionalFormatting>
  <conditionalFormatting sqref="N101:N102 N5:N11">
    <cfRule type="colorScale" priority="7238">
      <colorScale>
        <cfvo type="min"/>
        <cfvo type="max"/>
        <color rgb="FFFFEF9C"/>
        <color rgb="FF63BE7B"/>
      </colorScale>
    </cfRule>
  </conditionalFormatting>
  <conditionalFormatting sqref="U4">
    <cfRule type="colorScale" priority="7236">
      <colorScale>
        <cfvo type="min"/>
        <cfvo type="max"/>
        <color rgb="FFFFEF9C"/>
        <color rgb="FF63BE7B"/>
      </colorScale>
    </cfRule>
  </conditionalFormatting>
  <conditionalFormatting sqref="U99:U100 U3">
    <cfRule type="colorScale" priority="7243">
      <colorScale>
        <cfvo type="min"/>
        <cfvo type="max"/>
        <color rgb="FFFFEF9C"/>
        <color rgb="FF63BE7B"/>
      </colorScale>
    </cfRule>
  </conditionalFormatting>
  <conditionalFormatting sqref="U99:U102 U3:U11">
    <cfRule type="colorScale" priority="1">
      <colorScale>
        <cfvo type="min"/>
        <cfvo type="max"/>
        <color rgb="FFFCFCFF"/>
        <color rgb="FF63BE7B"/>
      </colorScale>
    </cfRule>
  </conditionalFormatting>
  <conditionalFormatting sqref="U101:U102 U5:U11">
    <cfRule type="colorScale" priority="7239">
      <colorScale>
        <cfvo type="min"/>
        <cfvo type="max"/>
        <color rgb="FFFFEF9C"/>
        <color rgb="FF63BE7B"/>
      </colorScale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9" scale="7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CD8DA71F9D56468E620734C00543AD" ma:contentTypeVersion="31" ma:contentTypeDescription="Creare un nuovo documento." ma:contentTypeScope="" ma:versionID="fb68adb4c7131286975e4b7c6bd747e7">
  <xsd:schema xmlns:xsd="http://www.w3.org/2001/XMLSchema" xmlns:xs="http://www.w3.org/2001/XMLSchema" xmlns:p="http://schemas.microsoft.com/office/2006/metadata/properties" xmlns:ns2="5824b314-9622-46aa-aa0f-573356d57e59" xmlns:ns3="6201234f-afc3-484f-86f6-28b28c1928d5" xmlns:ns4="85c57d27-76bb-4d16-ae93-f899899eda57" targetNamespace="http://schemas.microsoft.com/office/2006/metadata/properties" ma:root="true" ma:fieldsID="49f8a1f8d98c8816aa828e00acb57770" ns2:_="" ns3:_="" ns4:_="">
    <xsd:import namespace="5824b314-9622-46aa-aa0f-573356d57e59"/>
    <xsd:import namespace="6201234f-afc3-484f-86f6-28b28c1928d5"/>
    <xsd:import namespace="85c57d27-76bb-4d16-ae93-f899899ed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b314-9622-46aa-aa0f-573356d57e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description="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description="" ma:internalName="MediaServiceAutoTags" ma:readOnly="true">
      <xsd:simpleType>
        <xsd:restriction base="dms:Text"/>
      </xsd:simpleType>
    </xsd:element>
    <xsd:element name="MediaServiceOCR" ma:index="13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description="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0a362698-0940-4683-9bd0-6a817a60b3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1234f-afc3-484f-86f6-28b28c1928d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57d27-76bb-4d16-ae93-f899899eda5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53cb85a-8927-4744-872f-33b072ed4eaa}" ma:internalName="TaxCatchAll" ma:showField="CatchAllData" ma:web="85c57d27-76bb-4d16-ae93-f899899ed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57d27-76bb-4d16-ae93-f899899eda57" xsi:nil="true"/>
    <lcf76f155ced4ddcb4097134ff3c332f xmlns="5824b314-9622-46aa-aa0f-573356d57e59">
      <Terms xmlns="http://schemas.microsoft.com/office/infopath/2007/PartnerControls"/>
    </lcf76f155ced4ddcb4097134ff3c332f>
    <MediaServiceOCR xmlns="5824b314-9622-46aa-aa0f-573356d57e59" xsi:nil="true"/>
    <MediaServiceDateTaken xmlns="5824b314-9622-46aa-aa0f-573356d57e59" xsi:nil="true"/>
    <MediaServiceEventHashCode xmlns="5824b314-9622-46aa-aa0f-573356d57e59" xsi:nil="true"/>
    <SharedWithUsers xmlns="6201234f-afc3-484f-86f6-28b28c1928d5">
      <UserInfo>
        <DisplayName>INFO</DisplayName>
        <AccountId>103</AccountId>
        <AccountType/>
      </UserInfo>
    </SharedWithUsers>
    <MediaServiceLocation xmlns="5824b314-9622-46aa-aa0f-573356d57e59" xsi:nil="true"/>
    <MediaServiceAutoTags xmlns="5824b314-9622-46aa-aa0f-573356d57e59" xsi:nil="true"/>
    <MediaServiceMetadata xmlns="5824b314-9622-46aa-aa0f-573356d57e59" xsi:nil="true"/>
    <MediaServiceFastMetadata xmlns="5824b314-9622-46aa-aa0f-573356d57e59" xsi:nil="true"/>
    <SharedWithDetails xmlns="6201234f-afc3-484f-86f6-28b28c1928d5" xsi:nil="true"/>
    <MediaServiceAutoKeyPoints xmlns="5824b314-9622-46aa-aa0f-573356d57e59" xsi:nil="true"/>
    <MediaLengthInSeconds xmlns="5824b314-9622-46aa-aa0f-573356d57e59" xsi:nil="true"/>
    <MediaServiceGenerationTime xmlns="5824b314-9622-46aa-aa0f-573356d57e59" xsi:nil="true"/>
    <MediaServiceKeyPoints xmlns="5824b314-9622-46aa-aa0f-573356d57e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1D0EBE-DFF5-474D-BABF-6A657374C8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24b314-9622-46aa-aa0f-573356d57e59"/>
    <ds:schemaRef ds:uri="6201234f-afc3-484f-86f6-28b28c1928d5"/>
    <ds:schemaRef ds:uri="85c57d27-76bb-4d16-ae93-f899899ed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B87FA0-DC36-4658-9493-CD2D2201C643}">
  <ds:schemaRefs>
    <ds:schemaRef ds:uri="http://schemas.microsoft.com/office/2006/metadata/properties"/>
    <ds:schemaRef ds:uri="http://www.w3.org/2000/xmlns/"/>
    <ds:schemaRef ds:uri="85c57d27-76bb-4d16-ae93-f899899eda57"/>
    <ds:schemaRef ds:uri="http://www.w3.org/2001/XMLSchema-instance"/>
    <ds:schemaRef ds:uri="5824b314-9622-46aa-aa0f-573356d57e59"/>
    <ds:schemaRef ds:uri="http://schemas.microsoft.com/office/infopath/2007/PartnerControls"/>
    <ds:schemaRef ds:uri="6201234f-afc3-484f-86f6-28b28c1928d5"/>
  </ds:schemaRefs>
</ds:datastoreItem>
</file>

<file path=customXml/itemProps3.xml><?xml version="1.0" encoding="utf-8"?>
<ds:datastoreItem xmlns:ds="http://schemas.openxmlformats.org/officeDocument/2006/customXml" ds:itemID="{2716B2D5-8B7C-4274-9226-821EA93E52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8</vt:i4>
      </vt:variant>
    </vt:vector>
  </HeadingPairs>
  <TitlesOfParts>
    <vt:vector size="14" baseType="lpstr">
      <vt:lpstr>Tracking</vt:lpstr>
      <vt:lpstr>Int'l</vt:lpstr>
      <vt:lpstr>Fondi_PE</vt:lpstr>
      <vt:lpstr>Cold Call BETA</vt:lpstr>
      <vt:lpstr>Distribution Lists</vt:lpstr>
      <vt:lpstr>Staffing</vt:lpstr>
      <vt:lpstr>Fondi_PE!Area_stampa</vt:lpstr>
      <vt:lpstr>'Int''l'!Area_stampa</vt:lpstr>
      <vt:lpstr>Tracking!FFFF</vt:lpstr>
      <vt:lpstr>Tracking!Print</vt:lpstr>
      <vt:lpstr>Tracking!Print_Titles1</vt:lpstr>
      <vt:lpstr>Fondi_PE!Titoli_stampa</vt:lpstr>
      <vt:lpstr>'Int''l'!Titoli_stampa</vt:lpstr>
      <vt:lpstr>Tracking!Titoli_stampa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Scarsi</dc:creator>
  <cp:keywords/>
  <dc:description/>
  <cp:lastModifiedBy>B</cp:lastModifiedBy>
  <cp:revision/>
  <cp:lastPrinted>2024-11-15T14:36:05Z</cp:lastPrinted>
  <dcterms:created xsi:type="dcterms:W3CDTF">2021-03-21T20:21:13Z</dcterms:created>
  <dcterms:modified xsi:type="dcterms:W3CDTF">2025-01-07T18:53:03Z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0x010100EACD8DA71F9D56468E620734C00543AD</vt:lpwstr>
  </property>
  <property fmtid="{D5CDD505-2E9C-101B-9397-08002B2CF9AE}" pid="3" name="MediaServiceImageTags">
    <vt:lpwstr/>
  </property>
  <property fmtid="{D5CDD505-2E9C-101B-9397-08002B2CF9AE}" pid="4" name="Order">
    <vt:r8>3388100</vt:r8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</Properties>
</file>