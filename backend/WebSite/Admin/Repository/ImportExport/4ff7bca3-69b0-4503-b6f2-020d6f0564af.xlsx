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aScarsi\Desktop\"/>
    </mc:Choice>
  </mc:AlternateContent>
  <xr:revisionPtr revIDLastSave="0" documentId="13_ncr:1_{D4527124-3284-44AD-ADF8-6FE72D50EB7B}" xr6:coauthVersionLast="45" xr6:coauthVersionMax="47" xr10:uidLastSave="{00000000-0000-0000-0000-000000000000}"/>
  <bookViews>
    <workbookView xWindow="-120" yWindow="-120" windowWidth="29040" windowHeight="15840" xr2:uid="{FABF9C19-185D-40BB-A2F2-E631C2CFE983}"/>
  </bookViews>
  <sheets>
    <sheet name="Tracking" sheetId="1" r:id="rId1"/>
  </sheets>
  <externalReferences>
    <externalReference r:id="rId2"/>
  </externalReferences>
  <definedNames>
    <definedName name="_FilterDatabase" localSheetId="0" hidden="1">Tracking!$B$4:$BC$99</definedName>
    <definedName name="_xlnm._FilterDatabase" localSheetId="0" hidden="1">Tracking!$B$4:$BC$99</definedName>
    <definedName name="_FiltroDatabase2" localSheetId="0" hidden="1">Tracking!$A$25:$BC$103</definedName>
    <definedName name="FFFF" localSheetId="0">Tracking!$E:$E,Tracking!$3:$25</definedName>
    <definedName name="FOCUS" localSheetId="0">Tracking!#REF!</definedName>
    <definedName name="FOCUS">'[1]Orig Dash (OLD)'!#REF!</definedName>
    <definedName name="Print" localSheetId="0">Tracking!$E:$E,Tracking!$3:$25</definedName>
    <definedName name="Print_Titles1" localSheetId="0">Tracking!$E:$E,Tracking!$3:$25</definedName>
    <definedName name="_xlnm.Print_Titles" localSheetId="0">Tracking!$E:$E,Tracking!$3:$3</definedName>
  </definedNames>
  <calcPr calcId="191029" iterate="1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<sst xmlns="http://schemas.openxmlformats.org/spreadsheetml/2006/main" count="1839" uniqueCount="573">
  <si>
    <t>NON MODIFICARE CELLE CONTENTENTI FORMULE (ES. B,C,D)</t>
  </si>
  <si>
    <t>cls</t>
  </si>
  <si>
    <t>sgn</t>
  </si>
  <si>
    <t>wip</t>
  </si>
  <si>
    <t>hld</t>
  </si>
  <si>
    <t>abt</t>
  </si>
  <si>
    <t>RIP</t>
  </si>
  <si>
    <t>|</t>
  </si>
  <si>
    <t>Ordine</t>
  </si>
  <si>
    <t>#</t>
  </si>
  <si>
    <t>Status</t>
  </si>
  <si>
    <t>Nome</t>
  </si>
  <si>
    <t>Codename</t>
  </si>
  <si>
    <t>Provincia</t>
  </si>
  <si>
    <t>P.IVA</t>
  </si>
  <si>
    <t>ATECO 2007</t>
  </si>
  <si>
    <t>Settore</t>
  </si>
  <si>
    <t>Attività</t>
  </si>
  <si>
    <t>Riferimento cliente</t>
  </si>
  <si>
    <t>Azionista_1</t>
  </si>
  <si>
    <t>Azionista_2</t>
  </si>
  <si>
    <t>Presidente</t>
  </si>
  <si>
    <t>AD</t>
  </si>
  <si>
    <t>Pres.Col.Sind</t>
  </si>
  <si>
    <t>Cons</t>
  </si>
  <si>
    <t>Anno</t>
  </si>
  <si>
    <t>Sales</t>
  </si>
  <si>
    <t>Ebitda</t>
  </si>
  <si>
    <t>Ebitda(%)</t>
  </si>
  <si>
    <t>Ut. Netto</t>
  </si>
  <si>
    <t>IFN</t>
  </si>
  <si>
    <t>Fonte</t>
  </si>
  <si>
    <t>Segnalatore EXT</t>
  </si>
  <si>
    <t>Relazione @BCA</t>
  </si>
  <si>
    <t>In Charge @BCA</t>
  </si>
  <si>
    <t>Staff_1</t>
  </si>
  <si>
    <t>Staff_2</t>
  </si>
  <si>
    <t>Note</t>
  </si>
  <si>
    <t>Days since idea</t>
  </si>
  <si>
    <t>Tipologia di Incarico</t>
  </si>
  <si>
    <t>Progress</t>
  </si>
  <si>
    <t>Idea</t>
  </si>
  <si>
    <t>1° Contatto</t>
  </si>
  <si>
    <t>Re-call</t>
  </si>
  <si>
    <t>Contatto aperto</t>
  </si>
  <si>
    <t>Meet_1 / Call</t>
  </si>
  <si>
    <t>Meet_2</t>
  </si>
  <si>
    <t>Meet_3 (Pitch)</t>
  </si>
  <si>
    <t>Meet_5</t>
  </si>
  <si>
    <t>Signed</t>
  </si>
  <si>
    <t>On-hold</t>
  </si>
  <si>
    <t>Aborted</t>
  </si>
  <si>
    <t>Closed</t>
  </si>
  <si>
    <t>% @abor</t>
  </si>
  <si>
    <t>P&amp;B C.so Italia</t>
  </si>
  <si>
    <t xml:space="preserve"> </t>
  </si>
  <si>
    <t>Education</t>
  </si>
  <si>
    <t>Gestione di strutture scolastiche</t>
  </si>
  <si>
    <t>Odile Broglin</t>
  </si>
  <si>
    <t>Relazione</t>
  </si>
  <si>
    <t>LOM</t>
  </si>
  <si>
    <t>LUS</t>
  </si>
  <si>
    <t>Fee Sharing con Alessandro Piona</t>
  </si>
  <si>
    <t>Buy Side</t>
  </si>
  <si>
    <t>na</t>
  </si>
  <si>
    <t/>
  </si>
  <si>
    <t>Ala</t>
  </si>
  <si>
    <t>TO</t>
  </si>
  <si>
    <t>Aerospace</t>
  </si>
  <si>
    <t>Altro</t>
  </si>
  <si>
    <t>Bolaffi (Beyoncé - Minoranza)</t>
  </si>
  <si>
    <t>Beyonce</t>
  </si>
  <si>
    <t>10156770017</t>
  </si>
  <si>
    <t>Retail</t>
  </si>
  <si>
    <t>Commercio oro da investimento</t>
  </si>
  <si>
    <t>F. Bolaffi</t>
  </si>
  <si>
    <t>no</t>
  </si>
  <si>
    <t>ASC</t>
  </si>
  <si>
    <t>PAD</t>
  </si>
  <si>
    <t>Fra Diavolo (Pj Hell)</t>
  </si>
  <si>
    <t>Hell</t>
  </si>
  <si>
    <t>01217560015</t>
  </si>
  <si>
    <t>Food</t>
  </si>
  <si>
    <t>Catena di ristoranti pizzeria</t>
  </si>
  <si>
    <t>Mauro D'errico</t>
  </si>
  <si>
    <t>RIM</t>
  </si>
  <si>
    <t>Sell Side</t>
  </si>
  <si>
    <t>Bolaffi (Pj Mango)</t>
  </si>
  <si>
    <t>Mango</t>
  </si>
  <si>
    <t>P&amp;B Melabimbi</t>
  </si>
  <si>
    <t>Francia</t>
  </si>
  <si>
    <t>P&amp;B Ristori</t>
  </si>
  <si>
    <t>Pezzutti Group (Valutazione)</t>
  </si>
  <si>
    <t>PN</t>
  </si>
  <si>
    <t>00300430931</t>
  </si>
  <si>
    <t>Plastic</t>
  </si>
  <si>
    <t>Stampaggio materie plastiche a iniezione</t>
  </si>
  <si>
    <t>Fabio Messinese</t>
  </si>
  <si>
    <t>Segnalatore</t>
  </si>
  <si>
    <t>Neri Andrea</t>
  </si>
  <si>
    <t>Valutazione</t>
  </si>
  <si>
    <t>SoBeSport</t>
  </si>
  <si>
    <t>MI</t>
  </si>
  <si>
    <t>08430980964</t>
  </si>
  <si>
    <t>Other services</t>
  </si>
  <si>
    <t>Comunicazione e marketing sportivo per professionisti</t>
  </si>
  <si>
    <t>Gianluca Voulaz</t>
  </si>
  <si>
    <t>Rossi Navi (Valutazione)</t>
  </si>
  <si>
    <t>LU</t>
  </si>
  <si>
    <t>01431670460</t>
  </si>
  <si>
    <t>Industrial</t>
  </si>
  <si>
    <t>Costruzione di navi e imbarcazioni</t>
  </si>
  <si>
    <t>Paride Rossi</t>
  </si>
  <si>
    <t>Claudio Rossi</t>
  </si>
  <si>
    <t>P&amp;B Vispa Teresa</t>
  </si>
  <si>
    <t>P&amp;B Canadian Island</t>
  </si>
  <si>
    <t>Pladway S.r.l.</t>
  </si>
  <si>
    <t>10251710967</t>
  </si>
  <si>
    <t>Tech</t>
  </si>
  <si>
    <t>Piattaforma di DOOH</t>
  </si>
  <si>
    <t>Luca Scelsa</t>
  </si>
  <si>
    <t>Intro Fee 10%</t>
  </si>
  <si>
    <t>Becoming Education (buy OIS)</t>
  </si>
  <si>
    <t>Nido</t>
  </si>
  <si>
    <t>11603690964</t>
  </si>
  <si>
    <t>Rossi Navi (M&amp;A)</t>
  </si>
  <si>
    <t>Penta</t>
  </si>
  <si>
    <t>GID</t>
  </si>
  <si>
    <t>Seatram (Valutazione)</t>
  </si>
  <si>
    <t>GE</t>
  </si>
  <si>
    <t>02806090102</t>
  </si>
  <si>
    <t>Logistics</t>
  </si>
  <si>
    <t xml:space="preserve">Freight Forwarding </t>
  </si>
  <si>
    <t>L. Bruzzo</t>
  </si>
  <si>
    <t>English Gate School (sell side)</t>
  </si>
  <si>
    <t>Idia</t>
  </si>
  <si>
    <t>CO</t>
  </si>
  <si>
    <t>07055650969</t>
  </si>
  <si>
    <t xml:space="preserve">Klodia Gaudino </t>
  </si>
  <si>
    <t>Cold Call</t>
  </si>
  <si>
    <t>ISL Nardi</t>
  </si>
  <si>
    <t>Edvige</t>
  </si>
  <si>
    <t>Spedizioni internazionali via nave</t>
  </si>
  <si>
    <t>si</t>
  </si>
  <si>
    <t>Ferrari - Contratto di Sviluppo (CdS)</t>
  </si>
  <si>
    <t>e-Building</t>
  </si>
  <si>
    <t>MO</t>
  </si>
  <si>
    <t>00159560366</t>
  </si>
  <si>
    <t>Automotive</t>
  </si>
  <si>
    <t>Produzione auto sportive</t>
  </si>
  <si>
    <t>Alessandro Tedesco</t>
  </si>
  <si>
    <t>Aimo + Consulman</t>
  </si>
  <si>
    <t>FCA</t>
  </si>
  <si>
    <t>MMO</t>
  </si>
  <si>
    <t>GSE</t>
  </si>
  <si>
    <t>Ferrari - CdS - Management &amp; Reporting</t>
  </si>
  <si>
    <t>Haier/Candy - Contratto di Sviluppo (CdS)</t>
  </si>
  <si>
    <t>Digit+Sost</t>
  </si>
  <si>
    <t>MB</t>
  </si>
  <si>
    <t>00786860965</t>
  </si>
  <si>
    <t>Produzione elettrodomestici</t>
  </si>
  <si>
    <t>Daniele Frigerio</t>
  </si>
  <si>
    <t>Consulman</t>
  </si>
  <si>
    <t>Maschio Gaspardo - Simest</t>
  </si>
  <si>
    <t>Internaz.</t>
  </si>
  <si>
    <t>PD</t>
  </si>
  <si>
    <t>03272800289</t>
  </si>
  <si>
    <t>Produzione attrezzature agricole</t>
  </si>
  <si>
    <t>Pierantonio Prevarin</t>
  </si>
  <si>
    <t>Mise</t>
  </si>
  <si>
    <t>TV</t>
  </si>
  <si>
    <t>VV</t>
  </si>
  <si>
    <t>Food: Spirits</t>
  </si>
  <si>
    <t>Distilleria - Amaro del Capo</t>
  </si>
  <si>
    <t>Fam. Caffo</t>
  </si>
  <si>
    <t>sì</t>
  </si>
  <si>
    <t>YIES School</t>
  </si>
  <si>
    <t>Cedar</t>
  </si>
  <si>
    <t>09365500967</t>
  </si>
  <si>
    <t>Angela Paladino</t>
  </si>
  <si>
    <t>00767700156</t>
  </si>
  <si>
    <t>Eurocert SpA</t>
  </si>
  <si>
    <t>Assure</t>
  </si>
  <si>
    <t>BO</t>
  </si>
  <si>
    <t>Servizi Certificazione</t>
  </si>
  <si>
    <t>Azienda di certificazione tecnica di impianti civili di vario genere</t>
  </si>
  <si>
    <t>Andrea Ballandi</t>
  </si>
  <si>
    <t>Andrea Lenzi</t>
  </si>
  <si>
    <t>International School Brescia (sell side)</t>
  </si>
  <si>
    <t>BS</t>
  </si>
  <si>
    <t>03915470987</t>
  </si>
  <si>
    <t>Scuola internazionale k-12</t>
  </si>
  <si>
    <t>Omar Bonomelli</t>
  </si>
  <si>
    <t>F.A.S.T.</t>
  </si>
  <si>
    <t>Race</t>
  </si>
  <si>
    <t>RA</t>
  </si>
  <si>
    <t>01120890395</t>
  </si>
  <si>
    <t>Agenzia di viaggi</t>
  </si>
  <si>
    <t>Massimo Bertozzi</t>
  </si>
  <si>
    <t>n.d.</t>
  </si>
  <si>
    <t>Azionista</t>
  </si>
  <si>
    <t>Maurizio Bertozzi</t>
  </si>
  <si>
    <t>Medical</t>
  </si>
  <si>
    <t>-</t>
  </si>
  <si>
    <t>Tampieri</t>
  </si>
  <si>
    <t>02075400396</t>
  </si>
  <si>
    <t xml:space="preserve">Produzione olio </t>
  </si>
  <si>
    <t>ASC/FCA</t>
  </si>
  <si>
    <t>Fischer &amp; Rechsteiner (buy)</t>
  </si>
  <si>
    <t>LC</t>
  </si>
  <si>
    <t>00210750139</t>
  </si>
  <si>
    <t>Riccardo Riva</t>
  </si>
  <si>
    <t>Ermanno Restano</t>
  </si>
  <si>
    <t>La Coque de Nacre</t>
  </si>
  <si>
    <t>Fashion</t>
  </si>
  <si>
    <t>Gioielli - designer e rivenditori</t>
  </si>
  <si>
    <t>GMAP</t>
  </si>
  <si>
    <t>Fra Diavolo (2° round)</t>
  </si>
  <si>
    <t>ASP</t>
  </si>
  <si>
    <t>VR</t>
  </si>
  <si>
    <t>RE</t>
  </si>
  <si>
    <t>Dispositivi elettronici e accessori smartphone</t>
  </si>
  <si>
    <t>FC</t>
  </si>
  <si>
    <t>Cold call</t>
  </si>
  <si>
    <t>RM</t>
  </si>
  <si>
    <t>FI</t>
  </si>
  <si>
    <t>Myes School (sellside)</t>
  </si>
  <si>
    <t>07096960484</t>
  </si>
  <si>
    <t>Corsi di lingua</t>
  </si>
  <si>
    <t>CN</t>
  </si>
  <si>
    <t>Pharma</t>
  </si>
  <si>
    <t>Search Fund</t>
  </si>
  <si>
    <t>Gefran</t>
  </si>
  <si>
    <t>03032420170</t>
  </si>
  <si>
    <t>Sensori</t>
  </si>
  <si>
    <t>Fam. Franceschetti</t>
  </si>
  <si>
    <t>Piccolo Daniele</t>
  </si>
  <si>
    <t>BI</t>
  </si>
  <si>
    <t>Chemicals</t>
  </si>
  <si>
    <t>00166260026</t>
  </si>
  <si>
    <t>Industrial - Automotive</t>
  </si>
  <si>
    <t>Finanziamento</t>
  </si>
  <si>
    <t>PI</t>
  </si>
  <si>
    <t>CZ</t>
  </si>
  <si>
    <t>Fundraising</t>
  </si>
  <si>
    <t>SBS</t>
  </si>
  <si>
    <t>Lake</t>
  </si>
  <si>
    <t>NO</t>
  </si>
  <si>
    <t>01888310032</t>
  </si>
  <si>
    <t>Mattia Marchesa</t>
  </si>
  <si>
    <t>Alessandro Storti</t>
  </si>
  <si>
    <t>28/11/22</t>
  </si>
  <si>
    <t>Edra SpA</t>
  </si>
  <si>
    <t>00670710508</t>
  </si>
  <si>
    <t>Design</t>
  </si>
  <si>
    <t>Arredamento di lusso</t>
  </si>
  <si>
    <t>Caffo Sebastiano</t>
  </si>
  <si>
    <t>Germania</t>
  </si>
  <si>
    <t>ABC</t>
  </si>
  <si>
    <t>Food: Agrifood</t>
  </si>
  <si>
    <t>Commercio all'ingrosso di frutta e ortaggi</t>
  </si>
  <si>
    <t>A. Pagni</t>
  </si>
  <si>
    <t>Alba International School (sell side)</t>
  </si>
  <si>
    <t>03700250040</t>
  </si>
  <si>
    <t>Scuola internazionale 6-14</t>
  </si>
  <si>
    <t>Silvana Carbone</t>
  </si>
  <si>
    <t>UK</t>
  </si>
  <si>
    <t>Controparte</t>
  </si>
  <si>
    <t>Food: Beverage</t>
  </si>
  <si>
    <t>BA</t>
  </si>
  <si>
    <t>00967100108</t>
  </si>
  <si>
    <t>Casa di cura</t>
  </si>
  <si>
    <t>AL</t>
  </si>
  <si>
    <t>Dario Micheli</t>
  </si>
  <si>
    <t>TS</t>
  </si>
  <si>
    <t>Private Equity</t>
  </si>
  <si>
    <t>Stefano Guazzaroni</t>
  </si>
  <si>
    <t>Healthcare</t>
  </si>
  <si>
    <t>US</t>
  </si>
  <si>
    <t>Mauro Radaelli</t>
  </si>
  <si>
    <t>INDUSTRIA DELLE BIBITE ANALCOLICHE, DELLE ACQUE MINERALI E DI ALTR ACQUE IN BOTTIGLIA</t>
  </si>
  <si>
    <t>Giovanni Vietti Michelina</t>
  </si>
  <si>
    <t>Anna Rina Vietti Michelina</t>
  </si>
  <si>
    <t>Antonio Pola</t>
  </si>
  <si>
    <t>Alberto Murialdo</t>
  </si>
  <si>
    <t>Industrie Chimiche Forestali</t>
  </si>
  <si>
    <t>Cargo Compass</t>
  </si>
  <si>
    <t>HVAC</t>
  </si>
  <si>
    <t>Metrika</t>
  </si>
  <si>
    <t>Italia</t>
  </si>
  <si>
    <t>Wise</t>
  </si>
  <si>
    <t>Belgio</t>
  </si>
  <si>
    <t>CH</t>
  </si>
  <si>
    <t>Formazione Giuridica</t>
  </si>
  <si>
    <t>03266791205</t>
  </si>
  <si>
    <t>Olanda</t>
  </si>
  <si>
    <t>Garda</t>
  </si>
  <si>
    <t>Alessandro Morando</t>
  </si>
  <si>
    <t>John Elkann</t>
  </si>
  <si>
    <t>Italwatt Srl (Iveco Defence Vehicles)</t>
  </si>
  <si>
    <t>08890680013</t>
  </si>
  <si>
    <t>Gruppo Iveco</t>
  </si>
  <si>
    <t>Distribution</t>
  </si>
  <si>
    <t>Agevolato</t>
  </si>
  <si>
    <t>ICI Caldaie SpA</t>
  </si>
  <si>
    <t>Produzione di caldaie a gas industriali o per condomini</t>
  </si>
  <si>
    <t>Emanuela Lucchini</t>
  </si>
  <si>
    <t>Contatti fiera Hydrogen</t>
  </si>
  <si>
    <t>PIAM Farmaceutici</t>
  </si>
  <si>
    <t>Produzione medicinali</t>
  </si>
  <si>
    <t>Augusto Bruschettini</t>
  </si>
  <si>
    <t>Fam. Bruschettini</t>
  </si>
  <si>
    <t>FONDO_PE</t>
  </si>
  <si>
    <t>Fondo_PE</t>
  </si>
  <si>
    <t>Generalista</t>
  </si>
  <si>
    <t>Fondo</t>
  </si>
  <si>
    <t>Buy Alto Partners</t>
  </si>
  <si>
    <t>MASMEC - S.P.A.</t>
  </si>
  <si>
    <t>Machinery</t>
  </si>
  <si>
    <t>Robotica</t>
  </si>
  <si>
    <t>01679130060</t>
  </si>
  <si>
    <t>Fiera</t>
  </si>
  <si>
    <t>C&amp;P Group</t>
  </si>
  <si>
    <t>Fabrizio Torchio</t>
  </si>
  <si>
    <t>Attività di pulizia specializzata per il settore alimentare e manutenzione impianti industriali</t>
  </si>
  <si>
    <t>Ettore Franco</t>
  </si>
  <si>
    <t>Progettazione e produzione di apparecchiature elettroniche per veicoli militari</t>
  </si>
  <si>
    <t>06955340010</t>
  </si>
  <si>
    <t>Giandomenico Demartini</t>
  </si>
  <si>
    <t>Giovanni Guglielmi</t>
  </si>
  <si>
    <t>Riccardo Catalano</t>
  </si>
  <si>
    <t>Dott. Vinci</t>
  </si>
  <si>
    <t>fam. Vinci</t>
  </si>
  <si>
    <t>Produzione di farmaci e API</t>
  </si>
  <si>
    <t>Strufaldi Sarah</t>
  </si>
  <si>
    <t>Guglielmo S.p.A.</t>
  </si>
  <si>
    <t>00050720796</t>
  </si>
  <si>
    <t>Produzione e commercializzazione di caffè</t>
  </si>
  <si>
    <t>Casa di Cura Villa Montallegro</t>
  </si>
  <si>
    <t>H.I.G.</t>
  </si>
  <si>
    <t>Orienta Partners</t>
  </si>
  <si>
    <t>Augusto Balestra</t>
  </si>
  <si>
    <t>Archimed</t>
  </si>
  <si>
    <t>Igor Petricca</t>
  </si>
  <si>
    <t>Quadrivio</t>
  </si>
  <si>
    <t>Roberto Ippolito</t>
  </si>
  <si>
    <t>Logistic</t>
  </si>
  <si>
    <t>Servizi di logistica internazionale</t>
  </si>
  <si>
    <t>Sud Africa</t>
  </si>
  <si>
    <t>CGS Swiss</t>
  </si>
  <si>
    <t>Thierry Biggoer</t>
  </si>
  <si>
    <t>KPS</t>
  </si>
  <si>
    <t>Lilly Green</t>
  </si>
  <si>
    <t>JAB Holding</t>
  </si>
  <si>
    <t>Meta System</t>
  </si>
  <si>
    <t>00271730350</t>
  </si>
  <si>
    <t>Produzione disistemi di ricarica e altro per EV</t>
  </si>
  <si>
    <t>Mattia Patti</t>
  </si>
  <si>
    <t>Side Asset Management</t>
  </si>
  <si>
    <t>15515591004</t>
  </si>
  <si>
    <t>Education RE</t>
  </si>
  <si>
    <t>Piattaforma di investimento nel settore RE Education</t>
  </si>
  <si>
    <t>Alessandro Masi</t>
  </si>
  <si>
    <t>Add-on per Princess + Special Flanges</t>
  </si>
  <si>
    <t>Gemarmed</t>
  </si>
  <si>
    <t>Consulenza nella certificazione di medical devices</t>
  </si>
  <si>
    <t>Mario Gennari</t>
  </si>
  <si>
    <t>Holding di investimento</t>
  </si>
  <si>
    <t>Holding di investimento proprietaria di numerosi brand nel food&amp;beverage e fashion</t>
  </si>
  <si>
    <t xml:space="preserve">Joachim Creus (CEO) </t>
  </si>
  <si>
    <t>Healthcare, Industry, Made in Italy</t>
  </si>
  <si>
    <t>Dario Di Iorio</t>
  </si>
  <si>
    <t>04918930969</t>
  </si>
  <si>
    <t>Produzione di adesivi e tessuti per automotive e calzature</t>
  </si>
  <si>
    <t>Guido Cami</t>
  </si>
  <si>
    <t>St. Stephen's School (buy side)</t>
  </si>
  <si>
    <t>Scuola internazionale 14-18</t>
  </si>
  <si>
    <t>Jill Muti</t>
  </si>
  <si>
    <t xml:space="preserve">01921910152 </t>
  </si>
  <si>
    <t>Spedizioni internazionali via mare e aereo</t>
  </si>
  <si>
    <t>Biagio Bruni</t>
  </si>
  <si>
    <t xml:space="preserve">J.A.S. JET AIR Service </t>
  </si>
  <si>
    <t>Ldue Capital</t>
  </si>
  <si>
    <t>Andrea Taurelli Salimbeni</t>
  </si>
  <si>
    <t>FONDO_Debt</t>
  </si>
  <si>
    <t>Generalista - Ticket 10M€</t>
  </si>
  <si>
    <t>Eleonora Astori</t>
  </si>
  <si>
    <t>Giovanni Revoltella</t>
  </si>
  <si>
    <t>Indeco Ind. SpA</t>
  </si>
  <si>
    <t>Produzione di componenti per macchine demolizione e movimento terra</t>
  </si>
  <si>
    <t>Diego Rufini</t>
  </si>
  <si>
    <t>Vitulano Susanna</t>
  </si>
  <si>
    <t>Vitulano</t>
  </si>
  <si>
    <t>OF.RA. Officine Ravenna Srl</t>
  </si>
  <si>
    <t>Costruzione e manutenzione impianti oil &amp; gas</t>
  </si>
  <si>
    <t>Davide Brusa</t>
  </si>
  <si>
    <t>SEB</t>
  </si>
  <si>
    <t>02535780247</t>
  </si>
  <si>
    <t>Componenti per HVAC</t>
  </si>
  <si>
    <t>Anna Munari</t>
  </si>
  <si>
    <t>Speroni Water Pumps</t>
  </si>
  <si>
    <t>Pompe acqua</t>
  </si>
  <si>
    <t>Giuseppe Speroni</t>
  </si>
  <si>
    <t>Apollo</t>
  </si>
  <si>
    <t>Unigrains</t>
  </si>
  <si>
    <t>Agrifood</t>
  </si>
  <si>
    <t>Tecnosytemi</t>
  </si>
  <si>
    <t>Days since progress</t>
  </si>
  <si>
    <t>FCA conosce l'AD</t>
  </si>
  <si>
    <t>00220200281</t>
  </si>
  <si>
    <t>Daniele Marzaro</t>
  </si>
  <si>
    <t>Stefano Tatarella</t>
  </si>
  <si>
    <t>Giuseppini</t>
  </si>
  <si>
    <t>Sabastiano Caffo</t>
  </si>
  <si>
    <t>Paragon Partners</t>
  </si>
  <si>
    <t>Diploma</t>
  </si>
  <si>
    <t>Distributore a valore aggiunto di cavi, fasteners, altri componenti meccanici. Attivo anche nel settore healthcare</t>
  </si>
  <si>
    <t>Steve Sargeant</t>
  </si>
  <si>
    <t>Oltre Capital</t>
  </si>
  <si>
    <t>Edilkamin</t>
  </si>
  <si>
    <t>00192220192</t>
  </si>
  <si>
    <t>Fam. Borsatti</t>
  </si>
  <si>
    <t xml:space="preserve">Produzione caminetti e stufe a pellet e legna </t>
  </si>
  <si>
    <t>ROS</t>
  </si>
  <si>
    <t>Solbian spa</t>
  </si>
  <si>
    <t>Produzione di panelli solari per nautica</t>
  </si>
  <si>
    <t>Energia</t>
  </si>
  <si>
    <t>Enrique Garcia</t>
  </si>
  <si>
    <t>Tersan</t>
  </si>
  <si>
    <t>Energia / Smaltimento rifiuti</t>
  </si>
  <si>
    <t>10201500013</t>
  </si>
  <si>
    <t>Arneg Spa</t>
  </si>
  <si>
    <t xml:space="preserve">00475590725 </t>
  </si>
  <si>
    <t>Banchi frigo</t>
  </si>
  <si>
    <t>Anthilia</t>
  </si>
  <si>
    <t>Pricoa</t>
  </si>
  <si>
    <t>Giacomo Barone</t>
  </si>
  <si>
    <t>Tobia Dian</t>
  </si>
  <si>
    <t>FONDO_PD</t>
  </si>
  <si>
    <t>Azimut Libera Impresa</t>
  </si>
  <si>
    <t>Giacomo Nava</t>
  </si>
  <si>
    <t>Clessidra PD</t>
  </si>
  <si>
    <t>Quattro R</t>
  </si>
  <si>
    <t>Kilometro Verde</t>
  </si>
  <si>
    <t>Vertical farms</t>
  </si>
  <si>
    <t>Battagliola</t>
  </si>
  <si>
    <t>Investimenti in aziende media dimensione</t>
  </si>
  <si>
    <t>Andrea Gay</t>
  </si>
  <si>
    <t>Sunderland Srl</t>
  </si>
  <si>
    <t>Barbara Filippini</t>
  </si>
  <si>
    <t>Inter Freight</t>
  </si>
  <si>
    <t>Luigi Frizzi</t>
  </si>
  <si>
    <t>Haier</t>
  </si>
  <si>
    <t>Neill Tunstall</t>
  </si>
  <si>
    <t>Neil Tunstall</t>
  </si>
  <si>
    <t>Ferrari N.V</t>
  </si>
  <si>
    <t>John Philip Elkann</t>
  </si>
  <si>
    <t>Benedetto Vigna</t>
  </si>
  <si>
    <t>Ignazio Carbone</t>
  </si>
  <si>
    <t>Mirco Maschio</t>
  </si>
  <si>
    <t>Luigi De Puppi</t>
  </si>
  <si>
    <t>Pietro Del Fabbro</t>
  </si>
  <si>
    <t>Maschio Holding Spa</t>
  </si>
  <si>
    <t>Self owned</t>
  </si>
  <si>
    <t>Giuseppe Giovanni Caffo</t>
  </si>
  <si>
    <t>Sebastiano Giovanni Caffo</t>
  </si>
  <si>
    <t>Lorenzo Pagliuca</t>
  </si>
  <si>
    <t>Myes Firenze Srl</t>
  </si>
  <si>
    <t>Luigi Sguerri</t>
  </si>
  <si>
    <t>Sabrina De Filippis</t>
  </si>
  <si>
    <t>04267900985</t>
  </si>
  <si>
    <t>Fingefran Srl</t>
  </si>
  <si>
    <t>Lazard Frères Banque Sa</t>
  </si>
  <si>
    <t>Maria Chiara Franceschetti</t>
  </si>
  <si>
    <t>Marcello Perini</t>
  </si>
  <si>
    <t>V.F. Adhesives Srl</t>
  </si>
  <si>
    <t>Amundi Sgr SpA</t>
  </si>
  <si>
    <t>Paolo Basile</t>
  </si>
  <si>
    <t>00227490232</t>
  </si>
  <si>
    <t>Yang Qiu</t>
  </si>
  <si>
    <t>Hermann Steiner</t>
  </si>
  <si>
    <t>Angel Legarda</t>
  </si>
  <si>
    <t>Sichuan Gangrong Investment</t>
  </si>
  <si>
    <t>07118810964</t>
  </si>
  <si>
    <t>Tages SpA</t>
  </si>
  <si>
    <t>Quarto Srl</t>
  </si>
  <si>
    <t>Elisabetta Gualandri</t>
  </si>
  <si>
    <t>Giuseppe Alessandro Galeano</t>
  </si>
  <si>
    <t>Tages Capital SGR</t>
  </si>
  <si>
    <t>Silvana Papaleo</t>
  </si>
  <si>
    <t>Gabriella Papaleo</t>
  </si>
  <si>
    <t>Roberto Volpi</t>
  </si>
  <si>
    <t>Mario Antonini</t>
  </si>
  <si>
    <t>Sbs Holding Srl</t>
  </si>
  <si>
    <t>Deren Investment Holding S.à.r.l</t>
  </si>
  <si>
    <t>Massimo Gaboardi</t>
  </si>
  <si>
    <t>Bioindustria LIM</t>
  </si>
  <si>
    <t>Biofin Farma Srl</t>
  </si>
  <si>
    <t>Fabrizio Caraccia</t>
  </si>
  <si>
    <t>Paolo Fasce</t>
  </si>
  <si>
    <t>08304650966</t>
  </si>
  <si>
    <t>Synergetic Srl</t>
  </si>
  <si>
    <t>White Bridge Investments</t>
  </si>
  <si>
    <t>Dolomiti 3 Sàrl</t>
  </si>
  <si>
    <t>Marco Pinciroli</t>
  </si>
  <si>
    <t>Ruggero Roberto Capone</t>
  </si>
  <si>
    <t>Stefano Devescovi</t>
  </si>
  <si>
    <t>Marco Zincani</t>
  </si>
  <si>
    <t>Mars</t>
  </si>
  <si>
    <t>Corsi di preparazione a esami di avvocatura, magistratura, notariato</t>
  </si>
  <si>
    <t>06239191213</t>
  </si>
  <si>
    <t>Components for aerospace industry</t>
  </si>
  <si>
    <t>11878560157</t>
  </si>
  <si>
    <t>Emanuele Borgonovo</t>
  </si>
  <si>
    <t>08575640969</t>
  </si>
  <si>
    <t>00674300355</t>
  </si>
  <si>
    <t>03805970724 </t>
  </si>
  <si>
    <t>00133990358</t>
  </si>
  <si>
    <t>02014050393</t>
  </si>
  <si>
    <t>05949910722</t>
  </si>
  <si>
    <t>00877161000</t>
  </si>
  <si>
    <t>118 546 609 63</t>
  </si>
  <si>
    <t>DBAG Italia</t>
  </si>
  <si>
    <t>Anfield</t>
  </si>
  <si>
    <t>GIM</t>
  </si>
  <si>
    <t>Fagioli PFW</t>
  </si>
  <si>
    <t>Edera</t>
  </si>
  <si>
    <t>(Draft EL)
Meet_4</t>
  </si>
  <si>
    <t>Ivas Industria Vernici SpA</t>
  </si>
  <si>
    <t xml:space="preserve">00124120403 </t>
  </si>
  <si>
    <t>Vernici e altri materiali a base chimica per l'edilizia</t>
  </si>
  <si>
    <t>Filippo Colonna</t>
  </si>
  <si>
    <t>Federico Colonna</t>
  </si>
  <si>
    <t>Medical Equipment</t>
  </si>
  <si>
    <t>Meet MEDICA 2024</t>
  </si>
  <si>
    <t>SO</t>
  </si>
  <si>
    <t>Medical Disposables</t>
  </si>
  <si>
    <t>EUROSPITAL SpA</t>
  </si>
  <si>
    <t>Produzione equipment e consumables per laboratori analisi</t>
  </si>
  <si>
    <t xml:space="preserve">00047510326 </t>
  </si>
  <si>
    <t>Massimiliano Kropf</t>
  </si>
  <si>
    <t>Michele Kropf</t>
  </si>
  <si>
    <t>BORGHI SpA</t>
  </si>
  <si>
    <t>03575150366</t>
  </si>
  <si>
    <t>Produzione di macchine per l'industria delle spazzole</t>
  </si>
  <si>
    <t>Marco Solato</t>
  </si>
  <si>
    <t>Fabrizio Biagi</t>
  </si>
  <si>
    <t>Andrea Del Carlo</t>
  </si>
  <si>
    <t>Giampaolo Roversi</t>
  </si>
  <si>
    <t>M.D.L. Srl</t>
  </si>
  <si>
    <t>00656810140</t>
  </si>
  <si>
    <t>Produzione aghi speciali per biopsie e chirurgia</t>
  </si>
  <si>
    <t>Simone Dell'Oca</t>
  </si>
  <si>
    <t>Marcello Dell'Oca</t>
  </si>
  <si>
    <t>APTACA SpA</t>
  </si>
  <si>
    <t>AS</t>
  </si>
  <si>
    <t>00862050960</t>
  </si>
  <si>
    <t>Dispositivi monouso e riutilizzabili per Laboratori Analisi, Ospedali, Istituti di Ricerca e per l’Industria Chimica e Farmaceutica.</t>
  </si>
  <si>
    <t>Duilio Buono</t>
  </si>
  <si>
    <t>Simone Buono</t>
  </si>
  <si>
    <t>Project Cargo - freight forwarding</t>
  </si>
  <si>
    <t>Frau Pharma</t>
  </si>
  <si>
    <t>03758850162</t>
  </si>
  <si>
    <t>Produzione di APIs</t>
  </si>
  <si>
    <t>Francesco Autuori</t>
  </si>
  <si>
    <t>Distilleria F.lli Caffo (Buy-side_2025)</t>
  </si>
  <si>
    <t>LAURETANA</t>
  </si>
  <si>
    <t>Sviluppo e gestione di immobili logistici di alto livello in Europa</t>
  </si>
  <si>
    <t>Othmane Sabere</t>
  </si>
  <si>
    <t>Christophe Weerts</t>
  </si>
  <si>
    <t>Ivano Pelassa</t>
  </si>
  <si>
    <t>ZES unica Sud-Bari</t>
  </si>
  <si>
    <t>Weerts Logistics Parks (WLP)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</si>
</sst>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CW&quot;#,##0"/>
    <numFmt numFmtId="165" formatCode="#,##0.0"/>
    <numFmt numFmtId="166" formatCode="0.0%"/>
    <numFmt numFmtId="167" formatCode="[$-410]d\-mmm\-yy;@"/>
    <numFmt numFmtId="168" formatCode="[$-410]mmm\-yy;@"/>
    <numFmt numFmtId="169" formatCode="d/m/yy;@"/>
  </numFmts>
  <fonts count="48" x14ac:knownFonts="1">
    <font>
      <sz val="11"/>
      <color theme="1"/>
      <name val="Microsoft Sans Serif"/>
      <family val="2"/>
      <scheme val="minor"/>
    </font>
    <font>
      <sz val="11"/>
      <color theme="1"/>
      <name val="Microsoft Sans Serif"/>
      <family val="2"/>
      <scheme val="minor"/>
    </font>
    <font>
      <sz val="8"/>
      <color rgb="FF2D5A69"/>
      <name val="Microsoft Sans Serif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8"/>
      <color rgb="FF2D5A69"/>
      <name val="Microsoft Sans Serif"/>
      <family val="2"/>
    </font>
    <font>
      <sz val="12"/>
      <color theme="1"/>
      <name val="Microsoft Sans Serif"/>
      <family val="2"/>
      <scheme val="minor"/>
    </font>
    <font>
      <u/>
      <sz val="12"/>
      <color theme="10"/>
      <name val="Microsoft Sans Serif"/>
      <family val="2"/>
      <scheme val="minor"/>
    </font>
    <font>
      <sz val="11"/>
      <color rgb="FF000000"/>
      <name val="Calibri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b/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9B6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27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6" fillId="0" borderId="3" applyNumberFormat="0" applyFill="0" applyProtection="0">
      <alignment horizontal="center"/>
    </xf>
    <xf numFmtId="0" fontId="7" fillId="0" borderId="0"/>
    <xf numFmtId="0" fontId="5" fillId="0" borderId="4" applyNumberFormat="0" applyFill="0" applyAlignment="0" applyProtection="0"/>
    <xf numFmtId="0" fontId="1" fillId="0" borderId="0"/>
    <xf numFmtId="43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07">
    <xf numFmtId="0" fontId="0" fillId="0" borderId="0" xfId="0"/>
    <xf numFmtId="0" fontId="2" fillId="0" borderId="0" xfId="0" quotePrefix="1" applyFont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169" fontId="2" fillId="0" borderId="1" xfId="1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0" borderId="1" xfId="0" quotePrefix="1" applyFont="1" applyBorder="1" applyAlignment="1">
      <alignment horizontal="right" vertical="center"/>
    </xf>
    <xf numFmtId="0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0" xfId="1" applyNumberFormat="1" applyFont="1" applyBorder="1" applyAlignment="1">
      <alignment horizontal="center" vertical="center"/>
    </xf>
    <xf numFmtId="168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1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vertical="center"/>
    </xf>
    <xf numFmtId="0" fontId="2" fillId="6" borderId="1" xfId="0" quotePrefix="1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2" fillId="4" borderId="0" xfId="0" quotePrefix="1" applyFont="1" applyFill="1" applyAlignment="1">
      <alignment vertical="center"/>
    </xf>
    <xf numFmtId="0" fontId="2" fillId="5" borderId="0" xfId="0" quotePrefix="1" applyFont="1" applyFill="1" applyAlignment="1">
      <alignment vertical="center"/>
    </xf>
    <xf numFmtId="0" fontId="2" fillId="0" borderId="0" xfId="1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9" fontId="2" fillId="0" borderId="0" xfId="1" applyNumberFormat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1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1" xfId="0" quotePrefix="1" applyNumberFormat="1" applyFont="1" applyBorder="1" applyAlignment="1">
      <alignment horizontal="center" vertical="center"/>
    </xf>
    <xf numFmtId="169" fontId="13" fillId="0" borderId="1" xfId="1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168" fontId="16" fillId="0" borderId="1" xfId="1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1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16" fillId="0" borderId="1" xfId="0" quotePrefix="1" applyNumberFormat="1" applyFont="1" applyBorder="1" applyAlignment="1">
      <alignment horizontal="center" vertical="center"/>
    </xf>
    <xf numFmtId="169" fontId="16" fillId="0" borderId="1" xfId="1" applyNumberFormat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9" fontId="16" fillId="0" borderId="1" xfId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" xfId="0" quotePrefix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quotePrefix="1" applyNumberFormat="1" applyFont="1" applyBorder="1" applyAlignment="1">
      <alignment horizontal="center" vertical="center"/>
    </xf>
    <xf numFmtId="3" fontId="17" fillId="0" borderId="1" xfId="1" applyNumberFormat="1" applyFont="1" applyBorder="1" applyAlignment="1">
      <alignment horizontal="center" vertical="center"/>
    </xf>
    <xf numFmtId="168" fontId="17" fillId="0" borderId="1" xfId="1" applyNumberFormat="1" applyFont="1" applyBorder="1" applyAlignment="1">
      <alignment horizontal="center" vertical="center"/>
    </xf>
    <xf numFmtId="169" fontId="17" fillId="0" borderId="1" xfId="1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 wrapText="1"/>
    </xf>
    <xf numFmtId="166" fontId="17" fillId="0" borderId="1" xfId="1" applyNumberFormat="1" applyFont="1" applyBorder="1" applyAlignment="1">
      <alignment horizontal="center" vertical="center"/>
    </xf>
    <xf numFmtId="9" fontId="17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1" xfId="1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1" xfId="0" quotePrefix="1" applyNumberFormat="1" applyFont="1" applyBorder="1" applyAlignment="1">
      <alignment horizontal="center" vertical="center"/>
    </xf>
    <xf numFmtId="169" fontId="18" fillId="0" borderId="1" xfId="1" applyNumberFormat="1" applyFont="1" applyBorder="1" applyAlignment="1">
      <alignment horizontal="center" vertical="center"/>
    </xf>
    <xf numFmtId="3" fontId="18" fillId="0" borderId="1" xfId="1" applyNumberFormat="1" applyFont="1" applyBorder="1" applyAlignment="1">
      <alignment horizontal="center" vertical="center"/>
    </xf>
    <xf numFmtId="9" fontId="18" fillId="0" borderId="1" xfId="1" applyFont="1" applyBorder="1" applyAlignment="1">
      <alignment horizontal="center" vertical="center"/>
    </xf>
    <xf numFmtId="0" fontId="2" fillId="0" borderId="1" xfId="15" quotePrefix="1" applyFont="1" applyBorder="1" applyAlignment="1">
      <alignment horizontal="center" vertical="center"/>
    </xf>
    <xf numFmtId="0" fontId="16" fillId="0" borderId="1" xfId="15" quotePrefix="1" applyFont="1" applyBorder="1" applyAlignment="1">
      <alignment horizontal="center" vertical="center"/>
    </xf>
    <xf numFmtId="0" fontId="17" fillId="0" borderId="1" xfId="15" quotePrefix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quotePrefix="1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1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65" fontId="19" fillId="0" borderId="1" xfId="0" quotePrefix="1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 wrapText="1"/>
    </xf>
    <xf numFmtId="166" fontId="19" fillId="0" borderId="1" xfId="1" applyNumberFormat="1" applyFont="1" applyBorder="1" applyAlignment="1">
      <alignment horizontal="center" vertical="center"/>
    </xf>
    <xf numFmtId="168" fontId="19" fillId="0" borderId="1" xfId="1" applyNumberFormat="1" applyFont="1" applyBorder="1" applyAlignment="1">
      <alignment horizontal="center" vertical="center"/>
    </xf>
    <xf numFmtId="169" fontId="19" fillId="0" borderId="1" xfId="1" applyNumberFormat="1" applyFont="1" applyBorder="1" applyAlignment="1">
      <alignment horizontal="center" vertical="center"/>
    </xf>
    <xf numFmtId="9" fontId="19" fillId="0" borderId="1" xfId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left" vertical="center"/>
    </xf>
    <xf numFmtId="0" fontId="16" fillId="0" borderId="1" xfId="0" quotePrefix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1" xfId="15" quotePrefix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1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5" fontId="20" fillId="0" borderId="1" xfId="0" quotePrefix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3" fontId="20" fillId="0" borderId="1" xfId="1" applyNumberFormat="1" applyFont="1" applyBorder="1" applyAlignment="1">
      <alignment horizontal="center" vertical="center"/>
    </xf>
    <xf numFmtId="166" fontId="20" fillId="0" borderId="1" xfId="1" applyNumberFormat="1" applyFont="1" applyBorder="1" applyAlignment="1">
      <alignment horizontal="center" vertical="center"/>
    </xf>
    <xf numFmtId="168" fontId="20" fillId="0" borderId="1" xfId="1" applyNumberFormat="1" applyFont="1" applyBorder="1" applyAlignment="1">
      <alignment horizontal="center" vertical="center"/>
    </xf>
    <xf numFmtId="169" fontId="20" fillId="0" borderId="1" xfId="1" applyNumberFormat="1" applyFont="1" applyBorder="1" applyAlignment="1">
      <alignment horizontal="center" vertical="center"/>
    </xf>
    <xf numFmtId="9" fontId="20" fillId="0" borderId="1" xfId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1" xfId="0" quotePrefix="1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1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21" fillId="0" borderId="1" xfId="0" quotePrefix="1" applyNumberFormat="1" applyFont="1" applyBorder="1" applyAlignment="1">
      <alignment horizontal="center" vertical="center"/>
    </xf>
    <xf numFmtId="3" fontId="21" fillId="0" borderId="1" xfId="1" applyNumberFormat="1" applyFont="1" applyBorder="1" applyAlignment="1">
      <alignment horizontal="center" vertical="center"/>
    </xf>
    <xf numFmtId="168" fontId="21" fillId="0" borderId="1" xfId="1" applyNumberFormat="1" applyFont="1" applyBorder="1" applyAlignment="1">
      <alignment horizontal="center" vertical="center"/>
    </xf>
    <xf numFmtId="169" fontId="21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" xfId="15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left" vertical="center"/>
    </xf>
    <xf numFmtId="166" fontId="21" fillId="0" borderId="1" xfId="1" applyNumberFormat="1" applyFont="1" applyBorder="1" applyAlignment="1">
      <alignment horizontal="center" vertical="center"/>
    </xf>
    <xf numFmtId="9" fontId="21" fillId="0" borderId="1" xfId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1" xfId="15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1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1" xfId="0" quotePrefix="1" applyNumberFormat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3" fontId="22" fillId="0" borderId="1" xfId="1" applyNumberFormat="1" applyFont="1" applyBorder="1" applyAlignment="1">
      <alignment horizontal="center" vertical="center"/>
    </xf>
    <xf numFmtId="166" fontId="22" fillId="0" borderId="1" xfId="1" applyNumberFormat="1" applyFont="1" applyBorder="1" applyAlignment="1">
      <alignment horizontal="center" vertical="center"/>
    </xf>
    <xf numFmtId="168" fontId="22" fillId="0" borderId="1" xfId="1" applyNumberFormat="1" applyFont="1" applyBorder="1" applyAlignment="1">
      <alignment horizontal="center" vertical="center"/>
    </xf>
    <xf numFmtId="169" fontId="22" fillId="0" borderId="1" xfId="1" applyNumberFormat="1" applyFont="1" applyBorder="1" applyAlignment="1">
      <alignment horizontal="center" vertical="center"/>
    </xf>
    <xf numFmtId="9" fontId="22" fillId="0" borderId="1" xfId="1" applyFont="1" applyBorder="1" applyAlignment="1">
      <alignment horizontal="center" vertical="center"/>
    </xf>
    <xf numFmtId="168" fontId="19" fillId="0" borderId="0" xfId="1" applyNumberFormat="1" applyFont="1" applyBorder="1" applyAlignment="1">
      <alignment horizontal="center" vertical="center"/>
    </xf>
    <xf numFmtId="169" fontId="23" fillId="0" borderId="1" xfId="1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1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3" fontId="23" fillId="0" borderId="1" xfId="1" applyNumberFormat="1" applyFont="1" applyBorder="1" applyAlignment="1">
      <alignment horizontal="center" vertical="center"/>
    </xf>
    <xf numFmtId="168" fontId="23" fillId="0" borderId="1" xfId="1" applyNumberFormat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165" fontId="23" fillId="0" borderId="1" xfId="0" quotePrefix="1" applyNumberFormat="1" applyFont="1" applyBorder="1" applyAlignment="1">
      <alignment horizontal="center" vertical="center"/>
    </xf>
    <xf numFmtId="166" fontId="23" fillId="0" borderId="1" xfId="1" applyNumberFormat="1" applyFont="1" applyBorder="1" applyAlignment="1">
      <alignment horizontal="center" vertical="center"/>
    </xf>
    <xf numFmtId="9" fontId="23" fillId="0" borderId="1" xfId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1" xfId="0" quotePrefix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8" fontId="24" fillId="0" borderId="1" xfId="1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quotePrefix="1" applyFont="1" applyBorder="1" applyAlignment="1">
      <alignment horizontal="center" vertical="center"/>
    </xf>
    <xf numFmtId="0" fontId="24" fillId="0" borderId="1" xfId="1" applyNumberFormat="1" applyFont="1" applyBorder="1" applyAlignment="1">
      <alignment horizontal="center" vertical="center"/>
    </xf>
    <xf numFmtId="166" fontId="24" fillId="0" borderId="1" xfId="1" applyNumberFormat="1" applyFont="1" applyBorder="1" applyAlignment="1">
      <alignment horizontal="center" vertical="center"/>
    </xf>
    <xf numFmtId="3" fontId="24" fillId="0" borderId="1" xfId="1" applyNumberFormat="1" applyFont="1" applyBorder="1" applyAlignment="1">
      <alignment horizontal="center" vertical="center"/>
    </xf>
    <xf numFmtId="169" fontId="24" fillId="0" borderId="1" xfId="1" applyNumberFormat="1" applyFont="1" applyBorder="1" applyAlignment="1">
      <alignment horizontal="center" vertical="center"/>
    </xf>
    <xf numFmtId="9" fontId="24" fillId="0" borderId="1" xfId="1" applyFont="1" applyBorder="1" applyAlignment="1">
      <alignment horizontal="center" vertical="center"/>
    </xf>
    <xf numFmtId="0" fontId="24" fillId="0" borderId="1" xfId="0" quotePrefix="1" applyFont="1" applyBorder="1" applyAlignment="1">
      <alignment vertical="center"/>
    </xf>
    <xf numFmtId="0" fontId="24" fillId="0" borderId="1" xfId="15" quotePrefix="1" applyFont="1" applyBorder="1" applyAlignment="1">
      <alignment horizontal="center" vertical="center"/>
    </xf>
    <xf numFmtId="169" fontId="25" fillId="0" borderId="1" xfId="1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5" fontId="26" fillId="0" borderId="1" xfId="0" applyNumberFormat="1" applyFont="1" applyBorder="1" applyAlignment="1">
      <alignment horizontal="center" vertical="center"/>
    </xf>
    <xf numFmtId="166" fontId="26" fillId="0" borderId="1" xfId="1" applyNumberFormat="1" applyFont="1" applyBorder="1" applyAlignment="1">
      <alignment horizontal="center" vertical="center"/>
    </xf>
    <xf numFmtId="3" fontId="26" fillId="0" borderId="1" xfId="1" applyNumberFormat="1" applyFont="1" applyBorder="1" applyAlignment="1">
      <alignment horizontal="center" vertical="center"/>
    </xf>
    <xf numFmtId="168" fontId="26" fillId="0" borderId="1" xfId="1" applyNumberFormat="1" applyFont="1" applyBorder="1" applyAlignment="1">
      <alignment horizontal="center" vertical="center"/>
    </xf>
    <xf numFmtId="169" fontId="26" fillId="0" borderId="1" xfId="1" applyNumberFormat="1" applyFont="1" applyBorder="1" applyAlignment="1">
      <alignment horizontal="center" vertical="center"/>
    </xf>
    <xf numFmtId="9" fontId="26" fillId="0" borderId="1" xfId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1" xfId="1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1" xfId="0" quotePrefix="1" applyNumberFormat="1" applyFont="1" applyBorder="1" applyAlignment="1">
      <alignment horizontal="center" vertical="center"/>
    </xf>
    <xf numFmtId="3" fontId="27" fillId="0" borderId="1" xfId="1" applyNumberFormat="1" applyFont="1" applyBorder="1" applyAlignment="1">
      <alignment horizontal="center" vertical="center"/>
    </xf>
    <xf numFmtId="168" fontId="27" fillId="0" borderId="1" xfId="1" applyNumberFormat="1" applyFont="1" applyBorder="1" applyAlignment="1">
      <alignment horizontal="center" vertical="center"/>
    </xf>
    <xf numFmtId="169" fontId="27" fillId="0" borderId="1" xfId="1" applyNumberFormat="1" applyFont="1" applyBorder="1" applyAlignment="1">
      <alignment horizontal="center" vertical="center"/>
    </xf>
    <xf numFmtId="9" fontId="27" fillId="0" borderId="1" xfId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" xfId="1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1" xfId="0" quotePrefix="1" applyNumberFormat="1" applyFont="1" applyBorder="1" applyAlignment="1">
      <alignment horizontal="center" vertical="center"/>
    </xf>
    <xf numFmtId="3" fontId="28" fillId="0" borderId="1" xfId="1" applyNumberFormat="1" applyFont="1" applyBorder="1" applyAlignment="1">
      <alignment horizontal="center" vertical="center"/>
    </xf>
    <xf numFmtId="168" fontId="28" fillId="0" borderId="1" xfId="1" applyNumberFormat="1" applyFont="1" applyBorder="1" applyAlignment="1">
      <alignment horizontal="center" vertical="center"/>
    </xf>
    <xf numFmtId="169" fontId="28" fillId="0" borderId="1" xfId="1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66" fontId="28" fillId="0" borderId="1" xfId="1" applyNumberFormat="1" applyFont="1" applyBorder="1" applyAlignment="1">
      <alignment horizontal="center" vertical="center"/>
    </xf>
    <xf numFmtId="9" fontId="28" fillId="0" borderId="1" xfId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6" fontId="31" fillId="0" borderId="1" xfId="1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3" fillId="0" borderId="0" xfId="0" applyFont="1" applyAlignment="1">
      <alignment vertical="center"/>
    </xf>
    <xf numFmtId="166" fontId="33" fillId="0" borderId="1" xfId="1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0" borderId="1" xfId="1" applyNumberFormat="1" applyFont="1" applyBorder="1" applyAlignment="1">
      <alignment horizontal="center" vertical="center"/>
    </xf>
    <xf numFmtId="165" fontId="33" fillId="0" borderId="1" xfId="0" applyNumberFormat="1" applyFont="1" applyBorder="1" applyAlignment="1">
      <alignment horizontal="center" vertical="center"/>
    </xf>
    <xf numFmtId="168" fontId="33" fillId="0" borderId="1" xfId="1" applyNumberFormat="1" applyFont="1" applyBorder="1" applyAlignment="1">
      <alignment horizontal="center" vertical="center"/>
    </xf>
    <xf numFmtId="169" fontId="33" fillId="0" borderId="1" xfId="1" applyNumberFormat="1" applyFont="1" applyBorder="1" applyAlignment="1">
      <alignment horizontal="center" vertical="center"/>
    </xf>
    <xf numFmtId="9" fontId="33" fillId="0" borderId="1" xfId="1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166" fontId="36" fillId="0" borderId="1" xfId="1" applyNumberFormat="1" applyFont="1" applyBorder="1" applyAlignment="1">
      <alignment horizontal="center" vertical="center"/>
    </xf>
    <xf numFmtId="169" fontId="36" fillId="0" borderId="1" xfId="1" applyNumberFormat="1" applyFont="1" applyBorder="1" applyAlignment="1">
      <alignment horizontal="center" vertical="center"/>
    </xf>
    <xf numFmtId="168" fontId="37" fillId="0" borderId="1" xfId="1" applyNumberFormat="1" applyFont="1" applyBorder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9" fontId="2" fillId="0" borderId="2" xfId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9" fontId="2" fillId="0" borderId="0" xfId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vertical="center"/>
    </xf>
    <xf numFmtId="0" fontId="39" fillId="0" borderId="1" xfId="0" applyFont="1" applyBorder="1" applyAlignment="1">
      <alignment vertical="center"/>
    </xf>
    <xf numFmtId="0" fontId="39" fillId="0" borderId="1" xfId="0" applyFont="1" applyBorder="1" applyAlignment="1">
      <alignment horizontal="center" vertical="center"/>
    </xf>
    <xf numFmtId="165" fontId="39" fillId="0" borderId="1" xfId="0" applyNumberFormat="1" applyFont="1" applyBorder="1" applyAlignment="1">
      <alignment horizontal="center" vertical="center"/>
    </xf>
    <xf numFmtId="166" fontId="39" fillId="0" borderId="1" xfId="1" applyNumberFormat="1" applyFont="1" applyBorder="1" applyAlignment="1">
      <alignment horizontal="center" vertical="center"/>
    </xf>
    <xf numFmtId="3" fontId="39" fillId="0" borderId="1" xfId="1" applyNumberFormat="1" applyFont="1" applyBorder="1" applyAlignment="1">
      <alignment horizontal="center" vertical="center"/>
    </xf>
    <xf numFmtId="169" fontId="39" fillId="0" borderId="1" xfId="1" applyNumberFormat="1" applyFont="1" applyBorder="1" applyAlignment="1">
      <alignment horizontal="center" vertical="center"/>
    </xf>
    <xf numFmtId="9" fontId="39" fillId="0" borderId="1" xfId="1" applyFont="1" applyBorder="1" applyAlignment="1">
      <alignment horizontal="center" vertical="center"/>
    </xf>
    <xf numFmtId="167" fontId="39" fillId="0" borderId="2" xfId="0" applyNumberFormat="1" applyFont="1" applyBorder="1" applyAlignment="1">
      <alignment horizontal="center" vertical="center" wrapText="1"/>
    </xf>
    <xf numFmtId="167" fontId="40" fillId="0" borderId="2" xfId="0" applyNumberFormat="1" applyFont="1" applyBorder="1" applyAlignment="1">
      <alignment horizontal="center" vertical="center" wrapText="1"/>
    </xf>
    <xf numFmtId="165" fontId="41" fillId="0" borderId="1" xfId="0" quotePrefix="1" applyNumberFormat="1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169" fontId="42" fillId="0" borderId="1" xfId="1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" xfId="1" applyNumberFormat="1" applyFont="1" applyBorder="1" applyAlignment="1">
      <alignment horizontal="center" vertical="center"/>
    </xf>
    <xf numFmtId="165" fontId="42" fillId="0" borderId="1" xfId="0" applyNumberFormat="1" applyFont="1" applyBorder="1" applyAlignment="1">
      <alignment horizontal="center" vertical="center"/>
    </xf>
    <xf numFmtId="166" fontId="42" fillId="0" borderId="1" xfId="1" applyNumberFormat="1" applyFont="1" applyBorder="1" applyAlignment="1">
      <alignment horizontal="center" vertical="center"/>
    </xf>
    <xf numFmtId="165" fontId="42" fillId="0" borderId="1" xfId="0" quotePrefix="1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168" fontId="42" fillId="0" borderId="1" xfId="1" applyNumberFormat="1" applyFont="1" applyBorder="1" applyAlignment="1">
      <alignment horizontal="center" vertical="center"/>
    </xf>
    <xf numFmtId="9" fontId="42" fillId="0" borderId="1" xfId="1" applyFont="1" applyBorder="1" applyAlignment="1">
      <alignment horizontal="center" vertical="center"/>
    </xf>
    <xf numFmtId="0" fontId="42" fillId="0" borderId="0" xfId="0" quotePrefix="1" applyFont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0" fontId="44" fillId="0" borderId="1" xfId="1" applyNumberFormat="1" applyFont="1" applyBorder="1" applyAlignment="1">
      <alignment horizontal="center" vertical="center"/>
    </xf>
    <xf numFmtId="165" fontId="44" fillId="0" borderId="1" xfId="0" quotePrefix="1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quotePrefix="1" applyFont="1" applyAlignment="1">
      <alignment horizontal="center" vertical="center"/>
    </xf>
    <xf numFmtId="9" fontId="44" fillId="0" borderId="1" xfId="1" applyFont="1" applyBorder="1" applyAlignment="1">
      <alignment horizontal="center" vertical="center"/>
    </xf>
    <xf numFmtId="169" fontId="44" fillId="0" borderId="1" xfId="1" applyNumberFormat="1" applyFont="1" applyBorder="1" applyAlignment="1">
      <alignment horizontal="center" vertical="center"/>
    </xf>
    <xf numFmtId="168" fontId="44" fillId="0" borderId="1" xfId="1" applyNumberFormat="1" applyFont="1" applyBorder="1" applyAlignment="1">
      <alignment horizontal="center" vertical="center"/>
    </xf>
    <xf numFmtId="165" fontId="44" fillId="0" borderId="1" xfId="0" applyNumberFormat="1" applyFont="1" applyBorder="1" applyAlignment="1">
      <alignment horizontal="center" vertical="center"/>
    </xf>
    <xf numFmtId="9" fontId="44" fillId="0" borderId="1" xfId="1" applyFont="1" applyBorder="1" applyAlignment="1">
      <alignment horizontal="center" vertical="center" wrapText="1"/>
    </xf>
    <xf numFmtId="0" fontId="44" fillId="0" borderId="1" xfId="0" quotePrefix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44" fillId="0" borderId="1" xfId="0" quotePrefix="1" applyFont="1" applyBorder="1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0" fontId="46" fillId="0" borderId="0" xfId="0" applyFont="1" applyAlignment="1">
      <alignment vertical="center"/>
    </xf>
    <xf numFmtId="169" fontId="46" fillId="0" borderId="1" xfId="1" applyNumberFormat="1" applyFont="1" applyBorder="1" applyAlignment="1">
      <alignment horizontal="center" vertical="center"/>
    </xf>
    <xf numFmtId="166" fontId="47" fillId="0" borderId="1" xfId="1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</cellXfs>
  <cellStyles count="27">
    <cellStyle name="_Table" xfId="6" xr:uid="{218D287A-FFBF-43CE-9CD1-3E2E6DEF87FF}"/>
    <cellStyle name="_TableHead" xfId="4" xr:uid="{2ECFE459-2F84-449C-834A-F7FC023022A9}"/>
    <cellStyle name="Collegamento ipertestuale 2" xfId="11" xr:uid="{16AD0EE6-1155-4B0E-AF6D-E53750CA4902}"/>
    <cellStyle name="Hyperlink" xfId="12" xr:uid="{533F2736-7F52-49F4-B07B-3D57495F9A47}"/>
    <cellStyle name="Migliaia 2" xfId="3" xr:uid="{E22489ED-D219-4E67-8C07-767E8447B742}"/>
    <cellStyle name="Migliaia 2 2" xfId="18" xr:uid="{0063F973-F420-4E7F-9F61-B600A5EA8D0C}"/>
    <cellStyle name="Migliaia 2 2 2" xfId="25" xr:uid="{17E16A22-AC56-43BC-95E4-0B639F45579D}"/>
    <cellStyle name="Migliaia 2 3" xfId="22" xr:uid="{0F07C44E-512A-4857-BAFC-695E853BAAE2}"/>
    <cellStyle name="Migliaia 3" xfId="8" xr:uid="{5C41FCFE-2721-4454-9133-3DCC9AA69FCB}"/>
    <cellStyle name="Migliaia 3 2" xfId="19" xr:uid="{32C74F90-9375-4E42-B74A-A1B542ECCC0C}"/>
    <cellStyle name="Migliaia 3 2 2" xfId="26" xr:uid="{75E3BC5D-BB81-445E-8139-CDDC57A7A2D6}"/>
    <cellStyle name="Migliaia 3 3" xfId="23" xr:uid="{3E771B0F-FA8E-43FF-A84B-5C72C521AF4A}"/>
    <cellStyle name="Migliaia 4" xfId="16" xr:uid="{3029A38F-AA0B-4C26-97D1-B88CBF58741A}"/>
    <cellStyle name="Migliaia 4 2" xfId="24" xr:uid="{1F4383D3-4296-4FC8-8C06-087D9DA53C9D}"/>
    <cellStyle name="Migliaia 5" xfId="21" xr:uid="{6C664F05-5CC2-4E22-B111-6EB073CFC60F}"/>
    <cellStyle name="Normal 2" xfId="5" xr:uid="{B6A87E89-B858-4C32-929D-FF0D66CC50DC}"/>
    <cellStyle name="Normale" xfId="0" builtinId="0"/>
    <cellStyle name="Normale 2" xfId="13" xr:uid="{4E409687-6DED-46E7-873F-3F61B94CE30D}"/>
    <cellStyle name="Normale 2 2" xfId="20" xr:uid="{F4D86B0A-F943-4F56-AF0A-BDFAFC9A6B4C}"/>
    <cellStyle name="Normale 3" xfId="9" xr:uid="{0E33791F-C037-4B29-9571-D1712BF0A32E}"/>
    <cellStyle name="Normale 3 2" xfId="7" xr:uid="{38CB780C-5014-444D-8D63-135C1288999A}"/>
    <cellStyle name="Normale 4" xfId="2" xr:uid="{9E7D8D4F-2A1B-4ED8-8AAD-D784B8C3C1CB}"/>
    <cellStyle name="Normale 5" xfId="15" xr:uid="{132BF8A2-33B5-4F56-A9A6-B3ECF52C6768}"/>
    <cellStyle name="Percentuale" xfId="1" builtinId="5"/>
    <cellStyle name="Percentuale 2" xfId="14" xr:uid="{71F0AAD8-5386-4E9A-8A0E-7A85845BEA81}"/>
    <cellStyle name="Percentuale 3" xfId="10" xr:uid="{8DCB4B5F-F138-4C0F-A80E-777F32F31061}"/>
    <cellStyle name="Percentuale 4" xfId="17" xr:uid="{AAE144A7-E7AD-4839-A2DF-4F75FF049706}"/>
  </cellStyles>
  <dxfs count="23"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FFD966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D966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CF6BC"/>
      <color rgb="FF2E5B66"/>
      <color rgb="FF2D5A69"/>
      <color rgb="FFFDE9FD"/>
      <color rgb="FFCDC2F6"/>
      <color rgb="FF4B96A5"/>
      <color rgb="FFFF9999"/>
      <color rgb="FFF8E74A"/>
      <color rgb="FFFAD2FA"/>
      <color rgb="FFF6A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oletto.sharepoint.com/sites/BrolettoCorporateAdvisoryS.r.l/ADMIN/BCA_CRM_(Beta_2020v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I---&gt;"/>
      <sheetName val="ALLEGATO_3.2(b)"/>
      <sheetName val="Comunicazioni"/>
      <sheetName val="CRM---&gt;"/>
      <sheetName val="Dettagli"/>
      <sheetName val="Sintesi"/>
      <sheetName val="-- Cantieri --"/>
      <sheetName val="&gt;&gt; TO DOs 2020 &lt;&lt;"/>
      <sheetName val="ORIGINATION---&gt;"/>
      <sheetName val="Tracking"/>
      <sheetName val="Orig Dash"/>
      <sheetName val="Orig_PE"/>
      <sheetName val="Orig Dash (OLD)"/>
      <sheetName val="Small PEs"/>
      <sheetName val="EXECUTION---&gt;"/>
      <sheetName val="Exec Dash"/>
      <sheetName val="Lex"/>
      <sheetName val="FINANCE---&gt;"/>
      <sheetName val="2021_Rev_Mese"/>
      <sheetName val="Export"/>
      <sheetName val="BULK---&gt;"/>
      <sheetName val="Recruiting"/>
      <sheetName val="Commercialista"/>
      <sheetName val="PR Agency"/>
      <sheetName val="M&amp;A Advisors"/>
      <sheetName val="Family Office"/>
      <sheetName val="Private"/>
      <sheetName val="International"/>
      <sheetName val="Coverage FS"/>
      <sheetName val="SEGNALATORI"/>
      <sheetName val="Pharma"/>
      <sheetName val="CHARTS---&gt;"/>
      <sheetName val="Charts_weekly_19"/>
      <sheetName val="Metrics_2019"/>
      <sheetName val="Top_2019"/>
      <sheetName val="Metrics_2018"/>
      <sheetName val="Charts_weekly_18"/>
      <sheetName val="Mailing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sualizza1" id="{77B296B7-5B6F-422F-9824-AE49ACC35BFA}"/>
</namedSheetView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roletto">
      <a:majorFont>
        <a:latin typeface="Microsoft Sans Serif"/>
        <a:ea typeface=""/>
        <a:cs typeface=""/>
      </a:majorFont>
      <a:minorFont>
        <a:latin typeface="Microsoft Sans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DBE1-916D-42E5-A64B-588CEA821AD1}">
  <sheetPr codeName="Foglio1">
    <tabColor rgb="FF4B96A5"/>
    <pageSetUpPr fitToPage="1"/>
  </sheetPr>
  <dimension ref="A1:BC116"/>
  <sheetViews>
    <sheetView showGridLines="0" tabSelected="1" zoomScaleNormal="100" zoomScaleSheetLayoutView="70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E103" sqref="E103"/>
    </sheetView>
  </sheetViews>
  <sheetFormatPr defaultColWidth="8.5" defaultRowHeight="10.5" x14ac:dyDescent="0.2"/>
  <cols>
    <col min="1" max="1" width="2.125" style="6" customWidth="1"/>
    <col min="2" max="2" width="4" style="6" customWidth="1"/>
    <col min="3" max="3" width="5" style="6" customWidth="1"/>
    <col min="4" max="4" width="4.125" style="6" customWidth="1"/>
    <col min="5" max="5" width="32.5" style="6" customWidth="1"/>
    <col min="6" max="6" width="10" style="11" customWidth="1"/>
    <col min="7" max="7" width="9.125" style="11" customWidth="1"/>
    <col min="8" max="8" width="9.5" style="11" customWidth="1"/>
    <col min="9" max="9" width="6.625" style="11" customWidth="1"/>
    <col min="10" max="10" width="12.625" style="11" customWidth="1"/>
    <col min="11" max="11" width="34" style="12" customWidth="1"/>
    <col min="12" max="12" width="11.125" style="12" customWidth="1"/>
    <col min="13" max="17" width="12.125" style="12" hidden="1" customWidth="1"/>
    <col min="18" max="18" width="2.5" style="6" customWidth="1" collapsed="1"/>
    <col min="19" max="19" width="5.125" style="39" customWidth="1"/>
    <col min="20" max="20" width="5.125" style="11" customWidth="1"/>
    <col min="21" max="21" width="9.125" style="13" customWidth="1"/>
    <col min="22" max="22" width="6" style="13" customWidth="1"/>
    <col min="23" max="23" width="6.875" style="40" customWidth="1"/>
    <col min="24" max="24" width="8.5" style="13" customWidth="1"/>
    <col min="25" max="25" width="9.125" style="13" customWidth="1"/>
    <col min="26" max="26" width="2.5" style="6" customWidth="1"/>
    <col min="27" max="28" width="8.5" style="12" customWidth="1"/>
    <col min="29" max="32" width="7.125" style="11" customWidth="1"/>
    <col min="33" max="33" width="19.875" style="12" customWidth="1"/>
    <col min="34" max="34" width="2.5" style="6" customWidth="1" collapsed="1"/>
    <col min="35" max="36" width="7" style="11" customWidth="1"/>
    <col min="37" max="37" width="8.5" style="11" customWidth="1"/>
    <col min="38" max="38" width="7" style="11" customWidth="1"/>
    <col min="39" max="42" width="6" style="14" customWidth="1"/>
    <col min="43" max="45" width="6.625" style="14" customWidth="1"/>
    <col min="46" max="46" width="7.625" style="14" customWidth="1"/>
    <col min="47" max="49" width="6.625" style="14" customWidth="1"/>
    <col min="50" max="52" width="7" style="14" customWidth="1"/>
    <col min="53" max="53" width="7" style="15" customWidth="1"/>
    <col min="54" max="54" width="7.625" style="15" customWidth="1"/>
    <col min="55" max="16384" width="8.5" style="6"/>
  </cols>
  <sheetData>
    <row r="1" spans="2:55" x14ac:dyDescent="0.2">
      <c r="S1" s="207"/>
      <c r="W1" s="208"/>
      <c r="BA1" s="42"/>
      <c r="BB1" s="42"/>
      <c r="BC1" s="67" t="s">
        <v>7</v>
      </c>
    </row>
    <row r="2" spans="2:55" x14ac:dyDescent="0.2">
      <c r="E2" s="33">
        <v>3</v>
      </c>
      <c r="F2" s="204"/>
      <c r="G2" s="205" t="s">
        <v>0</v>
      </c>
      <c r="H2" s="206"/>
      <c r="I2" s="206"/>
      <c r="J2" s="206"/>
      <c r="K2" s="205"/>
      <c r="S2" s="31"/>
      <c r="W2" s="28"/>
      <c r="AI2" s="23" t="s">
        <v>1</v>
      </c>
      <c r="AJ2" s="209">
        <v>24</v>
      </c>
      <c r="AM2" s="23" t="s">
        <v>2</v>
      </c>
      <c r="AN2" s="210">
        <v>7</v>
      </c>
      <c r="AP2" s="23" t="s">
        <v>3</v>
      </c>
      <c r="AQ2" s="211">
        <v>10</v>
      </c>
      <c r="AS2" s="23" t="s">
        <v>4</v>
      </c>
      <c r="AT2" s="212">
        <v>120</v>
      </c>
      <c r="AV2" s="23" t="s">
        <v>5</v>
      </c>
      <c r="AW2" s="213">
        <v>345</v>
      </c>
      <c r="AY2" s="23" t="s">
        <v>6</v>
      </c>
      <c r="AZ2" s="214">
        <v>0</v>
      </c>
      <c r="BA2" s="42"/>
      <c r="BB2" s="42"/>
      <c r="BC2" s="67" t="s">
        <v>7</v>
      </c>
    </row>
    <row r="3" spans="2:55" s="30" customFormat="1" ht="31.5" x14ac:dyDescent="0.2">
      <c r="B3" s="247" t="s">
        <v>8</v>
      </c>
      <c r="C3" s="247" t="s">
        <v>9</v>
      </c>
      <c r="D3" s="247" t="s">
        <v>10</v>
      </c>
      <c r="E3" s="247" t="s">
        <v>11</v>
      </c>
      <c r="F3" s="248" t="s">
        <v>12</v>
      </c>
      <c r="G3" s="248" t="s">
        <v>13</v>
      </c>
      <c r="H3" s="247" t="s">
        <v>14</v>
      </c>
      <c r="I3" s="248" t="s">
        <v>15</v>
      </c>
      <c r="J3" s="248" t="s">
        <v>16</v>
      </c>
      <c r="K3" s="248" t="s">
        <v>17</v>
      </c>
      <c r="L3" s="248" t="s">
        <v>18</v>
      </c>
      <c r="M3" s="248" t="s">
        <v>19</v>
      </c>
      <c r="N3" s="248" t="s">
        <v>20</v>
      </c>
      <c r="O3" s="248" t="s">
        <v>21</v>
      </c>
      <c r="P3" s="248" t="s">
        <v>22</v>
      </c>
      <c r="Q3" s="248" t="s">
        <v>23</v>
      </c>
      <c r="S3" s="249" t="s">
        <v>24</v>
      </c>
      <c r="T3" s="249" t="s">
        <v>25</v>
      </c>
      <c r="U3" s="249" t="s">
        <v>26</v>
      </c>
      <c r="V3" s="249" t="s">
        <v>27</v>
      </c>
      <c r="W3" s="249" t="s">
        <v>28</v>
      </c>
      <c r="X3" s="249" t="s">
        <v>29</v>
      </c>
      <c r="Y3" s="249" t="s">
        <v>30</v>
      </c>
      <c r="AA3" s="250" t="s">
        <v>31</v>
      </c>
      <c r="AB3" s="250" t="s">
        <v>32</v>
      </c>
      <c r="AC3" s="250" t="s">
        <v>33</v>
      </c>
      <c r="AD3" s="250" t="s">
        <v>34</v>
      </c>
      <c r="AE3" s="250" t="s">
        <v>35</v>
      </c>
      <c r="AF3" s="250" t="s">
        <v>36</v>
      </c>
      <c r="AG3" s="250" t="s">
        <v>37</v>
      </c>
      <c r="AI3" s="248" t="s">
        <v>38</v>
      </c>
      <c r="AJ3" s="248" t="s">
        <v>407</v>
      </c>
      <c r="AK3" s="248" t="s">
        <v>39</v>
      </c>
      <c r="AL3" s="248" t="s">
        <v>40</v>
      </c>
      <c r="AM3" s="251" t="s">
        <v>41</v>
      </c>
      <c r="AN3" s="251" t="s">
        <v>42</v>
      </c>
      <c r="AO3" s="251" t="s">
        <v>43</v>
      </c>
      <c r="AP3" s="251" t="s">
        <v>44</v>
      </c>
      <c r="AQ3" s="251" t="s">
        <v>45</v>
      </c>
      <c r="AR3" s="251" t="s">
        <v>46</v>
      </c>
      <c r="AS3" s="251" t="s">
        <v>47</v>
      </c>
      <c r="AT3" s="269" t="s">
        <v>527</v>
      </c>
      <c r="AU3" s="251" t="s">
        <v>48</v>
      </c>
      <c r="AV3" s="270" t="s">
        <v>49</v>
      </c>
      <c r="AW3" s="251" t="s">
        <v>40</v>
      </c>
      <c r="AX3" s="251" t="s">
        <v>50</v>
      </c>
      <c r="AY3" s="251" t="s">
        <v>51</v>
      </c>
      <c r="AZ3" s="251" t="s">
        <v>52</v>
      </c>
      <c r="BA3" s="252" t="s">
        <v>53</v>
      </c>
      <c r="BB3" s="252" t="s">
        <v>6</v>
      </c>
      <c r="BC3" s="1" t="s">
        <v>7</v>
      </c>
    </row>
    <row r="4" spans="2:55" s="30" customFormat="1" x14ac:dyDescent="0.2">
      <c r="F4" s="254"/>
      <c r="G4" s="254"/>
      <c r="I4" s="254"/>
      <c r="J4" s="254"/>
      <c r="K4" s="254"/>
      <c r="L4" s="254"/>
      <c r="M4" s="254"/>
      <c r="N4" s="254"/>
      <c r="O4" s="254"/>
      <c r="P4" s="254"/>
      <c r="Q4" s="254"/>
      <c r="S4" s="255"/>
      <c r="T4" s="255"/>
      <c r="U4" s="255"/>
      <c r="V4" s="255"/>
      <c r="W4" s="255"/>
      <c r="X4" s="255"/>
      <c r="Y4" s="255"/>
      <c r="AA4" s="256"/>
      <c r="AB4" s="256"/>
      <c r="AC4" s="256"/>
      <c r="AD4" s="256"/>
      <c r="AE4" s="256"/>
      <c r="AF4" s="256"/>
      <c r="AG4" s="256"/>
      <c r="AI4" s="254"/>
      <c r="AJ4" s="254"/>
      <c r="AK4" s="254"/>
      <c r="AL4" s="254"/>
      <c r="AM4" s="257"/>
      <c r="AN4" s="257"/>
      <c r="AO4" s="257"/>
      <c r="AP4" s="257"/>
      <c r="AQ4" s="257"/>
      <c r="AR4" s="257"/>
      <c r="AS4" s="257"/>
      <c r="AT4" s="258"/>
      <c r="AU4" s="257"/>
      <c r="AV4" s="257"/>
      <c r="AW4" s="257"/>
      <c r="AX4" s="257"/>
      <c r="AY4" s="257"/>
      <c r="AZ4" s="257"/>
      <c r="BA4" s="259"/>
      <c r="BB4" s="259"/>
      <c r="BC4" s="1"/>
    </row>
    <row r="5" spans="2:55" x14ac:dyDescent="0.2">
      <c r="B5" s="6">
        <v>1</v>
      </c>
      <c r="C5" s="22">
        <v>24</v>
      </c>
      <c r="D5" s="8" t="s">
        <v>1</v>
      </c>
      <c r="E5" s="8" t="s">
        <v>54</v>
      </c>
      <c r="F5" s="3"/>
      <c r="G5" s="3" t="s">
        <v>55</v>
      </c>
      <c r="H5" s="3"/>
      <c r="I5" s="3"/>
      <c r="J5" s="3" t="s">
        <v>56</v>
      </c>
      <c r="K5" s="5" t="s">
        <v>57</v>
      </c>
      <c r="L5" s="5" t="s">
        <v>58</v>
      </c>
      <c r="M5" s="5"/>
      <c r="N5" s="5"/>
      <c r="O5" s="5"/>
      <c r="P5" s="5"/>
      <c r="Q5" s="5"/>
      <c r="S5" s="16"/>
      <c r="T5" s="3"/>
      <c r="U5" s="7"/>
      <c r="V5" s="7"/>
      <c r="W5" s="17"/>
      <c r="X5" s="7"/>
      <c r="Y5" s="7"/>
      <c r="AA5" s="5" t="s">
        <v>59</v>
      </c>
      <c r="AB5" s="7"/>
      <c r="AC5" s="9" t="s">
        <v>60</v>
      </c>
      <c r="AD5" s="7" t="s">
        <v>60</v>
      </c>
      <c r="AE5" s="7" t="s">
        <v>61</v>
      </c>
      <c r="AF5" s="7"/>
      <c r="AG5" s="5" t="s">
        <v>62</v>
      </c>
      <c r="AI5" s="21">
        <v>1476</v>
      </c>
      <c r="AJ5" s="21" t="s">
        <v>203</v>
      </c>
      <c r="AK5" s="3" t="s">
        <v>63</v>
      </c>
      <c r="AL5" s="17" t="s">
        <v>52</v>
      </c>
      <c r="AM5" s="18">
        <v>44197</v>
      </c>
      <c r="AN5" s="29">
        <v>44197</v>
      </c>
      <c r="AO5" s="18" t="s">
        <v>64</v>
      </c>
      <c r="AP5" s="18" t="s">
        <v>64</v>
      </c>
      <c r="AQ5" s="41">
        <v>44197</v>
      </c>
      <c r="AR5" s="18">
        <v>44197</v>
      </c>
      <c r="AS5" s="18" t="s">
        <v>64</v>
      </c>
      <c r="AT5" s="18" t="s">
        <v>64</v>
      </c>
      <c r="AU5" s="18" t="s">
        <v>64</v>
      </c>
      <c r="AV5" s="18" t="s">
        <v>64</v>
      </c>
      <c r="AW5" s="19"/>
      <c r="AX5" s="19"/>
      <c r="AY5" s="19"/>
      <c r="AZ5" s="19">
        <v>44377</v>
      </c>
      <c r="BA5" s="20" t="s">
        <v>65</v>
      </c>
      <c r="BB5" s="19"/>
      <c r="BC5" s="1" t="s">
        <v>7</v>
      </c>
    </row>
    <row r="6" spans="2:55" x14ac:dyDescent="0.2">
      <c r="B6" s="6">
        <v>1</v>
      </c>
      <c r="D6" s="8" t="s">
        <v>1</v>
      </c>
      <c r="E6" s="8" t="s">
        <v>66</v>
      </c>
      <c r="F6" s="3"/>
      <c r="G6" s="3" t="s">
        <v>67</v>
      </c>
      <c r="H6" s="4" t="s">
        <v>510</v>
      </c>
      <c r="I6" s="3"/>
      <c r="J6" s="3" t="s">
        <v>68</v>
      </c>
      <c r="K6" s="5" t="s">
        <v>511</v>
      </c>
      <c r="L6" s="5"/>
      <c r="M6" s="5"/>
      <c r="N6" s="5"/>
      <c r="O6" s="5"/>
      <c r="P6" s="5"/>
      <c r="Q6" s="5"/>
      <c r="S6" s="16"/>
      <c r="T6" s="3"/>
      <c r="U6" s="7"/>
      <c r="V6" s="7"/>
      <c r="W6" s="17"/>
      <c r="X6" s="7"/>
      <c r="Y6" s="7"/>
      <c r="AA6" s="5" t="s">
        <v>59</v>
      </c>
      <c r="AB6" s="5"/>
      <c r="AC6" s="9" t="s">
        <v>60</v>
      </c>
      <c r="AD6" s="7" t="s">
        <v>60</v>
      </c>
      <c r="AE6" s="7"/>
      <c r="AF6" s="7"/>
      <c r="AG6" s="5"/>
      <c r="AI6" s="21">
        <v>1295</v>
      </c>
      <c r="AJ6" s="21" t="s">
        <v>203</v>
      </c>
      <c r="AK6" s="3" t="s">
        <v>69</v>
      </c>
      <c r="AL6" s="17" t="s">
        <v>52</v>
      </c>
      <c r="AM6" s="18">
        <v>44378</v>
      </c>
      <c r="AN6" s="29">
        <v>44378</v>
      </c>
      <c r="AO6" s="18" t="s">
        <v>64</v>
      </c>
      <c r="AP6" s="18" t="s">
        <v>64</v>
      </c>
      <c r="AQ6" s="41">
        <v>44378</v>
      </c>
      <c r="AR6" s="18" t="s">
        <v>64</v>
      </c>
      <c r="AS6" s="18" t="s">
        <v>64</v>
      </c>
      <c r="AT6" s="18" t="s">
        <v>64</v>
      </c>
      <c r="AU6" s="18" t="s">
        <v>64</v>
      </c>
      <c r="AV6" s="18" t="s">
        <v>64</v>
      </c>
      <c r="AW6" s="19"/>
      <c r="AX6" s="19"/>
      <c r="AY6" s="19"/>
      <c r="AZ6" s="19">
        <v>44467</v>
      </c>
      <c r="BA6" s="20" t="s">
        <v>65</v>
      </c>
      <c r="BB6" s="19"/>
      <c r="BC6" s="1" t="s">
        <v>7</v>
      </c>
    </row>
    <row r="7" spans="2:55" x14ac:dyDescent="0.2">
      <c r="B7" s="6">
        <v>1</v>
      </c>
      <c r="D7" s="8" t="s">
        <v>1</v>
      </c>
      <c r="E7" s="2" t="s">
        <v>70</v>
      </c>
      <c r="F7" s="4" t="s">
        <v>71</v>
      </c>
      <c r="G7" s="3" t="s">
        <v>67</v>
      </c>
      <c r="H7" s="4" t="s">
        <v>72</v>
      </c>
      <c r="I7" s="3">
        <v>477700</v>
      </c>
      <c r="J7" s="3" t="s">
        <v>73</v>
      </c>
      <c r="K7" s="5" t="s">
        <v>74</v>
      </c>
      <c r="L7" s="5" t="s">
        <v>75</v>
      </c>
      <c r="M7" s="5"/>
      <c r="N7" s="5"/>
      <c r="O7" s="5"/>
      <c r="P7" s="5"/>
      <c r="Q7" s="5"/>
      <c r="S7" s="16" t="s">
        <v>76</v>
      </c>
      <c r="T7" s="3">
        <v>2019</v>
      </c>
      <c r="U7" s="7">
        <v>23.32</v>
      </c>
      <c r="V7" s="7">
        <v>0.77</v>
      </c>
      <c r="W7" s="17">
        <v>3.3018867924528301E-2</v>
      </c>
      <c r="X7" s="7">
        <v>0.52</v>
      </c>
      <c r="Y7" s="7">
        <v>-0.1</v>
      </c>
      <c r="AA7" s="5" t="s">
        <v>59</v>
      </c>
      <c r="AB7" s="5"/>
      <c r="AC7" s="9" t="s">
        <v>60</v>
      </c>
      <c r="AD7" s="7" t="s">
        <v>77</v>
      </c>
      <c r="AE7" s="7" t="s">
        <v>78</v>
      </c>
      <c r="AF7" s="7"/>
      <c r="AG7" s="5"/>
      <c r="AH7" s="228">
        <v>1</v>
      </c>
      <c r="AI7" s="21">
        <v>1537</v>
      </c>
      <c r="AJ7" s="21" t="s">
        <v>203</v>
      </c>
      <c r="AK7" s="3" t="s">
        <v>63</v>
      </c>
      <c r="AL7" s="17" t="s">
        <v>52</v>
      </c>
      <c r="AM7" s="18">
        <v>44136</v>
      </c>
      <c r="AN7" s="29">
        <v>44136</v>
      </c>
      <c r="AO7" s="18" t="s">
        <v>64</v>
      </c>
      <c r="AP7" s="18">
        <v>44136</v>
      </c>
      <c r="AQ7" s="41">
        <v>44136</v>
      </c>
      <c r="AR7" s="19" t="s">
        <v>64</v>
      </c>
      <c r="AS7" s="19" t="s">
        <v>64</v>
      </c>
      <c r="AT7" s="19">
        <v>44142</v>
      </c>
      <c r="AU7" s="19" t="s">
        <v>64</v>
      </c>
      <c r="AV7" s="19">
        <v>44158</v>
      </c>
      <c r="AW7" s="19"/>
      <c r="AX7" s="19"/>
      <c r="AY7" s="19"/>
      <c r="AZ7" s="19">
        <v>44523</v>
      </c>
      <c r="BA7" s="20" t="s">
        <v>65</v>
      </c>
      <c r="BB7" s="19"/>
      <c r="BC7" s="1" t="s">
        <v>7</v>
      </c>
    </row>
    <row r="8" spans="2:55" x14ac:dyDescent="0.2">
      <c r="B8" s="6">
        <v>1</v>
      </c>
      <c r="D8" s="8" t="s">
        <v>1</v>
      </c>
      <c r="E8" s="2" t="s">
        <v>79</v>
      </c>
      <c r="F8" s="4" t="s">
        <v>80</v>
      </c>
      <c r="G8" s="3" t="s">
        <v>67</v>
      </c>
      <c r="H8" s="4" t="s">
        <v>81</v>
      </c>
      <c r="I8" s="3">
        <v>642000</v>
      </c>
      <c r="J8" s="3" t="s">
        <v>82</v>
      </c>
      <c r="K8" s="5" t="s">
        <v>83</v>
      </c>
      <c r="L8" s="5" t="s">
        <v>84</v>
      </c>
      <c r="M8" s="5"/>
      <c r="N8" s="5"/>
      <c r="O8" s="5"/>
      <c r="P8" s="5"/>
      <c r="Q8" s="5"/>
      <c r="S8" s="16" t="s">
        <v>76</v>
      </c>
      <c r="T8" s="3">
        <v>2020</v>
      </c>
      <c r="U8" s="7">
        <v>2.5579999999999998</v>
      </c>
      <c r="V8" s="7">
        <v>0.127</v>
      </c>
      <c r="W8" s="17">
        <v>4.9648162627052392E-2</v>
      </c>
      <c r="X8" s="7">
        <v>5.0000000000000001E-3</v>
      </c>
      <c r="Y8" s="7">
        <v>1.7390000000000001</v>
      </c>
      <c r="AA8" s="5" t="s">
        <v>59</v>
      </c>
      <c r="AB8" s="7"/>
      <c r="AC8" s="9" t="s">
        <v>60</v>
      </c>
      <c r="AD8" s="9" t="s">
        <v>60</v>
      </c>
      <c r="AE8" s="7" t="s">
        <v>85</v>
      </c>
      <c r="AF8" s="7" t="s">
        <v>61</v>
      </c>
      <c r="AG8" s="5"/>
      <c r="AI8" s="21">
        <v>1224</v>
      </c>
      <c r="AJ8" s="21" t="s">
        <v>203</v>
      </c>
      <c r="AK8" s="3" t="s">
        <v>86</v>
      </c>
      <c r="AL8" s="17" t="s">
        <v>52</v>
      </c>
      <c r="AM8" s="18">
        <v>44449</v>
      </c>
      <c r="AN8" s="18">
        <v>44449</v>
      </c>
      <c r="AO8" s="18">
        <v>44449</v>
      </c>
      <c r="AP8" s="18">
        <v>44449</v>
      </c>
      <c r="AQ8" s="19">
        <v>44449</v>
      </c>
      <c r="AR8" s="19" t="s">
        <v>64</v>
      </c>
      <c r="AS8" s="19" t="s">
        <v>64</v>
      </c>
      <c r="AT8" s="19">
        <v>44453</v>
      </c>
      <c r="AU8" s="19" t="s">
        <v>64</v>
      </c>
      <c r="AV8" s="19">
        <v>44453</v>
      </c>
      <c r="AW8" s="19"/>
      <c r="AX8" s="19"/>
      <c r="AY8" s="19"/>
      <c r="AZ8" s="19">
        <v>44572</v>
      </c>
      <c r="BA8" s="20" t="s">
        <v>65</v>
      </c>
      <c r="BB8" s="19"/>
      <c r="BC8" s="1" t="s">
        <v>7</v>
      </c>
    </row>
    <row r="9" spans="2:55" x14ac:dyDescent="0.2">
      <c r="B9" s="6">
        <v>1</v>
      </c>
      <c r="D9" s="8" t="s">
        <v>1</v>
      </c>
      <c r="E9" s="2" t="s">
        <v>87</v>
      </c>
      <c r="F9" s="4" t="s">
        <v>88</v>
      </c>
      <c r="G9" s="3" t="s">
        <v>67</v>
      </c>
      <c r="H9" s="4" t="s">
        <v>72</v>
      </c>
      <c r="I9" s="3">
        <v>477700</v>
      </c>
      <c r="J9" s="3" t="s">
        <v>73</v>
      </c>
      <c r="K9" s="5" t="s">
        <v>74</v>
      </c>
      <c r="L9" s="5" t="s">
        <v>75</v>
      </c>
      <c r="M9" s="5"/>
      <c r="N9" s="5"/>
      <c r="O9" s="5"/>
      <c r="P9" s="5"/>
      <c r="Q9" s="5"/>
      <c r="S9" s="16" t="s">
        <v>76</v>
      </c>
      <c r="T9" s="3">
        <v>2019</v>
      </c>
      <c r="U9" s="7">
        <v>23.32</v>
      </c>
      <c r="V9" s="7">
        <v>0.77</v>
      </c>
      <c r="W9" s="17">
        <v>3.3018867924528301E-2</v>
      </c>
      <c r="X9" s="7">
        <v>0.52</v>
      </c>
      <c r="Y9" s="7">
        <v>-0.1</v>
      </c>
      <c r="AA9" s="5" t="s">
        <v>59</v>
      </c>
      <c r="AB9" s="5"/>
      <c r="AC9" s="9" t="s">
        <v>60</v>
      </c>
      <c r="AD9" s="7" t="s">
        <v>77</v>
      </c>
      <c r="AE9" s="7" t="s">
        <v>78</v>
      </c>
      <c r="AF9" s="7"/>
      <c r="AG9" s="5"/>
      <c r="AH9" s="228">
        <v>1</v>
      </c>
      <c r="AI9" s="21">
        <v>1356</v>
      </c>
      <c r="AJ9" s="21" t="s">
        <v>203</v>
      </c>
      <c r="AK9" s="3" t="s">
        <v>63</v>
      </c>
      <c r="AL9" s="17" t="s">
        <v>52</v>
      </c>
      <c r="AM9" s="18">
        <v>44317</v>
      </c>
      <c r="AN9" s="18">
        <v>44317</v>
      </c>
      <c r="AO9" s="18" t="s">
        <v>64</v>
      </c>
      <c r="AP9" s="18" t="s">
        <v>64</v>
      </c>
      <c r="AQ9" s="19">
        <v>44317</v>
      </c>
      <c r="AR9" s="18" t="s">
        <v>64</v>
      </c>
      <c r="AS9" s="18" t="s">
        <v>64</v>
      </c>
      <c r="AT9" s="18" t="s">
        <v>64</v>
      </c>
      <c r="AU9" s="19" t="s">
        <v>64</v>
      </c>
      <c r="AV9" s="19">
        <v>44376</v>
      </c>
      <c r="AW9" s="19"/>
      <c r="AX9" s="19"/>
      <c r="AY9" s="19"/>
      <c r="AZ9" s="19">
        <v>44530</v>
      </c>
      <c r="BA9" s="20" t="s">
        <v>65</v>
      </c>
      <c r="BB9" s="19"/>
      <c r="BC9" s="1" t="s">
        <v>7</v>
      </c>
    </row>
    <row r="10" spans="2:55" x14ac:dyDescent="0.2">
      <c r="B10" s="6">
        <v>1</v>
      </c>
      <c r="D10" s="8" t="s">
        <v>1</v>
      </c>
      <c r="E10" s="8" t="s">
        <v>89</v>
      </c>
      <c r="F10" s="3"/>
      <c r="G10" s="3" t="s">
        <v>90</v>
      </c>
      <c r="H10" s="3"/>
      <c r="I10" s="3"/>
      <c r="J10" s="3" t="s">
        <v>56</v>
      </c>
      <c r="K10" s="5" t="s">
        <v>57</v>
      </c>
      <c r="L10" s="5" t="s">
        <v>58</v>
      </c>
      <c r="M10" s="5"/>
      <c r="N10" s="5"/>
      <c r="O10" s="5"/>
      <c r="P10" s="5"/>
      <c r="Q10" s="5"/>
      <c r="S10" s="16"/>
      <c r="T10" s="3"/>
      <c r="U10" s="7"/>
      <c r="V10" s="7"/>
      <c r="W10" s="17"/>
      <c r="X10" s="7"/>
      <c r="Y10" s="7"/>
      <c r="AA10" s="5" t="s">
        <v>59</v>
      </c>
      <c r="AB10" s="7"/>
      <c r="AC10" s="9" t="s">
        <v>60</v>
      </c>
      <c r="AD10" s="7" t="s">
        <v>60</v>
      </c>
      <c r="AE10" s="7" t="s">
        <v>61</v>
      </c>
      <c r="AF10" s="7"/>
      <c r="AG10" s="5"/>
      <c r="AI10" s="21">
        <v>1301</v>
      </c>
      <c r="AJ10" s="21" t="s">
        <v>203</v>
      </c>
      <c r="AK10" s="3" t="s">
        <v>63</v>
      </c>
      <c r="AL10" s="17" t="s">
        <v>52</v>
      </c>
      <c r="AM10" s="18">
        <v>44372</v>
      </c>
      <c r="AN10" s="18">
        <v>44372</v>
      </c>
      <c r="AO10" s="18" t="s">
        <v>64</v>
      </c>
      <c r="AP10" s="18" t="s">
        <v>64</v>
      </c>
      <c r="AQ10" s="19">
        <v>44372</v>
      </c>
      <c r="AR10" s="18" t="s">
        <v>64</v>
      </c>
      <c r="AS10" s="18" t="s">
        <v>64</v>
      </c>
      <c r="AT10" s="18" t="s">
        <v>64</v>
      </c>
      <c r="AU10" s="18" t="s">
        <v>64</v>
      </c>
      <c r="AV10" s="18" t="s">
        <v>64</v>
      </c>
      <c r="AW10" s="19"/>
      <c r="AX10" s="19"/>
      <c r="AY10" s="19"/>
      <c r="AZ10" s="19">
        <v>44511</v>
      </c>
      <c r="BA10" s="20" t="s">
        <v>65</v>
      </c>
      <c r="BB10" s="19"/>
      <c r="BC10" s="1" t="s">
        <v>7</v>
      </c>
    </row>
    <row r="11" spans="2:55" x14ac:dyDescent="0.2">
      <c r="B11" s="6">
        <v>1</v>
      </c>
      <c r="D11" s="8" t="s">
        <v>1</v>
      </c>
      <c r="E11" s="8" t="s">
        <v>91</v>
      </c>
      <c r="F11" s="3"/>
      <c r="G11" s="3" t="s">
        <v>90</v>
      </c>
      <c r="H11" s="3"/>
      <c r="I11" s="3"/>
      <c r="J11" s="3" t="s">
        <v>56</v>
      </c>
      <c r="K11" s="5" t="s">
        <v>57</v>
      </c>
      <c r="L11" s="5" t="s">
        <v>58</v>
      </c>
      <c r="M11" s="5"/>
      <c r="N11" s="5"/>
      <c r="O11" s="5"/>
      <c r="P11" s="5"/>
      <c r="Q11" s="5"/>
      <c r="S11" s="16"/>
      <c r="T11" s="3"/>
      <c r="U11" s="7"/>
      <c r="V11" s="7"/>
      <c r="W11" s="17"/>
      <c r="X11" s="7"/>
      <c r="Y11" s="7"/>
      <c r="AA11" s="5" t="s">
        <v>59</v>
      </c>
      <c r="AB11" s="7"/>
      <c r="AC11" s="9" t="s">
        <v>60</v>
      </c>
      <c r="AD11" s="7" t="s">
        <v>60</v>
      </c>
      <c r="AE11" s="7" t="s">
        <v>61</v>
      </c>
      <c r="AF11" s="7"/>
      <c r="AG11" s="5"/>
      <c r="AI11" s="21">
        <v>1386</v>
      </c>
      <c r="AJ11" s="21" t="s">
        <v>203</v>
      </c>
      <c r="AK11" s="3" t="s">
        <v>63</v>
      </c>
      <c r="AL11" s="17" t="s">
        <v>52</v>
      </c>
      <c r="AM11" s="18">
        <v>44287</v>
      </c>
      <c r="AN11" s="29">
        <v>44287</v>
      </c>
      <c r="AO11" s="18" t="s">
        <v>64</v>
      </c>
      <c r="AP11" s="18" t="s">
        <v>64</v>
      </c>
      <c r="AQ11" s="41">
        <v>44287</v>
      </c>
      <c r="AR11" s="18" t="s">
        <v>64</v>
      </c>
      <c r="AS11" s="18" t="s">
        <v>64</v>
      </c>
      <c r="AT11" s="18" t="s">
        <v>64</v>
      </c>
      <c r="AU11" s="18" t="s">
        <v>64</v>
      </c>
      <c r="AV11" s="18" t="s">
        <v>64</v>
      </c>
      <c r="AW11" s="19"/>
      <c r="AX11" s="19"/>
      <c r="AY11" s="19"/>
      <c r="AZ11" s="19">
        <v>44491</v>
      </c>
      <c r="BA11" s="20" t="s">
        <v>65</v>
      </c>
      <c r="BB11" s="19"/>
      <c r="BC11" s="1" t="s">
        <v>7</v>
      </c>
    </row>
    <row r="12" spans="2:55" x14ac:dyDescent="0.2">
      <c r="B12" s="6">
        <v>1</v>
      </c>
      <c r="D12" s="8" t="s">
        <v>1</v>
      </c>
      <c r="E12" s="8" t="s">
        <v>92</v>
      </c>
      <c r="F12" s="3" t="s">
        <v>64</v>
      </c>
      <c r="G12" s="3" t="s">
        <v>93</v>
      </c>
      <c r="H12" s="4" t="s">
        <v>94</v>
      </c>
      <c r="I12" s="3">
        <v>222909</v>
      </c>
      <c r="J12" s="3" t="s">
        <v>95</v>
      </c>
      <c r="K12" s="5" t="s">
        <v>96</v>
      </c>
      <c r="L12" s="5" t="s">
        <v>97</v>
      </c>
      <c r="M12" s="5" t="s">
        <v>97</v>
      </c>
      <c r="N12" s="5"/>
      <c r="O12" s="5"/>
      <c r="P12" s="5"/>
      <c r="Q12" s="5"/>
      <c r="S12" s="16" t="s">
        <v>76</v>
      </c>
      <c r="T12" s="3">
        <v>2019</v>
      </c>
      <c r="U12" s="7">
        <v>79.17</v>
      </c>
      <c r="V12" s="7">
        <v>6.97</v>
      </c>
      <c r="W12" s="17">
        <v>8.8038398383225969E-2</v>
      </c>
      <c r="X12" s="7">
        <v>2.2400000000000002</v>
      </c>
      <c r="Y12" s="7">
        <v>40.340000000000003</v>
      </c>
      <c r="AA12" s="5" t="s">
        <v>98</v>
      </c>
      <c r="AB12" s="7" t="s">
        <v>99</v>
      </c>
      <c r="AC12" s="9" t="s">
        <v>77</v>
      </c>
      <c r="AD12" s="7" t="s">
        <v>77</v>
      </c>
      <c r="AE12" s="7" t="s">
        <v>78</v>
      </c>
      <c r="AF12" s="7" t="s">
        <v>61</v>
      </c>
      <c r="AG12" s="5"/>
      <c r="AH12" s="228">
        <v>1</v>
      </c>
      <c r="AI12" s="21">
        <v>1417</v>
      </c>
      <c r="AJ12" s="21" t="s">
        <v>203</v>
      </c>
      <c r="AK12" s="3" t="s">
        <v>100</v>
      </c>
      <c r="AL12" s="17" t="s">
        <v>52</v>
      </c>
      <c r="AM12" s="18">
        <v>44256</v>
      </c>
      <c r="AN12" s="29">
        <v>44270</v>
      </c>
      <c r="AO12" s="18" t="s">
        <v>64</v>
      </c>
      <c r="AP12" s="18">
        <v>44294</v>
      </c>
      <c r="AQ12" s="41">
        <v>44294</v>
      </c>
      <c r="AR12" s="19">
        <v>44308</v>
      </c>
      <c r="AS12" s="19">
        <v>44342</v>
      </c>
      <c r="AT12" s="19">
        <v>44618</v>
      </c>
      <c r="AU12" s="19">
        <v>44630</v>
      </c>
      <c r="AV12" s="19">
        <v>44630</v>
      </c>
      <c r="AW12" s="19"/>
      <c r="AX12" s="19"/>
      <c r="AY12" s="19"/>
      <c r="AZ12" s="19">
        <v>44674</v>
      </c>
      <c r="BA12" s="20" t="s">
        <v>65</v>
      </c>
      <c r="BB12" s="19"/>
      <c r="BC12" s="1" t="s">
        <v>7</v>
      </c>
    </row>
    <row r="13" spans="2:55" x14ac:dyDescent="0.2">
      <c r="B13" s="6">
        <v>1</v>
      </c>
      <c r="D13" s="8" t="s">
        <v>1</v>
      </c>
      <c r="E13" s="8" t="s">
        <v>101</v>
      </c>
      <c r="F13" s="3"/>
      <c r="G13" s="3" t="s">
        <v>102</v>
      </c>
      <c r="H13" s="4" t="s">
        <v>103</v>
      </c>
      <c r="I13" s="3">
        <v>829999</v>
      </c>
      <c r="J13" s="3" t="s">
        <v>104</v>
      </c>
      <c r="K13" s="5" t="s">
        <v>105</v>
      </c>
      <c r="L13" s="5" t="s">
        <v>106</v>
      </c>
      <c r="M13" s="5" t="s">
        <v>106</v>
      </c>
      <c r="N13" s="5"/>
      <c r="O13" s="5"/>
      <c r="P13" s="5"/>
      <c r="Q13" s="5"/>
      <c r="S13" s="16" t="s">
        <v>76</v>
      </c>
      <c r="T13" s="3">
        <v>2019</v>
      </c>
      <c r="U13" s="7">
        <v>1.43</v>
      </c>
      <c r="V13" s="7">
        <v>0.3</v>
      </c>
      <c r="W13" s="17">
        <v>0.20979020979020979</v>
      </c>
      <c r="X13" s="7">
        <v>0.2</v>
      </c>
      <c r="Y13" s="7">
        <v>-0.32</v>
      </c>
      <c r="AA13" s="5" t="s">
        <v>59</v>
      </c>
      <c r="AB13" s="7"/>
      <c r="AC13" s="9" t="s">
        <v>77</v>
      </c>
      <c r="AD13" s="7" t="s">
        <v>77</v>
      </c>
      <c r="AE13" s="7" t="s">
        <v>61</v>
      </c>
      <c r="AF13" s="7"/>
      <c r="AG13" s="5"/>
      <c r="AI13" s="21">
        <v>1186</v>
      </c>
      <c r="AJ13" s="21" t="s">
        <v>203</v>
      </c>
      <c r="AK13" s="3" t="s">
        <v>86</v>
      </c>
      <c r="AL13" s="17" t="s">
        <v>52</v>
      </c>
      <c r="AM13" s="18">
        <v>44487</v>
      </c>
      <c r="AN13" s="29">
        <v>44197</v>
      </c>
      <c r="AO13" s="18" t="s">
        <v>64</v>
      </c>
      <c r="AP13" s="18">
        <v>44197</v>
      </c>
      <c r="AQ13" s="19">
        <v>44197</v>
      </c>
      <c r="AR13" s="19">
        <v>44237</v>
      </c>
      <c r="AS13" s="19">
        <v>44270</v>
      </c>
      <c r="AT13" s="19">
        <v>44361</v>
      </c>
      <c r="AU13" s="19">
        <v>44461</v>
      </c>
      <c r="AV13" s="19">
        <v>44495</v>
      </c>
      <c r="AW13" s="19"/>
      <c r="AX13" s="19"/>
      <c r="AY13" s="19"/>
      <c r="AZ13" s="19">
        <v>44686</v>
      </c>
      <c r="BA13" s="20" t="s">
        <v>65</v>
      </c>
      <c r="BB13" s="19"/>
      <c r="BC13" s="1" t="s">
        <v>7</v>
      </c>
    </row>
    <row r="14" spans="2:55" x14ac:dyDescent="0.2">
      <c r="B14" s="6">
        <v>1</v>
      </c>
      <c r="D14" s="8" t="s">
        <v>1</v>
      </c>
      <c r="E14" s="2" t="s">
        <v>107</v>
      </c>
      <c r="F14" s="4" t="s">
        <v>64</v>
      </c>
      <c r="G14" s="3" t="s">
        <v>108</v>
      </c>
      <c r="H14" s="4" t="s">
        <v>109</v>
      </c>
      <c r="I14" s="3">
        <v>301000</v>
      </c>
      <c r="J14" s="3" t="s">
        <v>110</v>
      </c>
      <c r="K14" s="5" t="s">
        <v>111</v>
      </c>
      <c r="L14" s="5"/>
      <c r="M14" s="5" t="s">
        <v>112</v>
      </c>
      <c r="N14" s="5" t="s">
        <v>113</v>
      </c>
      <c r="O14" s="5"/>
      <c r="P14" s="5"/>
      <c r="Q14" s="5"/>
      <c r="S14" s="16" t="s">
        <v>76</v>
      </c>
      <c r="T14" s="3">
        <v>2019</v>
      </c>
      <c r="U14" s="7">
        <v>62.588999999999999</v>
      </c>
      <c r="V14" s="7">
        <v>1.6459999999999999</v>
      </c>
      <c r="W14" s="17">
        <v>2.6298550863570275E-2</v>
      </c>
      <c r="X14" s="7">
        <v>0.17</v>
      </c>
      <c r="Y14" s="7">
        <v>-2.0659999999999998</v>
      </c>
      <c r="AA14" s="5" t="s">
        <v>59</v>
      </c>
      <c r="AB14" s="7"/>
      <c r="AC14" s="9" t="s">
        <v>77</v>
      </c>
      <c r="AD14" s="9" t="s">
        <v>77</v>
      </c>
      <c r="AE14" s="7" t="s">
        <v>78</v>
      </c>
      <c r="AF14" s="7"/>
      <c r="AG14" s="5"/>
      <c r="AH14" s="228">
        <v>1</v>
      </c>
      <c r="AI14" s="21">
        <v>1265</v>
      </c>
      <c r="AJ14" s="21" t="s">
        <v>203</v>
      </c>
      <c r="AK14" s="3" t="s">
        <v>100</v>
      </c>
      <c r="AL14" s="17" t="s">
        <v>52</v>
      </c>
      <c r="AM14" s="18">
        <v>44408</v>
      </c>
      <c r="AN14" s="18">
        <v>44408</v>
      </c>
      <c r="AO14" s="18" t="s">
        <v>64</v>
      </c>
      <c r="AP14" s="18" t="s">
        <v>64</v>
      </c>
      <c r="AQ14" s="19">
        <v>44509</v>
      </c>
      <c r="AR14" s="19" t="s">
        <v>64</v>
      </c>
      <c r="AS14" s="19">
        <v>44609</v>
      </c>
      <c r="AT14" s="19">
        <v>44613</v>
      </c>
      <c r="AU14" s="19">
        <v>44620</v>
      </c>
      <c r="AV14" s="19">
        <v>44620</v>
      </c>
      <c r="AW14" s="19"/>
      <c r="AX14" s="19"/>
      <c r="AY14" s="19"/>
      <c r="AZ14" s="19">
        <v>44769</v>
      </c>
      <c r="BA14" s="20" t="s">
        <v>65</v>
      </c>
      <c r="BB14" s="19"/>
      <c r="BC14" s="1" t="s">
        <v>7</v>
      </c>
    </row>
    <row r="15" spans="2:55" x14ac:dyDescent="0.2">
      <c r="B15" s="6">
        <v>1</v>
      </c>
      <c r="D15" s="8" t="s">
        <v>1</v>
      </c>
      <c r="E15" s="8" t="s">
        <v>114</v>
      </c>
      <c r="F15" s="3"/>
      <c r="G15" s="3" t="s">
        <v>90</v>
      </c>
      <c r="H15" s="3"/>
      <c r="I15" s="3"/>
      <c r="J15" s="3" t="s">
        <v>56</v>
      </c>
      <c r="K15" s="5" t="s">
        <v>57</v>
      </c>
      <c r="L15" s="5" t="s">
        <v>58</v>
      </c>
      <c r="M15" s="5"/>
      <c r="N15" s="5"/>
      <c r="O15" s="5"/>
      <c r="P15" s="5"/>
      <c r="Q15" s="5"/>
      <c r="S15" s="16"/>
      <c r="T15" s="3"/>
      <c r="U15" s="7"/>
      <c r="V15" s="7"/>
      <c r="W15" s="17"/>
      <c r="X15" s="7"/>
      <c r="Y15" s="7"/>
      <c r="AA15" s="5" t="s">
        <v>59</v>
      </c>
      <c r="AB15" s="7"/>
      <c r="AC15" s="9" t="s">
        <v>60</v>
      </c>
      <c r="AD15" s="7" t="s">
        <v>60</v>
      </c>
      <c r="AE15" s="7" t="s">
        <v>61</v>
      </c>
      <c r="AF15" s="7"/>
      <c r="AG15" s="5"/>
      <c r="AI15" s="21">
        <v>1175</v>
      </c>
      <c r="AJ15" s="21" t="s">
        <v>203</v>
      </c>
      <c r="AK15" s="3" t="s">
        <v>63</v>
      </c>
      <c r="AL15" s="17" t="s">
        <v>52</v>
      </c>
      <c r="AM15" s="18">
        <v>44498</v>
      </c>
      <c r="AN15" s="18">
        <v>44498</v>
      </c>
      <c r="AO15" s="18" t="s">
        <v>64</v>
      </c>
      <c r="AP15" s="18" t="s">
        <v>64</v>
      </c>
      <c r="AQ15" s="19">
        <v>44498</v>
      </c>
      <c r="AR15" s="18" t="s">
        <v>64</v>
      </c>
      <c r="AS15" s="18" t="s">
        <v>64</v>
      </c>
      <c r="AT15" s="18" t="s">
        <v>64</v>
      </c>
      <c r="AU15" s="18" t="s">
        <v>64</v>
      </c>
      <c r="AV15" s="18" t="s">
        <v>64</v>
      </c>
      <c r="AW15" s="19"/>
      <c r="AX15" s="19"/>
      <c r="AY15" s="19"/>
      <c r="AZ15" s="19">
        <v>44916</v>
      </c>
      <c r="BA15" s="20" t="s">
        <v>65</v>
      </c>
      <c r="BB15" s="19"/>
      <c r="BC15" s="1" t="s">
        <v>7</v>
      </c>
    </row>
    <row r="16" spans="2:55" x14ac:dyDescent="0.2">
      <c r="B16" s="6">
        <v>1</v>
      </c>
      <c r="D16" s="8" t="s">
        <v>1</v>
      </c>
      <c r="E16" s="8" t="s">
        <v>115</v>
      </c>
      <c r="F16" s="3"/>
      <c r="G16" s="3" t="s">
        <v>90</v>
      </c>
      <c r="H16" s="3"/>
      <c r="I16" s="3"/>
      <c r="J16" s="3" t="s">
        <v>56</v>
      </c>
      <c r="K16" s="5" t="s">
        <v>57</v>
      </c>
      <c r="L16" s="5" t="s">
        <v>58</v>
      </c>
      <c r="M16" s="5"/>
      <c r="N16" s="5"/>
      <c r="O16" s="5"/>
      <c r="P16" s="5"/>
      <c r="Q16" s="5"/>
      <c r="S16" s="16"/>
      <c r="T16" s="3"/>
      <c r="U16" s="7"/>
      <c r="V16" s="7"/>
      <c r="W16" s="17"/>
      <c r="X16" s="7"/>
      <c r="Y16" s="7"/>
      <c r="AA16" s="5" t="s">
        <v>59</v>
      </c>
      <c r="AB16" s="7"/>
      <c r="AC16" s="9" t="s">
        <v>60</v>
      </c>
      <c r="AD16" s="7" t="s">
        <v>60</v>
      </c>
      <c r="AE16" s="7" t="s">
        <v>61</v>
      </c>
      <c r="AF16" s="7"/>
      <c r="AG16" s="5"/>
      <c r="AI16" s="21">
        <v>1225</v>
      </c>
      <c r="AJ16" s="21" t="s">
        <v>203</v>
      </c>
      <c r="AK16" s="3" t="s">
        <v>63</v>
      </c>
      <c r="AL16" s="17" t="s">
        <v>52</v>
      </c>
      <c r="AM16" s="18">
        <v>44448</v>
      </c>
      <c r="AN16" s="18">
        <v>44448</v>
      </c>
      <c r="AO16" s="18" t="s">
        <v>64</v>
      </c>
      <c r="AP16" s="18" t="s">
        <v>64</v>
      </c>
      <c r="AQ16" s="19">
        <v>44448</v>
      </c>
      <c r="AR16" s="18" t="s">
        <v>64</v>
      </c>
      <c r="AS16" s="18" t="s">
        <v>64</v>
      </c>
      <c r="AT16" s="18" t="s">
        <v>64</v>
      </c>
      <c r="AU16" s="18" t="s">
        <v>64</v>
      </c>
      <c r="AV16" s="18" t="s">
        <v>64</v>
      </c>
      <c r="AW16" s="19"/>
      <c r="AX16" s="19"/>
      <c r="AY16" s="19"/>
      <c r="AZ16" s="19">
        <v>44916</v>
      </c>
      <c r="BA16" s="20" t="s">
        <v>65</v>
      </c>
      <c r="BB16" s="19"/>
      <c r="BC16" s="1" t="s">
        <v>7</v>
      </c>
    </row>
    <row r="17" spans="2:55" x14ac:dyDescent="0.2">
      <c r="B17" s="6">
        <v>1</v>
      </c>
      <c r="D17" s="8" t="s">
        <v>1</v>
      </c>
      <c r="E17" s="8" t="s">
        <v>116</v>
      </c>
      <c r="F17" s="3"/>
      <c r="G17" s="3" t="s">
        <v>102</v>
      </c>
      <c r="H17" s="4" t="s">
        <v>117</v>
      </c>
      <c r="I17" s="3">
        <v>731102</v>
      </c>
      <c r="J17" s="3" t="s">
        <v>118</v>
      </c>
      <c r="K17" s="5" t="s">
        <v>119</v>
      </c>
      <c r="L17" s="5" t="s">
        <v>120</v>
      </c>
      <c r="M17" s="5"/>
      <c r="N17" s="5"/>
      <c r="O17" s="5"/>
      <c r="P17" s="5"/>
      <c r="Q17" s="5"/>
      <c r="S17" s="16" t="s">
        <v>76</v>
      </c>
      <c r="T17" s="3">
        <v>2022</v>
      </c>
      <c r="U17" s="7">
        <v>3.8</v>
      </c>
      <c r="V17" s="7">
        <v>6.0000000000000001E-3</v>
      </c>
      <c r="W17" s="26">
        <v>1.5789473684210528E-3</v>
      </c>
      <c r="X17" s="7" t="s">
        <v>64</v>
      </c>
      <c r="Y17" s="7" t="s">
        <v>64</v>
      </c>
      <c r="AA17" s="5" t="s">
        <v>59</v>
      </c>
      <c r="AB17" s="7"/>
      <c r="AC17" s="7" t="s">
        <v>77</v>
      </c>
      <c r="AD17" s="7" t="s">
        <v>77</v>
      </c>
      <c r="AE17" s="7" t="s">
        <v>61</v>
      </c>
      <c r="AF17" s="7"/>
      <c r="AG17" s="5" t="s">
        <v>121</v>
      </c>
      <c r="AI17" s="21">
        <v>829</v>
      </c>
      <c r="AJ17" s="21" t="s">
        <v>203</v>
      </c>
      <c r="AK17" s="3" t="s">
        <v>86</v>
      </c>
      <c r="AL17" s="17" t="s">
        <v>52</v>
      </c>
      <c r="AM17" s="18">
        <v>44844</v>
      </c>
      <c r="AN17" s="18">
        <v>44844</v>
      </c>
      <c r="AO17" s="18" t="s">
        <v>64</v>
      </c>
      <c r="AP17" s="18">
        <v>44849</v>
      </c>
      <c r="AQ17" s="19">
        <v>44849</v>
      </c>
      <c r="AR17" s="19">
        <v>44851</v>
      </c>
      <c r="AS17" s="19" t="s">
        <v>64</v>
      </c>
      <c r="AT17" s="19">
        <v>44852</v>
      </c>
      <c r="AU17" s="19">
        <v>44855</v>
      </c>
      <c r="AV17" s="19">
        <v>44858</v>
      </c>
      <c r="AW17" s="19"/>
      <c r="AX17" s="19"/>
      <c r="AY17" s="19"/>
      <c r="AZ17" s="19">
        <v>44985</v>
      </c>
      <c r="BA17" s="20" t="s">
        <v>65</v>
      </c>
      <c r="BB17" s="19"/>
      <c r="BC17" s="1" t="s">
        <v>7</v>
      </c>
    </row>
    <row r="18" spans="2:55" x14ac:dyDescent="0.2">
      <c r="B18" s="6">
        <v>1</v>
      </c>
      <c r="D18" s="8" t="s">
        <v>1</v>
      </c>
      <c r="E18" s="2" t="s">
        <v>122</v>
      </c>
      <c r="F18" s="4" t="s">
        <v>123</v>
      </c>
      <c r="G18" s="3" t="s">
        <v>102</v>
      </c>
      <c r="H18" s="4" t="s">
        <v>124</v>
      </c>
      <c r="I18" s="3">
        <v>889100</v>
      </c>
      <c r="J18" s="3" t="s">
        <v>56</v>
      </c>
      <c r="K18" s="5" t="s">
        <v>57</v>
      </c>
      <c r="L18" s="5"/>
      <c r="M18" s="5"/>
      <c r="N18" s="5"/>
      <c r="O18" s="5"/>
      <c r="P18" s="5"/>
      <c r="Q18" s="5"/>
      <c r="S18" s="16"/>
      <c r="T18" s="3"/>
      <c r="U18" s="7"/>
      <c r="V18" s="7"/>
      <c r="W18" s="17"/>
      <c r="X18" s="7"/>
      <c r="Y18" s="7"/>
      <c r="AA18" s="5" t="s">
        <v>59</v>
      </c>
      <c r="AB18" s="7"/>
      <c r="AC18" s="9" t="s">
        <v>60</v>
      </c>
      <c r="AD18" s="9" t="s">
        <v>60</v>
      </c>
      <c r="AE18" s="7" t="s">
        <v>61</v>
      </c>
      <c r="AF18" s="7"/>
      <c r="AG18" s="5"/>
      <c r="AI18" s="21">
        <v>1032</v>
      </c>
      <c r="AJ18" s="21" t="s">
        <v>203</v>
      </c>
      <c r="AK18" s="3" t="s">
        <v>63</v>
      </c>
      <c r="AL18" s="17" t="s">
        <v>52</v>
      </c>
      <c r="AM18" s="18">
        <v>44641</v>
      </c>
      <c r="AN18" s="18">
        <v>44641</v>
      </c>
      <c r="AO18" s="18" t="s">
        <v>64</v>
      </c>
      <c r="AP18" s="18" t="s">
        <v>64</v>
      </c>
      <c r="AQ18" s="19">
        <v>44651</v>
      </c>
      <c r="AR18" s="19">
        <v>44662</v>
      </c>
      <c r="AS18" s="19" t="s">
        <v>64</v>
      </c>
      <c r="AT18" s="19" t="s">
        <v>64</v>
      </c>
      <c r="AU18" s="19" t="s">
        <v>64</v>
      </c>
      <c r="AV18" s="19">
        <v>44677</v>
      </c>
      <c r="AW18" s="19"/>
      <c r="AX18" s="19"/>
      <c r="AY18" s="19"/>
      <c r="AZ18" s="19">
        <v>44957</v>
      </c>
      <c r="BA18" s="20" t="s">
        <v>65</v>
      </c>
      <c r="BB18" s="19"/>
      <c r="BC18" s="1" t="s">
        <v>7</v>
      </c>
    </row>
    <row r="19" spans="2:55" x14ac:dyDescent="0.2">
      <c r="B19" s="6">
        <v>1</v>
      </c>
      <c r="D19" s="8" t="s">
        <v>1</v>
      </c>
      <c r="E19" s="2" t="s">
        <v>125</v>
      </c>
      <c r="F19" s="4" t="s">
        <v>126</v>
      </c>
      <c r="G19" s="3" t="s">
        <v>108</v>
      </c>
      <c r="H19" s="4" t="s">
        <v>109</v>
      </c>
      <c r="I19" s="3">
        <v>301000</v>
      </c>
      <c r="J19" s="3" t="s">
        <v>110</v>
      </c>
      <c r="K19" s="5" t="s">
        <v>111</v>
      </c>
      <c r="L19" s="5"/>
      <c r="M19" s="5" t="s">
        <v>112</v>
      </c>
      <c r="N19" s="5" t="s">
        <v>113</v>
      </c>
      <c r="O19" s="5"/>
      <c r="P19" s="5"/>
      <c r="Q19" s="5"/>
      <c r="S19" s="16" t="s">
        <v>76</v>
      </c>
      <c r="T19" s="3">
        <v>2019</v>
      </c>
      <c r="U19" s="7">
        <v>62.588999999999999</v>
      </c>
      <c r="V19" s="7">
        <v>1.6459999999999999</v>
      </c>
      <c r="W19" s="17">
        <v>2.6298550863570275E-2</v>
      </c>
      <c r="X19" s="7">
        <v>0.17</v>
      </c>
      <c r="Y19" s="7">
        <v>-2.0659999999999998</v>
      </c>
      <c r="AA19" s="5" t="s">
        <v>59</v>
      </c>
      <c r="AB19" s="7"/>
      <c r="AC19" s="9" t="s">
        <v>77</v>
      </c>
      <c r="AD19" s="9" t="s">
        <v>77</v>
      </c>
      <c r="AE19" s="7" t="s">
        <v>78</v>
      </c>
      <c r="AF19" s="7" t="s">
        <v>127</v>
      </c>
      <c r="AG19" s="5"/>
      <c r="AH19" s="228">
        <v>1</v>
      </c>
      <c r="AI19" s="21">
        <v>900</v>
      </c>
      <c r="AJ19" s="21" t="s">
        <v>203</v>
      </c>
      <c r="AK19" s="3" t="s">
        <v>100</v>
      </c>
      <c r="AL19" s="17" t="s">
        <v>52</v>
      </c>
      <c r="AM19" s="18">
        <v>44773</v>
      </c>
      <c r="AN19" s="18">
        <v>44408</v>
      </c>
      <c r="AO19" s="18" t="s">
        <v>64</v>
      </c>
      <c r="AP19" s="18" t="s">
        <v>64</v>
      </c>
      <c r="AQ19" s="19">
        <v>44896</v>
      </c>
      <c r="AR19" s="19" t="s">
        <v>64</v>
      </c>
      <c r="AS19" s="19" t="s">
        <v>64</v>
      </c>
      <c r="AT19" s="19" t="s">
        <v>64</v>
      </c>
      <c r="AU19" s="19" t="s">
        <v>64</v>
      </c>
      <c r="AV19" s="19">
        <v>45029</v>
      </c>
      <c r="AW19" s="19"/>
      <c r="AX19" s="19"/>
      <c r="AY19" s="19"/>
      <c r="AZ19" s="19">
        <v>45086</v>
      </c>
      <c r="BA19" s="20" t="s">
        <v>65</v>
      </c>
      <c r="BB19" s="19"/>
      <c r="BC19" s="1" t="s">
        <v>7</v>
      </c>
    </row>
    <row r="20" spans="2:55" collapsed="1" x14ac:dyDescent="0.2">
      <c r="B20" s="6">
        <v>1</v>
      </c>
      <c r="D20" s="8" t="s">
        <v>1</v>
      </c>
      <c r="E20" s="8" t="s">
        <v>128</v>
      </c>
      <c r="F20" s="4"/>
      <c r="G20" s="3" t="s">
        <v>129</v>
      </c>
      <c r="H20" s="4" t="s">
        <v>130</v>
      </c>
      <c r="I20" s="3">
        <v>522910</v>
      </c>
      <c r="J20" s="3" t="s">
        <v>131</v>
      </c>
      <c r="K20" s="5" t="s">
        <v>132</v>
      </c>
      <c r="L20" s="5" t="s">
        <v>133</v>
      </c>
      <c r="M20" s="5"/>
      <c r="N20" s="5"/>
      <c r="O20" s="5"/>
      <c r="P20" s="5"/>
      <c r="Q20" s="5"/>
      <c r="S20" s="16" t="s">
        <v>76</v>
      </c>
      <c r="T20" s="3">
        <v>2019</v>
      </c>
      <c r="U20" s="7">
        <v>29.07</v>
      </c>
      <c r="V20" s="7">
        <v>2.25</v>
      </c>
      <c r="W20" s="17">
        <v>7.7399380804953566E-2</v>
      </c>
      <c r="X20" s="7">
        <v>1.51</v>
      </c>
      <c r="Y20" s="7">
        <v>-0.21</v>
      </c>
      <c r="AA20" s="5" t="s">
        <v>59</v>
      </c>
      <c r="AB20" s="5"/>
      <c r="AC20" s="9" t="s">
        <v>77</v>
      </c>
      <c r="AD20" s="7" t="s">
        <v>77</v>
      </c>
      <c r="AE20" s="7" t="s">
        <v>61</v>
      </c>
      <c r="AF20" s="7" t="s">
        <v>127</v>
      </c>
      <c r="AG20" s="5"/>
      <c r="AI20" s="21">
        <v>1431</v>
      </c>
      <c r="AJ20" s="21" t="s">
        <v>203</v>
      </c>
      <c r="AK20" s="3" t="s">
        <v>100</v>
      </c>
      <c r="AL20" s="17" t="s">
        <v>52</v>
      </c>
      <c r="AM20" s="18">
        <v>44242</v>
      </c>
      <c r="AN20" s="18">
        <v>44242</v>
      </c>
      <c r="AO20" s="18" t="s">
        <v>64</v>
      </c>
      <c r="AP20" s="18">
        <v>44242</v>
      </c>
      <c r="AQ20" s="19">
        <v>44249</v>
      </c>
      <c r="AR20" s="19">
        <v>44305</v>
      </c>
      <c r="AS20" s="19">
        <v>44985</v>
      </c>
      <c r="AT20" s="19">
        <v>45023</v>
      </c>
      <c r="AU20" s="19" t="s">
        <v>64</v>
      </c>
      <c r="AV20" s="19">
        <v>45043</v>
      </c>
      <c r="AW20" s="19"/>
      <c r="AX20" s="19"/>
      <c r="AY20" s="19"/>
      <c r="AZ20" s="19">
        <v>45174</v>
      </c>
      <c r="BA20" s="20" t="s">
        <v>65</v>
      </c>
      <c r="BB20" s="19"/>
      <c r="BC20" s="1" t="s">
        <v>7</v>
      </c>
    </row>
    <row r="21" spans="2:55" x14ac:dyDescent="0.2">
      <c r="B21" s="6">
        <v>1</v>
      </c>
      <c r="D21" s="8" t="s">
        <v>1</v>
      </c>
      <c r="E21" s="8" t="s">
        <v>134</v>
      </c>
      <c r="F21" s="3" t="s">
        <v>135</v>
      </c>
      <c r="G21" s="3" t="s">
        <v>136</v>
      </c>
      <c r="H21" s="4" t="s">
        <v>137</v>
      </c>
      <c r="I21" s="3">
        <v>889100</v>
      </c>
      <c r="J21" s="3" t="s">
        <v>56</v>
      </c>
      <c r="K21" s="5" t="s">
        <v>57</v>
      </c>
      <c r="L21" s="5" t="s">
        <v>138</v>
      </c>
      <c r="M21" s="5"/>
      <c r="N21" s="5"/>
      <c r="O21" s="5"/>
      <c r="P21" s="5"/>
      <c r="Q21" s="5"/>
      <c r="S21" s="16" t="s">
        <v>76</v>
      </c>
      <c r="T21" s="3">
        <v>2020</v>
      </c>
      <c r="U21" s="7">
        <v>1.0840000000000001</v>
      </c>
      <c r="V21" s="7">
        <v>8.5000000000000006E-2</v>
      </c>
      <c r="W21" s="17">
        <v>7.8413284132841335E-2</v>
      </c>
      <c r="X21" s="7">
        <v>-6.5000000000000002E-2</v>
      </c>
      <c r="Y21" s="7">
        <v>-0.56100000000000005</v>
      </c>
      <c r="AA21" s="5" t="s">
        <v>139</v>
      </c>
      <c r="AB21" s="7"/>
      <c r="AC21" s="9" t="s">
        <v>60</v>
      </c>
      <c r="AD21" s="7" t="s">
        <v>60</v>
      </c>
      <c r="AE21" s="7" t="s">
        <v>61</v>
      </c>
      <c r="AF21" s="7"/>
      <c r="AG21" s="5"/>
      <c r="AI21" s="21">
        <v>972</v>
      </c>
      <c r="AJ21" s="21" t="s">
        <v>203</v>
      </c>
      <c r="AK21" s="3" t="s">
        <v>86</v>
      </c>
      <c r="AL21" s="17" t="s">
        <v>52</v>
      </c>
      <c r="AM21" s="18">
        <v>44701</v>
      </c>
      <c r="AN21" s="18">
        <v>44701</v>
      </c>
      <c r="AO21" s="18" t="s">
        <v>64</v>
      </c>
      <c r="AP21" s="18">
        <v>44704</v>
      </c>
      <c r="AQ21" s="19">
        <v>44707</v>
      </c>
      <c r="AR21" s="19" t="s">
        <v>64</v>
      </c>
      <c r="AS21" s="19">
        <v>44727</v>
      </c>
      <c r="AT21" s="19">
        <v>44741</v>
      </c>
      <c r="AU21" s="19">
        <v>44771</v>
      </c>
      <c r="AV21" s="19">
        <v>44777</v>
      </c>
      <c r="AW21" s="19"/>
      <c r="AX21" s="19"/>
      <c r="AY21" s="19"/>
      <c r="AZ21" s="19">
        <v>45209</v>
      </c>
      <c r="BA21" s="20" t="s">
        <v>65</v>
      </c>
      <c r="BB21" s="19"/>
      <c r="BC21" s="1" t="s">
        <v>7</v>
      </c>
    </row>
    <row r="22" spans="2:55" x14ac:dyDescent="0.2">
      <c r="B22" s="6">
        <v>1</v>
      </c>
      <c r="D22" s="8" t="s">
        <v>1</v>
      </c>
      <c r="E22" s="8" t="s">
        <v>176</v>
      </c>
      <c r="F22" s="3" t="s">
        <v>177</v>
      </c>
      <c r="G22" s="3" t="s">
        <v>158</v>
      </c>
      <c r="H22" s="4" t="s">
        <v>178</v>
      </c>
      <c r="I22" s="11">
        <v>852000</v>
      </c>
      <c r="J22" s="3" t="s">
        <v>56</v>
      </c>
      <c r="K22" s="5" t="s">
        <v>57</v>
      </c>
      <c r="L22" s="5" t="s">
        <v>179</v>
      </c>
      <c r="M22" s="5"/>
      <c r="N22" s="5"/>
      <c r="O22" s="5"/>
      <c r="P22" s="5"/>
      <c r="Q22" s="5"/>
      <c r="S22" s="16" t="s">
        <v>76</v>
      </c>
      <c r="T22" s="3">
        <v>2021</v>
      </c>
      <c r="U22" s="7">
        <v>0.84599999999999997</v>
      </c>
      <c r="V22" s="7">
        <v>8.3000000000000004E-2</v>
      </c>
      <c r="W22" s="26">
        <v>9.8108747044917261E-2</v>
      </c>
      <c r="X22" s="7">
        <v>3.1E-2</v>
      </c>
      <c r="Y22" s="7">
        <v>-0.246</v>
      </c>
      <c r="AA22" s="5" t="s">
        <v>139</v>
      </c>
      <c r="AB22" s="7"/>
      <c r="AC22" s="9" t="s">
        <v>60</v>
      </c>
      <c r="AD22" s="9" t="s">
        <v>60</v>
      </c>
      <c r="AE22" s="7" t="s">
        <v>61</v>
      </c>
      <c r="AF22" s="7" t="s">
        <v>127</v>
      </c>
      <c r="AG22" s="5"/>
      <c r="AI22" s="21">
        <v>972</v>
      </c>
      <c r="AJ22" s="21" t="s">
        <v>203</v>
      </c>
      <c r="AK22" s="3" t="s">
        <v>86</v>
      </c>
      <c r="AL22" s="17" t="s">
        <v>52</v>
      </c>
      <c r="AM22" s="18">
        <v>44701</v>
      </c>
      <c r="AN22" s="18">
        <v>44701</v>
      </c>
      <c r="AO22" s="18" t="s">
        <v>64</v>
      </c>
      <c r="AP22" s="18">
        <v>44701</v>
      </c>
      <c r="AQ22" s="19">
        <v>44707</v>
      </c>
      <c r="AR22" s="19">
        <v>44819</v>
      </c>
      <c r="AS22" s="19">
        <v>44851</v>
      </c>
      <c r="AT22" s="19">
        <v>44853</v>
      </c>
      <c r="AU22" s="19">
        <v>44963</v>
      </c>
      <c r="AV22" s="19">
        <v>44992</v>
      </c>
      <c r="AW22" s="19"/>
      <c r="AX22" s="19"/>
      <c r="AY22" s="19"/>
      <c r="AZ22" s="19">
        <v>45278</v>
      </c>
      <c r="BA22" s="20" t="s">
        <v>65</v>
      </c>
      <c r="BB22" s="19"/>
      <c r="BC22" s="1" t="s">
        <v>7</v>
      </c>
    </row>
    <row r="23" spans="2:55" x14ac:dyDescent="0.2">
      <c r="B23" s="6">
        <v>1</v>
      </c>
      <c r="D23" s="8" t="s">
        <v>1</v>
      </c>
      <c r="E23" s="2" t="s">
        <v>193</v>
      </c>
      <c r="F23" s="4" t="s">
        <v>194</v>
      </c>
      <c r="G23" s="3" t="s">
        <v>195</v>
      </c>
      <c r="H23" s="4" t="s">
        <v>196</v>
      </c>
      <c r="I23" s="3"/>
      <c r="J23" s="3" t="s">
        <v>104</v>
      </c>
      <c r="K23" s="5" t="s">
        <v>197</v>
      </c>
      <c r="L23" s="5" t="s">
        <v>198</v>
      </c>
      <c r="M23" s="5"/>
      <c r="N23" s="5"/>
      <c r="O23" s="5"/>
      <c r="P23" s="5"/>
      <c r="Q23" s="5"/>
      <c r="S23" s="16" t="s">
        <v>76</v>
      </c>
      <c r="T23" s="3">
        <v>2020</v>
      </c>
      <c r="U23" s="7">
        <v>4.8440000000000003</v>
      </c>
      <c r="V23" s="7">
        <v>0.69299999999999995</v>
      </c>
      <c r="W23" s="17">
        <v>0.14306358381502887</v>
      </c>
      <c r="X23" s="7">
        <v>0.59099999999999997</v>
      </c>
      <c r="Y23" s="7" t="s">
        <v>199</v>
      </c>
      <c r="AA23" s="5" t="s">
        <v>200</v>
      </c>
      <c r="AB23" s="7" t="s">
        <v>201</v>
      </c>
      <c r="AC23" s="9" t="s">
        <v>77</v>
      </c>
      <c r="AD23" s="9" t="s">
        <v>77</v>
      </c>
      <c r="AE23" s="27" t="s">
        <v>127</v>
      </c>
      <c r="AF23" s="7"/>
      <c r="AG23" s="5"/>
      <c r="AI23" s="21">
        <v>819</v>
      </c>
      <c r="AJ23" s="21" t="s">
        <v>203</v>
      </c>
      <c r="AK23" s="3" t="s">
        <v>86</v>
      </c>
      <c r="AL23" s="17" t="s">
        <v>52</v>
      </c>
      <c r="AM23" s="18">
        <v>44854</v>
      </c>
      <c r="AN23" s="59">
        <v>44854</v>
      </c>
      <c r="AO23" s="18" t="s">
        <v>64</v>
      </c>
      <c r="AP23" s="18">
        <v>44854</v>
      </c>
      <c r="AQ23" s="19">
        <v>44854</v>
      </c>
      <c r="AR23" s="19">
        <v>44861</v>
      </c>
      <c r="AS23" s="19">
        <v>44867</v>
      </c>
      <c r="AT23" s="19">
        <v>44881</v>
      </c>
      <c r="AU23" s="19">
        <v>44897</v>
      </c>
      <c r="AV23" s="19">
        <v>44938</v>
      </c>
      <c r="AW23" s="19">
        <v>45673</v>
      </c>
      <c r="AX23" s="19"/>
      <c r="AY23" s="19"/>
      <c r="AZ23" s="19">
        <v>45260</v>
      </c>
      <c r="BA23" s="20" t="s">
        <v>65</v>
      </c>
      <c r="BB23" s="19"/>
      <c r="BC23" s="1" t="s">
        <v>7</v>
      </c>
    </row>
    <row r="24" spans="2:55" x14ac:dyDescent="0.2">
      <c r="B24" s="6">
        <v>1</v>
      </c>
      <c r="D24" s="8" t="s">
        <v>1</v>
      </c>
      <c r="E24" s="8" t="s">
        <v>181</v>
      </c>
      <c r="F24" s="3" t="s">
        <v>182</v>
      </c>
      <c r="G24" s="3" t="s">
        <v>183</v>
      </c>
      <c r="H24" s="4"/>
      <c r="I24" s="3"/>
      <c r="J24" s="3" t="s">
        <v>184</v>
      </c>
      <c r="K24" s="5" t="s">
        <v>185</v>
      </c>
      <c r="L24" s="5" t="s">
        <v>186</v>
      </c>
      <c r="M24" s="5"/>
      <c r="N24" s="5"/>
      <c r="O24" s="5"/>
      <c r="P24" s="5"/>
      <c r="Q24" s="5"/>
      <c r="S24" s="16" t="s">
        <v>76</v>
      </c>
      <c r="T24" s="3">
        <v>2022</v>
      </c>
      <c r="U24" s="7">
        <v>13.298</v>
      </c>
      <c r="V24" s="7">
        <v>1.76</v>
      </c>
      <c r="W24" s="17">
        <v>0.13235072943299744</v>
      </c>
      <c r="X24" s="7">
        <v>0.94499999999999995</v>
      </c>
      <c r="Y24" s="7">
        <v>-4.9859999999999998</v>
      </c>
      <c r="AA24" s="5" t="s">
        <v>98</v>
      </c>
      <c r="AB24" s="7" t="s">
        <v>187</v>
      </c>
      <c r="AC24" s="9" t="s">
        <v>152</v>
      </c>
      <c r="AD24" s="9" t="s">
        <v>152</v>
      </c>
      <c r="AE24" s="7"/>
      <c r="AF24" s="7"/>
      <c r="AG24" s="5"/>
      <c r="AI24" s="21">
        <v>615</v>
      </c>
      <c r="AJ24" s="21" t="s">
        <v>203</v>
      </c>
      <c r="AK24" s="3" t="s">
        <v>63</v>
      </c>
      <c r="AL24" s="17" t="s">
        <v>52</v>
      </c>
      <c r="AM24" s="18">
        <v>45058</v>
      </c>
      <c r="AN24" s="18">
        <v>45058</v>
      </c>
      <c r="AO24" s="18" t="s">
        <v>64</v>
      </c>
      <c r="AP24" s="18">
        <v>45058</v>
      </c>
      <c r="AQ24" s="19">
        <v>45058</v>
      </c>
      <c r="AR24" s="19">
        <v>45077</v>
      </c>
      <c r="AS24" s="19" t="s">
        <v>64</v>
      </c>
      <c r="AT24" s="19" t="s">
        <v>64</v>
      </c>
      <c r="AU24" s="19" t="s">
        <v>64</v>
      </c>
      <c r="AV24" s="19">
        <v>45117</v>
      </c>
      <c r="AW24" s="19">
        <v>45673</v>
      </c>
      <c r="AX24" s="19"/>
      <c r="AY24" s="19"/>
      <c r="AZ24" s="19">
        <v>45327</v>
      </c>
      <c r="BA24" s="20"/>
      <c r="BB24" s="19"/>
      <c r="BC24" s="1" t="s">
        <v>7</v>
      </c>
    </row>
    <row r="25" spans="2:55" collapsed="1" x14ac:dyDescent="0.2">
      <c r="B25" s="6">
        <v>1</v>
      </c>
      <c r="D25" s="8" t="s">
        <v>1</v>
      </c>
      <c r="E25" s="8" t="s">
        <v>217</v>
      </c>
      <c r="F25" s="3"/>
      <c r="G25" s="3" t="s">
        <v>67</v>
      </c>
      <c r="H25" s="4" t="s">
        <v>180</v>
      </c>
      <c r="I25" s="3">
        <v>642000</v>
      </c>
      <c r="J25" s="3" t="s">
        <v>82</v>
      </c>
      <c r="K25" s="5" t="s">
        <v>83</v>
      </c>
      <c r="L25" s="5" t="s">
        <v>84</v>
      </c>
      <c r="M25" s="5"/>
      <c r="N25" s="5"/>
      <c r="O25" s="5"/>
      <c r="P25" s="5"/>
      <c r="Q25" s="5"/>
      <c r="S25" s="16" t="s">
        <v>76</v>
      </c>
      <c r="T25" s="3">
        <v>2020</v>
      </c>
      <c r="U25" s="44">
        <v>2.5579999999999998</v>
      </c>
      <c r="V25" s="7">
        <v>0.127</v>
      </c>
      <c r="W25" s="17">
        <v>4.9648162627052392E-2</v>
      </c>
      <c r="X25" s="7">
        <v>5.0000000000000001E-3</v>
      </c>
      <c r="Y25" s="7">
        <v>1.7390000000000001</v>
      </c>
      <c r="AA25" s="5" t="s">
        <v>59</v>
      </c>
      <c r="AB25" s="7"/>
      <c r="AC25" s="9" t="s">
        <v>60</v>
      </c>
      <c r="AD25" s="9" t="s">
        <v>60</v>
      </c>
      <c r="AE25" s="7" t="s">
        <v>78</v>
      </c>
      <c r="AF25" s="7" t="s">
        <v>127</v>
      </c>
      <c r="AG25" s="5" t="s">
        <v>316</v>
      </c>
      <c r="AI25" s="21">
        <v>1224</v>
      </c>
      <c r="AJ25" s="21" t="s">
        <v>203</v>
      </c>
      <c r="AK25" s="301" t="s">
        <v>63</v>
      </c>
      <c r="AL25" s="17" t="s">
        <v>52</v>
      </c>
      <c r="AM25" s="18">
        <v>44449</v>
      </c>
      <c r="AN25" s="18">
        <v>44449</v>
      </c>
      <c r="AO25" s="18">
        <v>44449</v>
      </c>
      <c r="AP25" s="18">
        <v>44449</v>
      </c>
      <c r="AQ25" s="19">
        <v>44449</v>
      </c>
      <c r="AR25" s="19" t="s">
        <v>64</v>
      </c>
      <c r="AS25" s="19">
        <v>45236</v>
      </c>
      <c r="AT25" s="19">
        <v>45245</v>
      </c>
      <c r="AU25" s="19">
        <v>45320</v>
      </c>
      <c r="AV25" s="19">
        <v>45320</v>
      </c>
      <c r="AW25" s="19">
        <v>45673</v>
      </c>
      <c r="AX25" s="19"/>
      <c r="AY25" s="19"/>
      <c r="AZ25" s="19">
        <v>45433</v>
      </c>
      <c r="BA25" s="20" t="s">
        <v>65</v>
      </c>
      <c r="BB25" s="19"/>
      <c r="BC25" s="1" t="s">
        <v>7</v>
      </c>
    </row>
    <row r="26" spans="2:55" x14ac:dyDescent="0.2">
      <c r="B26" s="6">
        <v>1</v>
      </c>
      <c r="D26" s="8" t="s">
        <v>1</v>
      </c>
      <c r="E26" s="8" t="s">
        <v>144</v>
      </c>
      <c r="F26" s="3" t="s">
        <v>145</v>
      </c>
      <c r="G26" s="3" t="s">
        <v>146</v>
      </c>
      <c r="H26" s="4" t="s">
        <v>147</v>
      </c>
      <c r="I26" s="3"/>
      <c r="J26" s="3" t="s">
        <v>148</v>
      </c>
      <c r="K26" s="5" t="s">
        <v>149</v>
      </c>
      <c r="L26" s="5" t="s">
        <v>150</v>
      </c>
      <c r="M26" s="5" t="s">
        <v>455</v>
      </c>
      <c r="N26" s="5"/>
      <c r="O26" s="5" t="s">
        <v>456</v>
      </c>
      <c r="P26" s="5" t="s">
        <v>457</v>
      </c>
      <c r="Q26" s="5" t="s">
        <v>458</v>
      </c>
      <c r="S26" s="16" t="s">
        <v>76</v>
      </c>
      <c r="T26" s="3">
        <v>2023</v>
      </c>
      <c r="U26" s="44">
        <v>5650</v>
      </c>
      <c r="V26" s="7">
        <v>1792.3209999999999</v>
      </c>
      <c r="W26" s="17">
        <v>0.31722495575221238</v>
      </c>
      <c r="X26" s="7">
        <v>1275</v>
      </c>
      <c r="Y26" s="7">
        <v>-0.84099999999999997</v>
      </c>
      <c r="AA26" s="5" t="s">
        <v>98</v>
      </c>
      <c r="AB26" s="7" t="s">
        <v>151</v>
      </c>
      <c r="AC26" s="9" t="s">
        <v>152</v>
      </c>
      <c r="AD26" s="9" t="s">
        <v>152</v>
      </c>
      <c r="AE26" s="7" t="s">
        <v>153</v>
      </c>
      <c r="AF26" s="7" t="s">
        <v>154</v>
      </c>
      <c r="AG26" s="5"/>
      <c r="AI26" s="21">
        <v>1660</v>
      </c>
      <c r="AJ26" s="21" t="s">
        <v>203</v>
      </c>
      <c r="AK26" s="3" t="s">
        <v>303</v>
      </c>
      <c r="AL26" s="17" t="s">
        <v>52</v>
      </c>
      <c r="AM26" s="18">
        <v>44013</v>
      </c>
      <c r="AN26" s="18">
        <v>44013</v>
      </c>
      <c r="AO26" s="18" t="s">
        <v>64</v>
      </c>
      <c r="AP26" s="18">
        <v>44075</v>
      </c>
      <c r="AQ26" s="19">
        <v>44075</v>
      </c>
      <c r="AR26" s="19">
        <v>44103</v>
      </c>
      <c r="AS26" s="19">
        <v>44105</v>
      </c>
      <c r="AT26" s="19">
        <v>44105</v>
      </c>
      <c r="AU26" s="19" t="s">
        <v>64</v>
      </c>
      <c r="AV26" s="19">
        <v>44159</v>
      </c>
      <c r="AW26" s="19">
        <v>45673</v>
      </c>
      <c r="AX26" s="19"/>
      <c r="AY26" s="19"/>
      <c r="AZ26" s="19">
        <v>45502</v>
      </c>
      <c r="BA26" s="20"/>
      <c r="BB26" s="19"/>
      <c r="BC26" s="1" t="s">
        <v>7</v>
      </c>
    </row>
    <row r="27" spans="2:55" x14ac:dyDescent="0.2">
      <c r="B27" s="6">
        <v>1</v>
      </c>
      <c r="D27" s="8" t="s">
        <v>1</v>
      </c>
      <c r="E27" s="8" t="s">
        <v>188</v>
      </c>
      <c r="F27" s="3" t="s">
        <v>296</v>
      </c>
      <c r="G27" s="3" t="s">
        <v>189</v>
      </c>
      <c r="H27" s="4" t="s">
        <v>190</v>
      </c>
      <c r="I27" s="3">
        <v>852000</v>
      </c>
      <c r="J27" s="3" t="s">
        <v>56</v>
      </c>
      <c r="K27" s="5" t="s">
        <v>191</v>
      </c>
      <c r="L27" s="5" t="s">
        <v>192</v>
      </c>
      <c r="M27" s="5" t="s">
        <v>448</v>
      </c>
      <c r="N27" s="5" t="s">
        <v>449</v>
      </c>
      <c r="O27" s="5"/>
      <c r="P27" s="5" t="s">
        <v>192</v>
      </c>
      <c r="Q27" s="5"/>
      <c r="S27" s="16" t="s">
        <v>76</v>
      </c>
      <c r="T27" s="3">
        <v>2023</v>
      </c>
      <c r="U27" s="7">
        <v>2.6850000000000001</v>
      </c>
      <c r="V27" s="7">
        <v>0.58499999999999996</v>
      </c>
      <c r="W27" s="17">
        <v>0.21787709497206703</v>
      </c>
      <c r="X27" s="7">
        <v>0</v>
      </c>
      <c r="Y27" s="7">
        <v>0</v>
      </c>
      <c r="AA27" s="5" t="s">
        <v>139</v>
      </c>
      <c r="AB27" s="7"/>
      <c r="AC27" s="9" t="s">
        <v>60</v>
      </c>
      <c r="AD27" s="9" t="s">
        <v>60</v>
      </c>
      <c r="AE27" s="7" t="s">
        <v>61</v>
      </c>
      <c r="AF27" s="7" t="s">
        <v>127</v>
      </c>
      <c r="AG27" s="5"/>
      <c r="AI27" s="21">
        <v>779</v>
      </c>
      <c r="AJ27" s="21" t="s">
        <v>203</v>
      </c>
      <c r="AK27" s="195" t="s">
        <v>86</v>
      </c>
      <c r="AL27" s="17" t="s">
        <v>52</v>
      </c>
      <c r="AM27" s="18">
        <v>44894</v>
      </c>
      <c r="AN27" s="18">
        <v>44894</v>
      </c>
      <c r="AO27" s="18" t="s">
        <v>64</v>
      </c>
      <c r="AP27" s="18">
        <v>44895</v>
      </c>
      <c r="AQ27" s="19">
        <v>44951</v>
      </c>
      <c r="AR27" s="19">
        <v>45014</v>
      </c>
      <c r="AS27" s="19">
        <v>45084</v>
      </c>
      <c r="AT27" s="19">
        <v>45131</v>
      </c>
      <c r="AU27" s="19">
        <v>45139</v>
      </c>
      <c r="AV27" s="19">
        <v>45147</v>
      </c>
      <c r="AW27" s="19">
        <v>45673</v>
      </c>
      <c r="AX27" s="19"/>
      <c r="AY27" s="19"/>
      <c r="AZ27" s="19">
        <v>45477</v>
      </c>
      <c r="BA27" s="20"/>
      <c r="BB27" s="19"/>
      <c r="BC27" s="1" t="s">
        <v>7</v>
      </c>
    </row>
    <row r="28" spans="2:55" x14ac:dyDescent="0.2">
      <c r="B28" s="6">
        <v>1</v>
      </c>
      <c r="D28" s="8" t="s">
        <v>1</v>
      </c>
      <c r="E28" s="8" t="s">
        <v>163</v>
      </c>
      <c r="F28" s="3" t="s">
        <v>164</v>
      </c>
      <c r="G28" s="3" t="s">
        <v>165</v>
      </c>
      <c r="H28" s="4" t="s">
        <v>166</v>
      </c>
      <c r="I28" s="3">
        <v>283090</v>
      </c>
      <c r="J28" s="3" t="s">
        <v>110</v>
      </c>
      <c r="K28" s="5" t="s">
        <v>167</v>
      </c>
      <c r="L28" s="5" t="s">
        <v>168</v>
      </c>
      <c r="M28" s="5" t="s">
        <v>462</v>
      </c>
      <c r="N28" s="5" t="s">
        <v>463</v>
      </c>
      <c r="O28" s="5" t="s">
        <v>459</v>
      </c>
      <c r="P28" s="5" t="s">
        <v>460</v>
      </c>
      <c r="Q28" s="5" t="s">
        <v>461</v>
      </c>
      <c r="S28" s="16" t="s">
        <v>76</v>
      </c>
      <c r="T28" s="3">
        <v>2023</v>
      </c>
      <c r="U28" s="7">
        <v>425.13</v>
      </c>
      <c r="V28" s="7">
        <v>64.201999999999998</v>
      </c>
      <c r="W28" s="17">
        <v>0.15101733587373273</v>
      </c>
      <c r="X28" s="7">
        <v>25.631</v>
      </c>
      <c r="Y28" s="7">
        <v>116.723</v>
      </c>
      <c r="AA28" s="5" t="s">
        <v>98</v>
      </c>
      <c r="AB28" s="7" t="s">
        <v>169</v>
      </c>
      <c r="AC28" s="9" t="s">
        <v>152</v>
      </c>
      <c r="AD28" s="9" t="s">
        <v>152</v>
      </c>
      <c r="AE28" s="7" t="s">
        <v>153</v>
      </c>
      <c r="AF28" s="7" t="s">
        <v>154</v>
      </c>
      <c r="AG28" s="5"/>
      <c r="AI28" s="21">
        <v>565</v>
      </c>
      <c r="AJ28" s="21" t="s">
        <v>203</v>
      </c>
      <c r="AK28" s="3" t="s">
        <v>303</v>
      </c>
      <c r="AL28" s="17" t="s">
        <v>52</v>
      </c>
      <c r="AM28" s="18">
        <v>45108</v>
      </c>
      <c r="AN28" s="18">
        <v>45108</v>
      </c>
      <c r="AO28" s="18" t="s">
        <v>64</v>
      </c>
      <c r="AP28" s="18" t="s">
        <v>64</v>
      </c>
      <c r="AQ28" s="19">
        <v>45108</v>
      </c>
      <c r="AR28" s="19" t="s">
        <v>64</v>
      </c>
      <c r="AS28" s="19" t="s">
        <v>64</v>
      </c>
      <c r="AT28" s="19" t="s">
        <v>64</v>
      </c>
      <c r="AU28" s="19" t="s">
        <v>64</v>
      </c>
      <c r="AV28" s="19">
        <v>44859</v>
      </c>
      <c r="AW28" s="19">
        <v>45673</v>
      </c>
      <c r="AX28" s="19"/>
      <c r="AY28" s="19"/>
      <c r="AZ28" s="19">
        <v>45614</v>
      </c>
      <c r="BA28" s="20"/>
      <c r="BB28" s="19"/>
      <c r="BC28" s="1" t="s">
        <v>7</v>
      </c>
    </row>
    <row r="29" spans="2:55" x14ac:dyDescent="0.2">
      <c r="B29" s="6">
        <v>2</v>
      </c>
      <c r="C29" s="43">
        <v>7</v>
      </c>
      <c r="D29" s="8" t="s">
        <v>2</v>
      </c>
      <c r="E29" s="2" t="s">
        <v>140</v>
      </c>
      <c r="F29" s="4" t="s">
        <v>141</v>
      </c>
      <c r="G29" s="3" t="s">
        <v>102</v>
      </c>
      <c r="H29" s="4" t="s">
        <v>512</v>
      </c>
      <c r="I29" s="3">
        <v>522921</v>
      </c>
      <c r="J29" s="3" t="s">
        <v>131</v>
      </c>
      <c r="K29" s="5" t="s">
        <v>142</v>
      </c>
      <c r="L29" s="5"/>
      <c r="M29" s="5" t="s">
        <v>447</v>
      </c>
      <c r="N29" s="5" t="s">
        <v>276</v>
      </c>
      <c r="O29" s="5" t="s">
        <v>447</v>
      </c>
      <c r="P29" s="5"/>
      <c r="Q29" s="5" t="s">
        <v>513</v>
      </c>
      <c r="S29" s="16" t="s">
        <v>143</v>
      </c>
      <c r="T29" s="3">
        <v>2022</v>
      </c>
      <c r="U29" s="7">
        <v>87.778000000000006</v>
      </c>
      <c r="V29" s="7">
        <v>2.8479999999999999</v>
      </c>
      <c r="W29" s="17">
        <v>3.2445487479778531E-2</v>
      </c>
      <c r="X29" s="7">
        <v>1.921</v>
      </c>
      <c r="Y29" s="7">
        <v>-6.2130000000000001</v>
      </c>
      <c r="AA29" s="5" t="s">
        <v>59</v>
      </c>
      <c r="AB29" s="7"/>
      <c r="AC29" s="9" t="s">
        <v>77</v>
      </c>
      <c r="AD29" s="9" t="s">
        <v>77</v>
      </c>
      <c r="AE29" s="7" t="s">
        <v>85</v>
      </c>
      <c r="AF29" s="7" t="s">
        <v>61</v>
      </c>
      <c r="AG29" s="5"/>
      <c r="AI29" s="21">
        <v>1175</v>
      </c>
      <c r="AJ29" s="21">
        <v>0</v>
      </c>
      <c r="AK29" s="195" t="s">
        <v>86</v>
      </c>
      <c r="AL29" s="17">
        <v>1</v>
      </c>
      <c r="AM29" s="18">
        <v>44498</v>
      </c>
      <c r="AN29" s="29">
        <v>44498</v>
      </c>
      <c r="AO29" s="18" t="s">
        <v>64</v>
      </c>
      <c r="AP29" s="18">
        <v>44498</v>
      </c>
      <c r="AQ29" s="41">
        <v>44510</v>
      </c>
      <c r="AR29" s="19">
        <v>44524</v>
      </c>
      <c r="AS29" s="19" t="s">
        <v>64</v>
      </c>
      <c r="AT29" s="19">
        <v>44540</v>
      </c>
      <c r="AU29" s="19">
        <v>44588</v>
      </c>
      <c r="AV29" s="19">
        <v>44588</v>
      </c>
      <c r="AW29" s="19">
        <v>45673</v>
      </c>
      <c r="AX29" s="19"/>
      <c r="AY29" s="19"/>
      <c r="AZ29" s="19"/>
      <c r="BA29" s="20" t="s">
        <v>65</v>
      </c>
      <c r="BB29" s="19"/>
      <c r="BC29" s="1" t="s">
        <v>7</v>
      </c>
    </row>
    <row r="30" spans="2:55" x14ac:dyDescent="0.2">
      <c r="B30" s="6">
        <v>2</v>
      </c>
      <c r="D30" s="8" t="s">
        <v>2</v>
      </c>
      <c r="E30" s="8" t="s">
        <v>208</v>
      </c>
      <c r="F30" s="3"/>
      <c r="G30" s="3" t="s">
        <v>209</v>
      </c>
      <c r="H30" s="4" t="s">
        <v>210</v>
      </c>
      <c r="I30" s="3">
        <v>522910</v>
      </c>
      <c r="J30" s="3" t="s">
        <v>131</v>
      </c>
      <c r="K30" s="5" t="s">
        <v>142</v>
      </c>
      <c r="L30" s="5" t="s">
        <v>211</v>
      </c>
      <c r="M30" s="5" t="s">
        <v>450</v>
      </c>
      <c r="N30" s="5"/>
      <c r="O30" s="5"/>
      <c r="P30" s="5" t="s">
        <v>211</v>
      </c>
      <c r="Q30" s="5" t="s">
        <v>451</v>
      </c>
      <c r="S30" s="16" t="s">
        <v>76</v>
      </c>
      <c r="T30" s="3">
        <v>2023</v>
      </c>
      <c r="U30" s="7">
        <v>27.283999999999999</v>
      </c>
      <c r="V30" s="7">
        <v>0.45200000000000001</v>
      </c>
      <c r="W30" s="17">
        <v>1.6566485852514294E-2</v>
      </c>
      <c r="X30" s="7">
        <v>0.26600000000000001</v>
      </c>
      <c r="Y30" s="7">
        <v>2.2229999999999999</v>
      </c>
      <c r="AA30" s="5" t="s">
        <v>98</v>
      </c>
      <c r="AB30" s="7" t="s">
        <v>212</v>
      </c>
      <c r="AC30" s="9" t="s">
        <v>77</v>
      </c>
      <c r="AD30" s="9" t="s">
        <v>77</v>
      </c>
      <c r="AE30" s="7" t="s">
        <v>85</v>
      </c>
      <c r="AF30" s="7" t="s">
        <v>127</v>
      </c>
      <c r="AG30" s="5"/>
      <c r="AI30" s="21">
        <v>531</v>
      </c>
      <c r="AJ30" s="21">
        <v>0</v>
      </c>
      <c r="AK30" s="3" t="s">
        <v>63</v>
      </c>
      <c r="AL30" s="17">
        <v>1</v>
      </c>
      <c r="AM30" s="18">
        <v>45142</v>
      </c>
      <c r="AN30" s="59">
        <v>45142</v>
      </c>
      <c r="AO30" s="18">
        <v>45142</v>
      </c>
      <c r="AP30" s="18">
        <v>45142</v>
      </c>
      <c r="AQ30" s="19">
        <v>45142</v>
      </c>
      <c r="AR30" s="19" t="s">
        <v>64</v>
      </c>
      <c r="AS30" s="19">
        <v>45181</v>
      </c>
      <c r="AT30" s="19">
        <v>45217</v>
      </c>
      <c r="AU30" s="19" t="s">
        <v>64</v>
      </c>
      <c r="AV30" s="19">
        <v>45229</v>
      </c>
      <c r="AW30" s="19">
        <v>45673</v>
      </c>
      <c r="AX30" s="19"/>
      <c r="AY30" s="19"/>
      <c r="AZ30" s="19"/>
      <c r="BA30" s="20"/>
      <c r="BB30" s="19"/>
      <c r="BC30" s="1" t="s">
        <v>7</v>
      </c>
    </row>
    <row r="31" spans="2:55" x14ac:dyDescent="0.2">
      <c r="B31" s="6">
        <v>2</v>
      </c>
      <c r="D31" s="8" t="s">
        <v>2</v>
      </c>
      <c r="E31" s="8" t="s">
        <v>156</v>
      </c>
      <c r="F31" s="3" t="s">
        <v>157</v>
      </c>
      <c r="G31" s="3" t="s">
        <v>158</v>
      </c>
      <c r="H31" s="4" t="s">
        <v>159</v>
      </c>
      <c r="I31" s="3"/>
      <c r="J31" s="3" t="s">
        <v>110</v>
      </c>
      <c r="K31" s="5" t="s">
        <v>160</v>
      </c>
      <c r="L31" s="5" t="s">
        <v>161</v>
      </c>
      <c r="M31" s="5" t="s">
        <v>452</v>
      </c>
      <c r="N31" s="5"/>
      <c r="O31" s="5" t="s">
        <v>454</v>
      </c>
      <c r="P31" s="5" t="s">
        <v>453</v>
      </c>
      <c r="Q31" s="5"/>
      <c r="S31" s="16" t="s">
        <v>76</v>
      </c>
      <c r="T31" s="3">
        <v>2022</v>
      </c>
      <c r="U31" s="7">
        <v>1192</v>
      </c>
      <c r="V31" s="7">
        <v>-15.08</v>
      </c>
      <c r="W31" s="17">
        <v>-1.2651006711409396E-2</v>
      </c>
      <c r="X31" s="7">
        <v>-163</v>
      </c>
      <c r="Y31" s="7">
        <v>289.79700000000003</v>
      </c>
      <c r="AA31" s="5" t="s">
        <v>98</v>
      </c>
      <c r="AB31" s="7" t="s">
        <v>162</v>
      </c>
      <c r="AC31" s="9" t="s">
        <v>152</v>
      </c>
      <c r="AD31" s="9" t="s">
        <v>152</v>
      </c>
      <c r="AE31" s="7" t="s">
        <v>153</v>
      </c>
      <c r="AF31" s="7" t="s">
        <v>154</v>
      </c>
      <c r="AG31" s="5"/>
      <c r="AI31" s="21">
        <v>1295</v>
      </c>
      <c r="AJ31" s="21">
        <v>0</v>
      </c>
      <c r="AK31" s="3" t="s">
        <v>303</v>
      </c>
      <c r="AL31" s="17">
        <v>1</v>
      </c>
      <c r="AM31" s="18">
        <v>44378</v>
      </c>
      <c r="AN31" s="18">
        <v>44378</v>
      </c>
      <c r="AO31" s="18" t="s">
        <v>64</v>
      </c>
      <c r="AP31" s="18" t="s">
        <v>64</v>
      </c>
      <c r="AQ31" s="19">
        <v>44378</v>
      </c>
      <c r="AR31" s="19" t="s">
        <v>64</v>
      </c>
      <c r="AS31" s="19" t="s">
        <v>64</v>
      </c>
      <c r="AT31" s="19" t="s">
        <v>64</v>
      </c>
      <c r="AU31" s="19" t="s">
        <v>64</v>
      </c>
      <c r="AV31" s="19">
        <v>44644</v>
      </c>
      <c r="AW31" s="19">
        <v>45673</v>
      </c>
      <c r="AX31" s="19"/>
      <c r="AY31" s="19"/>
      <c r="AZ31" s="19"/>
      <c r="BA31" s="20"/>
      <c r="BB31" s="19"/>
      <c r="BC31" s="1" t="s">
        <v>7</v>
      </c>
    </row>
    <row r="32" spans="2:55" x14ac:dyDescent="0.2">
      <c r="B32" s="6">
        <v>2</v>
      </c>
      <c r="D32" s="8" t="s">
        <v>2</v>
      </c>
      <c r="E32" s="8" t="s">
        <v>155</v>
      </c>
      <c r="F32" s="3" t="s">
        <v>145</v>
      </c>
      <c r="G32" s="3" t="s">
        <v>146</v>
      </c>
      <c r="H32" s="4" t="s">
        <v>147</v>
      </c>
      <c r="I32" s="3"/>
      <c r="J32" s="3" t="s">
        <v>148</v>
      </c>
      <c r="K32" s="5" t="s">
        <v>149</v>
      </c>
      <c r="L32" s="5" t="s">
        <v>150</v>
      </c>
      <c r="M32" s="5" t="s">
        <v>455</v>
      </c>
      <c r="N32" s="5"/>
      <c r="O32" s="5" t="s">
        <v>456</v>
      </c>
      <c r="P32" s="5" t="s">
        <v>457</v>
      </c>
      <c r="Q32" s="5" t="s">
        <v>458</v>
      </c>
      <c r="S32" s="16" t="s">
        <v>76</v>
      </c>
      <c r="T32" s="3">
        <v>2023</v>
      </c>
      <c r="U32" s="44">
        <v>5650</v>
      </c>
      <c r="V32" s="7">
        <v>1792.3</v>
      </c>
      <c r="W32" s="17">
        <v>0.3172212389380531</v>
      </c>
      <c r="X32" s="7">
        <v>1275</v>
      </c>
      <c r="Y32" s="7">
        <v>-0.8</v>
      </c>
      <c r="AA32" s="5" t="s">
        <v>98</v>
      </c>
      <c r="AB32" s="7" t="s">
        <v>151</v>
      </c>
      <c r="AC32" s="9" t="s">
        <v>152</v>
      </c>
      <c r="AD32" s="9" t="s">
        <v>152</v>
      </c>
      <c r="AE32" s="7" t="s">
        <v>154</v>
      </c>
      <c r="AF32" s="7" t="s">
        <v>153</v>
      </c>
      <c r="AG32" s="5"/>
      <c r="AI32" s="21">
        <v>868</v>
      </c>
      <c r="AJ32" s="21">
        <v>0</v>
      </c>
      <c r="AK32" s="3" t="s">
        <v>303</v>
      </c>
      <c r="AL32" s="17">
        <v>1</v>
      </c>
      <c r="AM32" s="18">
        <v>44805</v>
      </c>
      <c r="AN32" s="18">
        <v>44805</v>
      </c>
      <c r="AO32" s="18" t="s">
        <v>64</v>
      </c>
      <c r="AP32" s="18" t="s">
        <v>64</v>
      </c>
      <c r="AQ32" s="19">
        <v>44805</v>
      </c>
      <c r="AR32" s="19" t="s">
        <v>64</v>
      </c>
      <c r="AS32" s="19" t="s">
        <v>64</v>
      </c>
      <c r="AT32" s="19" t="s">
        <v>64</v>
      </c>
      <c r="AU32" s="19" t="s">
        <v>64</v>
      </c>
      <c r="AV32" s="19">
        <v>44872</v>
      </c>
      <c r="AW32" s="19">
        <v>45673</v>
      </c>
      <c r="AX32" s="19"/>
      <c r="AY32" s="19"/>
      <c r="AZ32" s="32"/>
      <c r="BA32" s="20"/>
      <c r="BB32" s="19"/>
      <c r="BC32" s="1" t="s">
        <v>7</v>
      </c>
    </row>
    <row r="33" spans="1:55" x14ac:dyDescent="0.2">
      <c r="B33" s="6">
        <v>2</v>
      </c>
      <c r="D33" s="8" t="s">
        <v>2</v>
      </c>
      <c r="E33" s="8" t="s">
        <v>226</v>
      </c>
      <c r="F33" s="3" t="s">
        <v>523</v>
      </c>
      <c r="G33" s="3" t="s">
        <v>225</v>
      </c>
      <c r="H33" s="4" t="s">
        <v>227</v>
      </c>
      <c r="I33" s="3"/>
      <c r="J33" s="3" t="s">
        <v>56</v>
      </c>
      <c r="K33" s="5" t="s">
        <v>228</v>
      </c>
      <c r="L33" s="5"/>
      <c r="M33" s="5" t="s">
        <v>467</v>
      </c>
      <c r="N33" s="5"/>
      <c r="O33" s="5"/>
      <c r="P33" s="5" t="s">
        <v>468</v>
      </c>
      <c r="Q33" s="5"/>
      <c r="S33" s="7" t="s">
        <v>76</v>
      </c>
      <c r="T33" s="3">
        <v>2023</v>
      </c>
      <c r="U33" s="7">
        <v>5.0350000000000001</v>
      </c>
      <c r="V33" s="7">
        <v>0.22600000000000001</v>
      </c>
      <c r="W33" s="17">
        <v>4.4885799404170805E-2</v>
      </c>
      <c r="X33" s="7">
        <v>0.10299999999999999</v>
      </c>
      <c r="Y33" s="7">
        <v>-1.4E-2</v>
      </c>
      <c r="AA33" s="5" t="s">
        <v>139</v>
      </c>
      <c r="AB33" s="7"/>
      <c r="AC33" s="9" t="s">
        <v>60</v>
      </c>
      <c r="AD33" s="9" t="s">
        <v>60</v>
      </c>
      <c r="AE33" s="3" t="s">
        <v>61</v>
      </c>
      <c r="AF33" s="7" t="s">
        <v>127</v>
      </c>
      <c r="AG33" s="5"/>
      <c r="AI33" s="21">
        <v>758</v>
      </c>
      <c r="AJ33" s="21">
        <v>0</v>
      </c>
      <c r="AK33" s="195" t="s">
        <v>86</v>
      </c>
      <c r="AL33" s="17">
        <v>1</v>
      </c>
      <c r="AM33" s="18">
        <v>44915</v>
      </c>
      <c r="AN33" s="59">
        <v>45013</v>
      </c>
      <c r="AO33" s="18" t="s">
        <v>64</v>
      </c>
      <c r="AP33" s="18">
        <v>45062</v>
      </c>
      <c r="AQ33" s="19">
        <v>45069</v>
      </c>
      <c r="AR33" s="19">
        <v>45113</v>
      </c>
      <c r="AS33" s="19">
        <v>45124</v>
      </c>
      <c r="AT33" s="19">
        <v>45344</v>
      </c>
      <c r="AU33" s="19" t="s">
        <v>64</v>
      </c>
      <c r="AV33" s="19">
        <v>45350</v>
      </c>
      <c r="AW33" s="19">
        <v>45673</v>
      </c>
      <c r="AX33" s="19"/>
      <c r="AY33" s="19"/>
      <c r="AZ33" s="41"/>
      <c r="BA33" s="20" t="s">
        <v>65</v>
      </c>
      <c r="BB33" s="19"/>
      <c r="BC33" s="1" t="s">
        <v>7</v>
      </c>
    </row>
    <row r="34" spans="1:55" x14ac:dyDescent="0.2">
      <c r="B34" s="215">
        <v>2</v>
      </c>
      <c r="C34" s="215"/>
      <c r="D34" s="230" t="s">
        <v>2</v>
      </c>
      <c r="E34" s="224" t="s">
        <v>443</v>
      </c>
      <c r="F34" s="216" t="s">
        <v>508</v>
      </c>
      <c r="G34" s="216" t="s">
        <v>189</v>
      </c>
      <c r="H34" s="4" t="s">
        <v>470</v>
      </c>
      <c r="I34" s="216"/>
      <c r="J34" s="216" t="s">
        <v>82</v>
      </c>
      <c r="K34" s="217" t="s">
        <v>444</v>
      </c>
      <c r="L34" s="217" t="s">
        <v>445</v>
      </c>
      <c r="M34" s="253"/>
      <c r="N34" s="253"/>
      <c r="O34" s="217"/>
      <c r="P34" s="5" t="s">
        <v>469</v>
      </c>
      <c r="Q34" s="217"/>
      <c r="R34" s="215"/>
      <c r="S34" s="218" t="s">
        <v>76</v>
      </c>
      <c r="T34" s="216">
        <v>2023</v>
      </c>
      <c r="U34" s="219">
        <v>0.06</v>
      </c>
      <c r="V34" s="219">
        <v>-1.421</v>
      </c>
      <c r="W34" s="17">
        <v>-23.683333333333334</v>
      </c>
      <c r="X34" s="219">
        <v>-2.347</v>
      </c>
      <c r="Y34" s="219">
        <v>13.202999999999999</v>
      </c>
      <c r="Z34" s="215"/>
      <c r="AA34" s="217" t="s">
        <v>200</v>
      </c>
      <c r="AB34" s="219" t="s">
        <v>273</v>
      </c>
      <c r="AC34" s="220" t="s">
        <v>423</v>
      </c>
      <c r="AD34" s="220" t="s">
        <v>423</v>
      </c>
      <c r="AE34" s="216" t="s">
        <v>78</v>
      </c>
      <c r="AF34" s="7" t="s">
        <v>127</v>
      </c>
      <c r="AG34" s="217"/>
      <c r="AH34" s="228">
        <v>1</v>
      </c>
      <c r="AI34" s="221">
        <v>244</v>
      </c>
      <c r="AJ34" s="21">
        <v>0</v>
      </c>
      <c r="AK34" s="195" t="s">
        <v>244</v>
      </c>
      <c r="AL34" s="225">
        <v>1</v>
      </c>
      <c r="AM34" s="222">
        <v>45429</v>
      </c>
      <c r="AN34" s="222">
        <v>45429</v>
      </c>
      <c r="AO34" s="222">
        <v>45429</v>
      </c>
      <c r="AP34" s="222">
        <v>45429</v>
      </c>
      <c r="AQ34" s="223">
        <v>45429</v>
      </c>
      <c r="AR34" s="223">
        <v>45436</v>
      </c>
      <c r="AS34" s="223">
        <v>45436</v>
      </c>
      <c r="AT34" s="223">
        <v>45439</v>
      </c>
      <c r="AU34" s="223">
        <v>45441</v>
      </c>
      <c r="AV34" s="223">
        <v>45441</v>
      </c>
      <c r="AW34" s="19">
        <v>45673</v>
      </c>
      <c r="AX34" s="223"/>
      <c r="AY34" s="223"/>
      <c r="AZ34" s="223"/>
      <c r="BA34" s="226"/>
      <c r="BB34" s="223"/>
      <c r="BC34" s="1" t="s">
        <v>7</v>
      </c>
    </row>
    <row r="35" spans="1:55" x14ac:dyDescent="0.2">
      <c r="A35" s="95"/>
      <c r="B35" s="6">
        <v>2</v>
      </c>
      <c r="D35" s="230" t="s">
        <v>2</v>
      </c>
      <c r="E35" s="2" t="s">
        <v>293</v>
      </c>
      <c r="F35" s="3" t="s">
        <v>526</v>
      </c>
      <c r="G35" s="3" t="s">
        <v>183</v>
      </c>
      <c r="H35" s="4" t="s">
        <v>294</v>
      </c>
      <c r="I35" s="3"/>
      <c r="J35" s="92" t="s">
        <v>56</v>
      </c>
      <c r="K35" s="5" t="s">
        <v>509</v>
      </c>
      <c r="L35" s="5" t="s">
        <v>507</v>
      </c>
      <c r="M35" s="5"/>
      <c r="N35" s="5"/>
      <c r="O35" s="5"/>
      <c r="P35" s="5"/>
      <c r="Q35" s="5"/>
      <c r="S35" s="16" t="s">
        <v>76</v>
      </c>
      <c r="T35" s="3">
        <v>2022</v>
      </c>
      <c r="U35" s="7">
        <v>1.84</v>
      </c>
      <c r="V35" s="7">
        <v>0.88300000000000001</v>
      </c>
      <c r="W35" s="229">
        <v>0.47989130434782606</v>
      </c>
      <c r="X35" s="7">
        <v>0.50700000000000001</v>
      </c>
      <c r="Y35" s="7" t="s">
        <v>199</v>
      </c>
      <c r="AA35" s="5" t="s">
        <v>139</v>
      </c>
      <c r="AB35" s="7"/>
      <c r="AC35" s="9" t="s">
        <v>61</v>
      </c>
      <c r="AD35" s="9" t="s">
        <v>60</v>
      </c>
      <c r="AE35" s="3" t="s">
        <v>61</v>
      </c>
      <c r="AF35" s="7" t="s">
        <v>127</v>
      </c>
      <c r="AG35" s="5"/>
      <c r="AH35" s="228"/>
      <c r="AI35" s="21">
        <v>204</v>
      </c>
      <c r="AJ35" s="21">
        <v>0</v>
      </c>
      <c r="AK35" s="195" t="s">
        <v>86</v>
      </c>
      <c r="AL35" s="233">
        <v>1</v>
      </c>
      <c r="AM35" s="18">
        <v>45469</v>
      </c>
      <c r="AN35" s="18">
        <v>45470</v>
      </c>
      <c r="AO35" s="18" t="s">
        <v>64</v>
      </c>
      <c r="AP35" s="18">
        <v>45470</v>
      </c>
      <c r="AQ35" s="19">
        <v>45476</v>
      </c>
      <c r="AR35" s="19" t="s">
        <v>64</v>
      </c>
      <c r="AS35" s="19">
        <v>45481</v>
      </c>
      <c r="AT35" s="19">
        <v>45489</v>
      </c>
      <c r="AU35" s="19">
        <v>45498</v>
      </c>
      <c r="AV35" s="19">
        <v>45499</v>
      </c>
      <c r="AW35" s="19">
        <v>45673</v>
      </c>
      <c r="AX35" s="19"/>
      <c r="AY35" s="19"/>
      <c r="AZ35" s="19"/>
      <c r="BA35" s="20"/>
      <c r="BB35" s="19"/>
      <c r="BC35" s="1" t="s">
        <v>7</v>
      </c>
    </row>
    <row r="36" spans="1:55" x14ac:dyDescent="0.2">
      <c r="B36" s="6">
        <v>3</v>
      </c>
      <c r="D36" s="8" t="s">
        <v>3</v>
      </c>
      <c r="E36" s="2" t="s">
        <v>565</v>
      </c>
      <c r="F36" s="3"/>
      <c r="G36" s="3" t="s">
        <v>171</v>
      </c>
      <c r="H36" s="4" t="s">
        <v>514</v>
      </c>
      <c r="I36" s="3">
        <v>110100</v>
      </c>
      <c r="J36" s="3" t="s">
        <v>172</v>
      </c>
      <c r="K36" s="5" t="s">
        <v>173</v>
      </c>
      <c r="L36" s="5" t="s">
        <v>413</v>
      </c>
      <c r="M36" s="5" t="s">
        <v>174</v>
      </c>
      <c r="N36" s="5" t="s">
        <v>464</v>
      </c>
      <c r="O36" s="5"/>
      <c r="P36" s="5" t="s">
        <v>465</v>
      </c>
      <c r="Q36" s="5" t="s">
        <v>466</v>
      </c>
      <c r="S36" s="16" t="s">
        <v>175</v>
      </c>
      <c r="T36" s="3">
        <v>2022</v>
      </c>
      <c r="U36" s="7">
        <v>93</v>
      </c>
      <c r="V36" s="7">
        <v>22</v>
      </c>
      <c r="W36" s="17">
        <v>0.23655913978494625</v>
      </c>
      <c r="X36" s="7">
        <v>11.8</v>
      </c>
      <c r="Y36" s="7">
        <v>-13</v>
      </c>
      <c r="AA36" s="5" t="s">
        <v>59</v>
      </c>
      <c r="AB36" s="7"/>
      <c r="AC36" s="9" t="s">
        <v>77</v>
      </c>
      <c r="AD36" s="7" t="s">
        <v>77</v>
      </c>
      <c r="AE36" s="7" t="s">
        <v>85</v>
      </c>
      <c r="AF36" s="7" t="s">
        <v>61</v>
      </c>
      <c r="AG36" s="5"/>
      <c r="AI36" s="21">
        <v>1537</v>
      </c>
      <c r="AJ36" s="21">
        <v>27</v>
      </c>
      <c r="AK36" s="301" t="s">
        <v>63</v>
      </c>
      <c r="AL36" s="17">
        <v>0.88888888888888884</v>
      </c>
      <c r="AM36" s="18">
        <v>44136</v>
      </c>
      <c r="AN36" s="18">
        <v>44136</v>
      </c>
      <c r="AO36" s="18" t="s">
        <v>64</v>
      </c>
      <c r="AP36" s="18">
        <v>44136</v>
      </c>
      <c r="AQ36" s="19">
        <v>45631</v>
      </c>
      <c r="AR36" s="19" t="s">
        <v>64</v>
      </c>
      <c r="AS36" s="19" t="s">
        <v>64</v>
      </c>
      <c r="AT36" s="19">
        <v>45636</v>
      </c>
      <c r="AU36" s="19">
        <v>45646</v>
      </c>
      <c r="AV36" s="19"/>
      <c r="AW36" s="19">
        <v>45646</v>
      </c>
      <c r="AX36" s="19"/>
      <c r="AY36" s="19"/>
      <c r="AZ36" s="19"/>
      <c r="BA36" s="20" t="s">
        <v>65</v>
      </c>
      <c r="BB36" s="19"/>
      <c r="BC36" s="1" t="s">
        <v>7</v>
      </c>
    </row>
    <row r="37" spans="1:55" x14ac:dyDescent="0.2">
      <c r="A37" s="232"/>
      <c r="B37" s="194">
        <v>3</v>
      </c>
      <c r="C37" s="194"/>
      <c r="D37" s="230" t="s">
        <v>3</v>
      </c>
      <c r="E37" s="8" t="s">
        <v>525</v>
      </c>
      <c r="F37" s="195"/>
      <c r="G37" s="3" t="s">
        <v>220</v>
      </c>
      <c r="H37" s="4" t="s">
        <v>515</v>
      </c>
      <c r="I37" s="195"/>
      <c r="J37" s="3" t="s">
        <v>131</v>
      </c>
      <c r="K37" s="302" t="s">
        <v>560</v>
      </c>
      <c r="L37" s="196"/>
      <c r="M37" s="196" t="s">
        <v>442</v>
      </c>
      <c r="N37" s="196"/>
      <c r="O37" s="196"/>
      <c r="P37" s="196"/>
      <c r="Q37" s="196"/>
      <c r="R37" s="194"/>
      <c r="S37" s="197" t="s">
        <v>76</v>
      </c>
      <c r="T37" s="195">
        <v>2022</v>
      </c>
      <c r="U37" s="198">
        <v>32</v>
      </c>
      <c r="V37" s="198">
        <v>4.5030000000000001</v>
      </c>
      <c r="W37" s="17">
        <v>0.14071875</v>
      </c>
      <c r="X37" s="198">
        <v>2.2599999999999998</v>
      </c>
      <c r="Y37" s="198">
        <v>46.552999999999997</v>
      </c>
      <c r="Z37" s="194"/>
      <c r="AA37" s="196" t="s">
        <v>59</v>
      </c>
      <c r="AB37" s="198"/>
      <c r="AC37" s="199" t="s">
        <v>77</v>
      </c>
      <c r="AD37" s="199" t="s">
        <v>77</v>
      </c>
      <c r="AE37" s="195" t="s">
        <v>85</v>
      </c>
      <c r="AF37" s="198" t="s">
        <v>396</v>
      </c>
      <c r="AG37" s="196"/>
      <c r="AH37" s="194"/>
      <c r="AI37" s="200">
        <v>251</v>
      </c>
      <c r="AJ37" s="21">
        <v>45</v>
      </c>
      <c r="AK37" s="195" t="s">
        <v>86</v>
      </c>
      <c r="AL37" s="305">
        <v>0.66666666666666663</v>
      </c>
      <c r="AM37" s="201">
        <v>45422</v>
      </c>
      <c r="AN37" s="201">
        <v>45422</v>
      </c>
      <c r="AO37" s="201">
        <v>45422</v>
      </c>
      <c r="AP37" s="201">
        <v>45422</v>
      </c>
      <c r="AQ37" s="223">
        <v>45432</v>
      </c>
      <c r="AR37" s="202">
        <v>45471</v>
      </c>
      <c r="AS37" s="202">
        <v>45628</v>
      </c>
      <c r="AT37" s="202"/>
      <c r="AU37" s="202"/>
      <c r="AV37" s="202"/>
      <c r="AW37" s="202">
        <v>45628</v>
      </c>
      <c r="AX37" s="19"/>
      <c r="AY37" s="202"/>
      <c r="AZ37" s="202"/>
      <c r="BA37" s="203"/>
      <c r="BB37" s="202"/>
      <c r="BC37" s="1" t="s">
        <v>7</v>
      </c>
    </row>
    <row r="38" spans="1:55" x14ac:dyDescent="0.2">
      <c r="B38" s="110">
        <v>3</v>
      </c>
      <c r="D38" s="230" t="s">
        <v>3</v>
      </c>
      <c r="E38" s="111" t="s">
        <v>364</v>
      </c>
      <c r="F38" s="112" t="s">
        <v>403</v>
      </c>
      <c r="G38" s="112" t="s">
        <v>146</v>
      </c>
      <c r="H38" s="113"/>
      <c r="I38" s="112"/>
      <c r="J38" s="114" t="s">
        <v>230</v>
      </c>
      <c r="K38" s="115" t="s">
        <v>365</v>
      </c>
      <c r="L38" s="115" t="s">
        <v>366</v>
      </c>
      <c r="M38" s="115"/>
      <c r="N38" s="115"/>
      <c r="O38" s="115"/>
      <c r="P38" s="115"/>
      <c r="Q38" s="115"/>
      <c r="R38" s="110"/>
      <c r="S38" s="116" t="s">
        <v>76</v>
      </c>
      <c r="T38" s="112"/>
      <c r="U38" s="117"/>
      <c r="V38" s="117"/>
      <c r="W38" s="17"/>
      <c r="X38" s="117"/>
      <c r="Y38" s="117"/>
      <c r="Z38" s="110"/>
      <c r="AA38" s="115" t="s">
        <v>98</v>
      </c>
      <c r="AB38" s="117" t="s">
        <v>216</v>
      </c>
      <c r="AC38" s="118" t="s">
        <v>77</v>
      </c>
      <c r="AD38" s="118" t="s">
        <v>77</v>
      </c>
      <c r="AE38" s="112" t="s">
        <v>78</v>
      </c>
      <c r="AF38" s="117"/>
      <c r="AG38" s="5"/>
      <c r="AH38" s="228">
        <v>1</v>
      </c>
      <c r="AI38" s="266">
        <v>342</v>
      </c>
      <c r="AJ38" s="266">
        <v>297</v>
      </c>
      <c r="AK38" s="112" t="s">
        <v>63</v>
      </c>
      <c r="AL38" s="305">
        <v>0.55555555555555558</v>
      </c>
      <c r="AM38" s="105">
        <v>45331</v>
      </c>
      <c r="AN38" s="105">
        <v>45331</v>
      </c>
      <c r="AO38" s="105" t="s">
        <v>64</v>
      </c>
      <c r="AP38" s="105">
        <v>45335</v>
      </c>
      <c r="AQ38" s="19">
        <v>45335</v>
      </c>
      <c r="AR38" s="19">
        <v>45376</v>
      </c>
      <c r="AS38" s="19"/>
      <c r="AT38" s="19"/>
      <c r="AU38" s="19"/>
      <c r="AV38" s="19"/>
      <c r="AW38" s="19"/>
      <c r="AX38" s="123"/>
      <c r="AY38" s="123"/>
      <c r="AZ38" s="123"/>
      <c r="BA38" s="124"/>
      <c r="BB38" s="123"/>
      <c r="BC38" s="1" t="s">
        <v>7</v>
      </c>
    </row>
    <row r="39" spans="1:55" x14ac:dyDescent="0.2">
      <c r="A39" s="261"/>
      <c r="B39" s="6">
        <v>3</v>
      </c>
      <c r="D39" s="8" t="s">
        <v>3</v>
      </c>
      <c r="E39" s="2" t="s">
        <v>572</v>
      </c>
      <c r="F39" s="3"/>
      <c r="G39" s="3" t="s">
        <v>291</v>
      </c>
      <c r="H39" s="4"/>
      <c r="I39" s="3"/>
      <c r="J39" s="3" t="s">
        <v>131</v>
      </c>
      <c r="K39" s="5" t="s">
        <v>567</v>
      </c>
      <c r="L39" s="5" t="s">
        <v>568</v>
      </c>
      <c r="M39" s="5"/>
      <c r="N39" s="5"/>
      <c r="O39" s="5"/>
      <c r="P39" s="5" t="s">
        <v>569</v>
      </c>
      <c r="Q39" s="5"/>
      <c r="S39" s="16" t="s">
        <v>76</v>
      </c>
      <c r="T39" s="3">
        <v>2023</v>
      </c>
      <c r="U39" s="7"/>
      <c r="V39" s="7"/>
      <c r="W39" s="17" t="e">
        <v>#DIV/0!</v>
      </c>
      <c r="X39" s="7"/>
      <c r="Y39" s="7"/>
      <c r="AA39" s="115" t="s">
        <v>98</v>
      </c>
      <c r="AB39" s="10" t="s">
        <v>570</v>
      </c>
      <c r="AC39" s="9" t="s">
        <v>152</v>
      </c>
      <c r="AD39" s="9" t="s">
        <v>152</v>
      </c>
      <c r="AE39" s="9" t="s">
        <v>153</v>
      </c>
      <c r="AF39" s="7"/>
      <c r="AG39" s="5" t="s">
        <v>571</v>
      </c>
      <c r="AH39" s="228"/>
      <c r="AI39" s="21">
        <v>66</v>
      </c>
      <c r="AJ39" s="21">
        <v>66</v>
      </c>
      <c r="AK39" s="3" t="s">
        <v>303</v>
      </c>
      <c r="AL39" s="305">
        <v>0.44444444444444442</v>
      </c>
      <c r="AM39" s="18">
        <v>45607</v>
      </c>
      <c r="AN39" s="18">
        <v>45607</v>
      </c>
      <c r="AO39" s="18" t="s">
        <v>64</v>
      </c>
      <c r="AP39" s="18">
        <v>45607</v>
      </c>
      <c r="AQ39" s="19">
        <v>45607</v>
      </c>
      <c r="AR39" s="19"/>
      <c r="AS39" s="19"/>
      <c r="AT39" s="19"/>
      <c r="AU39" s="19"/>
      <c r="AV39" s="19"/>
      <c r="AW39" s="19">
        <v>45607</v>
      </c>
      <c r="AX39" s="19"/>
      <c r="AY39" s="304"/>
      <c r="AZ39" s="19"/>
      <c r="BA39" s="20"/>
      <c r="BB39" s="19"/>
      <c r="BC39" s="1" t="s">
        <v>7</v>
      </c>
    </row>
    <row r="40" spans="1:55" s="227" customFormat="1" x14ac:dyDescent="0.2">
      <c r="A40" s="110"/>
      <c r="B40" s="261">
        <v>3</v>
      </c>
      <c r="C40" s="261"/>
      <c r="D40" s="262" t="s">
        <v>3</v>
      </c>
      <c r="E40" s="2" t="s">
        <v>537</v>
      </c>
      <c r="F40" s="263"/>
      <c r="G40" s="3" t="s">
        <v>274</v>
      </c>
      <c r="H40" s="4" t="s">
        <v>539</v>
      </c>
      <c r="I40" s="263"/>
      <c r="J40" s="276" t="s">
        <v>533</v>
      </c>
      <c r="K40" s="287" t="s">
        <v>538</v>
      </c>
      <c r="L40" s="5" t="s">
        <v>540</v>
      </c>
      <c r="M40" s="5" t="s">
        <v>541</v>
      </c>
      <c r="N40" s="287" t="s">
        <v>540</v>
      </c>
      <c r="O40" s="278"/>
      <c r="P40" s="287" t="s">
        <v>540</v>
      </c>
      <c r="Q40" s="260"/>
      <c r="R40" s="261"/>
      <c r="S40" s="288" t="s">
        <v>76</v>
      </c>
      <c r="T40" s="263">
        <v>2023</v>
      </c>
      <c r="U40" s="7">
        <v>38.299999999999997</v>
      </c>
      <c r="V40" s="7">
        <v>3.7</v>
      </c>
      <c r="W40" s="82">
        <v>9.6605744125326382E-2</v>
      </c>
      <c r="X40" s="7">
        <v>1.5</v>
      </c>
      <c r="Y40" s="7">
        <v>0.5</v>
      </c>
      <c r="Z40" s="261"/>
      <c r="AA40" s="278" t="s">
        <v>59</v>
      </c>
      <c r="AB40" s="264"/>
      <c r="AC40" s="289" t="s">
        <v>152</v>
      </c>
      <c r="AD40" s="282" t="s">
        <v>152</v>
      </c>
      <c r="AE40" s="271"/>
      <c r="AF40" s="272"/>
      <c r="AG40" s="278" t="s">
        <v>534</v>
      </c>
      <c r="AH40" s="6"/>
      <c r="AI40" s="266">
        <v>64</v>
      </c>
      <c r="AJ40" s="266">
        <v>64</v>
      </c>
      <c r="AK40" s="263" t="s">
        <v>86</v>
      </c>
      <c r="AL40" s="265">
        <v>0.44444444444444442</v>
      </c>
      <c r="AM40" s="18">
        <v>45609</v>
      </c>
      <c r="AN40" s="18">
        <v>45609</v>
      </c>
      <c r="AO40" s="284" t="s">
        <v>64</v>
      </c>
      <c r="AP40" s="284">
        <v>45609</v>
      </c>
      <c r="AQ40" s="19">
        <v>45609</v>
      </c>
      <c r="AR40" s="267"/>
      <c r="AS40" s="267"/>
      <c r="AT40" s="267"/>
      <c r="AU40" s="267"/>
      <c r="AV40" s="267"/>
      <c r="AW40" s="240">
        <v>45609</v>
      </c>
      <c r="AX40" s="267"/>
      <c r="AY40" s="267"/>
      <c r="AZ40" s="267"/>
      <c r="BA40" s="268"/>
      <c r="BB40" s="267"/>
      <c r="BC40" s="1" t="s">
        <v>7</v>
      </c>
    </row>
    <row r="41" spans="1:55" s="227" customFormat="1" x14ac:dyDescent="0.2">
      <c r="A41" s="303"/>
      <c r="B41" s="261">
        <v>3</v>
      </c>
      <c r="C41" s="261"/>
      <c r="D41" s="262" t="s">
        <v>3</v>
      </c>
      <c r="E41" s="2" t="s">
        <v>542</v>
      </c>
      <c r="F41" s="263"/>
      <c r="G41" s="3" t="s">
        <v>146</v>
      </c>
      <c r="H41" s="4" t="s">
        <v>543</v>
      </c>
      <c r="I41" s="263"/>
      <c r="J41" s="290" t="s">
        <v>318</v>
      </c>
      <c r="K41" s="287" t="s">
        <v>544</v>
      </c>
      <c r="L41" s="5" t="s">
        <v>547</v>
      </c>
      <c r="M41" s="5" t="s">
        <v>545</v>
      </c>
      <c r="N41" s="287" t="s">
        <v>546</v>
      </c>
      <c r="O41" s="278"/>
      <c r="P41" s="287" t="s">
        <v>548</v>
      </c>
      <c r="Q41" s="260"/>
      <c r="R41" s="261"/>
      <c r="S41" s="288" t="s">
        <v>76</v>
      </c>
      <c r="T41" s="263">
        <v>2023</v>
      </c>
      <c r="U41" s="7">
        <v>33</v>
      </c>
      <c r="V41" s="7">
        <v>1.4</v>
      </c>
      <c r="W41" s="82">
        <v>4.242424242424242E-2</v>
      </c>
      <c r="X41" s="7">
        <v>0.6</v>
      </c>
      <c r="Y41" s="7">
        <v>3.6</v>
      </c>
      <c r="Z41" s="261"/>
      <c r="AA41" s="278" t="s">
        <v>321</v>
      </c>
      <c r="AB41" s="264"/>
      <c r="AC41" s="289" t="s">
        <v>152</v>
      </c>
      <c r="AD41" s="282" t="s">
        <v>152</v>
      </c>
      <c r="AE41" s="271"/>
      <c r="AF41" s="272"/>
      <c r="AG41" s="278" t="s">
        <v>534</v>
      </c>
      <c r="AH41" s="6"/>
      <c r="AI41" s="266">
        <v>64</v>
      </c>
      <c r="AJ41" s="266">
        <v>64</v>
      </c>
      <c r="AK41" s="263" t="s">
        <v>303</v>
      </c>
      <c r="AL41" s="265">
        <v>0.44444444444444442</v>
      </c>
      <c r="AM41" s="18">
        <v>45609</v>
      </c>
      <c r="AN41" s="18">
        <v>45609</v>
      </c>
      <c r="AO41" s="284" t="s">
        <v>64</v>
      </c>
      <c r="AP41" s="284">
        <v>45609</v>
      </c>
      <c r="AQ41" s="19">
        <v>45609</v>
      </c>
      <c r="AR41" s="267"/>
      <c r="AS41" s="267"/>
      <c r="AT41" s="267"/>
      <c r="AU41" s="267"/>
      <c r="AV41" s="267"/>
      <c r="AW41" s="240">
        <v>45609</v>
      </c>
      <c r="AX41" s="267"/>
      <c r="AY41" s="267"/>
      <c r="AZ41" s="267"/>
      <c r="BA41" s="268"/>
      <c r="BB41" s="267"/>
      <c r="BC41" s="1" t="s">
        <v>7</v>
      </c>
    </row>
    <row r="42" spans="1:55" s="227" customFormat="1" x14ac:dyDescent="0.2">
      <c r="A42" s="6"/>
      <c r="B42" s="261">
        <v>3</v>
      </c>
      <c r="C42" s="261"/>
      <c r="D42" s="262" t="s">
        <v>3</v>
      </c>
      <c r="E42" s="2" t="s">
        <v>549</v>
      </c>
      <c r="F42" s="263"/>
      <c r="G42" s="3" t="s">
        <v>535</v>
      </c>
      <c r="H42" s="4" t="s">
        <v>550</v>
      </c>
      <c r="I42" s="263"/>
      <c r="J42" s="276" t="s">
        <v>536</v>
      </c>
      <c r="K42" s="287" t="s">
        <v>551</v>
      </c>
      <c r="L42" s="5" t="s">
        <v>552</v>
      </c>
      <c r="M42" s="5" t="s">
        <v>553</v>
      </c>
      <c r="N42" s="278"/>
      <c r="O42" s="278"/>
      <c r="P42" s="278"/>
      <c r="Q42" s="260"/>
      <c r="R42" s="261"/>
      <c r="S42" s="288" t="s">
        <v>76</v>
      </c>
      <c r="T42" s="263">
        <v>2023</v>
      </c>
      <c r="U42" s="7">
        <v>8.1999999999999993</v>
      </c>
      <c r="V42" s="7">
        <v>2</v>
      </c>
      <c r="W42" s="82">
        <v>0.24390243902439027</v>
      </c>
      <c r="X42" s="7">
        <v>1.1000000000000001</v>
      </c>
      <c r="Y42" s="7">
        <v>-1.1000000000000001</v>
      </c>
      <c r="Z42" s="261"/>
      <c r="AA42" s="287" t="s">
        <v>321</v>
      </c>
      <c r="AB42" s="264"/>
      <c r="AC42" s="289" t="s">
        <v>152</v>
      </c>
      <c r="AD42" s="282" t="s">
        <v>152</v>
      </c>
      <c r="AE42" s="271"/>
      <c r="AF42" s="272"/>
      <c r="AG42" s="278" t="s">
        <v>534</v>
      </c>
      <c r="AH42" s="6"/>
      <c r="AI42" s="266">
        <v>64</v>
      </c>
      <c r="AJ42" s="266">
        <v>64</v>
      </c>
      <c r="AK42" s="263" t="s">
        <v>86</v>
      </c>
      <c r="AL42" s="265">
        <v>0.44444444444444442</v>
      </c>
      <c r="AM42" s="18">
        <v>45609</v>
      </c>
      <c r="AN42" s="18">
        <v>45609</v>
      </c>
      <c r="AO42" s="284" t="s">
        <v>64</v>
      </c>
      <c r="AP42" s="284">
        <v>45609</v>
      </c>
      <c r="AQ42" s="19">
        <v>45609</v>
      </c>
      <c r="AR42" s="267"/>
      <c r="AS42" s="267"/>
      <c r="AT42" s="267"/>
      <c r="AU42" s="267"/>
      <c r="AV42" s="267"/>
      <c r="AW42" s="240">
        <v>45609</v>
      </c>
      <c r="AX42" s="267"/>
      <c r="AY42" s="267"/>
      <c r="AZ42" s="267"/>
      <c r="BA42" s="268"/>
      <c r="BB42" s="267"/>
      <c r="BC42" s="1" t="s">
        <v>7</v>
      </c>
    </row>
    <row r="43" spans="1:55" s="227" customFormat="1" x14ac:dyDescent="0.2">
      <c r="A43" s="261"/>
      <c r="B43" s="291">
        <v>3</v>
      </c>
      <c r="C43" s="291"/>
      <c r="D43" s="299" t="s">
        <v>3</v>
      </c>
      <c r="E43" s="300" t="s">
        <v>554</v>
      </c>
      <c r="F43" s="290"/>
      <c r="G43" s="290" t="s">
        <v>555</v>
      </c>
      <c r="H43" s="298" t="s">
        <v>556</v>
      </c>
      <c r="I43" s="263"/>
      <c r="J43" s="290" t="s">
        <v>536</v>
      </c>
      <c r="K43" s="287" t="s">
        <v>557</v>
      </c>
      <c r="L43" s="287" t="s">
        <v>558</v>
      </c>
      <c r="M43" s="287" t="s">
        <v>559</v>
      </c>
      <c r="N43" s="287" t="s">
        <v>558</v>
      </c>
      <c r="O43" s="287"/>
      <c r="P43" s="287" t="s">
        <v>559</v>
      </c>
      <c r="Q43" s="287"/>
      <c r="R43" s="291"/>
      <c r="S43" s="288" t="s">
        <v>76</v>
      </c>
      <c r="T43" s="290">
        <v>2023</v>
      </c>
      <c r="U43" s="296">
        <v>16.5</v>
      </c>
      <c r="V43" s="296">
        <v>1.2</v>
      </c>
      <c r="W43" s="297">
        <v>7.2727272727272724E-2</v>
      </c>
      <c r="X43" s="296">
        <v>0.3</v>
      </c>
      <c r="Y43" s="296">
        <v>3</v>
      </c>
      <c r="Z43" s="291"/>
      <c r="AA43" s="287" t="s">
        <v>321</v>
      </c>
      <c r="AB43" s="296"/>
      <c r="AC43" s="289" t="s">
        <v>152</v>
      </c>
      <c r="AD43" s="282" t="s">
        <v>152</v>
      </c>
      <c r="AE43" s="296"/>
      <c r="AF43" s="296"/>
      <c r="AG43" s="287" t="s">
        <v>534</v>
      </c>
      <c r="AH43" s="291"/>
      <c r="AI43" s="266">
        <v>64</v>
      </c>
      <c r="AJ43" s="266">
        <v>64</v>
      </c>
      <c r="AK43" s="290"/>
      <c r="AL43" s="265">
        <v>0.44444444444444442</v>
      </c>
      <c r="AM43" s="295">
        <v>45609</v>
      </c>
      <c r="AN43" s="295">
        <v>45609</v>
      </c>
      <c r="AO43" s="295" t="s">
        <v>64</v>
      </c>
      <c r="AP43" s="295">
        <v>45609</v>
      </c>
      <c r="AQ43" s="294">
        <v>45609</v>
      </c>
      <c r="AR43" s="294"/>
      <c r="AS43" s="294"/>
      <c r="AT43" s="294"/>
      <c r="AU43" s="294"/>
      <c r="AV43" s="294"/>
      <c r="AW43" s="240">
        <v>45609</v>
      </c>
      <c r="AX43" s="294"/>
      <c r="AY43" s="294"/>
      <c r="AZ43" s="294"/>
      <c r="BA43" s="293"/>
      <c r="BB43" s="294"/>
      <c r="BC43" s="292" t="s">
        <v>7</v>
      </c>
    </row>
    <row r="44" spans="1:55" x14ac:dyDescent="0.2">
      <c r="A44" s="232"/>
      <c r="B44" s="110">
        <v>3</v>
      </c>
      <c r="D44" s="230" t="s">
        <v>3</v>
      </c>
      <c r="E44" s="111" t="s">
        <v>561</v>
      </c>
      <c r="F44" s="112"/>
      <c r="G44" s="112" t="s">
        <v>158</v>
      </c>
      <c r="H44" s="113" t="s">
        <v>562</v>
      </c>
      <c r="I44" s="3"/>
      <c r="J44" s="114" t="s">
        <v>230</v>
      </c>
      <c r="K44" s="115" t="s">
        <v>563</v>
      </c>
      <c r="L44" s="115" t="s">
        <v>564</v>
      </c>
      <c r="M44" s="115" t="s">
        <v>564</v>
      </c>
      <c r="N44" s="115"/>
      <c r="O44" s="115"/>
      <c r="P44" s="115"/>
      <c r="Q44" s="115"/>
      <c r="R44" s="110"/>
      <c r="S44" s="116" t="s">
        <v>76</v>
      </c>
      <c r="T44" s="112">
        <v>2023</v>
      </c>
      <c r="U44" s="117">
        <v>5.9</v>
      </c>
      <c r="V44" s="117">
        <v>2</v>
      </c>
      <c r="W44" s="281">
        <v>0.33898305084745761</v>
      </c>
      <c r="X44" s="117">
        <v>0.89400000000000002</v>
      </c>
      <c r="Y44" s="117">
        <v>-3.149</v>
      </c>
      <c r="Z44" s="110"/>
      <c r="AA44" s="115" t="s">
        <v>59</v>
      </c>
      <c r="AB44" s="117"/>
      <c r="AC44" s="118" t="s">
        <v>77</v>
      </c>
      <c r="AD44" s="118" t="s">
        <v>77</v>
      </c>
      <c r="AE44" s="112"/>
      <c r="AF44" s="117"/>
      <c r="AG44" s="5"/>
      <c r="AH44" s="228">
        <v>1</v>
      </c>
      <c r="AI44" s="266">
        <v>45</v>
      </c>
      <c r="AJ44" s="266">
        <v>45</v>
      </c>
      <c r="AK44" s="112" t="s">
        <v>63</v>
      </c>
      <c r="AL44" s="265">
        <v>0.1111111111111111</v>
      </c>
      <c r="AM44" s="105">
        <v>45628</v>
      </c>
      <c r="AN44" s="105">
        <v>45628</v>
      </c>
      <c r="AO44" s="105"/>
      <c r="AP44" s="105"/>
      <c r="AQ44" s="19"/>
      <c r="AR44" s="19"/>
      <c r="AS44" s="19"/>
      <c r="AT44" s="19"/>
      <c r="AU44" s="19"/>
      <c r="AV44" s="19"/>
      <c r="AW44" s="123"/>
      <c r="AX44" s="123"/>
      <c r="AY44" s="123"/>
      <c r="AZ44" s="123"/>
      <c r="BA44" s="124"/>
      <c r="BB44" s="123"/>
      <c r="BC44" s="1" t="s">
        <v>7</v>
      </c>
    </row>
    <row r="45" spans="1:55" x14ac:dyDescent="0.2">
      <c r="A45" s="95"/>
      <c r="B45" s="274">
        <v>3</v>
      </c>
      <c r="C45" s="274"/>
      <c r="D45" s="275" t="s">
        <v>3</v>
      </c>
      <c r="E45" s="275" t="s">
        <v>528</v>
      </c>
      <c r="F45" s="276"/>
      <c r="G45" s="276" t="s">
        <v>222</v>
      </c>
      <c r="H45" s="277" t="s">
        <v>529</v>
      </c>
      <c r="I45" s="3"/>
      <c r="J45" s="276" t="s">
        <v>238</v>
      </c>
      <c r="K45" s="278" t="s">
        <v>530</v>
      </c>
      <c r="L45" s="278"/>
      <c r="M45" s="278" t="s">
        <v>531</v>
      </c>
      <c r="N45" s="278" t="s">
        <v>532</v>
      </c>
      <c r="O45" s="278" t="s">
        <v>531</v>
      </c>
      <c r="P45" s="278" t="s">
        <v>531</v>
      </c>
      <c r="Q45" s="278"/>
      <c r="R45" s="274"/>
      <c r="S45" s="279" t="s">
        <v>143</v>
      </c>
      <c r="T45" s="276">
        <v>2023</v>
      </c>
      <c r="U45" s="280">
        <v>83.98</v>
      </c>
      <c r="V45" s="280">
        <v>15.401999999999999</v>
      </c>
      <c r="W45" s="281">
        <v>0.18340080971659917</v>
      </c>
      <c r="X45" s="280">
        <v>8.9600000000000009</v>
      </c>
      <c r="Y45" s="280">
        <v>8.5500000000000007</v>
      </c>
      <c r="Z45" s="274"/>
      <c r="AA45" s="5" t="s">
        <v>139</v>
      </c>
      <c r="AB45" s="280"/>
      <c r="AC45" s="282" t="s">
        <v>77</v>
      </c>
      <c r="AD45" s="282" t="s">
        <v>77</v>
      </c>
      <c r="AE45" s="280" t="s">
        <v>524</v>
      </c>
      <c r="AF45" s="280"/>
      <c r="AG45" s="278"/>
      <c r="AH45" s="283"/>
      <c r="AI45" s="266">
        <v>63</v>
      </c>
      <c r="AJ45" s="266">
        <v>63</v>
      </c>
      <c r="AK45" s="276" t="s">
        <v>86</v>
      </c>
      <c r="AL45" s="265">
        <v>0</v>
      </c>
      <c r="AM45" s="284">
        <v>45610</v>
      </c>
      <c r="AN45" s="284"/>
      <c r="AO45" s="284"/>
      <c r="AP45" s="284"/>
      <c r="AQ45" s="273"/>
      <c r="AR45" s="273"/>
      <c r="AS45" s="273"/>
      <c r="AT45" s="273"/>
      <c r="AU45" s="273"/>
      <c r="AV45" s="273"/>
      <c r="AW45" s="273">
        <v>45610</v>
      </c>
      <c r="AX45" s="273"/>
      <c r="AY45" s="273"/>
      <c r="AZ45" s="273"/>
      <c r="BA45" s="285"/>
      <c r="BB45" s="273"/>
      <c r="BC45" s="286" t="s">
        <v>7</v>
      </c>
    </row>
    <row r="46" spans="1:55" x14ac:dyDescent="0.2">
      <c r="A46" s="60"/>
      <c r="B46" s="6">
        <v>4</v>
      </c>
      <c r="D46" s="8" t="s">
        <v>4</v>
      </c>
      <c r="E46" s="2" t="s">
        <v>204</v>
      </c>
      <c r="F46" s="4"/>
      <c r="G46" s="3" t="s">
        <v>195</v>
      </c>
      <c r="H46" s="4" t="s">
        <v>205</v>
      </c>
      <c r="I46" s="3">
        <v>104120</v>
      </c>
      <c r="J46" s="3" t="s">
        <v>82</v>
      </c>
      <c r="K46" s="5" t="s">
        <v>206</v>
      </c>
      <c r="L46" s="5"/>
      <c r="M46" s="5"/>
      <c r="N46" s="5"/>
      <c r="O46" s="5"/>
      <c r="P46" s="5"/>
      <c r="Q46" s="5"/>
      <c r="S46" s="16" t="s">
        <v>76</v>
      </c>
      <c r="T46" s="46">
        <v>2023</v>
      </c>
      <c r="U46" s="47">
        <v>382.49299999999999</v>
      </c>
      <c r="V46" s="47">
        <v>19</v>
      </c>
      <c r="W46" s="17">
        <v>4.9674111683089626E-2</v>
      </c>
      <c r="X46" s="47">
        <v>14</v>
      </c>
      <c r="Y46" s="47">
        <v>13.2</v>
      </c>
      <c r="AA46" s="5" t="s">
        <v>59</v>
      </c>
      <c r="AB46" s="7"/>
      <c r="AC46" s="9" t="s">
        <v>207</v>
      </c>
      <c r="AD46" s="9" t="s">
        <v>207</v>
      </c>
      <c r="AE46" s="7" t="s">
        <v>78</v>
      </c>
      <c r="AF46" s="7" t="s">
        <v>218</v>
      </c>
      <c r="AG46" s="5"/>
      <c r="AH46" s="228">
        <v>1</v>
      </c>
      <c r="AI46" s="21">
        <v>612</v>
      </c>
      <c r="AJ46" s="21">
        <v>254</v>
      </c>
      <c r="AK46" s="3" t="s">
        <v>86</v>
      </c>
      <c r="AL46" s="17" t="s">
        <v>50</v>
      </c>
      <c r="AM46" s="18">
        <v>45061</v>
      </c>
      <c r="AN46" s="59">
        <v>45061</v>
      </c>
      <c r="AO46" s="18" t="s">
        <v>64</v>
      </c>
      <c r="AP46" s="18">
        <v>45061</v>
      </c>
      <c r="AQ46" s="19">
        <v>45061</v>
      </c>
      <c r="AR46" s="19">
        <v>45108</v>
      </c>
      <c r="AS46" s="19">
        <v>45177</v>
      </c>
      <c r="AT46" s="19">
        <v>45224</v>
      </c>
      <c r="AU46" s="19" t="s">
        <v>64</v>
      </c>
      <c r="AV46" s="19">
        <v>45224</v>
      </c>
      <c r="AW46" s="19">
        <v>45419</v>
      </c>
      <c r="AX46" s="19">
        <v>45419</v>
      </c>
      <c r="AY46" s="19"/>
      <c r="AZ46" s="19"/>
      <c r="BA46" s="20" t="s">
        <v>65</v>
      </c>
      <c r="BB46" s="19"/>
      <c r="BC46" s="1" t="s">
        <v>7</v>
      </c>
    </row>
    <row r="47" spans="1:55" x14ac:dyDescent="0.2">
      <c r="B47" s="6">
        <v>4</v>
      </c>
      <c r="D47" s="8" t="s">
        <v>4</v>
      </c>
      <c r="E47" s="8" t="s">
        <v>252</v>
      </c>
      <c r="F47" s="3"/>
      <c r="G47" s="3" t="s">
        <v>242</v>
      </c>
      <c r="H47" s="4" t="s">
        <v>253</v>
      </c>
      <c r="I47" s="3"/>
      <c r="J47" s="3" t="s">
        <v>254</v>
      </c>
      <c r="K47" s="5" t="s">
        <v>255</v>
      </c>
      <c r="L47" s="5"/>
      <c r="M47" s="5"/>
      <c r="N47" s="5"/>
      <c r="O47" s="5"/>
      <c r="P47" s="5"/>
      <c r="Q47" s="5"/>
      <c r="S47" s="16" t="s">
        <v>76</v>
      </c>
      <c r="T47" s="3">
        <v>2022</v>
      </c>
      <c r="U47" s="7">
        <v>57.875</v>
      </c>
      <c r="V47" s="7">
        <v>20.706</v>
      </c>
      <c r="W47" s="17">
        <v>0.35777105831533479</v>
      </c>
      <c r="X47" s="7">
        <v>14.236000000000001</v>
      </c>
      <c r="Y47" s="7">
        <v>-29.946999999999999</v>
      </c>
      <c r="AA47" s="5" t="s">
        <v>59</v>
      </c>
      <c r="AB47" s="7"/>
      <c r="AC47" s="9" t="s">
        <v>423</v>
      </c>
      <c r="AD47" s="9" t="s">
        <v>423</v>
      </c>
      <c r="AE47" s="7"/>
      <c r="AF47" s="7"/>
      <c r="AG47" s="5"/>
      <c r="AI47" s="21">
        <v>290</v>
      </c>
      <c r="AJ47" s="21">
        <v>254</v>
      </c>
      <c r="AK47" s="3" t="s">
        <v>86</v>
      </c>
      <c r="AL47" s="17" t="s">
        <v>50</v>
      </c>
      <c r="AM47" s="18">
        <v>45383</v>
      </c>
      <c r="AN47" s="18">
        <v>45383</v>
      </c>
      <c r="AO47" s="18" t="s">
        <v>64</v>
      </c>
      <c r="AP47" s="18">
        <v>44846</v>
      </c>
      <c r="AQ47" s="19">
        <v>45399</v>
      </c>
      <c r="AR47" s="19"/>
      <c r="AS47" s="19"/>
      <c r="AT47" s="19"/>
      <c r="AU47" s="19"/>
      <c r="AV47" s="19"/>
      <c r="AW47" s="19">
        <v>45399</v>
      </c>
      <c r="AX47" s="19">
        <v>45419</v>
      </c>
      <c r="AY47" s="19"/>
      <c r="AZ47" s="19"/>
      <c r="BA47" s="20" t="s">
        <v>65</v>
      </c>
      <c r="BB47" s="19"/>
      <c r="BC47" s="1" t="s">
        <v>7</v>
      </c>
    </row>
    <row r="48" spans="1:55" x14ac:dyDescent="0.2">
      <c r="B48" s="6">
        <v>4</v>
      </c>
      <c r="D48" s="8" t="s">
        <v>4</v>
      </c>
      <c r="E48" s="8" t="s">
        <v>434</v>
      </c>
      <c r="F48" s="3"/>
      <c r="G48" s="3" t="s">
        <v>102</v>
      </c>
      <c r="H48" s="4"/>
      <c r="I48" s="3"/>
      <c r="J48" s="3" t="s">
        <v>438</v>
      </c>
      <c r="K48" s="160" t="s">
        <v>314</v>
      </c>
      <c r="L48" s="5" t="s">
        <v>437</v>
      </c>
      <c r="M48" s="5"/>
      <c r="N48" s="5"/>
      <c r="O48" s="5"/>
      <c r="P48" s="5"/>
      <c r="Q48" s="5"/>
      <c r="S48" s="16" t="s">
        <v>76</v>
      </c>
      <c r="T48" s="3"/>
      <c r="U48" s="7"/>
      <c r="V48" s="7"/>
      <c r="W48" s="17"/>
      <c r="X48" s="7"/>
      <c r="Y48" s="7"/>
      <c r="AA48" s="5" t="s">
        <v>59</v>
      </c>
      <c r="AB48" s="7"/>
      <c r="AC48" s="9" t="s">
        <v>85</v>
      </c>
      <c r="AD48" s="9"/>
      <c r="AE48" s="7"/>
      <c r="AF48" s="7"/>
      <c r="AG48" s="5"/>
      <c r="AI48" s="21">
        <v>269</v>
      </c>
      <c r="AJ48" s="21">
        <v>269</v>
      </c>
      <c r="AK48" s="3" t="s">
        <v>315</v>
      </c>
      <c r="AL48" s="17" t="s">
        <v>50</v>
      </c>
      <c r="AM48" s="18">
        <v>45404</v>
      </c>
      <c r="AN48" s="18">
        <v>45404</v>
      </c>
      <c r="AO48" s="18">
        <v>45404</v>
      </c>
      <c r="AP48" s="18">
        <v>45404</v>
      </c>
      <c r="AQ48" s="18">
        <v>45404</v>
      </c>
      <c r="AR48" s="19"/>
      <c r="AS48" s="19"/>
      <c r="AT48" s="19"/>
      <c r="AU48" s="19"/>
      <c r="AV48" s="19"/>
      <c r="AW48" s="19">
        <v>45404</v>
      </c>
      <c r="AX48" s="19">
        <v>45404</v>
      </c>
      <c r="AY48" s="19"/>
      <c r="AZ48" s="19"/>
      <c r="BA48" s="20" t="s">
        <v>65</v>
      </c>
      <c r="BB48" s="19"/>
      <c r="BC48" s="1" t="s">
        <v>7</v>
      </c>
    </row>
    <row r="49" spans="1:55" x14ac:dyDescent="0.2">
      <c r="B49" s="6">
        <v>4</v>
      </c>
      <c r="D49" s="8" t="s">
        <v>4</v>
      </c>
      <c r="E49" s="8" t="s">
        <v>439</v>
      </c>
      <c r="F49" s="3"/>
      <c r="G49" s="3" t="s">
        <v>102</v>
      </c>
      <c r="H49" s="4"/>
      <c r="I49" s="3"/>
      <c r="J49" s="3" t="s">
        <v>312</v>
      </c>
      <c r="K49" s="160" t="s">
        <v>314</v>
      </c>
      <c r="L49" s="5" t="s">
        <v>440</v>
      </c>
      <c r="M49" s="5"/>
      <c r="N49" s="5"/>
      <c r="O49" s="5"/>
      <c r="P49" s="5"/>
      <c r="Q49" s="5"/>
      <c r="S49" s="16" t="s">
        <v>76</v>
      </c>
      <c r="T49" s="3"/>
      <c r="U49" s="7"/>
      <c r="V49" s="7"/>
      <c r="W49" s="17"/>
      <c r="X49" s="7"/>
      <c r="Y49" s="7"/>
      <c r="AA49" s="5" t="s">
        <v>59</v>
      </c>
      <c r="AB49" s="7"/>
      <c r="AC49" s="9" t="s">
        <v>85</v>
      </c>
      <c r="AD49" s="9"/>
      <c r="AE49" s="7"/>
      <c r="AF49" s="7"/>
      <c r="AG49" s="5"/>
      <c r="AI49" s="21">
        <v>261</v>
      </c>
      <c r="AJ49" s="21">
        <v>261</v>
      </c>
      <c r="AK49" s="3" t="s">
        <v>315</v>
      </c>
      <c r="AL49" s="17" t="s">
        <v>50</v>
      </c>
      <c r="AM49" s="18">
        <v>45412</v>
      </c>
      <c r="AN49" s="18">
        <v>45412</v>
      </c>
      <c r="AO49" s="18">
        <v>45412</v>
      </c>
      <c r="AP49" s="18">
        <v>45412</v>
      </c>
      <c r="AQ49" s="18">
        <v>45412</v>
      </c>
      <c r="AR49" s="19"/>
      <c r="AS49" s="19"/>
      <c r="AT49" s="19"/>
      <c r="AU49" s="19"/>
      <c r="AV49" s="19"/>
      <c r="AW49" s="19">
        <v>45412</v>
      </c>
      <c r="AX49" s="19">
        <v>45412</v>
      </c>
      <c r="AY49" s="19"/>
      <c r="AZ49" s="19"/>
      <c r="BA49" s="20" t="s">
        <v>65</v>
      </c>
      <c r="BB49" s="19"/>
      <c r="BC49" s="1" t="s">
        <v>7</v>
      </c>
    </row>
    <row r="50" spans="1:55" x14ac:dyDescent="0.2">
      <c r="B50" s="184">
        <v>4</v>
      </c>
      <c r="C50" s="184"/>
      <c r="D50" s="230" t="s">
        <v>4</v>
      </c>
      <c r="E50" s="2" t="s">
        <v>435</v>
      </c>
      <c r="F50" s="185"/>
      <c r="G50" s="3" t="s">
        <v>102</v>
      </c>
      <c r="H50" s="186"/>
      <c r="I50" s="185"/>
      <c r="J50" s="3" t="s">
        <v>438</v>
      </c>
      <c r="K50" s="160" t="s">
        <v>314</v>
      </c>
      <c r="L50" s="5" t="s">
        <v>436</v>
      </c>
      <c r="M50" s="187"/>
      <c r="N50" s="187"/>
      <c r="O50" s="187"/>
      <c r="P50" s="187"/>
      <c r="Q50" s="187"/>
      <c r="R50" s="184"/>
      <c r="S50" s="16" t="s">
        <v>76</v>
      </c>
      <c r="T50" s="3"/>
      <c r="U50" s="188"/>
      <c r="V50" s="188"/>
      <c r="W50" s="17"/>
      <c r="X50" s="188"/>
      <c r="Y50" s="188"/>
      <c r="Z50" s="184"/>
      <c r="AA50" s="5" t="s">
        <v>59</v>
      </c>
      <c r="AB50" s="188"/>
      <c r="AC50" s="9" t="s">
        <v>85</v>
      </c>
      <c r="AD50" s="9"/>
      <c r="AE50" s="188"/>
      <c r="AF50" s="188"/>
      <c r="AG50" s="187"/>
      <c r="AH50" s="184"/>
      <c r="AI50" s="190">
        <v>269</v>
      </c>
      <c r="AJ50" s="190">
        <v>269</v>
      </c>
      <c r="AK50" s="185" t="s">
        <v>315</v>
      </c>
      <c r="AL50" s="189" t="s">
        <v>50</v>
      </c>
      <c r="AM50" s="191">
        <v>45404</v>
      </c>
      <c r="AN50" s="191">
        <v>45404</v>
      </c>
      <c r="AO50" s="191">
        <v>45404</v>
      </c>
      <c r="AP50" s="191">
        <v>45404</v>
      </c>
      <c r="AQ50" s="191">
        <v>45404</v>
      </c>
      <c r="AR50" s="192"/>
      <c r="AS50" s="192"/>
      <c r="AT50" s="192"/>
      <c r="AU50" s="192"/>
      <c r="AV50" s="192"/>
      <c r="AW50" s="19">
        <v>45404</v>
      </c>
      <c r="AX50" s="19">
        <v>45404</v>
      </c>
      <c r="AY50" s="192"/>
      <c r="AZ50" s="192"/>
      <c r="BA50" s="193" t="s">
        <v>65</v>
      </c>
      <c r="BB50" s="192"/>
      <c r="BC50" s="1" t="s">
        <v>7</v>
      </c>
    </row>
    <row r="51" spans="1:55" x14ac:dyDescent="0.2">
      <c r="A51" s="184"/>
      <c r="B51" s="184">
        <v>4</v>
      </c>
      <c r="C51" s="184"/>
      <c r="D51" s="230" t="s">
        <v>4</v>
      </c>
      <c r="E51" s="2" t="s">
        <v>441</v>
      </c>
      <c r="F51" s="185"/>
      <c r="G51" s="3" t="s">
        <v>102</v>
      </c>
      <c r="H51" s="186"/>
      <c r="I51" s="185"/>
      <c r="J51" s="3" t="s">
        <v>438</v>
      </c>
      <c r="K51" s="160" t="s">
        <v>314</v>
      </c>
      <c r="L51" s="5" t="s">
        <v>345</v>
      </c>
      <c r="M51" s="187"/>
      <c r="N51" s="187"/>
      <c r="O51" s="187"/>
      <c r="P51" s="187"/>
      <c r="Q51" s="187"/>
      <c r="R51" s="184"/>
      <c r="S51" s="16" t="s">
        <v>76</v>
      </c>
      <c r="T51" s="3"/>
      <c r="U51" s="188"/>
      <c r="V51" s="188"/>
      <c r="W51" s="17"/>
      <c r="X51" s="188"/>
      <c r="Y51" s="188"/>
      <c r="Z51" s="184"/>
      <c r="AA51" s="5" t="s">
        <v>59</v>
      </c>
      <c r="AB51" s="188"/>
      <c r="AC51" s="9" t="s">
        <v>77</v>
      </c>
      <c r="AD51" s="9" t="s">
        <v>77</v>
      </c>
      <c r="AE51" s="7" t="s">
        <v>85</v>
      </c>
      <c r="AF51" s="188"/>
      <c r="AG51" s="187"/>
      <c r="AH51" s="184"/>
      <c r="AI51" s="190">
        <v>269</v>
      </c>
      <c r="AJ51" s="190">
        <v>269</v>
      </c>
      <c r="AK51" s="185" t="s">
        <v>315</v>
      </c>
      <c r="AL51" s="189" t="s">
        <v>50</v>
      </c>
      <c r="AM51" s="191">
        <v>45404</v>
      </c>
      <c r="AN51" s="191">
        <v>45404</v>
      </c>
      <c r="AO51" s="191">
        <v>45404</v>
      </c>
      <c r="AP51" s="191">
        <v>45404</v>
      </c>
      <c r="AQ51" s="191">
        <v>45404</v>
      </c>
      <c r="AR51" s="192"/>
      <c r="AS51" s="192"/>
      <c r="AT51" s="192"/>
      <c r="AU51" s="192"/>
      <c r="AV51" s="192"/>
      <c r="AW51" s="19">
        <v>45404</v>
      </c>
      <c r="AX51" s="19">
        <v>45404</v>
      </c>
      <c r="AY51" s="192"/>
      <c r="AZ51" s="192"/>
      <c r="BA51" s="193"/>
      <c r="BB51" s="192"/>
      <c r="BC51" s="1" t="s">
        <v>7</v>
      </c>
    </row>
    <row r="52" spans="1:55" x14ac:dyDescent="0.2">
      <c r="A52" s="184"/>
      <c r="B52" s="6">
        <v>4</v>
      </c>
      <c r="D52" s="8" t="s">
        <v>4</v>
      </c>
      <c r="E52" s="8" t="s">
        <v>424</v>
      </c>
      <c r="F52" s="3"/>
      <c r="G52" s="3" t="s">
        <v>67</v>
      </c>
      <c r="H52" s="4" t="s">
        <v>430</v>
      </c>
      <c r="I52" s="3"/>
      <c r="J52" s="3" t="s">
        <v>426</v>
      </c>
      <c r="K52" s="5" t="s">
        <v>425</v>
      </c>
      <c r="L52" s="5" t="s">
        <v>427</v>
      </c>
      <c r="M52" s="5"/>
      <c r="N52" s="5"/>
      <c r="O52" s="5"/>
      <c r="P52" s="5"/>
      <c r="Q52" s="5"/>
      <c r="S52" s="16" t="s">
        <v>76</v>
      </c>
      <c r="T52" s="3">
        <v>2023</v>
      </c>
      <c r="U52" s="7">
        <v>6.2450000000000001</v>
      </c>
      <c r="V52" s="7">
        <v>0.97699999999999998</v>
      </c>
      <c r="W52" s="17">
        <v>0.15644515612489993</v>
      </c>
      <c r="X52" s="7">
        <v>0.33500000000000002</v>
      </c>
      <c r="Y52" s="7">
        <v>1.5069999999999999</v>
      </c>
      <c r="AA52" s="5" t="s">
        <v>59</v>
      </c>
      <c r="AB52" s="7"/>
      <c r="AC52" s="9" t="s">
        <v>423</v>
      </c>
      <c r="AD52" s="9" t="s">
        <v>423</v>
      </c>
      <c r="AE52" s="7"/>
      <c r="AF52" s="7"/>
      <c r="AG52" s="5"/>
      <c r="AI52" s="21">
        <v>290</v>
      </c>
      <c r="AJ52" s="21">
        <v>261</v>
      </c>
      <c r="AK52" s="3" t="s">
        <v>86</v>
      </c>
      <c r="AL52" s="17" t="s">
        <v>50</v>
      </c>
      <c r="AM52" s="18">
        <v>45383</v>
      </c>
      <c r="AN52" s="18">
        <v>45383</v>
      </c>
      <c r="AO52" s="18" t="s">
        <v>64</v>
      </c>
      <c r="AP52" s="18">
        <v>44846</v>
      </c>
      <c r="AQ52" s="19">
        <v>45399</v>
      </c>
      <c r="AR52" s="19"/>
      <c r="AS52" s="19"/>
      <c r="AT52" s="19"/>
      <c r="AU52" s="19"/>
      <c r="AV52" s="19"/>
      <c r="AW52" s="19">
        <v>45399</v>
      </c>
      <c r="AX52" s="19">
        <v>45412</v>
      </c>
      <c r="AY52" s="19"/>
      <c r="AZ52" s="19"/>
      <c r="BA52" s="20" t="s">
        <v>65</v>
      </c>
      <c r="BB52" s="19"/>
      <c r="BC52" s="1" t="s">
        <v>7</v>
      </c>
    </row>
    <row r="53" spans="1:55" x14ac:dyDescent="0.2">
      <c r="B53" s="184">
        <v>4</v>
      </c>
      <c r="C53" s="184"/>
      <c r="D53" s="230" t="s">
        <v>4</v>
      </c>
      <c r="E53" s="2" t="s">
        <v>428</v>
      </c>
      <c r="F53" s="185"/>
      <c r="G53" s="185" t="s">
        <v>269</v>
      </c>
      <c r="H53" s="186" t="s">
        <v>432</v>
      </c>
      <c r="I53" s="185"/>
      <c r="J53" s="3" t="s">
        <v>426</v>
      </c>
      <c r="K53" s="5" t="s">
        <v>429</v>
      </c>
      <c r="L53" s="187"/>
      <c r="M53" s="187"/>
      <c r="N53" s="187"/>
      <c r="O53" s="187"/>
      <c r="P53" s="187"/>
      <c r="Q53" s="187"/>
      <c r="R53" s="184"/>
      <c r="S53" s="16" t="s">
        <v>76</v>
      </c>
      <c r="T53" s="3">
        <v>2022</v>
      </c>
      <c r="U53" s="188">
        <v>22.1</v>
      </c>
      <c r="V53" s="188">
        <v>9.5</v>
      </c>
      <c r="W53" s="17">
        <v>0.42986425339366513</v>
      </c>
      <c r="X53" s="188">
        <v>4.5</v>
      </c>
      <c r="Y53" s="188">
        <v>0.4</v>
      </c>
      <c r="Z53" s="184"/>
      <c r="AA53" s="5" t="s">
        <v>59</v>
      </c>
      <c r="AB53" s="188"/>
      <c r="AC53" s="9" t="s">
        <v>423</v>
      </c>
      <c r="AD53" s="9" t="s">
        <v>423</v>
      </c>
      <c r="AE53" s="188"/>
      <c r="AF53" s="188"/>
      <c r="AG53" s="187"/>
      <c r="AH53" s="184"/>
      <c r="AI53" s="190">
        <v>276</v>
      </c>
      <c r="AJ53" s="190">
        <v>274</v>
      </c>
      <c r="AK53" s="185" t="s">
        <v>86</v>
      </c>
      <c r="AL53" s="189" t="s">
        <v>50</v>
      </c>
      <c r="AM53" s="191">
        <v>45397</v>
      </c>
      <c r="AN53" s="191">
        <v>45397</v>
      </c>
      <c r="AO53" s="191">
        <v>45397</v>
      </c>
      <c r="AP53" s="191">
        <v>45397</v>
      </c>
      <c r="AQ53" s="192">
        <v>45399</v>
      </c>
      <c r="AR53" s="192"/>
      <c r="AS53" s="192"/>
      <c r="AT53" s="192"/>
      <c r="AU53" s="192"/>
      <c r="AV53" s="192"/>
      <c r="AW53" s="192">
        <v>45399</v>
      </c>
      <c r="AX53" s="192">
        <v>45399</v>
      </c>
      <c r="AY53" s="192"/>
      <c r="AZ53" s="192"/>
      <c r="BA53" s="193" t="s">
        <v>65</v>
      </c>
      <c r="BB53" s="192"/>
      <c r="BC53" s="1" t="s">
        <v>7</v>
      </c>
    </row>
    <row r="54" spans="1:55" x14ac:dyDescent="0.2">
      <c r="A54" s="184"/>
      <c r="B54" s="6">
        <v>4</v>
      </c>
      <c r="D54" s="230" t="s">
        <v>4</v>
      </c>
      <c r="E54" s="8" t="s">
        <v>419</v>
      </c>
      <c r="F54" s="97"/>
      <c r="G54" s="3" t="s">
        <v>102</v>
      </c>
      <c r="H54" s="4" t="s">
        <v>420</v>
      </c>
      <c r="I54" s="97">
        <v>236100</v>
      </c>
      <c r="J54" s="3" t="s">
        <v>110</v>
      </c>
      <c r="K54" s="5" t="s">
        <v>422</v>
      </c>
      <c r="L54" s="5" t="s">
        <v>421</v>
      </c>
      <c r="M54" s="5"/>
      <c r="N54" s="5"/>
      <c r="O54" s="99"/>
      <c r="P54" s="99"/>
      <c r="Q54" s="99"/>
      <c r="R54" s="95"/>
      <c r="S54" s="16" t="s">
        <v>76</v>
      </c>
      <c r="T54" s="97">
        <v>2022</v>
      </c>
      <c r="U54" s="7">
        <v>88.2</v>
      </c>
      <c r="V54" s="101">
        <v>5.133</v>
      </c>
      <c r="W54" s="17">
        <v>5.8197278911564627E-2</v>
      </c>
      <c r="X54" s="7">
        <v>2.5259999999999998</v>
      </c>
      <c r="Y54" s="101">
        <v>-2.157</v>
      </c>
      <c r="Z54" s="95"/>
      <c r="AA54" s="5" t="s">
        <v>98</v>
      </c>
      <c r="AB54" s="7" t="s">
        <v>279</v>
      </c>
      <c r="AC54" s="9" t="s">
        <v>77</v>
      </c>
      <c r="AD54" s="9" t="s">
        <v>77</v>
      </c>
      <c r="AE54" s="3" t="s">
        <v>85</v>
      </c>
      <c r="AF54" s="101"/>
      <c r="AG54" s="99"/>
      <c r="AH54" s="95"/>
      <c r="AI54" s="21">
        <v>283</v>
      </c>
      <c r="AJ54" s="21">
        <v>262</v>
      </c>
      <c r="AK54" s="3" t="s">
        <v>86</v>
      </c>
      <c r="AL54" s="17" t="s">
        <v>50</v>
      </c>
      <c r="AM54" s="105">
        <v>45390</v>
      </c>
      <c r="AN54" s="105">
        <v>45390</v>
      </c>
      <c r="AO54" s="105">
        <v>45390</v>
      </c>
      <c r="AP54" s="105">
        <v>45390</v>
      </c>
      <c r="AQ54" s="19"/>
      <c r="AR54" s="19"/>
      <c r="AS54" s="19"/>
      <c r="AT54" s="19"/>
      <c r="AU54" s="19"/>
      <c r="AV54" s="19"/>
      <c r="AW54" s="19">
        <v>45390</v>
      </c>
      <c r="AX54" s="66">
        <v>45411</v>
      </c>
      <c r="AY54" s="106"/>
      <c r="AZ54" s="106"/>
      <c r="BA54" s="107"/>
      <c r="BB54" s="106"/>
      <c r="BC54" s="1" t="s">
        <v>7</v>
      </c>
    </row>
    <row r="55" spans="1:55" x14ac:dyDescent="0.2">
      <c r="A55" s="95"/>
      <c r="B55" s="126">
        <v>4</v>
      </c>
      <c r="D55" s="230" t="s">
        <v>4</v>
      </c>
      <c r="E55" s="127" t="s">
        <v>566</v>
      </c>
      <c r="F55" s="129"/>
      <c r="G55" s="128" t="s">
        <v>237</v>
      </c>
      <c r="H55" s="129" t="s">
        <v>239</v>
      </c>
      <c r="I55" s="128">
        <v>110700</v>
      </c>
      <c r="J55" s="128" t="s">
        <v>268</v>
      </c>
      <c r="K55" s="130" t="s">
        <v>280</v>
      </c>
      <c r="L55" s="130" t="s">
        <v>281</v>
      </c>
      <c r="M55" s="130" t="s">
        <v>281</v>
      </c>
      <c r="N55" s="130" t="s">
        <v>282</v>
      </c>
      <c r="O55" s="130" t="s">
        <v>281</v>
      </c>
      <c r="P55" s="130" t="s">
        <v>283</v>
      </c>
      <c r="Q55" s="130" t="s">
        <v>284</v>
      </c>
      <c r="R55" s="126"/>
      <c r="S55" s="16" t="s">
        <v>76</v>
      </c>
      <c r="T55" s="128">
        <v>2023</v>
      </c>
      <c r="U55" s="132">
        <v>55.084000000000003</v>
      </c>
      <c r="V55" s="132">
        <v>19</v>
      </c>
      <c r="W55" s="17">
        <v>0.34492774671410936</v>
      </c>
      <c r="X55" s="132">
        <v>12.129</v>
      </c>
      <c r="Y55" s="132">
        <v>-24.2</v>
      </c>
      <c r="Z55" s="126"/>
      <c r="AA55" s="130" t="s">
        <v>59</v>
      </c>
      <c r="AB55" s="132"/>
      <c r="AC55" s="133" t="s">
        <v>77</v>
      </c>
      <c r="AD55" s="132" t="s">
        <v>77</v>
      </c>
      <c r="AE55" s="132"/>
      <c r="AF55" s="132"/>
      <c r="AG55" s="130"/>
      <c r="AH55" s="126"/>
      <c r="AI55" s="134">
        <v>1360</v>
      </c>
      <c r="AJ55" s="134">
        <v>37</v>
      </c>
      <c r="AK55" s="128" t="s">
        <v>86</v>
      </c>
      <c r="AL55" s="140" t="s">
        <v>50</v>
      </c>
      <c r="AM55" s="135">
        <v>44313</v>
      </c>
      <c r="AN55" s="135">
        <v>44313</v>
      </c>
      <c r="AO55" s="135" t="s">
        <v>64</v>
      </c>
      <c r="AP55" s="135">
        <v>44313</v>
      </c>
      <c r="AQ55" s="19">
        <v>44375</v>
      </c>
      <c r="AR55" s="19"/>
      <c r="AS55" s="19"/>
      <c r="AT55" s="19"/>
      <c r="AU55" s="19"/>
      <c r="AV55" s="19"/>
      <c r="AW55" s="136">
        <v>45636</v>
      </c>
      <c r="AX55" s="136">
        <v>45291</v>
      </c>
      <c r="AY55" s="136"/>
      <c r="AZ55" s="136"/>
      <c r="BA55" s="141" t="s">
        <v>65</v>
      </c>
      <c r="BB55" s="136"/>
      <c r="BC55" s="1" t="s">
        <v>7</v>
      </c>
    </row>
    <row r="56" spans="1:55" x14ac:dyDescent="0.2">
      <c r="A56" s="126"/>
      <c r="B56" s="6">
        <v>4</v>
      </c>
      <c r="D56" s="8" t="s">
        <v>4</v>
      </c>
      <c r="E56" s="2" t="s">
        <v>232</v>
      </c>
      <c r="F56" s="4"/>
      <c r="G56" s="3" t="s">
        <v>189</v>
      </c>
      <c r="H56" s="4" t="s">
        <v>233</v>
      </c>
      <c r="I56" s="3">
        <v>265129</v>
      </c>
      <c r="J56" s="3" t="s">
        <v>110</v>
      </c>
      <c r="K56" s="5" t="s">
        <v>234</v>
      </c>
      <c r="L56" s="5" t="s">
        <v>235</v>
      </c>
      <c r="M56" s="5" t="s">
        <v>471</v>
      </c>
      <c r="N56" s="5" t="s">
        <v>472</v>
      </c>
      <c r="O56" s="5" t="s">
        <v>473</v>
      </c>
      <c r="P56" s="5" t="s">
        <v>474</v>
      </c>
      <c r="Q56" s="5"/>
      <c r="S56" s="16" t="s">
        <v>143</v>
      </c>
      <c r="T56" s="3">
        <v>2022</v>
      </c>
      <c r="U56" s="7">
        <v>132.49100000000001</v>
      </c>
      <c r="V56" s="7">
        <v>25</v>
      </c>
      <c r="W56" s="17">
        <v>0.18869206210233147</v>
      </c>
      <c r="X56" s="7">
        <v>10</v>
      </c>
      <c r="Y56" s="7">
        <v>-24</v>
      </c>
      <c r="AA56" s="5" t="s">
        <v>98</v>
      </c>
      <c r="AB56" s="7" t="s">
        <v>236</v>
      </c>
      <c r="AC56" s="9" t="s">
        <v>77</v>
      </c>
      <c r="AD56" s="9" t="s">
        <v>77</v>
      </c>
      <c r="AE56" s="7" t="s">
        <v>85</v>
      </c>
      <c r="AF56" s="7"/>
      <c r="AG56" s="5"/>
      <c r="AI56" s="21">
        <v>1276</v>
      </c>
      <c r="AJ56" s="21">
        <v>268</v>
      </c>
      <c r="AK56" s="3" t="s">
        <v>63</v>
      </c>
      <c r="AL56" s="17" t="s">
        <v>50</v>
      </c>
      <c r="AM56" s="18">
        <v>44397</v>
      </c>
      <c r="AN56" s="18">
        <v>44397</v>
      </c>
      <c r="AO56" s="18" t="s">
        <v>64</v>
      </c>
      <c r="AP56" s="18">
        <v>44446</v>
      </c>
      <c r="AQ56" s="19">
        <v>45366</v>
      </c>
      <c r="AR56" s="19">
        <v>45398</v>
      </c>
      <c r="AS56" s="19"/>
      <c r="AT56" s="19"/>
      <c r="AU56" s="19"/>
      <c r="AV56" s="19"/>
      <c r="AW56" s="19">
        <v>45398</v>
      </c>
      <c r="AX56" s="19">
        <v>45405</v>
      </c>
      <c r="AY56" s="19"/>
      <c r="AZ56" s="19"/>
      <c r="BA56" s="20" t="s">
        <v>65</v>
      </c>
      <c r="BB56" s="19"/>
      <c r="BC56" s="1" t="s">
        <v>7</v>
      </c>
    </row>
    <row r="57" spans="1:55" x14ac:dyDescent="0.2">
      <c r="B57" s="157">
        <v>4</v>
      </c>
      <c r="C57" s="157"/>
      <c r="D57" s="230" t="s">
        <v>4</v>
      </c>
      <c r="E57" s="158" t="s">
        <v>414</v>
      </c>
      <c r="F57" s="159"/>
      <c r="G57" s="159" t="s">
        <v>257</v>
      </c>
      <c r="H57" s="165"/>
      <c r="I57" s="159"/>
      <c r="J57" s="159" t="s">
        <v>312</v>
      </c>
      <c r="K57" s="160" t="s">
        <v>314</v>
      </c>
      <c r="L57" s="160" t="s">
        <v>411</v>
      </c>
      <c r="M57" s="160"/>
      <c r="N57" s="160"/>
      <c r="O57" s="160"/>
      <c r="P57" s="160"/>
      <c r="Q57" s="160"/>
      <c r="R57" s="157"/>
      <c r="S57" s="161"/>
      <c r="T57" s="159"/>
      <c r="U57" s="162"/>
      <c r="V57" s="162"/>
      <c r="W57" s="17"/>
      <c r="X57" s="162"/>
      <c r="Y57" s="162"/>
      <c r="Z57" s="157"/>
      <c r="AA57" s="160" t="s">
        <v>59</v>
      </c>
      <c r="AB57" s="162"/>
      <c r="AC57" s="166" t="s">
        <v>77</v>
      </c>
      <c r="AD57" s="166" t="s">
        <v>77</v>
      </c>
      <c r="AE57" s="159" t="s">
        <v>85</v>
      </c>
      <c r="AF57" s="162" t="s">
        <v>78</v>
      </c>
      <c r="AG57" s="160"/>
      <c r="AH57" s="228">
        <v>1</v>
      </c>
      <c r="AI57" s="163">
        <v>303</v>
      </c>
      <c r="AJ57" s="163">
        <v>269</v>
      </c>
      <c r="AK57" s="159" t="s">
        <v>315</v>
      </c>
      <c r="AL57" s="167" t="s">
        <v>50</v>
      </c>
      <c r="AM57" s="164">
        <v>45370</v>
      </c>
      <c r="AN57" s="164">
        <v>45370</v>
      </c>
      <c r="AO57" s="164" t="s">
        <v>64</v>
      </c>
      <c r="AP57" s="164">
        <v>45370</v>
      </c>
      <c r="AQ57" s="19">
        <v>45370</v>
      </c>
      <c r="AR57" s="19">
        <v>45386</v>
      </c>
      <c r="AS57" s="19"/>
      <c r="AT57" s="19"/>
      <c r="AU57" s="19"/>
      <c r="AV57" s="19"/>
      <c r="AW57" s="156">
        <v>45386</v>
      </c>
      <c r="AX57" s="156">
        <v>45404</v>
      </c>
      <c r="AY57" s="156"/>
      <c r="AZ57" s="156"/>
      <c r="BA57" s="168"/>
      <c r="BB57" s="156"/>
      <c r="BC57" s="1" t="s">
        <v>7</v>
      </c>
    </row>
    <row r="58" spans="1:55" x14ac:dyDescent="0.2">
      <c r="A58" s="157"/>
      <c r="B58" s="95">
        <v>4</v>
      </c>
      <c r="C58" s="95"/>
      <c r="D58" s="230" t="s">
        <v>4</v>
      </c>
      <c r="E58" s="96" t="s">
        <v>317</v>
      </c>
      <c r="F58" s="97"/>
      <c r="G58" s="97" t="s">
        <v>269</v>
      </c>
      <c r="H58" s="98" t="s">
        <v>516</v>
      </c>
      <c r="I58" s="97"/>
      <c r="J58" s="3" t="s">
        <v>118</v>
      </c>
      <c r="K58" s="5" t="s">
        <v>319</v>
      </c>
      <c r="L58" s="99" t="s">
        <v>331</v>
      </c>
      <c r="M58" s="99" t="s">
        <v>332</v>
      </c>
      <c r="N58" s="99"/>
      <c r="O58" s="99"/>
      <c r="P58" s="99"/>
      <c r="Q58" s="99"/>
      <c r="R58" s="95"/>
      <c r="S58" s="100" t="s">
        <v>76</v>
      </c>
      <c r="T58" s="97">
        <v>2022</v>
      </c>
      <c r="U58" s="101">
        <v>39.109000000000002</v>
      </c>
      <c r="V58" s="101">
        <v>5.6760000000000002</v>
      </c>
      <c r="W58" s="17">
        <v>0.14513283387455572</v>
      </c>
      <c r="X58" s="101">
        <v>0.89300000000000002</v>
      </c>
      <c r="Y58" s="101">
        <v>20</v>
      </c>
      <c r="Z58" s="95"/>
      <c r="AA58" s="99" t="s">
        <v>139</v>
      </c>
      <c r="AB58" s="101"/>
      <c r="AC58" s="102" t="s">
        <v>152</v>
      </c>
      <c r="AD58" s="102" t="s">
        <v>152</v>
      </c>
      <c r="AE58" s="97" t="s">
        <v>218</v>
      </c>
      <c r="AF58" s="101"/>
      <c r="AG58" s="5"/>
      <c r="AH58" s="95"/>
      <c r="AI58" s="21">
        <v>360</v>
      </c>
      <c r="AJ58" s="21">
        <v>268</v>
      </c>
      <c r="AK58" s="97" t="s">
        <v>86</v>
      </c>
      <c r="AL58" s="104" t="s">
        <v>50</v>
      </c>
      <c r="AM58" s="105">
        <v>45313</v>
      </c>
      <c r="AN58" s="105">
        <v>45316</v>
      </c>
      <c r="AO58" s="105" t="s">
        <v>64</v>
      </c>
      <c r="AP58" s="105">
        <v>45317</v>
      </c>
      <c r="AQ58" s="19">
        <v>45324</v>
      </c>
      <c r="AR58" s="19"/>
      <c r="AS58" s="19"/>
      <c r="AT58" s="19"/>
      <c r="AU58" s="19"/>
      <c r="AV58" s="19"/>
      <c r="AW58" s="106">
        <v>45324</v>
      </c>
      <c r="AX58" s="106">
        <v>45405</v>
      </c>
      <c r="AY58" s="106"/>
      <c r="AZ58" s="106"/>
      <c r="BA58" s="107"/>
      <c r="BB58" s="106"/>
      <c r="BC58" s="1" t="s">
        <v>7</v>
      </c>
    </row>
    <row r="59" spans="1:55" x14ac:dyDescent="0.2">
      <c r="A59" s="95"/>
      <c r="B59" s="6">
        <v>4</v>
      </c>
      <c r="D59" s="8" t="s">
        <v>4</v>
      </c>
      <c r="E59" s="8" t="s">
        <v>406</v>
      </c>
      <c r="F59" s="97"/>
      <c r="G59" s="3" t="s">
        <v>170</v>
      </c>
      <c r="H59" s="4" t="s">
        <v>397</v>
      </c>
      <c r="I59" s="97"/>
      <c r="J59" s="3" t="s">
        <v>287</v>
      </c>
      <c r="K59" s="5" t="s">
        <v>398</v>
      </c>
      <c r="L59" s="5" t="s">
        <v>399</v>
      </c>
      <c r="M59" s="5"/>
      <c r="N59" s="5"/>
      <c r="O59" s="99"/>
      <c r="P59" s="99"/>
      <c r="Q59" s="99"/>
      <c r="R59" s="95"/>
      <c r="S59" s="16" t="s">
        <v>76</v>
      </c>
      <c r="T59" s="97">
        <v>2022</v>
      </c>
      <c r="U59" s="7">
        <v>50.055008000000001</v>
      </c>
      <c r="V59" s="101">
        <v>11.616712999999999</v>
      </c>
      <c r="W59" s="17">
        <v>0.23207893603772869</v>
      </c>
      <c r="X59" s="7">
        <v>6</v>
      </c>
      <c r="Y59" s="101">
        <v>4</v>
      </c>
      <c r="Z59" s="95"/>
      <c r="AA59" s="5" t="s">
        <v>321</v>
      </c>
      <c r="AB59" s="7"/>
      <c r="AC59" s="9" t="s">
        <v>77</v>
      </c>
      <c r="AD59" s="9" t="s">
        <v>77</v>
      </c>
      <c r="AE59" s="3" t="s">
        <v>78</v>
      </c>
      <c r="AF59" s="101"/>
      <c r="AG59" s="99"/>
      <c r="AH59" s="228">
        <v>1</v>
      </c>
      <c r="AI59" s="21">
        <v>309</v>
      </c>
      <c r="AJ59" s="21">
        <v>268</v>
      </c>
      <c r="AK59" s="3" t="s">
        <v>86</v>
      </c>
      <c r="AL59" s="104" t="s">
        <v>50</v>
      </c>
      <c r="AM59" s="105">
        <v>45364</v>
      </c>
      <c r="AN59" s="105">
        <v>45364</v>
      </c>
      <c r="AO59" s="105">
        <v>45364</v>
      </c>
      <c r="AP59" s="105">
        <v>45364</v>
      </c>
      <c r="AQ59" s="19">
        <v>45364</v>
      </c>
      <c r="AR59" s="19">
        <v>45380</v>
      </c>
      <c r="AS59" s="19">
        <v>45391</v>
      </c>
      <c r="AT59" s="19"/>
      <c r="AU59" s="19"/>
      <c r="AV59" s="19"/>
      <c r="AW59" s="19"/>
      <c r="AX59" s="106">
        <v>45405</v>
      </c>
      <c r="AY59" s="106"/>
      <c r="AZ59" s="106"/>
      <c r="BA59" s="107"/>
      <c r="BB59" s="106"/>
      <c r="BC59" s="1" t="s">
        <v>7</v>
      </c>
    </row>
    <row r="60" spans="1:55" x14ac:dyDescent="0.2">
      <c r="A60" s="95"/>
      <c r="B60" s="6">
        <v>4</v>
      </c>
      <c r="D60" s="8" t="s">
        <v>4</v>
      </c>
      <c r="E60" s="8" t="s">
        <v>400</v>
      </c>
      <c r="F60" s="97"/>
      <c r="G60" s="3" t="s">
        <v>220</v>
      </c>
      <c r="H60" s="4" t="s">
        <v>517</v>
      </c>
      <c r="I60" s="97"/>
      <c r="J60" s="3" t="s">
        <v>287</v>
      </c>
      <c r="K60" s="5" t="s">
        <v>401</v>
      </c>
      <c r="L60" s="5" t="s">
        <v>402</v>
      </c>
      <c r="M60" s="5"/>
      <c r="N60" s="5"/>
      <c r="O60" s="99"/>
      <c r="P60" s="99"/>
      <c r="Q60" s="99"/>
      <c r="R60" s="95"/>
      <c r="S60" s="16" t="s">
        <v>76</v>
      </c>
      <c r="T60" s="97">
        <v>2022</v>
      </c>
      <c r="U60" s="7">
        <v>54.591000000000001</v>
      </c>
      <c r="V60" s="101">
        <v>5.0389999999999997</v>
      </c>
      <c r="W60" s="17">
        <v>9.2304592332069377E-2</v>
      </c>
      <c r="X60" s="7">
        <v>2</v>
      </c>
      <c r="Y60" s="101">
        <v>12</v>
      </c>
      <c r="Z60" s="95"/>
      <c r="AA60" s="5" t="s">
        <v>321</v>
      </c>
      <c r="AB60" s="7"/>
      <c r="AC60" s="9" t="s">
        <v>77</v>
      </c>
      <c r="AD60" s="9" t="s">
        <v>77</v>
      </c>
      <c r="AE60" s="3" t="s">
        <v>78</v>
      </c>
      <c r="AF60" s="101"/>
      <c r="AG60" s="99"/>
      <c r="AH60" s="228">
        <v>1</v>
      </c>
      <c r="AI60" s="21">
        <v>309</v>
      </c>
      <c r="AJ60" s="21">
        <v>268</v>
      </c>
      <c r="AK60" s="3" t="s">
        <v>86</v>
      </c>
      <c r="AL60" s="104" t="s">
        <v>50</v>
      </c>
      <c r="AM60" s="105">
        <v>45364</v>
      </c>
      <c r="AN60" s="105">
        <v>45364</v>
      </c>
      <c r="AO60" s="105">
        <v>45364</v>
      </c>
      <c r="AP60" s="105">
        <v>45364</v>
      </c>
      <c r="AQ60" s="19">
        <v>45364</v>
      </c>
      <c r="AR60" s="19"/>
      <c r="AS60" s="19"/>
      <c r="AT60" s="19"/>
      <c r="AU60" s="19"/>
      <c r="AV60" s="19"/>
      <c r="AW60" s="19"/>
      <c r="AX60" s="106">
        <v>45405</v>
      </c>
      <c r="AY60" s="106"/>
      <c r="AZ60" s="106"/>
      <c r="BA60" s="107"/>
      <c r="BB60" s="106"/>
      <c r="BC60" s="1" t="s">
        <v>7</v>
      </c>
    </row>
    <row r="61" spans="1:55" x14ac:dyDescent="0.2">
      <c r="A61" s="95"/>
      <c r="B61" s="6">
        <v>4</v>
      </c>
      <c r="D61" s="8" t="s">
        <v>4</v>
      </c>
      <c r="E61" s="8" t="s">
        <v>431</v>
      </c>
      <c r="F61" s="97"/>
      <c r="G61" s="3" t="s">
        <v>165</v>
      </c>
      <c r="H61" s="4" t="s">
        <v>409</v>
      </c>
      <c r="I61" s="97">
        <v>282500</v>
      </c>
      <c r="J61" s="3" t="s">
        <v>110</v>
      </c>
      <c r="K61" s="5" t="s">
        <v>433</v>
      </c>
      <c r="L61" s="5" t="s">
        <v>410</v>
      </c>
      <c r="M61" s="5"/>
      <c r="N61" s="5"/>
      <c r="O61" s="99"/>
      <c r="P61" s="99"/>
      <c r="Q61" s="99"/>
      <c r="R61" s="95"/>
      <c r="S61" s="16" t="s">
        <v>143</v>
      </c>
      <c r="T61" s="97">
        <v>2022</v>
      </c>
      <c r="U61" s="7">
        <v>320</v>
      </c>
      <c r="V61" s="101">
        <v>28</v>
      </c>
      <c r="W61" s="17">
        <v>8.7499999999999994E-2</v>
      </c>
      <c r="X61" s="7">
        <v>20</v>
      </c>
      <c r="Y61" s="101">
        <v>4.2329999999999997</v>
      </c>
      <c r="Z61" s="95"/>
      <c r="AA61" s="5" t="s">
        <v>139</v>
      </c>
      <c r="AB61" s="7"/>
      <c r="AC61" s="9" t="s">
        <v>77</v>
      </c>
      <c r="AD61" s="9" t="s">
        <v>77</v>
      </c>
      <c r="AE61" s="3" t="s">
        <v>127</v>
      </c>
      <c r="AF61" s="101"/>
      <c r="AG61" s="99"/>
      <c r="AH61" s="95"/>
      <c r="AI61" s="21">
        <v>286</v>
      </c>
      <c r="AJ61" s="21">
        <v>282</v>
      </c>
      <c r="AK61" s="3" t="s">
        <v>267</v>
      </c>
      <c r="AL61" s="17" t="s">
        <v>50</v>
      </c>
      <c r="AM61" s="105">
        <v>45387</v>
      </c>
      <c r="AN61" s="105">
        <v>45387</v>
      </c>
      <c r="AO61" s="18" t="s">
        <v>64</v>
      </c>
      <c r="AP61" s="105">
        <v>45391</v>
      </c>
      <c r="AQ61" s="19"/>
      <c r="AR61" s="19"/>
      <c r="AS61" s="19"/>
      <c r="AT61" s="19"/>
      <c r="AU61" s="19"/>
      <c r="AV61" s="19"/>
      <c r="AW61" s="19">
        <v>45391</v>
      </c>
      <c r="AX61" s="106">
        <v>45391</v>
      </c>
      <c r="AY61" s="106"/>
      <c r="AZ61" s="106"/>
      <c r="BA61" s="107"/>
      <c r="BB61" s="106"/>
      <c r="BC61" s="1" t="s">
        <v>7</v>
      </c>
    </row>
    <row r="62" spans="1:55" x14ac:dyDescent="0.2">
      <c r="A62" s="95"/>
      <c r="B62" s="6">
        <v>4</v>
      </c>
      <c r="D62" s="8" t="s">
        <v>4</v>
      </c>
      <c r="E62" s="2" t="s">
        <v>213</v>
      </c>
      <c r="F62" s="4"/>
      <c r="G62" s="3" t="s">
        <v>90</v>
      </c>
      <c r="H62" s="2"/>
      <c r="I62" s="3"/>
      <c r="J62" s="3" t="s">
        <v>214</v>
      </c>
      <c r="K62" s="5" t="s">
        <v>215</v>
      </c>
      <c r="L62" s="5"/>
      <c r="M62" s="5"/>
      <c r="N62" s="5"/>
      <c r="O62" s="5"/>
      <c r="P62" s="5"/>
      <c r="Q62" s="5"/>
      <c r="S62" s="16" t="s">
        <v>76</v>
      </c>
      <c r="T62" s="3">
        <v>2022</v>
      </c>
      <c r="U62" s="7">
        <v>40</v>
      </c>
      <c r="V62" s="7"/>
      <c r="W62" s="17">
        <v>0</v>
      </c>
      <c r="X62" s="7"/>
      <c r="Y62" s="7"/>
      <c r="AA62" s="5" t="s">
        <v>216</v>
      </c>
      <c r="AB62" s="7"/>
      <c r="AC62" s="9" t="s">
        <v>60</v>
      </c>
      <c r="AD62" s="9" t="s">
        <v>60</v>
      </c>
      <c r="AE62" s="7" t="s">
        <v>127</v>
      </c>
      <c r="AF62" s="7"/>
      <c r="AG62" s="5"/>
      <c r="AI62" s="21">
        <v>657</v>
      </c>
      <c r="AJ62" s="21">
        <v>280</v>
      </c>
      <c r="AK62" s="3" t="s">
        <v>63</v>
      </c>
      <c r="AL62" s="17" t="s">
        <v>50</v>
      </c>
      <c r="AM62" s="18">
        <v>45016</v>
      </c>
      <c r="AN62" s="59">
        <v>45016</v>
      </c>
      <c r="AO62" s="18" t="s">
        <v>64</v>
      </c>
      <c r="AP62" s="18" t="s">
        <v>64</v>
      </c>
      <c r="AQ62" s="19">
        <v>45016</v>
      </c>
      <c r="AR62" s="19" t="s">
        <v>64</v>
      </c>
      <c r="AS62" s="19" t="s">
        <v>64</v>
      </c>
      <c r="AT62" s="19">
        <v>45219</v>
      </c>
      <c r="AU62" s="19" t="s">
        <v>64</v>
      </c>
      <c r="AV62" s="19">
        <v>45236</v>
      </c>
      <c r="AW62" s="19"/>
      <c r="AX62" s="19">
        <v>45393</v>
      </c>
      <c r="AY62" s="19"/>
      <c r="AZ62" s="19"/>
      <c r="BA62" s="20" t="s">
        <v>65</v>
      </c>
      <c r="BB62" s="19"/>
      <c r="BC62" s="1" t="s">
        <v>7</v>
      </c>
    </row>
    <row r="63" spans="1:55" x14ac:dyDescent="0.2">
      <c r="B63" s="6">
        <v>4</v>
      </c>
      <c r="D63" s="8" t="s">
        <v>4</v>
      </c>
      <c r="E63" s="2" t="s">
        <v>381</v>
      </c>
      <c r="F63" s="4"/>
      <c r="G63" s="3" t="s">
        <v>102</v>
      </c>
      <c r="H63" s="4" t="s">
        <v>378</v>
      </c>
      <c r="I63" s="3"/>
      <c r="J63" s="92" t="s">
        <v>346</v>
      </c>
      <c r="K63" s="5" t="s">
        <v>379</v>
      </c>
      <c r="L63" s="5" t="s">
        <v>380</v>
      </c>
      <c r="M63" s="5"/>
      <c r="N63" s="5"/>
      <c r="O63" s="5"/>
      <c r="P63" s="5"/>
      <c r="Q63" s="5"/>
      <c r="S63" s="16" t="s">
        <v>76</v>
      </c>
      <c r="T63" s="3">
        <v>2023</v>
      </c>
      <c r="U63" s="7">
        <v>595</v>
      </c>
      <c r="V63" s="7">
        <v>17</v>
      </c>
      <c r="W63" s="17">
        <v>2.8571428571428571E-2</v>
      </c>
      <c r="X63" s="7">
        <v>13</v>
      </c>
      <c r="Y63" s="7">
        <v>-26</v>
      </c>
      <c r="AA63" s="5" t="s">
        <v>59</v>
      </c>
      <c r="AB63" s="7"/>
      <c r="AC63" s="9" t="s">
        <v>77</v>
      </c>
      <c r="AD63" s="7" t="s">
        <v>77</v>
      </c>
      <c r="AE63" s="7" t="s">
        <v>127</v>
      </c>
      <c r="AF63" s="7"/>
      <c r="AG63" s="5"/>
      <c r="AI63" s="21">
        <v>363</v>
      </c>
      <c r="AJ63" s="21">
        <v>24</v>
      </c>
      <c r="AK63" s="3" t="s">
        <v>63</v>
      </c>
      <c r="AL63" s="104" t="s">
        <v>50</v>
      </c>
      <c r="AM63" s="105">
        <v>45310</v>
      </c>
      <c r="AN63" s="105">
        <v>45310</v>
      </c>
      <c r="AO63" s="105" t="s">
        <v>64</v>
      </c>
      <c r="AP63" s="105">
        <v>45310</v>
      </c>
      <c r="AQ63" s="19">
        <v>45355</v>
      </c>
      <c r="AR63" s="19">
        <v>45364</v>
      </c>
      <c r="AS63" s="19"/>
      <c r="AT63" s="19"/>
      <c r="AU63" s="19"/>
      <c r="AV63" s="19"/>
      <c r="AW63" s="19">
        <v>45390</v>
      </c>
      <c r="AX63" s="19">
        <v>45649</v>
      </c>
      <c r="AY63" s="19"/>
      <c r="AZ63" s="19"/>
      <c r="BA63" s="20" t="s">
        <v>65</v>
      </c>
      <c r="BB63" s="19"/>
      <c r="BC63" s="1" t="s">
        <v>7</v>
      </c>
    </row>
    <row r="64" spans="1:55" x14ac:dyDescent="0.2">
      <c r="B64" s="110">
        <v>4</v>
      </c>
      <c r="D64" s="230" t="s">
        <v>4</v>
      </c>
      <c r="E64" s="111" t="s">
        <v>349</v>
      </c>
      <c r="F64" s="112"/>
      <c r="G64" s="112" t="s">
        <v>292</v>
      </c>
      <c r="H64" s="113"/>
      <c r="I64" s="112"/>
      <c r="J64" s="114" t="s">
        <v>312</v>
      </c>
      <c r="K64" s="115" t="s">
        <v>313</v>
      </c>
      <c r="L64" s="115"/>
      <c r="M64" s="115"/>
      <c r="N64" s="115" t="s">
        <v>350</v>
      </c>
      <c r="O64" s="115"/>
      <c r="P64" s="115"/>
      <c r="Q64" s="115"/>
      <c r="R64" s="110"/>
      <c r="S64" s="116" t="s">
        <v>76</v>
      </c>
      <c r="T64" s="112"/>
      <c r="U64" s="117"/>
      <c r="V64" s="117"/>
      <c r="W64" s="17"/>
      <c r="X64" s="117"/>
      <c r="Y64" s="117"/>
      <c r="Z64" s="110"/>
      <c r="AA64" s="115" t="s">
        <v>275</v>
      </c>
      <c r="AB64" s="117"/>
      <c r="AC64" s="118" t="s">
        <v>77</v>
      </c>
      <c r="AD64" s="118" t="s">
        <v>77</v>
      </c>
      <c r="AE64" s="112" t="s">
        <v>85</v>
      </c>
      <c r="AF64" s="117" t="s">
        <v>78</v>
      </c>
      <c r="AG64" s="119"/>
      <c r="AH64" s="228">
        <v>1</v>
      </c>
      <c r="AI64" s="21">
        <v>399</v>
      </c>
      <c r="AJ64" s="21">
        <v>282</v>
      </c>
      <c r="AK64" s="112" t="s">
        <v>315</v>
      </c>
      <c r="AL64" s="121" t="s">
        <v>50</v>
      </c>
      <c r="AM64" s="122">
        <v>45274</v>
      </c>
      <c r="AN64" s="122">
        <v>45274</v>
      </c>
      <c r="AO64" s="122" t="s">
        <v>64</v>
      </c>
      <c r="AP64" s="122">
        <v>45274</v>
      </c>
      <c r="AQ64" s="19">
        <v>45327</v>
      </c>
      <c r="AR64" s="19">
        <v>45329</v>
      </c>
      <c r="AS64" s="19">
        <v>45378</v>
      </c>
      <c r="AT64" s="19"/>
      <c r="AU64" s="19"/>
      <c r="AV64" s="19"/>
      <c r="AW64" s="123">
        <v>45384</v>
      </c>
      <c r="AX64" s="123">
        <v>45391</v>
      </c>
      <c r="AY64" s="123"/>
      <c r="AZ64" s="123"/>
      <c r="BA64" s="124"/>
      <c r="BB64" s="123"/>
      <c r="BC64" s="1" t="s">
        <v>7</v>
      </c>
    </row>
    <row r="65" spans="1:55" x14ac:dyDescent="0.2">
      <c r="A65" s="110"/>
      <c r="B65" s="6">
        <v>4</v>
      </c>
      <c r="D65" s="8" t="s">
        <v>4</v>
      </c>
      <c r="E65" s="8" t="s">
        <v>285</v>
      </c>
      <c r="F65" s="4"/>
      <c r="G65" s="3" t="s">
        <v>102</v>
      </c>
      <c r="H65" s="4" t="s">
        <v>372</v>
      </c>
      <c r="I65" s="3"/>
      <c r="J65" s="3" t="s">
        <v>238</v>
      </c>
      <c r="K65" s="5" t="s">
        <v>373</v>
      </c>
      <c r="L65" s="5" t="s">
        <v>374</v>
      </c>
      <c r="M65" s="5" t="s">
        <v>475</v>
      </c>
      <c r="N65" s="5" t="s">
        <v>476</v>
      </c>
      <c r="O65" s="5" t="s">
        <v>374</v>
      </c>
      <c r="P65" s="5"/>
      <c r="Q65" s="5" t="s">
        <v>477</v>
      </c>
      <c r="S65" s="7" t="s">
        <v>76</v>
      </c>
      <c r="T65" s="3">
        <v>2022</v>
      </c>
      <c r="U65" s="7">
        <v>88</v>
      </c>
      <c r="V65" s="7">
        <v>8</v>
      </c>
      <c r="W65" s="17">
        <v>9.0909090909090912E-2</v>
      </c>
      <c r="X65" s="7">
        <v>3.2</v>
      </c>
      <c r="Y65" s="7">
        <v>8.1999999999999993</v>
      </c>
      <c r="AA65" s="5" t="s">
        <v>59</v>
      </c>
      <c r="AB65" s="7"/>
      <c r="AC65" s="9" t="s">
        <v>77</v>
      </c>
      <c r="AD65" s="9" t="s">
        <v>77</v>
      </c>
      <c r="AE65" s="7" t="s">
        <v>85</v>
      </c>
      <c r="AF65" s="7"/>
      <c r="AG65" s="5"/>
      <c r="AI65" s="21">
        <v>357</v>
      </c>
      <c r="AJ65" s="21">
        <v>282</v>
      </c>
      <c r="AK65" s="3" t="s">
        <v>63</v>
      </c>
      <c r="AL65" s="104" t="s">
        <v>50</v>
      </c>
      <c r="AM65" s="105">
        <v>45316</v>
      </c>
      <c r="AN65" s="105">
        <v>45316</v>
      </c>
      <c r="AO65" s="105" t="s">
        <v>64</v>
      </c>
      <c r="AP65" s="105">
        <v>45344</v>
      </c>
      <c r="AQ65" s="19">
        <v>45344</v>
      </c>
      <c r="AR65" s="19">
        <v>45365</v>
      </c>
      <c r="AS65" s="19"/>
      <c r="AT65" s="19"/>
      <c r="AU65" s="19"/>
      <c r="AV65" s="19"/>
      <c r="AW65" s="19">
        <v>45386</v>
      </c>
      <c r="AX65" s="183">
        <v>45391</v>
      </c>
      <c r="AY65" s="19"/>
      <c r="AZ65" s="19"/>
      <c r="BA65" s="20" t="s">
        <v>65</v>
      </c>
      <c r="BB65" s="19"/>
      <c r="BC65" s="1" t="s">
        <v>7</v>
      </c>
    </row>
    <row r="66" spans="1:55" x14ac:dyDescent="0.2">
      <c r="B66" s="157">
        <v>4</v>
      </c>
      <c r="C66" s="157"/>
      <c r="D66" s="230" t="s">
        <v>4</v>
      </c>
      <c r="E66" s="158" t="s">
        <v>415</v>
      </c>
      <c r="F66" s="159"/>
      <c r="G66" s="159" t="s">
        <v>266</v>
      </c>
      <c r="H66" s="165"/>
      <c r="I66" s="159"/>
      <c r="J66" s="159" t="s">
        <v>302</v>
      </c>
      <c r="K66" s="160" t="s">
        <v>416</v>
      </c>
      <c r="L66" s="160" t="s">
        <v>417</v>
      </c>
      <c r="M66" s="160"/>
      <c r="N66" s="160"/>
      <c r="O66" s="160"/>
      <c r="P66" s="160"/>
      <c r="Q66" s="160"/>
      <c r="R66" s="157"/>
      <c r="S66" s="161" t="s">
        <v>143</v>
      </c>
      <c r="T66" s="159">
        <v>2023</v>
      </c>
      <c r="U66" s="162">
        <v>1200</v>
      </c>
      <c r="V66" s="162">
        <v>240</v>
      </c>
      <c r="W66" s="17">
        <v>0.2</v>
      </c>
      <c r="X66" s="162"/>
      <c r="Y66" s="162"/>
      <c r="Z66" s="157"/>
      <c r="AA66" s="160" t="s">
        <v>59</v>
      </c>
      <c r="AB66" s="162"/>
      <c r="AC66" s="166" t="s">
        <v>77</v>
      </c>
      <c r="AD66" s="166" t="s">
        <v>77</v>
      </c>
      <c r="AE66" s="162" t="s">
        <v>78</v>
      </c>
      <c r="AF66" s="162"/>
      <c r="AG66" s="160"/>
      <c r="AH66" s="228">
        <v>1</v>
      </c>
      <c r="AI66" s="163">
        <v>296</v>
      </c>
      <c r="AJ66" s="163">
        <v>282</v>
      </c>
      <c r="AK66" s="159" t="s">
        <v>86</v>
      </c>
      <c r="AL66" s="167" t="s">
        <v>50</v>
      </c>
      <c r="AM66" s="164">
        <v>45377</v>
      </c>
      <c r="AN66" s="164">
        <v>45370</v>
      </c>
      <c r="AO66" s="164">
        <v>45370</v>
      </c>
      <c r="AP66" s="164">
        <v>45370</v>
      </c>
      <c r="AQ66" s="19">
        <v>45370</v>
      </c>
      <c r="AR66" s="19">
        <v>45377</v>
      </c>
      <c r="AS66" s="19"/>
      <c r="AT66" s="19"/>
      <c r="AU66" s="19"/>
      <c r="AV66" s="19"/>
      <c r="AW66" s="156"/>
      <c r="AX66" s="156">
        <v>45391</v>
      </c>
      <c r="AY66" s="156"/>
      <c r="AZ66" s="156"/>
      <c r="BA66" s="168"/>
      <c r="BB66" s="156"/>
      <c r="BC66" s="1" t="s">
        <v>7</v>
      </c>
    </row>
    <row r="67" spans="1:55" x14ac:dyDescent="0.2">
      <c r="A67" s="157"/>
      <c r="B67" s="6">
        <v>4</v>
      </c>
      <c r="D67" s="8" t="s">
        <v>4</v>
      </c>
      <c r="E67" s="8" t="s">
        <v>393</v>
      </c>
      <c r="F67" s="97"/>
      <c r="G67" s="3" t="s">
        <v>195</v>
      </c>
      <c r="H67" s="4" t="s">
        <v>518</v>
      </c>
      <c r="I67" s="97"/>
      <c r="J67" s="3" t="s">
        <v>110</v>
      </c>
      <c r="K67" s="5" t="s">
        <v>394</v>
      </c>
      <c r="L67" s="5" t="s">
        <v>395</v>
      </c>
      <c r="M67" s="5"/>
      <c r="N67" s="5"/>
      <c r="O67" s="99"/>
      <c r="P67" s="99"/>
      <c r="Q67" s="99"/>
      <c r="R67" s="95"/>
      <c r="S67" s="16" t="s">
        <v>76</v>
      </c>
      <c r="T67" s="97">
        <v>2022</v>
      </c>
      <c r="U67" s="101">
        <v>16.5</v>
      </c>
      <c r="V67" s="101">
        <v>1.1599999999999999</v>
      </c>
      <c r="W67" s="17">
        <v>7.0303030303030298E-2</v>
      </c>
      <c r="X67" s="101">
        <v>0.30099999999999999</v>
      </c>
      <c r="Y67" s="101">
        <v>4</v>
      </c>
      <c r="Z67" s="95"/>
      <c r="AA67" s="5" t="s">
        <v>59</v>
      </c>
      <c r="AB67" s="7" t="s">
        <v>395</v>
      </c>
      <c r="AC67" s="9" t="s">
        <v>152</v>
      </c>
      <c r="AD67" s="9" t="s">
        <v>152</v>
      </c>
      <c r="AE67" s="3" t="s">
        <v>218</v>
      </c>
      <c r="AF67" s="101"/>
      <c r="AG67" s="99"/>
      <c r="AH67" s="95"/>
      <c r="AI67" s="21">
        <v>328</v>
      </c>
      <c r="AJ67" s="21">
        <v>282</v>
      </c>
      <c r="AK67" s="3" t="s">
        <v>86</v>
      </c>
      <c r="AL67" s="104" t="s">
        <v>50</v>
      </c>
      <c r="AM67" s="105">
        <v>45345</v>
      </c>
      <c r="AN67" s="105">
        <v>45345</v>
      </c>
      <c r="AO67" s="105" t="s">
        <v>64</v>
      </c>
      <c r="AP67" s="105">
        <v>45345</v>
      </c>
      <c r="AQ67" s="19">
        <v>45345</v>
      </c>
      <c r="AR67" s="19"/>
      <c r="AS67" s="19"/>
      <c r="AT67" s="19"/>
      <c r="AU67" s="19"/>
      <c r="AV67" s="19"/>
      <c r="AW67" s="19">
        <v>45359</v>
      </c>
      <c r="AX67" s="106">
        <v>45391</v>
      </c>
      <c r="AY67" s="106"/>
      <c r="AZ67" s="106"/>
      <c r="BA67" s="107"/>
      <c r="BB67" s="106"/>
      <c r="BC67" s="1" t="s">
        <v>7</v>
      </c>
    </row>
    <row r="68" spans="1:55" x14ac:dyDescent="0.2">
      <c r="A68" s="95"/>
      <c r="B68" s="60">
        <v>4</v>
      </c>
      <c r="C68" s="60"/>
      <c r="D68" s="230" t="s">
        <v>4</v>
      </c>
      <c r="E68" s="8" t="s">
        <v>342</v>
      </c>
      <c r="F68" s="61"/>
      <c r="G68" s="3" t="s">
        <v>90</v>
      </c>
      <c r="H68" s="109"/>
      <c r="I68" s="61"/>
      <c r="J68" s="92" t="s">
        <v>312</v>
      </c>
      <c r="K68" s="5" t="s">
        <v>277</v>
      </c>
      <c r="L68" s="5" t="s">
        <v>343</v>
      </c>
      <c r="M68" s="62"/>
      <c r="N68" s="62"/>
      <c r="O68" s="62"/>
      <c r="P68" s="62"/>
      <c r="Q68" s="62"/>
      <c r="R68" s="60"/>
      <c r="S68" s="16" t="s">
        <v>76</v>
      </c>
      <c r="T68" s="61"/>
      <c r="U68" s="64"/>
      <c r="V68" s="64"/>
      <c r="W68" s="17"/>
      <c r="X68" s="64"/>
      <c r="Y68" s="64"/>
      <c r="Z68" s="60"/>
      <c r="AA68" s="5" t="s">
        <v>59</v>
      </c>
      <c r="AB68" s="64"/>
      <c r="AC68" s="9" t="s">
        <v>152</v>
      </c>
      <c r="AD68" s="9" t="s">
        <v>152</v>
      </c>
      <c r="AE68" s="3" t="s">
        <v>218</v>
      </c>
      <c r="AF68" s="64"/>
      <c r="AG68" s="5"/>
      <c r="AH68" s="60"/>
      <c r="AI68" s="21">
        <v>344</v>
      </c>
      <c r="AJ68" s="21">
        <v>283</v>
      </c>
      <c r="AK68" s="61" t="s">
        <v>63</v>
      </c>
      <c r="AL68" s="104" t="s">
        <v>50</v>
      </c>
      <c r="AM68" s="105">
        <v>45329</v>
      </c>
      <c r="AN68" s="105">
        <v>45329</v>
      </c>
      <c r="AO68" s="105" t="s">
        <v>64</v>
      </c>
      <c r="AP68" s="105">
        <v>45329</v>
      </c>
      <c r="AQ68" s="19">
        <v>45342</v>
      </c>
      <c r="AR68" s="19"/>
      <c r="AS68" s="19"/>
      <c r="AT68" s="19"/>
      <c r="AU68" s="19"/>
      <c r="AV68" s="19"/>
      <c r="AW68" s="106">
        <v>45359</v>
      </c>
      <c r="AX68" s="66">
        <v>45390</v>
      </c>
      <c r="AY68" s="66"/>
      <c r="AZ68" s="66"/>
      <c r="BA68" s="68"/>
      <c r="BB68" s="66"/>
      <c r="BC68" s="1" t="s">
        <v>7</v>
      </c>
    </row>
    <row r="69" spans="1:55" x14ac:dyDescent="0.2">
      <c r="A69" s="60"/>
      <c r="B69" s="60">
        <v>4</v>
      </c>
      <c r="C69" s="60"/>
      <c r="D69" s="230" t="s">
        <v>4</v>
      </c>
      <c r="E69" s="8" t="s">
        <v>344</v>
      </c>
      <c r="F69" s="61"/>
      <c r="G69" s="3" t="s">
        <v>289</v>
      </c>
      <c r="H69" s="109"/>
      <c r="I69" s="61"/>
      <c r="J69" s="92" t="s">
        <v>312</v>
      </c>
      <c r="K69" s="5" t="s">
        <v>370</v>
      </c>
      <c r="L69" s="5" t="s">
        <v>371</v>
      </c>
      <c r="M69" s="62"/>
      <c r="N69" s="62"/>
      <c r="O69" s="62"/>
      <c r="P69" s="62"/>
      <c r="Q69" s="62"/>
      <c r="R69" s="60"/>
      <c r="S69" s="16" t="s">
        <v>76</v>
      </c>
      <c r="T69" s="61">
        <v>2022</v>
      </c>
      <c r="U69" s="64">
        <v>2.8</v>
      </c>
      <c r="V69" s="64">
        <v>0.17100000000000001</v>
      </c>
      <c r="W69" s="17">
        <v>6.1071428571428582E-2</v>
      </c>
      <c r="X69" s="64">
        <v>7.4999999999999997E-2</v>
      </c>
      <c r="Y69" s="64">
        <v>-4.3999999999999997E-2</v>
      </c>
      <c r="Z69" s="60"/>
      <c r="AA69" s="5" t="s">
        <v>59</v>
      </c>
      <c r="AB69" s="64"/>
      <c r="AC69" s="9" t="s">
        <v>152</v>
      </c>
      <c r="AD69" s="9" t="s">
        <v>152</v>
      </c>
      <c r="AE69" s="3" t="s">
        <v>218</v>
      </c>
      <c r="AF69" s="64"/>
      <c r="AG69" s="5"/>
      <c r="AH69" s="60"/>
      <c r="AI69" s="21">
        <v>344</v>
      </c>
      <c r="AJ69" s="21">
        <v>283</v>
      </c>
      <c r="AK69" s="61" t="s">
        <v>315</v>
      </c>
      <c r="AL69" s="104" t="s">
        <v>50</v>
      </c>
      <c r="AM69" s="105">
        <v>45329</v>
      </c>
      <c r="AN69" s="105">
        <v>45329</v>
      </c>
      <c r="AO69" s="105" t="s">
        <v>64</v>
      </c>
      <c r="AP69" s="105">
        <v>45329</v>
      </c>
      <c r="AQ69" s="19">
        <v>45344</v>
      </c>
      <c r="AR69" s="19"/>
      <c r="AS69" s="19"/>
      <c r="AT69" s="19"/>
      <c r="AU69" s="19"/>
      <c r="AV69" s="19"/>
      <c r="AW69" s="106">
        <v>45344</v>
      </c>
      <c r="AX69" s="66">
        <v>45390</v>
      </c>
      <c r="AY69" s="66"/>
      <c r="AZ69" s="66"/>
      <c r="BA69" s="68"/>
      <c r="BB69" s="66"/>
      <c r="BC69" s="1" t="s">
        <v>7</v>
      </c>
    </row>
    <row r="70" spans="1:55" x14ac:dyDescent="0.2">
      <c r="A70" s="60"/>
      <c r="B70" s="6">
        <v>4</v>
      </c>
      <c r="D70" s="8" t="s">
        <v>4</v>
      </c>
      <c r="E70" s="8" t="s">
        <v>404</v>
      </c>
      <c r="F70" s="97"/>
      <c r="G70" s="3" t="s">
        <v>90</v>
      </c>
      <c r="H70" s="4"/>
      <c r="I70" s="97"/>
      <c r="J70" s="3" t="s">
        <v>312</v>
      </c>
      <c r="K70" s="5" t="s">
        <v>405</v>
      </c>
      <c r="L70" s="5"/>
      <c r="M70" s="5"/>
      <c r="N70" s="5"/>
      <c r="O70" s="99"/>
      <c r="P70" s="99"/>
      <c r="Q70" s="99"/>
      <c r="R70" s="95"/>
      <c r="S70" s="16"/>
      <c r="T70" s="97"/>
      <c r="U70" s="7"/>
      <c r="V70" s="101"/>
      <c r="W70" s="17"/>
      <c r="X70" s="7"/>
      <c r="Y70" s="101"/>
      <c r="Z70" s="95"/>
      <c r="AA70" s="5" t="s">
        <v>59</v>
      </c>
      <c r="AB70" s="7"/>
      <c r="AC70" s="9" t="s">
        <v>152</v>
      </c>
      <c r="AD70" s="9" t="s">
        <v>152</v>
      </c>
      <c r="AE70" s="3"/>
      <c r="AF70" s="101"/>
      <c r="AG70" s="99"/>
      <c r="AH70" s="95"/>
      <c r="AI70" s="21">
        <v>303</v>
      </c>
      <c r="AJ70" s="21">
        <v>283</v>
      </c>
      <c r="AK70" s="3" t="s">
        <v>315</v>
      </c>
      <c r="AL70" s="104" t="s">
        <v>50</v>
      </c>
      <c r="AM70" s="105">
        <v>45370</v>
      </c>
      <c r="AN70" s="164">
        <v>45370</v>
      </c>
      <c r="AO70" s="164" t="s">
        <v>64</v>
      </c>
      <c r="AP70" s="105">
        <v>45370</v>
      </c>
      <c r="AQ70" s="19">
        <v>45370</v>
      </c>
      <c r="AR70" s="19"/>
      <c r="AS70" s="19"/>
      <c r="AT70" s="19"/>
      <c r="AU70" s="19"/>
      <c r="AV70" s="19"/>
      <c r="AW70" s="19">
        <v>45370</v>
      </c>
      <c r="AX70" s="66">
        <v>45390</v>
      </c>
      <c r="AY70" s="106"/>
      <c r="AZ70" s="106"/>
      <c r="BA70" s="107"/>
      <c r="BB70" s="106"/>
      <c r="BC70" s="1" t="s">
        <v>7</v>
      </c>
    </row>
    <row r="71" spans="1:55" x14ac:dyDescent="0.2">
      <c r="A71" s="95"/>
      <c r="B71" s="60">
        <v>4</v>
      </c>
      <c r="C71" s="60"/>
      <c r="D71" s="230" t="s">
        <v>4</v>
      </c>
      <c r="E71" s="8" t="s">
        <v>340</v>
      </c>
      <c r="F71" s="61"/>
      <c r="G71" s="3" t="s">
        <v>222</v>
      </c>
      <c r="H71" s="109"/>
      <c r="I71" s="61"/>
      <c r="J71" s="92" t="s">
        <v>312</v>
      </c>
      <c r="K71" s="5" t="s">
        <v>314</v>
      </c>
      <c r="L71" s="5" t="s">
        <v>341</v>
      </c>
      <c r="M71" s="62"/>
      <c r="N71" s="62"/>
      <c r="O71" s="62"/>
      <c r="P71" s="62"/>
      <c r="Q71" s="62"/>
      <c r="R71" s="60"/>
      <c r="S71" s="16" t="s">
        <v>76</v>
      </c>
      <c r="T71" s="61">
        <v>2022</v>
      </c>
      <c r="U71" s="64">
        <v>1.5</v>
      </c>
      <c r="V71" s="64">
        <v>0.51900000000000002</v>
      </c>
      <c r="W71" s="17">
        <v>0.34600000000000003</v>
      </c>
      <c r="X71" s="64">
        <v>0.61899999999999999</v>
      </c>
      <c r="Y71" s="64">
        <v>-0.59199999999999997</v>
      </c>
      <c r="Z71" s="60"/>
      <c r="AA71" s="5" t="s">
        <v>59</v>
      </c>
      <c r="AB71" s="64"/>
      <c r="AC71" s="9" t="s">
        <v>152</v>
      </c>
      <c r="AD71" s="9" t="s">
        <v>152</v>
      </c>
      <c r="AE71" s="3" t="s">
        <v>218</v>
      </c>
      <c r="AF71" s="64"/>
      <c r="AG71" s="108"/>
      <c r="AH71" s="60"/>
      <c r="AI71" s="21">
        <v>344</v>
      </c>
      <c r="AJ71" s="21">
        <v>283</v>
      </c>
      <c r="AK71" s="61" t="s">
        <v>315</v>
      </c>
      <c r="AL71" s="104" t="s">
        <v>50</v>
      </c>
      <c r="AM71" s="105">
        <v>45329</v>
      </c>
      <c r="AN71" s="105">
        <v>45329</v>
      </c>
      <c r="AO71" s="105" t="s">
        <v>64</v>
      </c>
      <c r="AP71" s="105">
        <v>45329</v>
      </c>
      <c r="AQ71" s="19"/>
      <c r="AR71" s="19"/>
      <c r="AS71" s="19"/>
      <c r="AT71" s="19"/>
      <c r="AU71" s="19"/>
      <c r="AV71" s="19"/>
      <c r="AW71" s="106">
        <v>45352</v>
      </c>
      <c r="AX71" s="66">
        <v>45390</v>
      </c>
      <c r="AY71" s="66"/>
      <c r="AZ71" s="66"/>
      <c r="BA71" s="68"/>
      <c r="BB71" s="66"/>
      <c r="BC71" s="1" t="s">
        <v>7</v>
      </c>
    </row>
    <row r="72" spans="1:55" x14ac:dyDescent="0.2">
      <c r="A72" s="60"/>
      <c r="B72" s="6">
        <v>4</v>
      </c>
      <c r="D72" s="8" t="s">
        <v>4</v>
      </c>
      <c r="E72" s="70" t="s">
        <v>308</v>
      </c>
      <c r="F72" s="71"/>
      <c r="G72" s="71" t="s">
        <v>129</v>
      </c>
      <c r="H72" s="72"/>
      <c r="I72" s="71"/>
      <c r="J72" s="94" t="s">
        <v>230</v>
      </c>
      <c r="K72" s="73" t="s">
        <v>309</v>
      </c>
      <c r="L72" s="73" t="s">
        <v>310</v>
      </c>
      <c r="M72" s="73" t="s">
        <v>311</v>
      </c>
      <c r="N72" s="73"/>
      <c r="O72" s="73"/>
      <c r="P72" s="73"/>
      <c r="Q72" s="73"/>
      <c r="R72" s="69"/>
      <c r="S72" s="16" t="s">
        <v>76</v>
      </c>
      <c r="T72" s="71">
        <v>2022</v>
      </c>
      <c r="U72" s="74">
        <v>61.219000000000001</v>
      </c>
      <c r="V72" s="74">
        <v>12.473000000000001</v>
      </c>
      <c r="W72" s="17">
        <v>0.203743935706235</v>
      </c>
      <c r="X72" s="74">
        <v>7.3479999999999999</v>
      </c>
      <c r="Y72" s="74">
        <v>21.254000000000001</v>
      </c>
      <c r="Z72" s="69"/>
      <c r="AA72" s="73" t="s">
        <v>59</v>
      </c>
      <c r="AB72" s="74"/>
      <c r="AC72" s="75" t="s">
        <v>77</v>
      </c>
      <c r="AD72" s="75" t="s">
        <v>77</v>
      </c>
      <c r="AE72" s="79"/>
      <c r="AF72" s="74"/>
      <c r="AG72" s="73" t="s">
        <v>408</v>
      </c>
      <c r="AH72" s="69"/>
      <c r="AI72" s="76">
        <v>372</v>
      </c>
      <c r="AJ72" s="76">
        <v>289</v>
      </c>
      <c r="AK72" s="71" t="s">
        <v>267</v>
      </c>
      <c r="AL72" s="80" t="s">
        <v>50</v>
      </c>
      <c r="AM72" s="77">
        <v>45301</v>
      </c>
      <c r="AN72" s="59">
        <v>45301</v>
      </c>
      <c r="AO72" s="18" t="s">
        <v>64</v>
      </c>
      <c r="AP72" s="77">
        <v>45307</v>
      </c>
      <c r="AQ72" s="19">
        <v>45307</v>
      </c>
      <c r="AR72" s="19">
        <v>45370</v>
      </c>
      <c r="AS72" s="19"/>
      <c r="AT72" s="19"/>
      <c r="AU72" s="19"/>
      <c r="AV72" s="19"/>
      <c r="AW72" s="19">
        <v>45316</v>
      </c>
      <c r="AX72" s="19">
        <v>45384</v>
      </c>
      <c r="AY72" s="19"/>
      <c r="AZ72" s="78"/>
      <c r="BA72" s="81" t="s">
        <v>65</v>
      </c>
      <c r="BB72" s="78"/>
      <c r="BC72" s="1" t="s">
        <v>7</v>
      </c>
    </row>
    <row r="73" spans="1:55" x14ac:dyDescent="0.2">
      <c r="B73" s="171">
        <v>4</v>
      </c>
      <c r="C73" s="171"/>
      <c r="D73" s="230" t="s">
        <v>4</v>
      </c>
      <c r="E73" s="2" t="s">
        <v>418</v>
      </c>
      <c r="F73" s="175"/>
      <c r="G73" s="235" t="s">
        <v>102</v>
      </c>
      <c r="H73" s="175"/>
      <c r="I73" s="173"/>
      <c r="J73" s="182" t="s">
        <v>312</v>
      </c>
      <c r="K73" s="174" t="s">
        <v>314</v>
      </c>
      <c r="L73" s="174"/>
      <c r="M73" s="174"/>
      <c r="N73" s="174"/>
      <c r="O73" s="174"/>
      <c r="P73" s="174"/>
      <c r="Q73" s="174"/>
      <c r="R73" s="171"/>
      <c r="S73" s="237" t="s">
        <v>76</v>
      </c>
      <c r="T73" s="173"/>
      <c r="U73" s="169"/>
      <c r="V73" s="169"/>
      <c r="W73" s="17"/>
      <c r="X73" s="169"/>
      <c r="Y73" s="169"/>
      <c r="Z73" s="171"/>
      <c r="AA73" s="174" t="s">
        <v>59</v>
      </c>
      <c r="AB73" s="169"/>
      <c r="AC73" s="9" t="s">
        <v>60</v>
      </c>
      <c r="AD73" s="9" t="s">
        <v>60</v>
      </c>
      <c r="AE73" s="7" t="s">
        <v>61</v>
      </c>
      <c r="AF73" s="169"/>
      <c r="AG73" s="174"/>
      <c r="AH73" s="171"/>
      <c r="AI73" s="178">
        <v>318</v>
      </c>
      <c r="AJ73" s="178">
        <v>318</v>
      </c>
      <c r="AK73" s="173" t="s">
        <v>315</v>
      </c>
      <c r="AL73" s="177" t="s">
        <v>50</v>
      </c>
      <c r="AM73" s="172">
        <v>45355</v>
      </c>
      <c r="AN73" s="172">
        <v>45355</v>
      </c>
      <c r="AO73" s="18" t="s">
        <v>64</v>
      </c>
      <c r="AP73" s="172">
        <v>45355</v>
      </c>
      <c r="AQ73" s="19">
        <v>45355</v>
      </c>
      <c r="AR73" s="19"/>
      <c r="AS73" s="19"/>
      <c r="AT73" s="19"/>
      <c r="AU73" s="19"/>
      <c r="AV73" s="19"/>
      <c r="AW73" s="179">
        <v>44640</v>
      </c>
      <c r="AX73" s="179">
        <v>44640</v>
      </c>
      <c r="AY73" s="179"/>
      <c r="AZ73" s="179"/>
      <c r="BA73" s="180" t="s">
        <v>65</v>
      </c>
      <c r="BB73" s="179"/>
      <c r="BC73" s="1" t="s">
        <v>7</v>
      </c>
    </row>
    <row r="74" spans="1:55" x14ac:dyDescent="0.2">
      <c r="A74" s="171"/>
      <c r="B74" s="6">
        <v>4</v>
      </c>
      <c r="D74" s="8" t="s">
        <v>4</v>
      </c>
      <c r="E74" s="2" t="s">
        <v>304</v>
      </c>
      <c r="F74" s="3"/>
      <c r="G74" s="3" t="s">
        <v>219</v>
      </c>
      <c r="H74" s="4" t="s">
        <v>478</v>
      </c>
      <c r="I74" s="3"/>
      <c r="J74" s="3" t="s">
        <v>110</v>
      </c>
      <c r="K74" s="5" t="s">
        <v>305</v>
      </c>
      <c r="L74" s="5" t="s">
        <v>306</v>
      </c>
      <c r="M74" s="5" t="s">
        <v>306</v>
      </c>
      <c r="N74" s="5"/>
      <c r="O74" s="5"/>
      <c r="P74" s="5"/>
      <c r="Q74" s="5"/>
      <c r="S74" s="7" t="s">
        <v>76</v>
      </c>
      <c r="T74" s="3">
        <v>2023</v>
      </c>
      <c r="U74" s="7">
        <v>30.24</v>
      </c>
      <c r="V74" s="7">
        <v>2.0369999999999999</v>
      </c>
      <c r="W74" s="17">
        <v>6.7361111111111108E-2</v>
      </c>
      <c r="X74" s="7">
        <v>0.505</v>
      </c>
      <c r="Y74" s="7">
        <v>4.6630000000000003</v>
      </c>
      <c r="AA74" s="5" t="s">
        <v>139</v>
      </c>
      <c r="AB74" s="5"/>
      <c r="AC74" s="9" t="s">
        <v>152</v>
      </c>
      <c r="AD74" s="9" t="s">
        <v>152</v>
      </c>
      <c r="AE74" s="3" t="s">
        <v>218</v>
      </c>
      <c r="AF74" s="7"/>
      <c r="AG74" s="5" t="s">
        <v>307</v>
      </c>
      <c r="AI74" s="21">
        <v>486</v>
      </c>
      <c r="AJ74" s="21">
        <v>296</v>
      </c>
      <c r="AK74" s="3" t="s">
        <v>63</v>
      </c>
      <c r="AL74" s="17" t="s">
        <v>50</v>
      </c>
      <c r="AM74" s="18">
        <v>45187</v>
      </c>
      <c r="AN74" s="59">
        <v>45187</v>
      </c>
      <c r="AO74" s="18" t="s">
        <v>64</v>
      </c>
      <c r="AP74" s="18">
        <v>45187</v>
      </c>
      <c r="AQ74" s="19">
        <v>45195</v>
      </c>
      <c r="AR74" s="19">
        <v>45267</v>
      </c>
      <c r="AS74" s="19"/>
      <c r="AT74" s="19"/>
      <c r="AU74" s="19"/>
      <c r="AV74" s="19"/>
      <c r="AW74" s="19">
        <v>45350</v>
      </c>
      <c r="AX74" s="19">
        <v>45377</v>
      </c>
      <c r="AY74" s="19"/>
      <c r="AZ74" s="19"/>
      <c r="BA74" s="20"/>
      <c r="BB74" s="19"/>
      <c r="BC74" s="1" t="s">
        <v>7</v>
      </c>
    </row>
    <row r="75" spans="1:55" x14ac:dyDescent="0.2">
      <c r="B75" s="6">
        <v>4</v>
      </c>
      <c r="C75" s="85"/>
      <c r="D75" s="8" t="s">
        <v>4</v>
      </c>
      <c r="E75" s="8" t="s">
        <v>354</v>
      </c>
      <c r="F75" s="3"/>
      <c r="G75" s="3" t="s">
        <v>220</v>
      </c>
      <c r="H75" s="125" t="s">
        <v>355</v>
      </c>
      <c r="I75" s="3"/>
      <c r="J75" s="3" t="s">
        <v>148</v>
      </c>
      <c r="K75" s="5" t="s">
        <v>356</v>
      </c>
      <c r="L75" s="5"/>
      <c r="M75" s="5" t="s">
        <v>494</v>
      </c>
      <c r="N75" s="5" t="s">
        <v>482</v>
      </c>
      <c r="O75" s="5" t="s">
        <v>479</v>
      </c>
      <c r="P75" s="5" t="s">
        <v>481</v>
      </c>
      <c r="Q75" s="5" t="s">
        <v>480</v>
      </c>
      <c r="S75" s="16" t="s">
        <v>143</v>
      </c>
      <c r="T75" s="3">
        <v>2022</v>
      </c>
      <c r="U75" s="7">
        <v>263.69</v>
      </c>
      <c r="V75" s="7">
        <v>0.5</v>
      </c>
      <c r="W75" s="17">
        <v>1.8961659524441578E-3</v>
      </c>
      <c r="X75" s="7">
        <v>-12</v>
      </c>
      <c r="Y75" s="7">
        <v>2.14</v>
      </c>
      <c r="AA75" s="5" t="s">
        <v>98</v>
      </c>
      <c r="AB75" s="7" t="s">
        <v>357</v>
      </c>
      <c r="AC75" s="9" t="s">
        <v>60</v>
      </c>
      <c r="AD75" s="7" t="s">
        <v>60</v>
      </c>
      <c r="AE75" s="118" t="s">
        <v>78</v>
      </c>
      <c r="AF75" s="7"/>
      <c r="AG75" s="5"/>
      <c r="AH75" s="228">
        <v>1</v>
      </c>
      <c r="AI75" s="21">
        <v>338</v>
      </c>
      <c r="AJ75" s="21">
        <v>296</v>
      </c>
      <c r="AK75" s="3" t="s">
        <v>63</v>
      </c>
      <c r="AL75" s="104" t="s">
        <v>50</v>
      </c>
      <c r="AM75" s="105">
        <v>45335</v>
      </c>
      <c r="AN75" s="105">
        <v>45335</v>
      </c>
      <c r="AO75" s="105" t="s">
        <v>64</v>
      </c>
      <c r="AP75" s="105">
        <v>45335</v>
      </c>
      <c r="AQ75" s="19">
        <v>45335</v>
      </c>
      <c r="AR75" s="19"/>
      <c r="AS75" s="19"/>
      <c r="AT75" s="19"/>
      <c r="AU75" s="19"/>
      <c r="AV75" s="19"/>
      <c r="AW75" s="19"/>
      <c r="AX75" s="19">
        <v>45377</v>
      </c>
      <c r="AY75" s="19"/>
      <c r="AZ75" s="19"/>
      <c r="BA75" s="20" t="s">
        <v>65</v>
      </c>
      <c r="BB75" s="19"/>
      <c r="BC75" s="1" t="s">
        <v>7</v>
      </c>
    </row>
    <row r="76" spans="1:55" x14ac:dyDescent="0.2">
      <c r="B76" s="6">
        <v>4</v>
      </c>
      <c r="D76" s="8" t="s">
        <v>4</v>
      </c>
      <c r="E76" s="8" t="s">
        <v>388</v>
      </c>
      <c r="F76" s="97"/>
      <c r="G76" s="3" t="s">
        <v>269</v>
      </c>
      <c r="H76" s="4" t="s">
        <v>519</v>
      </c>
      <c r="I76" s="97"/>
      <c r="J76" s="3" t="s">
        <v>110</v>
      </c>
      <c r="K76" s="5" t="s">
        <v>389</v>
      </c>
      <c r="L76" s="5" t="s">
        <v>390</v>
      </c>
      <c r="M76" s="5" t="s">
        <v>392</v>
      </c>
      <c r="N76" s="5" t="s">
        <v>391</v>
      </c>
      <c r="O76" s="99"/>
      <c r="P76" s="99"/>
      <c r="Q76" s="99"/>
      <c r="R76" s="95"/>
      <c r="S76" s="16" t="s">
        <v>143</v>
      </c>
      <c r="T76" s="97">
        <v>2022</v>
      </c>
      <c r="U76" s="101">
        <v>42.744999999999997</v>
      </c>
      <c r="V76" s="101">
        <v>9</v>
      </c>
      <c r="W76" s="17">
        <v>0.21055094163060009</v>
      </c>
      <c r="X76" s="101">
        <v>15</v>
      </c>
      <c r="Y76" s="101">
        <v>-5.5629999999999997</v>
      </c>
      <c r="Z76" s="95"/>
      <c r="AA76" s="5" t="s">
        <v>98</v>
      </c>
      <c r="AB76" s="7" t="s">
        <v>390</v>
      </c>
      <c r="AC76" s="9" t="s">
        <v>152</v>
      </c>
      <c r="AD76" s="9" t="s">
        <v>152</v>
      </c>
      <c r="AE76" s="3" t="s">
        <v>218</v>
      </c>
      <c r="AF76" s="101"/>
      <c r="AG76" s="99"/>
      <c r="AH76" s="95"/>
      <c r="AI76" s="21">
        <v>311</v>
      </c>
      <c r="AJ76" s="21">
        <v>296</v>
      </c>
      <c r="AK76" s="3" t="s">
        <v>86</v>
      </c>
      <c r="AL76" s="104" t="s">
        <v>50</v>
      </c>
      <c r="AM76" s="105">
        <v>45362</v>
      </c>
      <c r="AN76" s="105">
        <v>45362</v>
      </c>
      <c r="AO76" s="105" t="s">
        <v>64</v>
      </c>
      <c r="AP76" s="105">
        <v>45362</v>
      </c>
      <c r="AQ76" s="19"/>
      <c r="AR76" s="19"/>
      <c r="AS76" s="19"/>
      <c r="AT76" s="19"/>
      <c r="AU76" s="19"/>
      <c r="AV76" s="19"/>
      <c r="AW76" s="19">
        <v>45362</v>
      </c>
      <c r="AX76" s="106">
        <v>45377</v>
      </c>
      <c r="AY76" s="106"/>
      <c r="AZ76" s="106"/>
      <c r="BA76" s="107"/>
      <c r="BB76" s="106"/>
      <c r="BC76" s="1" t="s">
        <v>7</v>
      </c>
    </row>
    <row r="77" spans="1:55" x14ac:dyDescent="0.2">
      <c r="A77" s="95"/>
      <c r="B77" s="157">
        <v>4</v>
      </c>
      <c r="C77" s="157"/>
      <c r="D77" s="230" t="s">
        <v>4</v>
      </c>
      <c r="E77" s="158" t="s">
        <v>288</v>
      </c>
      <c r="F77" s="159"/>
      <c r="G77" s="159" t="s">
        <v>102</v>
      </c>
      <c r="H77" s="165">
        <v>10693910969</v>
      </c>
      <c r="I77" s="159"/>
      <c r="J77" s="159" t="s">
        <v>312</v>
      </c>
      <c r="K77" s="160" t="s">
        <v>314</v>
      </c>
      <c r="L77" s="160" t="s">
        <v>412</v>
      </c>
      <c r="M77" s="160"/>
      <c r="N77" s="160"/>
      <c r="O77" s="160"/>
      <c r="P77" s="160"/>
      <c r="Q77" s="160"/>
      <c r="R77" s="157"/>
      <c r="S77" s="161"/>
      <c r="T77" s="159"/>
      <c r="U77" s="162"/>
      <c r="V77" s="162"/>
      <c r="W77" s="17"/>
      <c r="X77" s="162"/>
      <c r="Y77" s="162"/>
      <c r="Z77" s="157"/>
      <c r="AA77" s="174" t="s">
        <v>59</v>
      </c>
      <c r="AB77" s="162"/>
      <c r="AC77" s="166" t="s">
        <v>77</v>
      </c>
      <c r="AD77" s="166" t="s">
        <v>77</v>
      </c>
      <c r="AE77" s="159" t="s">
        <v>85</v>
      </c>
      <c r="AF77" s="162"/>
      <c r="AG77" s="160"/>
      <c r="AH77" s="157"/>
      <c r="AI77" s="21">
        <v>301</v>
      </c>
      <c r="AJ77" s="21">
        <v>301</v>
      </c>
      <c r="AK77" s="159" t="s">
        <v>315</v>
      </c>
      <c r="AL77" s="167" t="s">
        <v>50</v>
      </c>
      <c r="AM77" s="164">
        <v>45372</v>
      </c>
      <c r="AN77" s="164">
        <v>45372</v>
      </c>
      <c r="AO77" s="164">
        <v>45372</v>
      </c>
      <c r="AP77" s="164">
        <v>45372</v>
      </c>
      <c r="AQ77" s="19">
        <v>45372</v>
      </c>
      <c r="AR77" s="19">
        <v>45372</v>
      </c>
      <c r="AS77" s="19"/>
      <c r="AT77" s="19"/>
      <c r="AU77" s="19"/>
      <c r="AV77" s="19"/>
      <c r="AW77" s="156">
        <v>45372</v>
      </c>
      <c r="AX77" s="156">
        <v>45372</v>
      </c>
      <c r="AY77" s="156"/>
      <c r="AZ77" s="156"/>
      <c r="BA77" s="168"/>
      <c r="BB77" s="156"/>
      <c r="BC77" s="1" t="s">
        <v>7</v>
      </c>
    </row>
    <row r="78" spans="1:55" x14ac:dyDescent="0.2">
      <c r="A78" s="85"/>
      <c r="B78" s="171">
        <v>4</v>
      </c>
      <c r="C78" s="171"/>
      <c r="D78" s="230" t="s">
        <v>4</v>
      </c>
      <c r="E78" s="181" t="s">
        <v>290</v>
      </c>
      <c r="F78" s="175"/>
      <c r="G78" s="3" t="s">
        <v>102</v>
      </c>
      <c r="H78" s="175"/>
      <c r="I78" s="173"/>
      <c r="J78" s="182" t="s">
        <v>312</v>
      </c>
      <c r="K78" s="174" t="s">
        <v>314</v>
      </c>
      <c r="L78" s="174"/>
      <c r="M78" s="174"/>
      <c r="N78" s="174"/>
      <c r="O78" s="174"/>
      <c r="P78" s="174"/>
      <c r="Q78" s="174"/>
      <c r="R78" s="171"/>
      <c r="S78" s="176"/>
      <c r="T78" s="173"/>
      <c r="U78" s="169"/>
      <c r="V78" s="169"/>
      <c r="W78" s="17"/>
      <c r="X78" s="169"/>
      <c r="Y78" s="169"/>
      <c r="Z78" s="171"/>
      <c r="AA78" s="174" t="s">
        <v>59</v>
      </c>
      <c r="AB78" s="169"/>
      <c r="AC78" s="170" t="s">
        <v>77</v>
      </c>
      <c r="AD78" s="170" t="s">
        <v>77</v>
      </c>
      <c r="AE78" s="169" t="s">
        <v>85</v>
      </c>
      <c r="AF78" s="169" t="s">
        <v>396</v>
      </c>
      <c r="AG78" s="174"/>
      <c r="AH78" s="171"/>
      <c r="AI78" s="178">
        <v>309</v>
      </c>
      <c r="AJ78" s="178">
        <v>309</v>
      </c>
      <c r="AK78" s="173" t="s">
        <v>315</v>
      </c>
      <c r="AL78" s="177" t="s">
        <v>50</v>
      </c>
      <c r="AM78" s="172">
        <v>45364</v>
      </c>
      <c r="AN78" s="172">
        <v>45364</v>
      </c>
      <c r="AO78" s="172">
        <v>45364</v>
      </c>
      <c r="AP78" s="172">
        <v>45364</v>
      </c>
      <c r="AQ78" s="19">
        <v>45364</v>
      </c>
      <c r="AR78" s="19"/>
      <c r="AS78" s="19"/>
      <c r="AT78" s="19"/>
      <c r="AU78" s="19"/>
      <c r="AV78" s="19"/>
      <c r="AW78" s="179">
        <v>44640</v>
      </c>
      <c r="AX78" s="179">
        <v>44640</v>
      </c>
      <c r="AY78" s="179"/>
      <c r="AZ78" s="179"/>
      <c r="BA78" s="180" t="s">
        <v>65</v>
      </c>
      <c r="BB78" s="179"/>
      <c r="BC78" s="1" t="s">
        <v>7</v>
      </c>
    </row>
    <row r="79" spans="1:55" x14ac:dyDescent="0.2">
      <c r="A79" s="171"/>
      <c r="B79" s="6">
        <v>4</v>
      </c>
      <c r="D79" s="8" t="s">
        <v>4</v>
      </c>
      <c r="E79" s="8" t="s">
        <v>351</v>
      </c>
      <c r="F79" s="3"/>
      <c r="G79" s="3" t="s">
        <v>278</v>
      </c>
      <c r="H79" s="4"/>
      <c r="I79" s="3"/>
      <c r="J79" s="92" t="s">
        <v>312</v>
      </c>
      <c r="K79" s="5" t="s">
        <v>314</v>
      </c>
      <c r="L79" s="5" t="s">
        <v>352</v>
      </c>
      <c r="M79" s="5"/>
      <c r="N79" s="5"/>
      <c r="O79" s="5"/>
      <c r="P79" s="5"/>
      <c r="Q79" s="5"/>
      <c r="S79" s="16" t="s">
        <v>76</v>
      </c>
      <c r="T79" s="3"/>
      <c r="U79" s="7"/>
      <c r="V79" s="7"/>
      <c r="W79" s="17"/>
      <c r="X79" s="7"/>
      <c r="Y79" s="7"/>
      <c r="AA79" s="5" t="s">
        <v>59</v>
      </c>
      <c r="AB79" s="7"/>
      <c r="AC79" s="9" t="s">
        <v>77</v>
      </c>
      <c r="AD79" s="9" t="s">
        <v>77</v>
      </c>
      <c r="AE79" s="3" t="s">
        <v>85</v>
      </c>
      <c r="AF79" s="7"/>
      <c r="AG79" s="45" t="s">
        <v>363</v>
      </c>
      <c r="AI79" s="21">
        <v>350</v>
      </c>
      <c r="AJ79" s="21">
        <v>238</v>
      </c>
      <c r="AK79" s="3" t="s">
        <v>315</v>
      </c>
      <c r="AL79" s="104" t="s">
        <v>50</v>
      </c>
      <c r="AM79" s="18">
        <v>45323</v>
      </c>
      <c r="AN79" s="18">
        <v>45323</v>
      </c>
      <c r="AO79" s="18" t="s">
        <v>64</v>
      </c>
      <c r="AP79" s="18">
        <v>45323</v>
      </c>
      <c r="AQ79" s="19">
        <v>45335</v>
      </c>
      <c r="AR79" s="19">
        <v>45355</v>
      </c>
      <c r="AS79" s="19"/>
      <c r="AT79" s="19"/>
      <c r="AU79" s="19"/>
      <c r="AV79" s="19"/>
      <c r="AW79" s="19">
        <v>45435</v>
      </c>
      <c r="AX79" s="19">
        <v>45363</v>
      </c>
      <c r="AY79" s="19"/>
      <c r="AZ79" s="19"/>
      <c r="BA79" s="20"/>
      <c r="BB79" s="19"/>
      <c r="BC79" s="1" t="s">
        <v>7</v>
      </c>
    </row>
    <row r="80" spans="1:55" x14ac:dyDescent="0.2">
      <c r="A80" s="110"/>
      <c r="B80" s="95">
        <v>4</v>
      </c>
      <c r="C80" s="95"/>
      <c r="D80" s="230" t="s">
        <v>4</v>
      </c>
      <c r="E80" s="96" t="s">
        <v>322</v>
      </c>
      <c r="F80" s="97"/>
      <c r="G80" s="97" t="s">
        <v>67</v>
      </c>
      <c r="H80" s="98" t="s">
        <v>327</v>
      </c>
      <c r="I80" s="97">
        <v>812202</v>
      </c>
      <c r="J80" s="97" t="s">
        <v>104</v>
      </c>
      <c r="K80" s="99" t="s">
        <v>324</v>
      </c>
      <c r="L80" s="99" t="s">
        <v>325</v>
      </c>
      <c r="M80" s="99" t="s">
        <v>325</v>
      </c>
      <c r="N80" s="99"/>
      <c r="O80" s="99" t="s">
        <v>325</v>
      </c>
      <c r="P80" s="99"/>
      <c r="Q80" s="99"/>
      <c r="R80" s="95"/>
      <c r="S80" s="100" t="s">
        <v>76</v>
      </c>
      <c r="T80" s="97">
        <v>2022</v>
      </c>
      <c r="U80" s="101">
        <v>16</v>
      </c>
      <c r="V80" s="101">
        <v>0.6</v>
      </c>
      <c r="W80" s="17">
        <v>3.7499999999999999E-2</v>
      </c>
      <c r="X80" s="101">
        <v>0.217</v>
      </c>
      <c r="Y80" s="101">
        <v>0.60899999999999999</v>
      </c>
      <c r="Z80" s="95"/>
      <c r="AA80" s="99" t="s">
        <v>59</v>
      </c>
      <c r="AB80" s="101" t="s">
        <v>323</v>
      </c>
      <c r="AC80" s="102" t="s">
        <v>152</v>
      </c>
      <c r="AD80" s="102" t="s">
        <v>152</v>
      </c>
      <c r="AE80" s="103" t="s">
        <v>154</v>
      </c>
      <c r="AF80" s="101" t="s">
        <v>153</v>
      </c>
      <c r="AG80" s="99"/>
      <c r="AH80" s="95"/>
      <c r="AI80" s="21">
        <v>359</v>
      </c>
      <c r="AJ80" s="21">
        <v>303</v>
      </c>
      <c r="AK80" s="97" t="s">
        <v>244</v>
      </c>
      <c r="AL80" s="104" t="s">
        <v>50</v>
      </c>
      <c r="AM80" s="105">
        <v>45314</v>
      </c>
      <c r="AN80" s="105">
        <v>45314</v>
      </c>
      <c r="AO80" s="105" t="s">
        <v>64</v>
      </c>
      <c r="AP80" s="105">
        <v>45314</v>
      </c>
      <c r="AQ80" s="19">
        <v>45315</v>
      </c>
      <c r="AR80" s="19"/>
      <c r="AS80" s="19"/>
      <c r="AT80" s="19"/>
      <c r="AU80" s="19"/>
      <c r="AV80" s="19"/>
      <c r="AW80" s="106">
        <v>45316</v>
      </c>
      <c r="AX80" s="106">
        <v>45370</v>
      </c>
      <c r="AY80" s="106"/>
      <c r="AZ80" s="106"/>
      <c r="BA80" s="107" t="s">
        <v>65</v>
      </c>
      <c r="BB80" s="106"/>
      <c r="BC80" s="1" t="s">
        <v>7</v>
      </c>
    </row>
    <row r="81" spans="1:55" x14ac:dyDescent="0.2">
      <c r="A81" s="95"/>
      <c r="B81" s="6">
        <v>4</v>
      </c>
      <c r="D81" s="8" t="s">
        <v>4</v>
      </c>
      <c r="E81" s="2" t="s">
        <v>258</v>
      </c>
      <c r="F81" s="4"/>
      <c r="G81" s="3" t="s">
        <v>224</v>
      </c>
      <c r="H81" s="4" t="s">
        <v>520</v>
      </c>
      <c r="I81" s="3">
        <v>463100</v>
      </c>
      <c r="J81" s="3" t="s">
        <v>259</v>
      </c>
      <c r="K81" s="5" t="s">
        <v>260</v>
      </c>
      <c r="L81" s="5" t="s">
        <v>261</v>
      </c>
      <c r="M81" s="5"/>
      <c r="N81" s="5"/>
      <c r="O81" s="5"/>
      <c r="P81" s="5"/>
      <c r="Q81" s="5"/>
      <c r="S81" s="16" t="s">
        <v>76</v>
      </c>
      <c r="T81" s="3">
        <v>2022</v>
      </c>
      <c r="U81" s="7">
        <v>61</v>
      </c>
      <c r="V81" s="7">
        <v>-0.128</v>
      </c>
      <c r="W81" s="17">
        <v>-2.0983606557377051E-3</v>
      </c>
      <c r="X81" s="7">
        <v>7.2999999999999995E-2</v>
      </c>
      <c r="Y81" s="7">
        <v>0.36699999999999999</v>
      </c>
      <c r="AA81" s="5" t="s">
        <v>59</v>
      </c>
      <c r="AB81" s="7"/>
      <c r="AC81" s="9" t="s">
        <v>60</v>
      </c>
      <c r="AD81" s="9" t="s">
        <v>60</v>
      </c>
      <c r="AE81" s="7" t="s">
        <v>85</v>
      </c>
      <c r="AF81" s="7" t="s">
        <v>127</v>
      </c>
      <c r="AG81" s="5"/>
      <c r="AI81" s="21">
        <v>563</v>
      </c>
      <c r="AJ81" s="21">
        <v>310</v>
      </c>
      <c r="AK81" s="3" t="s">
        <v>63</v>
      </c>
      <c r="AL81" s="104" t="s">
        <v>50</v>
      </c>
      <c r="AM81" s="18">
        <v>45110</v>
      </c>
      <c r="AN81" s="59">
        <v>45110</v>
      </c>
      <c r="AO81" s="18" t="s">
        <v>64</v>
      </c>
      <c r="AP81" s="18" t="s">
        <v>64</v>
      </c>
      <c r="AQ81" s="19">
        <v>45110</v>
      </c>
      <c r="AR81" s="19">
        <v>45114</v>
      </c>
      <c r="AS81" s="19"/>
      <c r="AT81" s="19"/>
      <c r="AU81" s="19"/>
      <c r="AV81" s="19"/>
      <c r="AW81" s="19">
        <v>45342</v>
      </c>
      <c r="AX81" s="19">
        <v>45363</v>
      </c>
      <c r="AY81" s="19"/>
      <c r="AZ81" s="19"/>
      <c r="BA81" s="20" t="s">
        <v>65</v>
      </c>
      <c r="BB81" s="19"/>
      <c r="BC81" s="1" t="s">
        <v>7</v>
      </c>
    </row>
    <row r="82" spans="1:55" x14ac:dyDescent="0.2">
      <c r="B82" s="6">
        <v>4</v>
      </c>
      <c r="D82" s="8" t="s">
        <v>4</v>
      </c>
      <c r="E82" s="8" t="s">
        <v>338</v>
      </c>
      <c r="F82" s="4"/>
      <c r="G82" s="3" t="s">
        <v>129</v>
      </c>
      <c r="H82" s="4" t="s">
        <v>270</v>
      </c>
      <c r="I82" s="3"/>
      <c r="J82" s="3" t="s">
        <v>202</v>
      </c>
      <c r="K82" s="5" t="s">
        <v>271</v>
      </c>
      <c r="L82" s="5"/>
      <c r="M82" s="5"/>
      <c r="N82" s="5"/>
      <c r="O82" s="5"/>
      <c r="P82" s="5"/>
      <c r="Q82" s="5"/>
      <c r="S82" s="7" t="s">
        <v>76</v>
      </c>
      <c r="T82" s="3">
        <v>2022</v>
      </c>
      <c r="U82" s="7">
        <v>19</v>
      </c>
      <c r="V82" s="7">
        <v>2.2000000000000002</v>
      </c>
      <c r="W82" s="17">
        <v>0.11578947368421054</v>
      </c>
      <c r="X82" s="7">
        <v>0.5</v>
      </c>
      <c r="Y82" s="7">
        <v>1.2</v>
      </c>
      <c r="AA82" s="5" t="s">
        <v>98</v>
      </c>
      <c r="AB82" s="7" t="s">
        <v>334</v>
      </c>
      <c r="AC82" s="9" t="s">
        <v>77</v>
      </c>
      <c r="AD82" s="9" t="s">
        <v>77</v>
      </c>
      <c r="AE82" s="7"/>
      <c r="AF82" s="7"/>
      <c r="AG82" s="5"/>
      <c r="AI82" s="21">
        <v>357</v>
      </c>
      <c r="AJ82" s="21">
        <v>310</v>
      </c>
      <c r="AK82" s="3" t="s">
        <v>63</v>
      </c>
      <c r="AL82" s="104" t="s">
        <v>50</v>
      </c>
      <c r="AM82" s="105">
        <v>45316</v>
      </c>
      <c r="AN82" s="105">
        <v>45316</v>
      </c>
      <c r="AO82" s="105" t="s">
        <v>64</v>
      </c>
      <c r="AP82" s="105">
        <v>45344</v>
      </c>
      <c r="AQ82" s="19">
        <v>45344</v>
      </c>
      <c r="AR82" s="19"/>
      <c r="AS82" s="19"/>
      <c r="AT82" s="19"/>
      <c r="AU82" s="19"/>
      <c r="AV82" s="19"/>
      <c r="AW82" s="19"/>
      <c r="AX82" s="19">
        <v>45363</v>
      </c>
      <c r="AY82" s="19"/>
      <c r="AZ82" s="19"/>
      <c r="BA82" s="20" t="s">
        <v>65</v>
      </c>
      <c r="BB82" s="19"/>
      <c r="BC82" s="1" t="s">
        <v>7</v>
      </c>
    </row>
    <row r="83" spans="1:55" x14ac:dyDescent="0.2">
      <c r="B83" s="142">
        <v>4</v>
      </c>
      <c r="C83" s="142"/>
      <c r="D83" s="230" t="s">
        <v>4</v>
      </c>
      <c r="E83" s="8" t="s">
        <v>488</v>
      </c>
      <c r="F83" s="143"/>
      <c r="G83" s="143" t="s">
        <v>102</v>
      </c>
      <c r="H83" s="4" t="s">
        <v>483</v>
      </c>
      <c r="I83" s="143"/>
      <c r="J83" s="144" t="s">
        <v>384</v>
      </c>
      <c r="K83" s="145" t="s">
        <v>385</v>
      </c>
      <c r="L83" s="145" t="s">
        <v>386</v>
      </c>
      <c r="M83" s="5" t="s">
        <v>484</v>
      </c>
      <c r="N83" s="5" t="s">
        <v>485</v>
      </c>
      <c r="O83" s="5" t="s">
        <v>486</v>
      </c>
      <c r="P83" s="145"/>
      <c r="Q83" s="5" t="s">
        <v>487</v>
      </c>
      <c r="R83" s="142"/>
      <c r="S83" s="146" t="s">
        <v>76</v>
      </c>
      <c r="T83" s="143">
        <v>2022</v>
      </c>
      <c r="U83" s="147">
        <v>13.58</v>
      </c>
      <c r="V83" s="147">
        <v>0</v>
      </c>
      <c r="W83" s="17">
        <v>0</v>
      </c>
      <c r="X83" s="147">
        <v>1.72</v>
      </c>
      <c r="Y83" s="147">
        <v>0</v>
      </c>
      <c r="Z83" s="142"/>
      <c r="AA83" s="145" t="s">
        <v>59</v>
      </c>
      <c r="AB83" s="147"/>
      <c r="AC83" s="148" t="s">
        <v>77</v>
      </c>
      <c r="AD83" s="148" t="s">
        <v>77</v>
      </c>
      <c r="AE83" s="143"/>
      <c r="AF83" s="147"/>
      <c r="AG83" s="149"/>
      <c r="AH83" s="142"/>
      <c r="AI83" s="150">
        <v>329</v>
      </c>
      <c r="AJ83" s="150">
        <v>310</v>
      </c>
      <c r="AK83" s="143" t="s">
        <v>63</v>
      </c>
      <c r="AL83" s="151" t="s">
        <v>50</v>
      </c>
      <c r="AM83" s="152">
        <v>45344</v>
      </c>
      <c r="AN83" s="152">
        <v>45344</v>
      </c>
      <c r="AO83" s="152" t="s">
        <v>64</v>
      </c>
      <c r="AP83" s="152">
        <v>45344</v>
      </c>
      <c r="AQ83" s="19">
        <v>45355</v>
      </c>
      <c r="AR83" s="19"/>
      <c r="AS83" s="19"/>
      <c r="AT83" s="19"/>
      <c r="AU83" s="19"/>
      <c r="AV83" s="19"/>
      <c r="AW83" s="153"/>
      <c r="AX83" s="153">
        <v>45363</v>
      </c>
      <c r="AY83" s="153"/>
      <c r="AZ83" s="153"/>
      <c r="BA83" s="154"/>
      <c r="BB83" s="153"/>
      <c r="BC83" s="1" t="s">
        <v>7</v>
      </c>
    </row>
    <row r="84" spans="1:55" x14ac:dyDescent="0.2">
      <c r="A84" s="142"/>
      <c r="B84" s="60">
        <v>4</v>
      </c>
      <c r="D84" s="230" t="s">
        <v>4</v>
      </c>
      <c r="E84" s="8" t="s">
        <v>335</v>
      </c>
      <c r="F84" s="61"/>
      <c r="G84" s="61" t="s">
        <v>243</v>
      </c>
      <c r="H84" s="109" t="s">
        <v>336</v>
      </c>
      <c r="I84" s="61"/>
      <c r="J84" s="93" t="s">
        <v>82</v>
      </c>
      <c r="K84" s="62" t="s">
        <v>337</v>
      </c>
      <c r="L84" s="5"/>
      <c r="M84" s="5" t="s">
        <v>489</v>
      </c>
      <c r="N84" s="5" t="s">
        <v>490</v>
      </c>
      <c r="O84" s="5" t="s">
        <v>491</v>
      </c>
      <c r="P84" s="62"/>
      <c r="Q84" s="5" t="s">
        <v>492</v>
      </c>
      <c r="R84" s="60"/>
      <c r="S84" s="63" t="s">
        <v>76</v>
      </c>
      <c r="T84" s="61">
        <v>2022</v>
      </c>
      <c r="U84" s="7">
        <v>12.3</v>
      </c>
      <c r="V84" s="64">
        <v>1.4</v>
      </c>
      <c r="W84" s="17">
        <v>0.11382113821138209</v>
      </c>
      <c r="X84" s="64">
        <v>0.27200000000000002</v>
      </c>
      <c r="Y84" s="64">
        <v>1.7</v>
      </c>
      <c r="Z84" s="60"/>
      <c r="AA84" s="62" t="s">
        <v>98</v>
      </c>
      <c r="AB84" s="306" t="s">
        <v>256</v>
      </c>
      <c r="AC84" s="65" t="s">
        <v>77</v>
      </c>
      <c r="AD84" s="65" t="s">
        <v>77</v>
      </c>
      <c r="AE84" s="3"/>
      <c r="AF84" s="64"/>
      <c r="AG84" s="108"/>
      <c r="AH84" s="60"/>
      <c r="AI84" s="21">
        <v>349</v>
      </c>
      <c r="AJ84" s="21">
        <v>310</v>
      </c>
      <c r="AK84" s="61" t="s">
        <v>63</v>
      </c>
      <c r="AL84" s="104" t="s">
        <v>50</v>
      </c>
      <c r="AM84" s="105">
        <v>45324</v>
      </c>
      <c r="AN84" s="155">
        <v>45324</v>
      </c>
      <c r="AO84" s="105" t="s">
        <v>64</v>
      </c>
      <c r="AP84" s="105">
        <v>45352</v>
      </c>
      <c r="AQ84" s="19"/>
      <c r="AR84" s="19"/>
      <c r="AS84" s="19"/>
      <c r="AT84" s="19"/>
      <c r="AU84" s="19"/>
      <c r="AV84" s="19"/>
      <c r="AW84" s="106"/>
      <c r="AX84" s="66">
        <v>45363</v>
      </c>
      <c r="AY84" s="66"/>
      <c r="AZ84" s="66"/>
      <c r="BA84" s="68"/>
      <c r="BB84" s="66"/>
      <c r="BC84" s="1" t="s">
        <v>7</v>
      </c>
    </row>
    <row r="85" spans="1:55" x14ac:dyDescent="0.2">
      <c r="A85" s="60"/>
      <c r="B85" s="6">
        <v>4</v>
      </c>
      <c r="D85" s="8" t="s">
        <v>4</v>
      </c>
      <c r="E85" s="2" t="s">
        <v>522</v>
      </c>
      <c r="F85" s="3"/>
      <c r="G85" s="3" t="s">
        <v>102</v>
      </c>
      <c r="H85" s="4" t="s">
        <v>521</v>
      </c>
      <c r="I85" s="3"/>
      <c r="J85" s="92" t="s">
        <v>312</v>
      </c>
      <c r="K85" s="5" t="s">
        <v>314</v>
      </c>
      <c r="L85" s="5" t="s">
        <v>387</v>
      </c>
      <c r="M85" s="5"/>
      <c r="N85" s="5"/>
      <c r="O85" s="5"/>
      <c r="P85" s="5"/>
      <c r="Q85" s="5"/>
      <c r="S85" s="16" t="s">
        <v>76</v>
      </c>
      <c r="T85" s="3">
        <v>2023</v>
      </c>
      <c r="U85" s="7">
        <v>2.6179999999999999</v>
      </c>
      <c r="V85" s="7">
        <v>0.23699999999999999</v>
      </c>
      <c r="W85" s="17">
        <v>9.052711993888464E-2</v>
      </c>
      <c r="X85" s="7">
        <v>0.11700000000000001</v>
      </c>
      <c r="Y85" s="7">
        <v>-0.57599999999999996</v>
      </c>
      <c r="AA85" s="5" t="s">
        <v>59</v>
      </c>
      <c r="AB85" s="7"/>
      <c r="AC85" s="65" t="s">
        <v>77</v>
      </c>
      <c r="AD85" s="65" t="s">
        <v>77</v>
      </c>
      <c r="AE85" s="7" t="s">
        <v>85</v>
      </c>
      <c r="AF85" s="3" t="s">
        <v>78</v>
      </c>
      <c r="AG85" s="5"/>
      <c r="AH85" s="228">
        <v>1</v>
      </c>
      <c r="AI85" s="21">
        <v>315</v>
      </c>
      <c r="AJ85" s="21">
        <v>311</v>
      </c>
      <c r="AK85" s="3" t="s">
        <v>315</v>
      </c>
      <c r="AL85" s="104" t="s">
        <v>50</v>
      </c>
      <c r="AM85" s="105">
        <v>45358</v>
      </c>
      <c r="AN85" s="105">
        <v>45358</v>
      </c>
      <c r="AO85" s="105" t="s">
        <v>64</v>
      </c>
      <c r="AP85" s="105">
        <v>45358</v>
      </c>
      <c r="AQ85" s="19">
        <v>45358</v>
      </c>
      <c r="AR85" s="19"/>
      <c r="AS85" s="19"/>
      <c r="AT85" s="19"/>
      <c r="AU85" s="19"/>
      <c r="AV85" s="19"/>
      <c r="AW85" s="19"/>
      <c r="AX85" s="19">
        <v>45362</v>
      </c>
      <c r="AY85" s="19"/>
      <c r="AZ85" s="19"/>
      <c r="BA85" s="20" t="s">
        <v>65</v>
      </c>
      <c r="BB85" s="19"/>
      <c r="BC85" s="1" t="s">
        <v>7</v>
      </c>
    </row>
    <row r="86" spans="1:55" x14ac:dyDescent="0.2">
      <c r="B86" s="6">
        <v>4</v>
      </c>
      <c r="D86" s="8" t="s">
        <v>4</v>
      </c>
      <c r="E86" s="8" t="s">
        <v>245</v>
      </c>
      <c r="F86" s="3" t="s">
        <v>246</v>
      </c>
      <c r="G86" s="3" t="s">
        <v>247</v>
      </c>
      <c r="H86" s="4" t="s">
        <v>248</v>
      </c>
      <c r="I86" s="3">
        <v>465201</v>
      </c>
      <c r="J86" s="3" t="s">
        <v>110</v>
      </c>
      <c r="K86" s="5" t="s">
        <v>221</v>
      </c>
      <c r="L86" s="5" t="s">
        <v>249</v>
      </c>
      <c r="M86" s="5" t="s">
        <v>493</v>
      </c>
      <c r="N86" s="5"/>
      <c r="O86" s="5" t="s">
        <v>250</v>
      </c>
      <c r="P86" s="5"/>
      <c r="Q86" s="5" t="s">
        <v>495</v>
      </c>
      <c r="S86" s="16" t="s">
        <v>76</v>
      </c>
      <c r="T86" s="3">
        <v>2023</v>
      </c>
      <c r="U86" s="7">
        <v>83</v>
      </c>
      <c r="V86" s="7">
        <v>15</v>
      </c>
      <c r="W86" s="17">
        <v>0.18072289156626506</v>
      </c>
      <c r="X86" s="7">
        <v>9</v>
      </c>
      <c r="Y86" s="7">
        <v>13.263999999999999</v>
      </c>
      <c r="AA86" s="5" t="s">
        <v>59</v>
      </c>
      <c r="AB86" s="7"/>
      <c r="AC86" s="9" t="s">
        <v>85</v>
      </c>
      <c r="AD86" s="7" t="s">
        <v>77</v>
      </c>
      <c r="AE86" s="7" t="s">
        <v>85</v>
      </c>
      <c r="AF86" s="7" t="s">
        <v>127</v>
      </c>
      <c r="AG86" s="5"/>
      <c r="AI86" s="21">
        <v>867</v>
      </c>
      <c r="AJ86" s="21">
        <v>322</v>
      </c>
      <c r="AK86" s="3" t="s">
        <v>63</v>
      </c>
      <c r="AL86" s="17" t="s">
        <v>50</v>
      </c>
      <c r="AM86" s="18">
        <v>44806</v>
      </c>
      <c r="AN86" s="18">
        <v>44806</v>
      </c>
      <c r="AO86" s="18" t="s">
        <v>64</v>
      </c>
      <c r="AP86" s="18">
        <v>44806</v>
      </c>
      <c r="AQ86" s="19">
        <v>44858</v>
      </c>
      <c r="AR86" s="19" t="s">
        <v>251</v>
      </c>
      <c r="AS86" s="19">
        <v>44960</v>
      </c>
      <c r="AT86" s="19"/>
      <c r="AU86" s="19"/>
      <c r="AV86" s="19"/>
      <c r="AW86" s="19">
        <v>45330</v>
      </c>
      <c r="AX86" s="19">
        <v>45351</v>
      </c>
      <c r="AY86" s="19"/>
      <c r="AZ86" s="19"/>
      <c r="BA86" s="20" t="s">
        <v>65</v>
      </c>
      <c r="BB86" s="19"/>
      <c r="BC86" s="1" t="s">
        <v>7</v>
      </c>
    </row>
    <row r="87" spans="1:55" x14ac:dyDescent="0.2">
      <c r="B87" s="6">
        <v>4</v>
      </c>
      <c r="D87" s="8" t="s">
        <v>4</v>
      </c>
      <c r="E87" s="8" t="s">
        <v>299</v>
      </c>
      <c r="F87" s="3"/>
      <c r="G87" s="3" t="s">
        <v>67</v>
      </c>
      <c r="H87" s="4" t="s">
        <v>300</v>
      </c>
      <c r="I87" s="3">
        <v>293100</v>
      </c>
      <c r="J87" s="3" t="s">
        <v>240</v>
      </c>
      <c r="K87" s="5" t="s">
        <v>326</v>
      </c>
      <c r="L87" s="5" t="s">
        <v>297</v>
      </c>
      <c r="M87" s="5" t="s">
        <v>301</v>
      </c>
      <c r="N87" s="5"/>
      <c r="O87" s="5" t="s">
        <v>298</v>
      </c>
      <c r="P87" s="5" t="s">
        <v>328</v>
      </c>
      <c r="Q87" s="5"/>
      <c r="S87" s="7" t="s">
        <v>76</v>
      </c>
      <c r="T87" s="3">
        <v>2023</v>
      </c>
      <c r="U87" s="7">
        <v>10.4</v>
      </c>
      <c r="V87" s="7">
        <v>3.5</v>
      </c>
      <c r="W87" s="17">
        <v>0.33653846153846151</v>
      </c>
      <c r="X87" s="7">
        <v>2.4</v>
      </c>
      <c r="Y87" s="7">
        <v>-5.5</v>
      </c>
      <c r="AA87" s="58" t="s">
        <v>223</v>
      </c>
      <c r="AB87" s="5"/>
      <c r="AC87" s="9" t="s">
        <v>153</v>
      </c>
      <c r="AD87" s="3" t="s">
        <v>153</v>
      </c>
      <c r="AE87" s="7" t="s">
        <v>154</v>
      </c>
      <c r="AF87" s="7"/>
      <c r="AG87" s="5"/>
      <c r="AI87" s="21">
        <v>408</v>
      </c>
      <c r="AJ87" s="21">
        <v>311</v>
      </c>
      <c r="AK87" s="3" t="s">
        <v>303</v>
      </c>
      <c r="AL87" s="17" t="s">
        <v>50</v>
      </c>
      <c r="AM87" s="18">
        <v>45265</v>
      </c>
      <c r="AN87" s="59">
        <v>45265</v>
      </c>
      <c r="AO87" s="18" t="s">
        <v>64</v>
      </c>
      <c r="AP87" s="18">
        <v>45265</v>
      </c>
      <c r="AQ87" s="19">
        <v>45271</v>
      </c>
      <c r="AR87" s="19">
        <v>45314</v>
      </c>
      <c r="AS87" s="19"/>
      <c r="AT87" s="19"/>
      <c r="AU87" s="19"/>
      <c r="AV87" s="19"/>
      <c r="AW87" s="19"/>
      <c r="AX87" s="19">
        <v>45362</v>
      </c>
      <c r="AY87" s="19"/>
      <c r="AZ87" s="19"/>
      <c r="BA87" s="20" t="s">
        <v>65</v>
      </c>
      <c r="BB87" s="19"/>
      <c r="BC87" s="1" t="s">
        <v>7</v>
      </c>
    </row>
    <row r="88" spans="1:55" x14ac:dyDescent="0.2">
      <c r="B88" s="6">
        <v>4</v>
      </c>
      <c r="D88" s="8" t="s">
        <v>4</v>
      </c>
      <c r="E88" s="2" t="s">
        <v>375</v>
      </c>
      <c r="F88" s="4"/>
      <c r="G88" s="3" t="s">
        <v>224</v>
      </c>
      <c r="H88" s="4"/>
      <c r="I88" s="3"/>
      <c r="J88" s="3" t="s">
        <v>56</v>
      </c>
      <c r="K88" s="5" t="s">
        <v>376</v>
      </c>
      <c r="L88" s="5" t="s">
        <v>377</v>
      </c>
      <c r="M88" s="5"/>
      <c r="N88" s="5"/>
      <c r="O88" s="5"/>
      <c r="P88" s="5"/>
      <c r="Q88" s="5"/>
      <c r="S88" s="16" t="s">
        <v>76</v>
      </c>
      <c r="T88" s="3"/>
      <c r="U88" s="7"/>
      <c r="V88" s="7"/>
      <c r="W88" s="17"/>
      <c r="X88" s="7"/>
      <c r="Y88" s="7"/>
      <c r="AA88" s="5" t="s">
        <v>59</v>
      </c>
      <c r="AB88" s="7"/>
      <c r="AC88" s="9" t="s">
        <v>60</v>
      </c>
      <c r="AD88" s="7" t="s">
        <v>60</v>
      </c>
      <c r="AE88" s="7" t="s">
        <v>61</v>
      </c>
      <c r="AF88" s="7"/>
      <c r="AG88" s="5"/>
      <c r="AI88" s="21">
        <v>346</v>
      </c>
      <c r="AJ88" s="21">
        <v>317</v>
      </c>
      <c r="AK88" s="3" t="s">
        <v>63</v>
      </c>
      <c r="AL88" s="104" t="s">
        <v>50</v>
      </c>
      <c r="AM88" s="105">
        <v>45327</v>
      </c>
      <c r="AN88" s="105">
        <v>45327</v>
      </c>
      <c r="AO88" s="105" t="s">
        <v>64</v>
      </c>
      <c r="AP88" s="105">
        <v>45327</v>
      </c>
      <c r="AQ88" s="19">
        <v>45352</v>
      </c>
      <c r="AR88" s="19"/>
      <c r="AS88" s="19"/>
      <c r="AT88" s="19"/>
      <c r="AU88" s="19"/>
      <c r="AV88" s="19"/>
      <c r="AW88" s="19">
        <v>45352</v>
      </c>
      <c r="AX88" s="19">
        <v>45356</v>
      </c>
      <c r="AY88" s="19"/>
      <c r="AZ88" s="19"/>
      <c r="BA88" s="20" t="s">
        <v>65</v>
      </c>
      <c r="BB88" s="19"/>
      <c r="BC88" s="1" t="s">
        <v>7</v>
      </c>
    </row>
    <row r="89" spans="1:55" x14ac:dyDescent="0.2">
      <c r="B89" s="6">
        <v>4</v>
      </c>
      <c r="D89" s="8" t="s">
        <v>4</v>
      </c>
      <c r="E89" s="8" t="s">
        <v>286</v>
      </c>
      <c r="F89" s="3"/>
      <c r="G89" s="3" t="s">
        <v>348</v>
      </c>
      <c r="H89" s="4"/>
      <c r="I89" s="3"/>
      <c r="J89" s="92" t="s">
        <v>346</v>
      </c>
      <c r="K89" s="5" t="s">
        <v>347</v>
      </c>
      <c r="L89" s="5"/>
      <c r="M89" s="5"/>
      <c r="N89" s="5"/>
      <c r="O89" s="5"/>
      <c r="P89" s="5"/>
      <c r="Q89" s="5"/>
      <c r="S89" s="16" t="s">
        <v>76</v>
      </c>
      <c r="T89" s="3"/>
      <c r="U89" s="7"/>
      <c r="V89" s="7"/>
      <c r="W89" s="17"/>
      <c r="X89" s="7"/>
      <c r="Y89" s="7"/>
      <c r="AA89" s="5" t="s">
        <v>216</v>
      </c>
      <c r="AB89" s="7"/>
      <c r="AC89" s="9" t="s">
        <v>77</v>
      </c>
      <c r="AD89" s="9" t="s">
        <v>77</v>
      </c>
      <c r="AE89" s="3" t="s">
        <v>127</v>
      </c>
      <c r="AF89" s="7"/>
      <c r="AG89" s="5"/>
      <c r="AI89" s="21">
        <v>342</v>
      </c>
      <c r="AJ89" s="21">
        <v>323</v>
      </c>
      <c r="AK89" s="3" t="s">
        <v>267</v>
      </c>
      <c r="AL89" s="104" t="s">
        <v>50</v>
      </c>
      <c r="AM89" s="105">
        <v>45331</v>
      </c>
      <c r="AN89" s="105">
        <v>45331</v>
      </c>
      <c r="AO89" s="105" t="s">
        <v>64</v>
      </c>
      <c r="AP89" s="105">
        <v>45331</v>
      </c>
      <c r="AQ89" s="19"/>
      <c r="AR89" s="19"/>
      <c r="AS89" s="19"/>
      <c r="AT89" s="19"/>
      <c r="AU89" s="19"/>
      <c r="AV89" s="19"/>
      <c r="AW89" s="19">
        <v>45331</v>
      </c>
      <c r="AX89" s="19">
        <v>45350</v>
      </c>
      <c r="AY89" s="19"/>
      <c r="AZ89" s="19"/>
      <c r="BA89" s="20"/>
      <c r="BB89" s="19"/>
      <c r="BC89" s="1" t="s">
        <v>7</v>
      </c>
    </row>
    <row r="90" spans="1:55" x14ac:dyDescent="0.2">
      <c r="B90" s="60">
        <v>4</v>
      </c>
      <c r="C90" s="60"/>
      <c r="D90" s="230" t="s">
        <v>4</v>
      </c>
      <c r="E90" s="8" t="s">
        <v>382</v>
      </c>
      <c r="F90" s="61"/>
      <c r="G90" s="3" t="s">
        <v>102</v>
      </c>
      <c r="H90" s="61">
        <v>13253780962</v>
      </c>
      <c r="I90" s="61"/>
      <c r="J90" s="92" t="s">
        <v>231</v>
      </c>
      <c r="K90" s="5" t="s">
        <v>314</v>
      </c>
      <c r="L90" s="5" t="s">
        <v>383</v>
      </c>
      <c r="M90" s="62"/>
      <c r="N90" s="62"/>
      <c r="O90" s="62"/>
      <c r="P90" s="62"/>
      <c r="Q90" s="62"/>
      <c r="R90" s="60"/>
      <c r="S90" s="16" t="s">
        <v>76</v>
      </c>
      <c r="T90" s="61"/>
      <c r="U90" s="64"/>
      <c r="V90" s="64"/>
      <c r="W90" s="17"/>
      <c r="X90" s="64"/>
      <c r="Y90" s="64"/>
      <c r="Z90" s="60"/>
      <c r="AA90" s="5" t="s">
        <v>59</v>
      </c>
      <c r="AB90" s="64"/>
      <c r="AC90" s="9" t="s">
        <v>77</v>
      </c>
      <c r="AD90" s="9" t="s">
        <v>77</v>
      </c>
      <c r="AE90" s="3" t="s">
        <v>78</v>
      </c>
      <c r="AF90" s="7" t="s">
        <v>127</v>
      </c>
      <c r="AG90" s="108"/>
      <c r="AH90" s="228">
        <v>1</v>
      </c>
      <c r="AI90" s="21">
        <v>336</v>
      </c>
      <c r="AJ90" s="21">
        <v>234</v>
      </c>
      <c r="AK90" s="61" t="s">
        <v>315</v>
      </c>
      <c r="AL90" s="104" t="s">
        <v>50</v>
      </c>
      <c r="AM90" s="105">
        <v>45337</v>
      </c>
      <c r="AN90" s="105">
        <v>45337</v>
      </c>
      <c r="AO90" s="105" t="s">
        <v>64</v>
      </c>
      <c r="AP90" s="105">
        <v>45337</v>
      </c>
      <c r="AQ90" s="19">
        <v>45351</v>
      </c>
      <c r="AR90" s="19">
        <v>45439</v>
      </c>
      <c r="AS90" s="19"/>
      <c r="AT90" s="19"/>
      <c r="AU90" s="19"/>
      <c r="AV90" s="19"/>
      <c r="AW90" s="106">
        <v>45436</v>
      </c>
      <c r="AX90" s="66">
        <v>45436</v>
      </c>
      <c r="AY90" s="66"/>
      <c r="AZ90" s="66"/>
      <c r="BA90" s="68"/>
      <c r="BB90" s="66"/>
      <c r="BC90" s="1" t="s">
        <v>7</v>
      </c>
    </row>
    <row r="91" spans="1:55" x14ac:dyDescent="0.2">
      <c r="A91" s="60"/>
      <c r="B91" s="110">
        <v>4</v>
      </c>
      <c r="D91" s="230" t="s">
        <v>4</v>
      </c>
      <c r="E91" s="8" t="s">
        <v>496</v>
      </c>
      <c r="F91" s="112"/>
      <c r="G91" s="112" t="s">
        <v>272</v>
      </c>
      <c r="H91" s="113" t="s">
        <v>320</v>
      </c>
      <c r="I91" s="112"/>
      <c r="J91" s="114" t="s">
        <v>230</v>
      </c>
      <c r="K91" s="115" t="s">
        <v>333</v>
      </c>
      <c r="L91" s="115"/>
      <c r="M91" s="5" t="s">
        <v>497</v>
      </c>
      <c r="N91" s="5" t="s">
        <v>498</v>
      </c>
      <c r="O91" s="5" t="s">
        <v>498</v>
      </c>
      <c r="P91" s="115"/>
      <c r="Q91" s="5" t="s">
        <v>499</v>
      </c>
      <c r="R91" s="110"/>
      <c r="S91" s="116" t="s">
        <v>76</v>
      </c>
      <c r="T91" s="112">
        <v>2023</v>
      </c>
      <c r="U91" s="117">
        <v>26</v>
      </c>
      <c r="V91" s="117">
        <v>5</v>
      </c>
      <c r="W91" s="17">
        <v>0.19230769230769232</v>
      </c>
      <c r="X91" s="117">
        <v>2.4</v>
      </c>
      <c r="Y91" s="117">
        <v>-10</v>
      </c>
      <c r="Z91" s="110"/>
      <c r="AA91" s="115" t="s">
        <v>98</v>
      </c>
      <c r="AB91" s="117" t="s">
        <v>334</v>
      </c>
      <c r="AC91" s="118" t="s">
        <v>77</v>
      </c>
      <c r="AD91" s="118" t="s">
        <v>77</v>
      </c>
      <c r="AE91" s="112"/>
      <c r="AF91" s="117"/>
      <c r="AG91" s="119"/>
      <c r="AH91" s="110"/>
      <c r="AI91" s="120">
        <v>350</v>
      </c>
      <c r="AJ91" s="120">
        <v>330</v>
      </c>
      <c r="AK91" s="112" t="s">
        <v>63</v>
      </c>
      <c r="AL91" s="104" t="s">
        <v>50</v>
      </c>
      <c r="AM91" s="105">
        <v>45323</v>
      </c>
      <c r="AN91" s="105">
        <v>45323</v>
      </c>
      <c r="AO91" s="105" t="s">
        <v>64</v>
      </c>
      <c r="AP91" s="105"/>
      <c r="AQ91" s="19"/>
      <c r="AR91" s="19"/>
      <c r="AS91" s="19"/>
      <c r="AT91" s="19"/>
      <c r="AU91" s="19"/>
      <c r="AV91" s="19"/>
      <c r="AW91" s="123"/>
      <c r="AX91" s="19">
        <v>45343</v>
      </c>
      <c r="AY91" s="123"/>
      <c r="AZ91" s="123"/>
      <c r="BA91" s="124"/>
      <c r="BB91" s="123"/>
      <c r="BC91" s="1" t="s">
        <v>7</v>
      </c>
    </row>
    <row r="92" spans="1:55" x14ac:dyDescent="0.2">
      <c r="A92" s="110"/>
      <c r="B92" s="48">
        <v>4</v>
      </c>
      <c r="D92" s="230" t="s">
        <v>4</v>
      </c>
      <c r="E92" s="57" t="s">
        <v>262</v>
      </c>
      <c r="F92" s="49"/>
      <c r="G92" s="49" t="s">
        <v>229</v>
      </c>
      <c r="H92" s="50" t="s">
        <v>263</v>
      </c>
      <c r="I92" s="49">
        <v>852000</v>
      </c>
      <c r="J92" s="49" t="s">
        <v>56</v>
      </c>
      <c r="K92" s="5" t="s">
        <v>264</v>
      </c>
      <c r="L92" s="51" t="s">
        <v>265</v>
      </c>
      <c r="M92" s="51"/>
      <c r="N92" s="51"/>
      <c r="O92" s="51"/>
      <c r="P92" s="51"/>
      <c r="Q92" s="51"/>
      <c r="R92" s="48"/>
      <c r="S92" s="52" t="s">
        <v>76</v>
      </c>
      <c r="T92" s="49">
        <v>2023</v>
      </c>
      <c r="U92" s="53">
        <v>0.74</v>
      </c>
      <c r="V92" s="53">
        <v>0.2</v>
      </c>
      <c r="W92" s="17">
        <v>0.27027027027027029</v>
      </c>
      <c r="X92" s="53">
        <v>0.92</v>
      </c>
      <c r="Y92" s="53">
        <v>0</v>
      </c>
      <c r="Z92" s="48"/>
      <c r="AA92" s="51" t="s">
        <v>139</v>
      </c>
      <c r="AB92" s="53"/>
      <c r="AC92" s="54" t="s">
        <v>60</v>
      </c>
      <c r="AD92" s="54" t="s">
        <v>60</v>
      </c>
      <c r="AE92" s="53" t="s">
        <v>61</v>
      </c>
      <c r="AF92" s="7" t="s">
        <v>127</v>
      </c>
      <c r="AG92" s="51"/>
      <c r="AH92" s="48"/>
      <c r="AI92" s="21">
        <v>734</v>
      </c>
      <c r="AJ92" s="21">
        <v>331</v>
      </c>
      <c r="AK92" s="49" t="s">
        <v>86</v>
      </c>
      <c r="AL92" s="104" t="s">
        <v>50</v>
      </c>
      <c r="AM92" s="105">
        <v>44939</v>
      </c>
      <c r="AN92" s="105">
        <v>44939</v>
      </c>
      <c r="AO92" s="105" t="s">
        <v>64</v>
      </c>
      <c r="AP92" s="105">
        <v>44946</v>
      </c>
      <c r="AQ92" s="19">
        <v>44946</v>
      </c>
      <c r="AR92" s="19">
        <v>44970</v>
      </c>
      <c r="AS92" s="19">
        <v>45021</v>
      </c>
      <c r="AT92" s="19">
        <v>45320</v>
      </c>
      <c r="AU92" s="19"/>
      <c r="AV92" s="19"/>
      <c r="AW92" s="55">
        <v>45320</v>
      </c>
      <c r="AX92" s="19">
        <v>45342</v>
      </c>
      <c r="AY92" s="55"/>
      <c r="AZ92" s="55"/>
      <c r="BA92" s="56"/>
      <c r="BB92" s="55"/>
      <c r="BC92" s="1" t="s">
        <v>7</v>
      </c>
    </row>
    <row r="93" spans="1:55" x14ac:dyDescent="0.2">
      <c r="A93" s="48"/>
      <c r="B93" s="85">
        <v>4</v>
      </c>
      <c r="D93" s="230" t="s">
        <v>4</v>
      </c>
      <c r="E93" s="2" t="s">
        <v>358</v>
      </c>
      <c r="F93" s="83"/>
      <c r="G93" s="3" t="s">
        <v>224</v>
      </c>
      <c r="H93" s="4" t="s">
        <v>359</v>
      </c>
      <c r="I93" s="83"/>
      <c r="J93" s="92" t="s">
        <v>360</v>
      </c>
      <c r="K93" s="5" t="s">
        <v>361</v>
      </c>
      <c r="L93" s="5" t="s">
        <v>362</v>
      </c>
      <c r="M93" s="84"/>
      <c r="N93" s="84"/>
      <c r="O93" s="84"/>
      <c r="P93" s="84"/>
      <c r="Q93" s="84"/>
      <c r="R93" s="85"/>
      <c r="S93" s="86"/>
      <c r="T93" s="83"/>
      <c r="U93" s="87"/>
      <c r="V93" s="87"/>
      <c r="W93" s="17"/>
      <c r="X93" s="87"/>
      <c r="Y93" s="87"/>
      <c r="Z93" s="85"/>
      <c r="AA93" s="84" t="s">
        <v>59</v>
      </c>
      <c r="AB93" s="87"/>
      <c r="AC93" s="9" t="s">
        <v>61</v>
      </c>
      <c r="AD93" s="88" t="s">
        <v>60</v>
      </c>
      <c r="AE93" s="9" t="s">
        <v>61</v>
      </c>
      <c r="AF93" s="87"/>
      <c r="AG93" s="84"/>
      <c r="AH93" s="85"/>
      <c r="AI93" s="90">
        <v>359</v>
      </c>
      <c r="AJ93" s="90">
        <v>331</v>
      </c>
      <c r="AK93" s="83" t="s">
        <v>244</v>
      </c>
      <c r="AL93" s="104" t="s">
        <v>50</v>
      </c>
      <c r="AM93" s="105">
        <v>45314</v>
      </c>
      <c r="AN93" s="105">
        <v>45315</v>
      </c>
      <c r="AO93" s="105" t="s">
        <v>64</v>
      </c>
      <c r="AP93" s="105">
        <v>45315</v>
      </c>
      <c r="AQ93" s="19">
        <v>45316</v>
      </c>
      <c r="AR93" s="19">
        <v>45336</v>
      </c>
      <c r="AS93" s="19"/>
      <c r="AT93" s="19"/>
      <c r="AU93" s="19"/>
      <c r="AV93" s="19"/>
      <c r="AW93" s="89">
        <v>45338</v>
      </c>
      <c r="AX93" s="89">
        <v>45342</v>
      </c>
      <c r="AY93" s="89"/>
      <c r="AZ93" s="89"/>
      <c r="BA93" s="91" t="s">
        <v>65</v>
      </c>
      <c r="BB93" s="89"/>
      <c r="BC93" s="1" t="s">
        <v>7</v>
      </c>
    </row>
    <row r="94" spans="1:55" x14ac:dyDescent="0.2">
      <c r="A94" s="85"/>
      <c r="B94" s="6">
        <v>4</v>
      </c>
      <c r="D94" s="8" t="s">
        <v>4</v>
      </c>
      <c r="E94" s="2" t="s">
        <v>339</v>
      </c>
      <c r="F94" s="3"/>
      <c r="G94" s="3" t="s">
        <v>102</v>
      </c>
      <c r="H94" s="4"/>
      <c r="I94" s="3"/>
      <c r="J94" s="92" t="s">
        <v>312</v>
      </c>
      <c r="K94" s="5" t="s">
        <v>314</v>
      </c>
      <c r="L94" s="5" t="s">
        <v>329</v>
      </c>
      <c r="M94" s="5"/>
      <c r="N94" s="5"/>
      <c r="O94" s="5"/>
      <c r="P94" s="5"/>
      <c r="Q94" s="5"/>
      <c r="S94" s="16"/>
      <c r="T94" s="3"/>
      <c r="U94" s="7"/>
      <c r="V94" s="7"/>
      <c r="W94" s="17"/>
      <c r="X94" s="7"/>
      <c r="Y94" s="7"/>
      <c r="AA94" s="5" t="s">
        <v>59</v>
      </c>
      <c r="AB94" s="7"/>
      <c r="AC94" s="9" t="s">
        <v>60</v>
      </c>
      <c r="AD94" s="9" t="s">
        <v>60</v>
      </c>
      <c r="AE94" s="27" t="s">
        <v>78</v>
      </c>
      <c r="AF94" s="7"/>
      <c r="AG94" s="5"/>
      <c r="AH94" s="228">
        <v>1</v>
      </c>
      <c r="AI94" s="21">
        <v>359</v>
      </c>
      <c r="AJ94" s="21">
        <v>330</v>
      </c>
      <c r="AK94" s="3" t="s">
        <v>315</v>
      </c>
      <c r="AL94" s="104" t="s">
        <v>50</v>
      </c>
      <c r="AM94" s="105">
        <v>45314</v>
      </c>
      <c r="AN94" s="105">
        <v>45314</v>
      </c>
      <c r="AO94" s="105" t="s">
        <v>64</v>
      </c>
      <c r="AP94" s="105">
        <v>45316</v>
      </c>
      <c r="AQ94" s="19">
        <v>45316</v>
      </c>
      <c r="AR94" s="19"/>
      <c r="AS94" s="19"/>
      <c r="AT94" s="19"/>
      <c r="AU94" s="19"/>
      <c r="AV94" s="19"/>
      <c r="AW94" s="19">
        <v>45327</v>
      </c>
      <c r="AX94" s="19">
        <v>45343</v>
      </c>
      <c r="AY94" s="19"/>
      <c r="AZ94" s="19"/>
      <c r="BA94" s="20" t="s">
        <v>65</v>
      </c>
      <c r="BB94" s="19"/>
      <c r="BC94" s="1" t="s">
        <v>7</v>
      </c>
    </row>
    <row r="95" spans="1:55" x14ac:dyDescent="0.2">
      <c r="B95" s="126">
        <v>4</v>
      </c>
      <c r="C95" s="126"/>
      <c r="D95" s="230" t="s">
        <v>4</v>
      </c>
      <c r="E95" s="137" t="s">
        <v>353</v>
      </c>
      <c r="F95" s="128"/>
      <c r="G95" s="128" t="s">
        <v>295</v>
      </c>
      <c r="H95" s="129"/>
      <c r="I95" s="128"/>
      <c r="J95" s="138" t="s">
        <v>367</v>
      </c>
      <c r="K95" s="130" t="s">
        <v>368</v>
      </c>
      <c r="L95" s="130" t="s">
        <v>369</v>
      </c>
      <c r="M95" s="130"/>
      <c r="N95" s="130"/>
      <c r="O95" s="130"/>
      <c r="P95" s="130"/>
      <c r="Q95" s="130"/>
      <c r="R95" s="126"/>
      <c r="S95" s="131" t="s">
        <v>76</v>
      </c>
      <c r="T95" s="128"/>
      <c r="U95" s="132"/>
      <c r="V95" s="132"/>
      <c r="W95" s="17"/>
      <c r="X95" s="132"/>
      <c r="Y95" s="132"/>
      <c r="Z95" s="126"/>
      <c r="AA95" s="130" t="s">
        <v>139</v>
      </c>
      <c r="AB95" s="132"/>
      <c r="AC95" s="133" t="s">
        <v>77</v>
      </c>
      <c r="AD95" s="133" t="s">
        <v>77</v>
      </c>
      <c r="AE95" s="128" t="s">
        <v>127</v>
      </c>
      <c r="AF95" s="132"/>
      <c r="AG95" s="139"/>
      <c r="AH95" s="126"/>
      <c r="AI95" s="134">
        <v>350</v>
      </c>
      <c r="AJ95" s="134">
        <v>338</v>
      </c>
      <c r="AK95" s="128" t="s">
        <v>267</v>
      </c>
      <c r="AL95" s="140" t="s">
        <v>50</v>
      </c>
      <c r="AM95" s="135">
        <v>45323</v>
      </c>
      <c r="AN95" s="135">
        <v>45330</v>
      </c>
      <c r="AO95" s="135" t="s">
        <v>64</v>
      </c>
      <c r="AP95" s="135">
        <v>45335</v>
      </c>
      <c r="AQ95" s="19"/>
      <c r="AR95" s="19"/>
      <c r="AS95" s="19"/>
      <c r="AT95" s="19"/>
      <c r="AU95" s="19"/>
      <c r="AV95" s="19"/>
      <c r="AW95" s="136">
        <v>45335</v>
      </c>
      <c r="AX95" s="136">
        <v>45335</v>
      </c>
      <c r="AY95" s="136"/>
      <c r="AZ95" s="136"/>
      <c r="BA95" s="141"/>
      <c r="BB95" s="136"/>
      <c r="BC95" s="1" t="s">
        <v>7</v>
      </c>
    </row>
    <row r="96" spans="1:55" x14ac:dyDescent="0.2">
      <c r="A96" s="126"/>
      <c r="B96" s="95">
        <v>4</v>
      </c>
      <c r="C96" s="95"/>
      <c r="D96" s="230" t="s">
        <v>4</v>
      </c>
      <c r="E96" s="8" t="s">
        <v>502</v>
      </c>
      <c r="F96" s="97"/>
      <c r="G96" s="97" t="s">
        <v>102</v>
      </c>
      <c r="H96" s="4" t="s">
        <v>500</v>
      </c>
      <c r="I96" s="97"/>
      <c r="J96" s="92" t="s">
        <v>312</v>
      </c>
      <c r="K96" s="5" t="s">
        <v>446</v>
      </c>
      <c r="L96" s="99" t="s">
        <v>330</v>
      </c>
      <c r="M96" s="5" t="s">
        <v>503</v>
      </c>
      <c r="N96" s="5" t="s">
        <v>501</v>
      </c>
      <c r="O96" s="5" t="s">
        <v>504</v>
      </c>
      <c r="P96" s="5" t="s">
        <v>506</v>
      </c>
      <c r="Q96" s="5" t="s">
        <v>505</v>
      </c>
      <c r="R96" s="95"/>
      <c r="S96" s="100" t="s">
        <v>76</v>
      </c>
      <c r="T96" s="97"/>
      <c r="U96" s="101"/>
      <c r="V96" s="101"/>
      <c r="W96" s="17"/>
      <c r="X96" s="101"/>
      <c r="Y96" s="101"/>
      <c r="Z96" s="95"/>
      <c r="AA96" s="115" t="s">
        <v>275</v>
      </c>
      <c r="AB96" s="101"/>
      <c r="AC96" s="102" t="s">
        <v>60</v>
      </c>
      <c r="AD96" s="102" t="s">
        <v>60</v>
      </c>
      <c r="AE96" s="97" t="s">
        <v>61</v>
      </c>
      <c r="AF96" s="101"/>
      <c r="AG96" s="99"/>
      <c r="AH96" s="95"/>
      <c r="AI96" s="21">
        <v>379</v>
      </c>
      <c r="AJ96" s="21">
        <v>335</v>
      </c>
      <c r="AK96" s="97" t="s">
        <v>63</v>
      </c>
      <c r="AL96" s="104" t="s">
        <v>50</v>
      </c>
      <c r="AM96" s="105">
        <v>45294</v>
      </c>
      <c r="AN96" s="105">
        <v>45294</v>
      </c>
      <c r="AO96" s="105" t="s">
        <v>64</v>
      </c>
      <c r="AP96" s="105">
        <v>45294</v>
      </c>
      <c r="AQ96" s="19">
        <v>45321</v>
      </c>
      <c r="AR96" s="19"/>
      <c r="AS96" s="19"/>
      <c r="AT96" s="19"/>
      <c r="AU96" s="19"/>
      <c r="AV96" s="19"/>
      <c r="AW96" s="106">
        <v>45321</v>
      </c>
      <c r="AX96" s="106">
        <v>45338</v>
      </c>
      <c r="AY96" s="106"/>
      <c r="AZ96" s="106"/>
      <c r="BA96" s="107"/>
      <c r="BB96" s="106"/>
      <c r="BC96" s="1" t="s">
        <v>7</v>
      </c>
    </row>
    <row r="97" spans="1:55" x14ac:dyDescent="0.2">
      <c r="A97" s="232"/>
      <c r="B97" s="232"/>
      <c r="C97" s="232"/>
      <c r="D97" s="231"/>
      <c r="E97" s="8"/>
      <c r="F97" s="235"/>
      <c r="G97" s="3"/>
      <c r="H97" s="4"/>
      <c r="I97" s="235"/>
      <c r="J97" s="3"/>
      <c r="K97" s="5"/>
      <c r="L97" s="5"/>
      <c r="M97" s="5"/>
      <c r="N97" s="5"/>
      <c r="O97" s="5"/>
      <c r="P97" s="5"/>
      <c r="Q97" s="236"/>
      <c r="R97" s="232"/>
      <c r="S97" s="16"/>
      <c r="T97" s="235"/>
      <c r="U97" s="238"/>
      <c r="V97" s="238"/>
      <c r="W97" s="17"/>
      <c r="X97" s="238"/>
      <c r="Y97" s="238"/>
      <c r="Z97" s="232"/>
      <c r="AA97" s="5"/>
      <c r="AB97" s="242"/>
      <c r="AC97" s="9"/>
      <c r="AD97" s="9"/>
      <c r="AE97" s="3"/>
      <c r="AF97" s="246"/>
      <c r="AG97" s="5"/>
      <c r="AH97" s="234"/>
      <c r="AI97" s="21"/>
      <c r="AJ97" s="21"/>
      <c r="AK97" s="216"/>
      <c r="AL97" s="243"/>
      <c r="AM97" s="239"/>
      <c r="AN97" s="239"/>
      <c r="AO97" s="245"/>
      <c r="AP97" s="239"/>
      <c r="AQ97" s="244"/>
      <c r="AR97" s="240"/>
      <c r="AS97" s="240"/>
      <c r="AT97" s="240"/>
      <c r="AU97" s="240"/>
      <c r="AV97" s="240"/>
      <c r="AW97" s="240"/>
      <c r="AX97" s="240"/>
      <c r="AY97" s="240"/>
      <c r="AZ97" s="240"/>
      <c r="BA97" s="241"/>
      <c r="BB97" s="240"/>
      <c r="BC97" s="1" t="s">
        <v>7</v>
      </c>
    </row>
    <row r="98" spans="1:55" x14ac:dyDescent="0.2">
      <c r="A98" s="8"/>
      <c r="D98" s="8"/>
      <c r="E98" s="8"/>
      <c r="F98" s="3"/>
      <c r="G98" s="3"/>
      <c r="H98" s="3"/>
      <c r="I98" s="3"/>
      <c r="J98" s="3"/>
      <c r="K98" s="3"/>
      <c r="L98" s="5"/>
      <c r="M98" s="5"/>
      <c r="N98" s="5"/>
      <c r="O98" s="5"/>
      <c r="P98" s="5"/>
      <c r="Q98" s="5"/>
      <c r="S98" s="16"/>
      <c r="T98" s="3"/>
      <c r="U98" s="7"/>
      <c r="V98" s="7"/>
      <c r="W98" s="17"/>
      <c r="X98" s="7"/>
      <c r="Y98" s="7"/>
      <c r="AA98" s="5"/>
      <c r="AB98" s="5"/>
      <c r="AC98" s="3"/>
      <c r="AD98" s="3"/>
      <c r="AE98" s="3"/>
      <c r="AF98" s="3"/>
      <c r="AG98" s="5"/>
      <c r="AI98" s="3"/>
      <c r="AJ98" s="3"/>
      <c r="AK98" s="3"/>
      <c r="AL98" s="3"/>
      <c r="AM98" s="32"/>
      <c r="AN98" s="32"/>
      <c r="AO98" s="32"/>
      <c r="AP98" s="32"/>
      <c r="AQ98" s="19"/>
      <c r="AR98" s="19"/>
      <c r="AS98" s="19"/>
      <c r="AT98" s="19"/>
      <c r="AU98" s="19"/>
      <c r="AV98" s="19"/>
      <c r="AW98" s="32"/>
      <c r="AX98" s="32"/>
      <c r="AY98" s="32"/>
      <c r="AZ98" s="32"/>
      <c r="BA98" s="20"/>
      <c r="BB98" s="20"/>
      <c r="BC98" s="1" t="s">
        <v>7</v>
      </c>
    </row>
    <row r="99" spans="1:55" x14ac:dyDescent="0.2">
      <c r="F99" s="1"/>
      <c r="S99" s="24"/>
      <c r="W99" s="25"/>
      <c r="BA99" s="14"/>
      <c r="BB99" s="14"/>
      <c r="BC99" s="1" t="s">
        <v>7</v>
      </c>
    </row>
    <row r="100" spans="1:55" x14ac:dyDescent="0.2">
      <c r="D100" s="1" t="s">
        <v>203</v>
      </c>
      <c r="E100" s="1" t="s">
        <v>203</v>
      </c>
      <c r="G100" s="1" t="s">
        <v>203</v>
      </c>
      <c r="H100" s="1" t="s">
        <v>203</v>
      </c>
      <c r="I100" s="1" t="s">
        <v>203</v>
      </c>
      <c r="J100" s="1" t="s">
        <v>203</v>
      </c>
      <c r="K100" s="1" t="s">
        <v>203</v>
      </c>
      <c r="L100" s="1" t="s">
        <v>203</v>
      </c>
      <c r="M100" s="1" t="s">
        <v>203</v>
      </c>
      <c r="N100" s="1" t="s">
        <v>203</v>
      </c>
      <c r="O100" s="1" t="s">
        <v>203</v>
      </c>
      <c r="P100" s="1" t="s">
        <v>203</v>
      </c>
      <c r="Q100" s="1" t="s">
        <v>203</v>
      </c>
      <c r="R100" s="1" t="s">
        <v>203</v>
      </c>
      <c r="S100" s="1" t="s">
        <v>203</v>
      </c>
      <c r="T100" s="1" t="s">
        <v>203</v>
      </c>
      <c r="U100" s="1" t="s">
        <v>203</v>
      </c>
      <c r="V100" s="1" t="s">
        <v>203</v>
      </c>
      <c r="W100" s="1" t="s">
        <v>203</v>
      </c>
      <c r="X100" s="1" t="s">
        <v>203</v>
      </c>
      <c r="Y100" s="1" t="s">
        <v>203</v>
      </c>
      <c r="Z100" s="1" t="s">
        <v>203</v>
      </c>
      <c r="AA100" s="1" t="s">
        <v>203</v>
      </c>
      <c r="AB100" s="1" t="s">
        <v>203</v>
      </c>
      <c r="AC100" s="1" t="s">
        <v>203</v>
      </c>
      <c r="AD100" s="1" t="s">
        <v>203</v>
      </c>
      <c r="AE100" s="1" t="s">
        <v>203</v>
      </c>
      <c r="AF100" s="1" t="s">
        <v>203</v>
      </c>
      <c r="AG100" s="1" t="s">
        <v>203</v>
      </c>
      <c r="AH100" s="1" t="s">
        <v>203</v>
      </c>
      <c r="AI100" s="1" t="s">
        <v>203</v>
      </c>
      <c r="AJ100" s="1" t="s">
        <v>203</v>
      </c>
      <c r="AM100" s="1" t="s">
        <v>203</v>
      </c>
      <c r="AN100" s="1" t="s">
        <v>203</v>
      </c>
      <c r="AO100" s="1" t="s">
        <v>203</v>
      </c>
      <c r="AP100" s="14" t="s">
        <v>203</v>
      </c>
      <c r="AQ100" s="14" t="s">
        <v>203</v>
      </c>
      <c r="AR100" s="14" t="s">
        <v>203</v>
      </c>
      <c r="AS100" s="14" t="s">
        <v>203</v>
      </c>
      <c r="AT100" s="14" t="s">
        <v>203</v>
      </c>
      <c r="AU100" s="14" t="s">
        <v>203</v>
      </c>
      <c r="AV100" s="14" t="s">
        <v>203</v>
      </c>
      <c r="AW100" s="14" t="s">
        <v>203</v>
      </c>
      <c r="AX100" s="14" t="s">
        <v>203</v>
      </c>
      <c r="AY100" s="14" t="s">
        <v>203</v>
      </c>
      <c r="BA100" s="14" t="s">
        <v>203</v>
      </c>
      <c r="BB100" s="14" t="s">
        <v>203</v>
      </c>
      <c r="BC100" s="1" t="s">
        <v>7</v>
      </c>
    </row>
    <row r="101" spans="1:55" x14ac:dyDescent="0.2">
      <c r="F101" s="1"/>
      <c r="S101" s="24"/>
      <c r="W101" s="25"/>
      <c r="BA101" s="14"/>
      <c r="BB101" s="14"/>
      <c r="BC101" s="1" t="s">
        <v>7</v>
      </c>
    </row>
    <row r="102" spans="1:55" x14ac:dyDescent="0.2">
      <c r="A102" s="22" t="s">
        <v>1</v>
      </c>
      <c r="S102" s="24"/>
      <c r="W102" s="25"/>
      <c r="BA102" s="14"/>
      <c r="BB102" s="14"/>
      <c r="BC102" s="1" t="s">
        <v>7</v>
      </c>
    </row>
    <row r="103" spans="1:55" x14ac:dyDescent="0.2">
      <c r="A103" s="34" t="s">
        <v>2</v>
      </c>
      <c r="S103" s="24"/>
      <c r="W103" s="25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" t="s">
        <v>7</v>
      </c>
    </row>
    <row r="104" spans="1:55" x14ac:dyDescent="0.2">
      <c r="A104" s="35" t="s">
        <v>3</v>
      </c>
      <c r="F104" s="1"/>
      <c r="S104" s="24"/>
      <c r="W104" s="25"/>
      <c r="AK104" s="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" t="s">
        <v>7</v>
      </c>
    </row>
    <row r="105" spans="1:55" x14ac:dyDescent="0.2">
      <c r="A105" s="36" t="s">
        <v>4</v>
      </c>
      <c r="S105" s="24"/>
      <c r="W105" s="25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" t="s">
        <v>7</v>
      </c>
    </row>
    <row r="106" spans="1:55" x14ac:dyDescent="0.2">
      <c r="A106" s="37" t="s">
        <v>5</v>
      </c>
      <c r="S106" s="24"/>
      <c r="W106" s="25"/>
      <c r="AM106" s="11">
        <v>485</v>
      </c>
      <c r="AN106" s="11">
        <v>481</v>
      </c>
      <c r="AO106" s="11">
        <v>479</v>
      </c>
      <c r="AP106" s="11">
        <v>446</v>
      </c>
      <c r="AQ106" s="11">
        <v>370</v>
      </c>
      <c r="AR106" s="11">
        <v>207</v>
      </c>
      <c r="AS106" s="11">
        <v>146</v>
      </c>
      <c r="AT106" s="11">
        <v>91</v>
      </c>
      <c r="AU106" s="11">
        <v>74</v>
      </c>
      <c r="AV106" s="11">
        <v>62</v>
      </c>
      <c r="AW106" s="11"/>
      <c r="AX106" s="11"/>
      <c r="AY106" s="11"/>
      <c r="AZ106" s="11"/>
      <c r="BA106" s="11"/>
      <c r="BB106" s="11"/>
      <c r="BC106" s="1" t="s">
        <v>7</v>
      </c>
    </row>
    <row r="107" spans="1:55" x14ac:dyDescent="0.2">
      <c r="A107" s="38" t="s">
        <v>6</v>
      </c>
      <c r="S107" s="24"/>
      <c r="W107" s="25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" t="s">
        <v>7</v>
      </c>
    </row>
    <row r="108" spans="1:55" x14ac:dyDescent="0.2">
      <c r="S108" s="24"/>
      <c r="W108" s="25"/>
      <c r="AK108" s="3" t="s">
        <v>63</v>
      </c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" t="s">
        <v>7</v>
      </c>
    </row>
    <row r="109" spans="1:55" x14ac:dyDescent="0.2">
      <c r="S109" s="24"/>
      <c r="W109" s="25"/>
      <c r="AK109" s="3" t="s">
        <v>86</v>
      </c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</row>
    <row r="110" spans="1:55" x14ac:dyDescent="0.2">
      <c r="S110" s="24"/>
      <c r="W110" s="25"/>
      <c r="AK110" s="3" t="s">
        <v>244</v>
      </c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</row>
    <row r="111" spans="1:55" x14ac:dyDescent="0.2">
      <c r="S111" s="24"/>
      <c r="W111" s="25"/>
      <c r="AK111" s="3" t="s">
        <v>241</v>
      </c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</row>
    <row r="112" spans="1:55" x14ac:dyDescent="0.2">
      <c r="S112" s="24"/>
      <c r="W112" s="25"/>
      <c r="AK112" s="3" t="s">
        <v>267</v>
      </c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</row>
    <row r="113" spans="19:55" x14ac:dyDescent="0.2">
      <c r="S113" s="24"/>
      <c r="W113" s="25"/>
      <c r="AK113" s="3" t="s">
        <v>69</v>
      </c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</row>
    <row r="114" spans="19:55" x14ac:dyDescent="0.2">
      <c r="S114" s="24"/>
      <c r="W114" s="25"/>
      <c r="AK114" s="3" t="s">
        <v>303</v>
      </c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</row>
    <row r="115" spans="19:55" x14ac:dyDescent="0.2">
      <c r="S115" s="24"/>
      <c r="W115" s="25"/>
      <c r="AK115" s="3" t="s">
        <v>315</v>
      </c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</row>
    <row r="116" spans="19:55" x14ac:dyDescent="0.2">
      <c r="S116" s="24"/>
      <c r="W116" s="25"/>
      <c r="AK116" s="3" t="s">
        <v>100</v>
      </c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</sheetData>
  <sortState xmlns:xlrd2="http://schemas.microsoft.com/office/spreadsheetml/2017/richdata2" ref="A36:BC45">
    <sortCondition descending="1" ref="AL36:AL45"/>
  </sortState>
  <conditionalFormatting sqref="D5:D25 D97:D98">
    <cfRule type="containsText" dxfId="22" priority="353" operator="containsText" text="abt">
      <formula>NOT(ISERROR(SEARCH("abt",D5)))</formula>
    </cfRule>
    <cfRule type="containsText" dxfId="21" priority="354" operator="containsText" text="sgn">
      <formula>NOT(ISERROR(SEARCH("sgn",D5)))</formula>
    </cfRule>
    <cfRule type="containsText" dxfId="20" priority="355" operator="containsText" text="wip">
      <formula>NOT(ISERROR(SEARCH("wip",D5)))</formula>
    </cfRule>
  </conditionalFormatting>
  <conditionalFormatting sqref="D5:D98">
    <cfRule type="cellIs" dxfId="19" priority="272" operator="equal">
      <formula>"RIP"</formula>
    </cfRule>
  </conditionalFormatting>
  <conditionalFormatting sqref="D5:D98">
    <cfRule type="containsText" dxfId="18" priority="58" operator="containsText" text="hld">
      <formula>NOT(ISERROR(SEARCH("hld",D5)))</formula>
    </cfRule>
  </conditionalFormatting>
  <conditionalFormatting sqref="D25">
    <cfRule type="containsText" dxfId="17" priority="356" operator="containsText" text="hld">
      <formula>NOT(ISERROR(SEARCH("hld",D25)))</formula>
    </cfRule>
  </conditionalFormatting>
  <conditionalFormatting sqref="D26">
    <cfRule type="containsText" dxfId="16" priority="1501" operator="containsText" text="hld">
      <formula>NOT(ISERROR(SEARCH("hld",D26)))</formula>
    </cfRule>
  </conditionalFormatting>
  <conditionalFormatting sqref="D26:D96">
    <cfRule type="containsText" dxfId="15" priority="1159" operator="containsText" text="sgn">
      <formula>NOT(ISERROR(SEARCH("sgn",D26)))</formula>
    </cfRule>
    <cfRule type="containsText" dxfId="14" priority="1160" operator="containsText" text="wip">
      <formula>NOT(ISERROR(SEARCH("wip",D26)))</formula>
    </cfRule>
  </conditionalFormatting>
  <conditionalFormatting sqref="D26:D96">
    <cfRule type="containsText" dxfId="13" priority="1158" operator="containsText" text="abt">
      <formula>NOT(ISERROR(SEARCH("abt",D26)))</formula>
    </cfRule>
  </conditionalFormatting>
  <conditionalFormatting sqref="AF44:AF45 D5:D35 D36:Z36 AB36:AG37 E37:Z37 AB38:AH38 E38:I38 L38:V38 X38:Z38 D37:D45 D46:AH79 D67:D98">
    <cfRule type="cellIs" dxfId="12" priority="2" operator="equal">
      <formula>"cls"</formula>
    </cfRule>
  </conditionalFormatting>
  <conditionalFormatting sqref="D41:Z41 W31">
    <cfRule type="cellIs" dxfId="11" priority="240" operator="equal">
      <formula>"cls"</formula>
    </cfRule>
  </conditionalFormatting>
  <conditionalFormatting sqref="D76">
    <cfRule type="containsText" dxfId="10" priority="1122" operator="containsText" text="hld">
      <formula>NOT(ISERROR(SEARCH("hld",D76)))</formula>
    </cfRule>
  </conditionalFormatting>
  <conditionalFormatting sqref="D30:AH31 D42:AH43 D83:AH83 D86:I89 D90:AH92 E39:AH39 AB41:AH41 L86:AH89">
    <cfRule type="cellIs" dxfId="9" priority="1156" operator="equal">
      <formula>"cls"</formula>
    </cfRule>
  </conditionalFormatting>
  <conditionalFormatting sqref="D80:AG82">
    <cfRule type="cellIs" dxfId="8" priority="719" operator="equal">
      <formula>"cls"</formula>
    </cfRule>
  </conditionalFormatting>
  <conditionalFormatting sqref="E40:AH40">
    <cfRule type="cellIs" dxfId="7" priority="64" operator="equal">
      <formula>"cls"</formula>
    </cfRule>
  </conditionalFormatting>
  <conditionalFormatting sqref="I44:I45">
    <cfRule type="cellIs" dxfId="6" priority="72" operator="equal">
      <formula>"cls"</formula>
    </cfRule>
  </conditionalFormatting>
  <conditionalFormatting sqref="U44:Y45">
    <cfRule type="cellIs" dxfId="5" priority="65" operator="equal">
      <formula>"cls"</formula>
    </cfRule>
  </conditionalFormatting>
  <conditionalFormatting sqref="AE38">
    <cfRule type="cellIs" dxfId="4" priority="360" operator="equal">
      <formula>"cls"</formula>
    </cfRule>
  </conditionalFormatting>
  <conditionalFormatting sqref="AI5">
    <cfRule type="colorScale" priority="371">
      <colorScale>
        <cfvo type="min"/>
        <cfvo type="max"/>
        <color rgb="FFFCFCFF"/>
        <color rgb="FFF8696B"/>
      </colorScale>
    </cfRule>
    <cfRule type="colorScale" priority="372">
      <colorScale>
        <cfvo type="min"/>
        <cfvo type="max"/>
        <color rgb="FFFCFCFF"/>
        <color rgb="FFF8696B"/>
      </colorScale>
    </cfRule>
  </conditionalFormatting>
  <conditionalFormatting sqref="AI25">
    <cfRule type="colorScale" priority="357">
      <colorScale>
        <cfvo type="min"/>
        <cfvo type="max"/>
        <color rgb="FFFCFCFF"/>
        <color rgb="FFF8696B"/>
      </colorScale>
    </cfRule>
    <cfRule type="colorScale" priority="358">
      <colorScale>
        <cfvo type="min"/>
        <cfvo type="max"/>
        <color rgb="FFFCFCFF"/>
        <color rgb="FFF8696B"/>
      </colorScale>
    </cfRule>
  </conditionalFormatting>
  <conditionalFormatting sqref="AL5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{C264AB25-8DBF-4802-A2ED-10ABCD7C63A5}</x14:id>
        </ext>
      </extLst>
    </cfRule>
  </conditionalFormatting>
  <conditionalFormatting sqref="AL5:AL98">
    <cfRule type="containsText" dxfId="3" priority="5" operator="containsText" text="RIP">
      <formula>NOT(ISERROR(SEARCH("RIP",AL5)))</formula>
    </cfRule>
    <cfRule type="cellIs" dxfId="2" priority="6" operator="equal">
      <formula>"Closed"</formula>
    </cfRule>
    <cfRule type="containsText" dxfId="1" priority="7" operator="containsText" text="Aborted">
      <formula>NOT(ISERROR(SEARCH("Aborted",AL5)))</formula>
    </cfRule>
    <cfRule type="containsText" dxfId="0" priority="8" operator="containsText" text="On-hold">
      <formula>NOT(ISERROR(SEARCH("On-hold",AL5)))</formula>
    </cfRule>
  </conditionalFormatting>
  <conditionalFormatting sqref="AL25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{1A972BA3-A9C2-42F5-BB58-4A37D278E5B2}</x14:id>
        </ext>
      </extLst>
    </cfRule>
  </conditionalFormatting>
  <conditionalFormatting sqref="AI44:AI45">
    <cfRule type="colorScale" priority="8093">
      <colorScale>
        <cfvo type="min"/>
        <cfvo type="max"/>
        <color rgb="FFFCFCFF"/>
        <color rgb="FFF8696B"/>
      </colorScale>
    </cfRule>
  </conditionalFormatting>
  <conditionalFormatting sqref="AJ38:AJ45">
    <cfRule type="colorScale" priority="8148">
      <colorScale>
        <cfvo type="min"/>
        <cfvo type="max"/>
        <color rgb="FFFCFCFF"/>
        <color rgb="FFF8696B"/>
      </colorScale>
    </cfRule>
  </conditionalFormatting>
  <conditionalFormatting sqref="AI40:AI43">
    <cfRule type="colorScale" priority="8164">
      <colorScale>
        <cfvo type="min"/>
        <cfvo type="max"/>
        <color rgb="FFFCFCFF"/>
        <color rgb="FFF8696B"/>
      </colorScale>
    </cfRule>
  </conditionalFormatting>
  <conditionalFormatting sqref="AI68:AI75 AI39 AI31 AI36:AI37">
    <cfRule type="colorScale" priority="8173">
      <colorScale>
        <cfvo type="min"/>
        <cfvo type="max"/>
        <color rgb="FFFCFCFF"/>
        <color rgb="FFF8696B"/>
      </colorScale>
    </cfRule>
  </conditionalFormatting>
  <conditionalFormatting sqref="AI19:AI24 AI68:AI75 AI39:AI45 AI31:AI37">
    <cfRule type="colorScale" priority="8177">
      <colorScale>
        <cfvo type="min"/>
        <cfvo type="max"/>
        <color rgb="FFFCFCFF"/>
        <color rgb="FFF8696B"/>
      </colorScale>
    </cfRule>
  </conditionalFormatting>
  <conditionalFormatting sqref="AI6:AI24 AI26:AI97">
    <cfRule type="colorScale" priority="8181">
      <colorScale>
        <cfvo type="min"/>
        <cfvo type="max"/>
        <color rgb="FFFCFCFF"/>
        <color rgb="FFF8696B"/>
      </colorScale>
    </cfRule>
  </conditionalFormatting>
  <conditionalFormatting sqref="AI6:AI24 AI26:AI39 AI44:AI98">
    <cfRule type="colorScale" priority="8184">
      <colorScale>
        <cfvo type="min"/>
        <cfvo type="max"/>
        <color rgb="FFFCFCFF"/>
        <color rgb="FFF8696B"/>
      </colorScale>
    </cfRule>
  </conditionalFormatting>
  <conditionalFormatting sqref="AL6:AL24 AL26:AL98">
    <cfRule type="dataBar" priority="8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{B35D4A95-1172-4779-B10B-26ABF8CE71AF}</x14:id>
        </ext>
      </extLst>
    </cfRule>
  </conditionalFormatting>
  <dataValidations count="5">
    <dataValidation type="list" allowBlank="1" showInputMessage="1" showErrorMessage="1" sqref="AR95:AR96" xr:uid="{339AA236-8842-497A-8D72-18928A7AF021}">
      <formula1>"In Touch,Negative,Ongoing,No Answer,"</formula1>
    </dataValidation>
    <dataValidation type="list" allowBlank="1" showInputMessage="1" showErrorMessage="1" sqref="AK5" xr:uid="{EBF36985-55A5-4542-9295-D59395BF48B2}">
      <formula1>$AM$97:$AM$105</formula1>
    </dataValidation>
    <dataValidation type="list" allowBlank="1" showInputMessage="1" showErrorMessage="1" sqref="AK6:AK15 AK33:AK98 AK19 AK25:AK31" xr:uid="{22062A57-CDBD-4B42-A257-79629D8739A1}">
      <formula1>$AK$108:$AK$116</formula1>
    </dataValidation>
    <dataValidation type="list" allowBlank="1" showInputMessage="1" showErrorMessage="1" sqref="AK46:AK71 AK25 AK29:AK31 AK27 AK73:AK92 AK33:AK38" xr:uid="{D3316BDE-D873-4685-8DCD-76ADB4C876CB}">
      <formula1>$AM$110:$AM$118</formula1>
    </dataValidation>
    <dataValidation type="list" allowBlank="1" showInputMessage="1" showErrorMessage="1" sqref="AK29:AK45 AK27 AK16:AK25 AK81 AK74" xr:uid="{50062299-5282-4AF3-A93E-819B73BDFFE8}">
      <formula1>$AM$109:$AM$117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colBreaks count="1" manualBreakCount="1">
    <brk id="49" min="2" max="309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64AB25-8DBF-4802-A2ED-10ABCD7C6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AL5</xm:sqref>
        </x14:conditionalFormatting>
        <x14:conditionalFormatting xmlns:xm="http://schemas.microsoft.com/office/excel/2006/main">
          <x14:cfRule type="dataBar" id="{1A972BA3-A9C2-42F5-BB58-4A37D278E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AL25</xm:sqref>
        </x14:conditionalFormatting>
        <x14:conditionalFormatting xmlns:xm="http://schemas.microsoft.com/office/excel/2006/main">
          <x14:cfRule type="dataBar" id="{B35D4A95-1172-4779-B10B-26ABF8CE71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AL6:AL24 AL26:AL98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CD8DA71F9D56468E620734C00543AD" ma:contentTypeVersion="31" ma:contentTypeDescription="Creare un nuovo documento." ma:contentTypeScope="" ma:versionID="fb68adb4c7131286975e4b7c6bd747e7">
  <xsd:schema xmlns:xsd="http://www.w3.org/2001/XMLSchema" xmlns:xs="http://www.w3.org/2001/XMLSchema" xmlns:p="http://schemas.microsoft.com/office/2006/metadata/properties" xmlns:ns2="5824b314-9622-46aa-aa0f-573356d57e59" xmlns:ns3="6201234f-afc3-484f-86f6-28b28c1928d5" xmlns:ns4="85c57d27-76bb-4d16-ae93-f899899eda57" targetNamespace="http://schemas.microsoft.com/office/2006/metadata/properties" ma:root="true" ma:fieldsID="49f8a1f8d98c8816aa828e00acb57770" ns2:_="" ns3:_="" ns4:_="">
    <xsd:import namespace="5824b314-9622-46aa-aa0f-573356d57e59"/>
    <xsd:import namespace="6201234f-afc3-484f-86f6-28b28c1928d5"/>
    <xsd:import namespace="85c57d27-76bb-4d16-ae93-f899899ed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b314-9622-46aa-aa0f-573356d57e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ternalName="MediaServiceAutoTags" ma:readOnly="true">
      <xsd:simpleType>
        <xsd:restriction base="dms:Text"/>
      </xsd:simpleType>
    </xsd:element>
    <xsd:element name="MediaServiceOCR" ma:index="13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0a362698-0940-4683-9bd0-6a817a60b3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1234f-afc3-484f-86f6-28b28c1928d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57d27-76bb-4d16-ae93-f899899eda5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53cb85a-8927-4744-872f-33b072ed4eaa}" ma:internalName="TaxCatchAll" ma:showField="CatchAllData" ma:web="85c57d27-76bb-4d16-ae93-f899899ed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57d27-76bb-4d16-ae93-f899899eda57" xsi:nil="true"/>
    <lcf76f155ced4ddcb4097134ff3c332f xmlns="5824b314-9622-46aa-aa0f-573356d57e59">
      <Terms xmlns="http://schemas.microsoft.com/office/infopath/2007/PartnerControls"/>
    </lcf76f155ced4ddcb4097134ff3c332f>
    <MediaServiceOCR xmlns="5824b314-9622-46aa-aa0f-573356d57e59" xsi:nil="true"/>
    <MediaServiceDateTaken xmlns="5824b314-9622-46aa-aa0f-573356d57e59" xsi:nil="true"/>
    <MediaServiceEventHashCode xmlns="5824b314-9622-46aa-aa0f-573356d57e59" xsi:nil="true"/>
    <SharedWithUsers xmlns="6201234f-afc3-484f-86f6-28b28c1928d5">
      <UserInfo>
        <DisplayName>INFO</DisplayName>
        <AccountId>103</AccountId>
        <AccountType/>
      </UserInfo>
    </SharedWithUsers>
    <MediaServiceLocation xmlns="5824b314-9622-46aa-aa0f-573356d57e59" xsi:nil="true"/>
    <MediaServiceAutoTags xmlns="5824b314-9622-46aa-aa0f-573356d57e59" xsi:nil="true"/>
    <MediaServiceMetadata xmlns="5824b314-9622-46aa-aa0f-573356d57e59" xsi:nil="true"/>
    <MediaServiceFastMetadata xmlns="5824b314-9622-46aa-aa0f-573356d57e59" xsi:nil="true"/>
    <SharedWithDetails xmlns="6201234f-afc3-484f-86f6-28b28c1928d5" xsi:nil="true"/>
    <MediaServiceAutoKeyPoints xmlns="5824b314-9622-46aa-aa0f-573356d57e59" xsi:nil="true"/>
    <MediaLengthInSeconds xmlns="5824b314-9622-46aa-aa0f-573356d57e59" xsi:nil="true"/>
    <MediaServiceGenerationTime xmlns="5824b314-9622-46aa-aa0f-573356d57e59" xsi:nil="true"/>
    <MediaServiceKeyPoints xmlns="5824b314-9622-46aa-aa0f-573356d57e59" xsi:nil="true"/>
  </documentManagement>
</p:properties>
</file>

<file path=customXml/itemProps1.xml><?xml version="1.0" encoding="utf-8"?>
<ds:datastoreItem xmlns:ds="http://schemas.openxmlformats.org/officeDocument/2006/customXml" ds:itemID="{2716B2D5-8B7C-4274-9226-821EA93E52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1D0EBE-DFF5-474D-BABF-6A657374C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4b314-9622-46aa-aa0f-573356d57e59"/>
    <ds:schemaRef ds:uri="6201234f-afc3-484f-86f6-28b28c1928d5"/>
    <ds:schemaRef ds:uri="85c57d27-76bb-4d16-ae93-f899899ed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B87FA0-DC36-4658-9493-CD2D2201C643}">
  <ds:schemaRefs>
    <ds:schemaRef ds:uri="http://schemas.microsoft.com/office/2006/metadata/properties"/>
    <ds:schemaRef ds:uri="http://www.w3.org/2000/xmlns/"/>
    <ds:schemaRef ds:uri="85c57d27-76bb-4d16-ae93-f899899eda57"/>
    <ds:schemaRef ds:uri="http://www.w3.org/2001/XMLSchema-instance"/>
    <ds:schemaRef ds:uri="5824b314-9622-46aa-aa0f-573356d57e59"/>
    <ds:schemaRef ds:uri="http://schemas.microsoft.com/office/infopath/2007/PartnerControls"/>
    <ds:schemaRef ds:uri="6201234f-afc3-484f-86f6-28b28c1928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Tracking</vt:lpstr>
      <vt:lpstr>Tracking!FFFF</vt:lpstr>
      <vt:lpstr>Tracking!Print</vt:lpstr>
      <vt:lpstr>Tracking!Print_Titles1</vt:lpstr>
      <vt:lpstr>Tracking!Titoli_stampa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Scarsi</dc:creator>
  <cp:keywords/>
  <dc:description/>
  <cp:lastModifiedBy>B</cp:lastModifiedBy>
  <cp:revision/>
  <cp:lastPrinted>2024-11-15T14:36:05Z</cp:lastPrinted>
  <dcterms:created xsi:type="dcterms:W3CDTF">2021-03-21T20:21:13Z</dcterms:created>
  <dcterms:modified xsi:type="dcterms:W3CDTF">2025-01-16T08:45:28Z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0x010100EACD8DA71F9D56468E620734C00543AD</vt:lpwstr>
  </property>
  <property fmtid="{D5CDD505-2E9C-101B-9397-08002B2CF9AE}" pid="3" name="MediaServiceImageTags">
    <vt:lpwstr/>
  </property>
  <property fmtid="{D5CDD505-2E9C-101B-9397-08002B2CF9AE}" pid="4" name="Order">
    <vt:r8>3388100</vt:r8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</Properties>
</file>